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3ffc5a7a7031a4a/ドキュメント/"/>
    </mc:Choice>
  </mc:AlternateContent>
  <xr:revisionPtr revIDLastSave="5" documentId="11_AB8A26F8AA03C8B93BE75A53219A993A628E645E" xr6:coauthVersionLast="47" xr6:coauthVersionMax="47" xr10:uidLastSave="{6859DFAA-78B6-48D0-A407-CB54E6EAA3E9}"/>
  <bookViews>
    <workbookView xWindow="-98" yWindow="-98" windowWidth="21795" windowHeight="12975" tabRatio="500" activeTab="50" xr2:uid="{00000000-000D-0000-FFFF-FFFF00000000}"/>
  </bookViews>
  <sheets>
    <sheet name="トップ" sheetId="1" r:id="rId1"/>
    <sheet name="全社合算サマリー" sheetId="2" r:id="rId2"/>
    <sheet name="全社月次サマリー" sheetId="3" r:id="rId3"/>
    <sheet name="マスター_物件" sheetId="4" r:id="rId4"/>
    <sheet name="マスター_勘定科目" sheetId="5" r:id="rId5"/>
    <sheet name="入金入力_レジデンス" sheetId="6" r:id="rId6"/>
    <sheet name="未払一覧_レジデンス" sheetId="7" r:id="rId7"/>
    <sheet name="カード枠回復_レジデンス" sheetId="8" r:id="rId8"/>
    <sheet name="入金入力_リゾート" sheetId="9" r:id="rId9"/>
    <sheet name="未払一覧_リゾート" sheetId="10" r:id="rId10"/>
    <sheet name="カード枠回復_リゾート" sheetId="11" r:id="rId11"/>
    <sheet name="入金入力_モーテル" sheetId="12" r:id="rId12"/>
    <sheet name="未払一覧_モーテル" sheetId="13" r:id="rId13"/>
    <sheet name="カード枠回復_モーテル" sheetId="14" r:id="rId14"/>
    <sheet name="入金入力_ザック" sheetId="15" r:id="rId15"/>
    <sheet name="未払一覧_ザック" sheetId="16" r:id="rId16"/>
    <sheet name="カード枠回復_ザック" sheetId="17" r:id="rId17"/>
    <sheet name="入金入力_ワールド・レイ" sheetId="18" r:id="rId18"/>
    <sheet name="未払一覧_ワールド・レイ" sheetId="19" r:id="rId19"/>
    <sheet name="カード枠回復_ワールド・レイ" sheetId="20" r:id="rId20"/>
    <sheet name="入金入力_ココ・ユニバース" sheetId="21" r:id="rId21"/>
    <sheet name="未払一覧_ココ・ユニバース" sheetId="22" r:id="rId22"/>
    <sheet name="カード枠回復_ココ・ユニバース" sheetId="23" r:id="rId23"/>
    <sheet name="5月_レジデンス" sheetId="24" r:id="rId24"/>
    <sheet name="6月_レジデンス" sheetId="25" r:id="rId25"/>
    <sheet name="7月_レジデンス" sheetId="26" r:id="rId26"/>
    <sheet name="8月_レジデンス" sheetId="27" r:id="rId27"/>
    <sheet name="5月_リゾート" sheetId="28" r:id="rId28"/>
    <sheet name="6月_リゾート" sheetId="29" r:id="rId29"/>
    <sheet name="7月_リゾート" sheetId="30" r:id="rId30"/>
    <sheet name="8月_リゾート" sheetId="31" r:id="rId31"/>
    <sheet name="5月_モーテル" sheetId="32" r:id="rId32"/>
    <sheet name="6月_モーテル" sheetId="33" r:id="rId33"/>
    <sheet name="7月_モーテル" sheetId="34" r:id="rId34"/>
    <sheet name="8月_モーテル" sheetId="35" r:id="rId35"/>
    <sheet name="5月_ザック" sheetId="36" r:id="rId36"/>
    <sheet name="6月_ザック" sheetId="37" r:id="rId37"/>
    <sheet name="7月_ザック" sheetId="38" r:id="rId38"/>
    <sheet name="8月_ザック" sheetId="39" r:id="rId39"/>
    <sheet name="5月_ワールド・レイ" sheetId="40" r:id="rId40"/>
    <sheet name="6月_ワールド・レイ" sheetId="41" r:id="rId41"/>
    <sheet name="7月_ワールド・レイ" sheetId="42" r:id="rId42"/>
    <sheet name="8月_ワールド・レイ" sheetId="43" r:id="rId43"/>
    <sheet name="5月_ココ・ユニバース" sheetId="44" r:id="rId44"/>
    <sheet name="6月_ココ・ユニバース" sheetId="45" r:id="rId45"/>
    <sheet name="7月_ココ・ユニバース" sheetId="46" r:id="rId46"/>
    <sheet name="8月_ココ・ユニバース" sheetId="47" r:id="rId47"/>
    <sheet name="資金繰り_全社合計" sheetId="48" r:id="rId48"/>
    <sheet name="資金繰り_レジデンス" sheetId="49" r:id="rId49"/>
    <sheet name="資金繰り_リゾート・モーテル" sheetId="50" r:id="rId50"/>
    <sheet name="資金繰り_ザック" sheetId="51" r:id="rId5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30" i="51" l="1"/>
  <c r="X30" i="51"/>
  <c r="V30" i="51"/>
  <c r="T30" i="51"/>
  <c r="R30" i="51"/>
  <c r="AB29" i="51"/>
  <c r="Z29" i="51"/>
  <c r="X29" i="51"/>
  <c r="V29" i="51"/>
  <c r="T29" i="51"/>
  <c r="R29" i="51"/>
  <c r="P29" i="51"/>
  <c r="N29" i="51"/>
  <c r="L28" i="51"/>
  <c r="J28" i="51"/>
  <c r="H28" i="51"/>
  <c r="H29" i="51" s="1"/>
  <c r="F28" i="51"/>
  <c r="F29" i="51" s="1"/>
  <c r="L27" i="51"/>
  <c r="L29" i="51" s="1"/>
  <c r="J27" i="51"/>
  <c r="J29" i="51" s="1"/>
  <c r="H27" i="51"/>
  <c r="F27" i="51"/>
  <c r="AB26" i="51"/>
  <c r="AB30" i="51" s="1"/>
  <c r="Z26" i="51"/>
  <c r="X26" i="51"/>
  <c r="V26" i="51"/>
  <c r="T26" i="51"/>
  <c r="R26" i="51"/>
  <c r="P26" i="51"/>
  <c r="P30" i="51" s="1"/>
  <c r="N26" i="51"/>
  <c r="N30" i="51" s="1"/>
  <c r="L25" i="51"/>
  <c r="J25" i="51"/>
  <c r="H25" i="51"/>
  <c r="F25" i="51"/>
  <c r="L24" i="51"/>
  <c r="L26" i="51" s="1"/>
  <c r="L30" i="51" s="1"/>
  <c r="J24" i="51"/>
  <c r="J26" i="51" s="1"/>
  <c r="J30" i="51" s="1"/>
  <c r="H24" i="51"/>
  <c r="H26" i="51" s="1"/>
  <c r="H30" i="51" s="1"/>
  <c r="F24" i="51"/>
  <c r="F26" i="51" s="1"/>
  <c r="F30" i="51" s="1"/>
  <c r="AB22" i="51"/>
  <c r="Z22" i="51"/>
  <c r="X22" i="51"/>
  <c r="V22" i="51"/>
  <c r="T22" i="51"/>
  <c r="R22" i="51"/>
  <c r="P22" i="51"/>
  <c r="P23" i="51" s="1"/>
  <c r="N22" i="51"/>
  <c r="N23" i="51" s="1"/>
  <c r="L21" i="51"/>
  <c r="J21" i="51"/>
  <c r="H21" i="51"/>
  <c r="F21" i="51"/>
  <c r="L20" i="51"/>
  <c r="J20" i="51"/>
  <c r="H20" i="51"/>
  <c r="F20" i="51"/>
  <c r="L19" i="51"/>
  <c r="J19" i="51"/>
  <c r="H19" i="51"/>
  <c r="F19" i="51"/>
  <c r="L18" i="51"/>
  <c r="J18" i="51"/>
  <c r="H18" i="51"/>
  <c r="F18" i="51"/>
  <c r="L17" i="51"/>
  <c r="J17" i="51"/>
  <c r="H17" i="51"/>
  <c r="F17" i="51"/>
  <c r="L16" i="51"/>
  <c r="J16" i="51"/>
  <c r="H16" i="51"/>
  <c r="F16" i="51"/>
  <c r="L15" i="51"/>
  <c r="J15" i="51"/>
  <c r="H15" i="51"/>
  <c r="F15" i="51"/>
  <c r="L14" i="51"/>
  <c r="L22" i="51" s="1"/>
  <c r="J14" i="51"/>
  <c r="J22" i="51" s="1"/>
  <c r="H14" i="51"/>
  <c r="H22" i="51" s="1"/>
  <c r="F14" i="51"/>
  <c r="F22" i="51" s="1"/>
  <c r="AB12" i="51"/>
  <c r="AB23" i="51" s="1"/>
  <c r="Z12" i="51"/>
  <c r="Z23" i="51" s="1"/>
  <c r="X12" i="51"/>
  <c r="X23" i="51" s="1"/>
  <c r="V12" i="51"/>
  <c r="V23" i="51" s="1"/>
  <c r="T12" i="51"/>
  <c r="T23" i="51" s="1"/>
  <c r="R12" i="51"/>
  <c r="R23" i="51" s="1"/>
  <c r="P12" i="51"/>
  <c r="N12" i="51"/>
  <c r="L11" i="51"/>
  <c r="J11" i="51"/>
  <c r="H11" i="51"/>
  <c r="F11" i="51"/>
  <c r="L10" i="51"/>
  <c r="J10" i="51"/>
  <c r="H10" i="51"/>
  <c r="F10" i="51"/>
  <c r="L9" i="51"/>
  <c r="J9" i="51"/>
  <c r="H9" i="51"/>
  <c r="F9" i="51"/>
  <c r="L8" i="51"/>
  <c r="L12" i="51" s="1"/>
  <c r="J8" i="51"/>
  <c r="J5" i="51" s="1"/>
  <c r="H8" i="51"/>
  <c r="H5" i="51" s="1"/>
  <c r="F8" i="51"/>
  <c r="F5" i="51" s="1"/>
  <c r="AB5" i="51"/>
  <c r="Z5" i="51"/>
  <c r="X5" i="51"/>
  <c r="V5" i="51"/>
  <c r="T5" i="51"/>
  <c r="R5" i="51"/>
  <c r="P5" i="51"/>
  <c r="N5" i="51"/>
  <c r="L5" i="51"/>
  <c r="V30" i="50"/>
  <c r="T30" i="50"/>
  <c r="AB29" i="50"/>
  <c r="Z29" i="50"/>
  <c r="X29" i="50"/>
  <c r="V29" i="50"/>
  <c r="T29" i="50"/>
  <c r="R29" i="50"/>
  <c r="P29" i="50"/>
  <c r="N29" i="50"/>
  <c r="L28" i="50"/>
  <c r="J28" i="50"/>
  <c r="H28" i="50"/>
  <c r="F28" i="50"/>
  <c r="L27" i="50"/>
  <c r="J27" i="50"/>
  <c r="J29" i="50" s="1"/>
  <c r="H27" i="50"/>
  <c r="H29" i="50" s="1"/>
  <c r="F27" i="50"/>
  <c r="F29" i="50" s="1"/>
  <c r="AB26" i="50"/>
  <c r="AB30" i="50" s="1"/>
  <c r="Z26" i="50"/>
  <c r="Z30" i="50" s="1"/>
  <c r="X26" i="50"/>
  <c r="X30" i="50" s="1"/>
  <c r="V26" i="50"/>
  <c r="T26" i="50"/>
  <c r="R26" i="50"/>
  <c r="R30" i="50" s="1"/>
  <c r="P26" i="50"/>
  <c r="P30" i="50" s="1"/>
  <c r="N26" i="50"/>
  <c r="N30" i="50" s="1"/>
  <c r="L25" i="50"/>
  <c r="L26" i="50" s="1"/>
  <c r="J25" i="50"/>
  <c r="H25" i="50"/>
  <c r="F25" i="50"/>
  <c r="L24" i="50"/>
  <c r="J24" i="50"/>
  <c r="J26" i="50" s="1"/>
  <c r="H24" i="50"/>
  <c r="H26" i="50" s="1"/>
  <c r="F24" i="50"/>
  <c r="F26" i="50" s="1"/>
  <c r="AB23" i="50"/>
  <c r="P23" i="50"/>
  <c r="AB22" i="50"/>
  <c r="Z22" i="50"/>
  <c r="X22" i="50"/>
  <c r="V22" i="50"/>
  <c r="T22" i="50"/>
  <c r="R22" i="50"/>
  <c r="P22" i="50"/>
  <c r="N22" i="50"/>
  <c r="L21" i="50"/>
  <c r="L21" i="48" s="1"/>
  <c r="J21" i="50"/>
  <c r="J21" i="48" s="1"/>
  <c r="H21" i="50"/>
  <c r="H21" i="48" s="1"/>
  <c r="F21" i="50"/>
  <c r="F21" i="48" s="1"/>
  <c r="L20" i="50"/>
  <c r="J20" i="50"/>
  <c r="H20" i="50"/>
  <c r="F20" i="50"/>
  <c r="L19" i="50"/>
  <c r="J19" i="50"/>
  <c r="H19" i="50"/>
  <c r="F19" i="50"/>
  <c r="F19" i="48" s="1"/>
  <c r="L18" i="50"/>
  <c r="J18" i="50"/>
  <c r="H18" i="50"/>
  <c r="F18" i="50"/>
  <c r="L17" i="50"/>
  <c r="J17" i="50"/>
  <c r="H17" i="50"/>
  <c r="F17" i="50"/>
  <c r="L16" i="50"/>
  <c r="J16" i="50"/>
  <c r="H16" i="50"/>
  <c r="H16" i="48" s="1"/>
  <c r="F16" i="50"/>
  <c r="F16" i="48" s="1"/>
  <c r="L15" i="50"/>
  <c r="J15" i="50"/>
  <c r="H15" i="50"/>
  <c r="F15" i="50"/>
  <c r="L14" i="50"/>
  <c r="J14" i="50"/>
  <c r="H14" i="50"/>
  <c r="F14" i="50"/>
  <c r="AB12" i="50"/>
  <c r="Z12" i="50"/>
  <c r="Z23" i="50" s="1"/>
  <c r="X12" i="50"/>
  <c r="V12" i="50"/>
  <c r="V23" i="50" s="1"/>
  <c r="T12" i="50"/>
  <c r="T23" i="50" s="1"/>
  <c r="R12" i="50"/>
  <c r="P12" i="50"/>
  <c r="N12" i="50"/>
  <c r="N23" i="50" s="1"/>
  <c r="F12" i="50"/>
  <c r="L11" i="50"/>
  <c r="J11" i="50"/>
  <c r="H11" i="50"/>
  <c r="F11" i="50"/>
  <c r="L10" i="50"/>
  <c r="J10" i="50"/>
  <c r="H10" i="50"/>
  <c r="F10" i="50"/>
  <c r="L9" i="50"/>
  <c r="J9" i="50"/>
  <c r="H9" i="50"/>
  <c r="H5" i="50" s="1"/>
  <c r="F9" i="50"/>
  <c r="L8" i="50"/>
  <c r="J8" i="50"/>
  <c r="H8" i="50"/>
  <c r="F8" i="50"/>
  <c r="AB5" i="50"/>
  <c r="Z5" i="50"/>
  <c r="X5" i="50"/>
  <c r="V5" i="50"/>
  <c r="T5" i="50"/>
  <c r="R5" i="50"/>
  <c r="P5" i="50"/>
  <c r="N5" i="50"/>
  <c r="T30" i="49"/>
  <c r="R30" i="49"/>
  <c r="N30" i="49"/>
  <c r="AB29" i="49"/>
  <c r="Z29" i="49"/>
  <c r="Z30" i="49" s="1"/>
  <c r="X29" i="49"/>
  <c r="V29" i="49"/>
  <c r="T29" i="49"/>
  <c r="R29" i="49"/>
  <c r="P29" i="49"/>
  <c r="N29" i="49"/>
  <c r="L28" i="49"/>
  <c r="L28" i="48" s="1"/>
  <c r="J28" i="49"/>
  <c r="H28" i="49"/>
  <c r="H28" i="48" s="1"/>
  <c r="F28" i="49"/>
  <c r="F28" i="48" s="1"/>
  <c r="L27" i="49"/>
  <c r="L27" i="48" s="1"/>
  <c r="J27" i="49"/>
  <c r="J27" i="48" s="1"/>
  <c r="H27" i="49"/>
  <c r="H29" i="49" s="1"/>
  <c r="F27" i="49"/>
  <c r="AB26" i="49"/>
  <c r="AB30" i="49" s="1"/>
  <c r="Z26" i="49"/>
  <c r="X26" i="49"/>
  <c r="X30" i="49" s="1"/>
  <c r="V26" i="49"/>
  <c r="V30" i="49" s="1"/>
  <c r="T26" i="49"/>
  <c r="R26" i="49"/>
  <c r="P26" i="49"/>
  <c r="N26" i="49"/>
  <c r="L26" i="49"/>
  <c r="L25" i="49"/>
  <c r="L25" i="48" s="1"/>
  <c r="J25" i="49"/>
  <c r="J25" i="48" s="1"/>
  <c r="H25" i="49"/>
  <c r="F25" i="49"/>
  <c r="F25" i="48" s="1"/>
  <c r="L24" i="49"/>
  <c r="L24" i="48" s="1"/>
  <c r="J24" i="49"/>
  <c r="H24" i="49"/>
  <c r="H26" i="49" s="1"/>
  <c r="F24" i="49"/>
  <c r="AB22" i="49"/>
  <c r="Z22" i="49"/>
  <c r="X22" i="49"/>
  <c r="V22" i="49"/>
  <c r="V23" i="49" s="1"/>
  <c r="T22" i="49"/>
  <c r="R22" i="49"/>
  <c r="P22" i="49"/>
  <c r="N22" i="49"/>
  <c r="L21" i="49"/>
  <c r="J21" i="49"/>
  <c r="H21" i="49"/>
  <c r="F21" i="49"/>
  <c r="L20" i="49"/>
  <c r="L20" i="48" s="1"/>
  <c r="J20" i="49"/>
  <c r="H20" i="49"/>
  <c r="F20" i="49"/>
  <c r="L19" i="49"/>
  <c r="J19" i="49"/>
  <c r="H19" i="49"/>
  <c r="F19" i="49"/>
  <c r="L18" i="49"/>
  <c r="L18" i="48" s="1"/>
  <c r="J18" i="49"/>
  <c r="J18" i="48" s="1"/>
  <c r="H18" i="49"/>
  <c r="H18" i="48" s="1"/>
  <c r="F18" i="49"/>
  <c r="L17" i="49"/>
  <c r="L17" i="48" s="1"/>
  <c r="J17" i="49"/>
  <c r="J17" i="48" s="1"/>
  <c r="H17" i="49"/>
  <c r="F17" i="49"/>
  <c r="L16" i="49"/>
  <c r="J16" i="49"/>
  <c r="H16" i="49"/>
  <c r="F16" i="49"/>
  <c r="L15" i="49"/>
  <c r="J15" i="49"/>
  <c r="H15" i="49"/>
  <c r="H15" i="48" s="1"/>
  <c r="F15" i="49"/>
  <c r="L14" i="49"/>
  <c r="J14" i="49"/>
  <c r="J14" i="48" s="1"/>
  <c r="H14" i="49"/>
  <c r="F14" i="49"/>
  <c r="AB12" i="49"/>
  <c r="AB23" i="49" s="1"/>
  <c r="Z12" i="49"/>
  <c r="Z23" i="49" s="1"/>
  <c r="X12" i="49"/>
  <c r="X23" i="49" s="1"/>
  <c r="V12" i="49"/>
  <c r="T12" i="49"/>
  <c r="R12" i="49"/>
  <c r="R23" i="49" s="1"/>
  <c r="P12" i="49"/>
  <c r="N12" i="49"/>
  <c r="N23" i="49" s="1"/>
  <c r="L11" i="49"/>
  <c r="L11" i="48" s="1"/>
  <c r="J11" i="49"/>
  <c r="H11" i="49"/>
  <c r="F11" i="49"/>
  <c r="L10" i="49"/>
  <c r="L10" i="48" s="1"/>
  <c r="J10" i="49"/>
  <c r="H10" i="49"/>
  <c r="F10" i="49"/>
  <c r="F10" i="48" s="1"/>
  <c r="L9" i="49"/>
  <c r="L9" i="48" s="1"/>
  <c r="J9" i="49"/>
  <c r="J9" i="48" s="1"/>
  <c r="H9" i="49"/>
  <c r="F9" i="49"/>
  <c r="F9" i="48" s="1"/>
  <c r="L8" i="49"/>
  <c r="J8" i="49"/>
  <c r="H8" i="49"/>
  <c r="F8" i="49"/>
  <c r="AB5" i="49"/>
  <c r="Z5" i="49"/>
  <c r="Z5" i="48" s="1"/>
  <c r="X5" i="49"/>
  <c r="V5" i="49"/>
  <c r="T5" i="49"/>
  <c r="R5" i="49"/>
  <c r="R5" i="48" s="1"/>
  <c r="P5" i="49"/>
  <c r="P5" i="48" s="1"/>
  <c r="N5" i="49"/>
  <c r="N5" i="48" s="1"/>
  <c r="H5" i="49"/>
  <c r="H5" i="48" s="1"/>
  <c r="F5" i="49"/>
  <c r="AB30" i="48"/>
  <c r="V30" i="48"/>
  <c r="N30" i="48"/>
  <c r="AB29" i="48"/>
  <c r="Z29" i="48"/>
  <c r="X29" i="48"/>
  <c r="V29" i="48"/>
  <c r="T29" i="48"/>
  <c r="R29" i="48"/>
  <c r="P29" i="48"/>
  <c r="N29" i="48"/>
  <c r="AB26" i="48"/>
  <c r="Z26" i="48"/>
  <c r="Z30" i="48" s="1"/>
  <c r="X26" i="48"/>
  <c r="V26" i="48"/>
  <c r="T26" i="48"/>
  <c r="R26" i="48"/>
  <c r="P26" i="48"/>
  <c r="N26" i="48"/>
  <c r="H25" i="48"/>
  <c r="J24" i="48"/>
  <c r="J26" i="48" s="1"/>
  <c r="H24" i="48"/>
  <c r="X23" i="48"/>
  <c r="T23" i="48"/>
  <c r="N23" i="48"/>
  <c r="AB22" i="48"/>
  <c r="Z22" i="48"/>
  <c r="X22" i="48"/>
  <c r="V22" i="48"/>
  <c r="V23" i="48" s="1"/>
  <c r="T22" i="48"/>
  <c r="R22" i="48"/>
  <c r="P22" i="48"/>
  <c r="N22" i="48"/>
  <c r="H20" i="48"/>
  <c r="F20" i="48"/>
  <c r="L19" i="48"/>
  <c r="H19" i="48"/>
  <c r="AB12" i="48"/>
  <c r="Z12" i="48"/>
  <c r="Z23" i="48" s="1"/>
  <c r="X12" i="48"/>
  <c r="V12" i="48"/>
  <c r="T12" i="48"/>
  <c r="R12" i="48"/>
  <c r="P12" i="48"/>
  <c r="P23" i="48" s="1"/>
  <c r="N12" i="48"/>
  <c r="J11" i="48"/>
  <c r="H11" i="48"/>
  <c r="H9" i="48"/>
  <c r="AB5" i="48"/>
  <c r="X5" i="48"/>
  <c r="V5" i="48"/>
  <c r="F34" i="47"/>
  <c r="C34" i="47"/>
  <c r="B34" i="47"/>
  <c r="F33" i="47"/>
  <c r="D33" i="47"/>
  <c r="C33" i="47"/>
  <c r="B33" i="47"/>
  <c r="F32" i="47"/>
  <c r="C32" i="47"/>
  <c r="B32" i="47"/>
  <c r="F31" i="47"/>
  <c r="C31" i="47"/>
  <c r="D31" i="47" s="1"/>
  <c r="B31" i="47"/>
  <c r="F30" i="47"/>
  <c r="C30" i="47"/>
  <c r="B30" i="47"/>
  <c r="F29" i="47"/>
  <c r="C29" i="47"/>
  <c r="B29" i="47"/>
  <c r="F28" i="47"/>
  <c r="D28" i="47" s="1"/>
  <c r="C28" i="47"/>
  <c r="B28" i="47"/>
  <c r="F27" i="47"/>
  <c r="D27" i="47"/>
  <c r="C27" i="47"/>
  <c r="B27" i="47"/>
  <c r="F26" i="47"/>
  <c r="D26" i="47"/>
  <c r="C26" i="47"/>
  <c r="B26" i="47"/>
  <c r="F25" i="47"/>
  <c r="C25" i="47"/>
  <c r="B25" i="47"/>
  <c r="D25" i="47" s="1"/>
  <c r="F24" i="47"/>
  <c r="C24" i="47"/>
  <c r="B24" i="47"/>
  <c r="F23" i="47"/>
  <c r="C23" i="47"/>
  <c r="B23" i="47"/>
  <c r="D23" i="47" s="1"/>
  <c r="F22" i="47"/>
  <c r="C22" i="47"/>
  <c r="B22" i="47"/>
  <c r="F21" i="47"/>
  <c r="D21" i="47"/>
  <c r="C21" i="47"/>
  <c r="B21" i="47"/>
  <c r="F20" i="47"/>
  <c r="C20" i="47"/>
  <c r="B20" i="47"/>
  <c r="F19" i="47"/>
  <c r="C19" i="47"/>
  <c r="B19" i="47"/>
  <c r="F18" i="47"/>
  <c r="D18" i="47"/>
  <c r="C18" i="47"/>
  <c r="B18" i="47"/>
  <c r="F17" i="47"/>
  <c r="D17" i="47"/>
  <c r="C17" i="47"/>
  <c r="B17" i="47"/>
  <c r="F16" i="47"/>
  <c r="C16" i="47"/>
  <c r="B16" i="47"/>
  <c r="D16" i="47" s="1"/>
  <c r="F15" i="47"/>
  <c r="C15" i="47"/>
  <c r="D15" i="47" s="1"/>
  <c r="B15" i="47"/>
  <c r="F14" i="47"/>
  <c r="C14" i="47"/>
  <c r="B14" i="47"/>
  <c r="F13" i="47"/>
  <c r="C13" i="47"/>
  <c r="B13" i="47"/>
  <c r="D13" i="47" s="1"/>
  <c r="F12" i="47"/>
  <c r="C12" i="47"/>
  <c r="B12" i="47"/>
  <c r="D12" i="47" s="1"/>
  <c r="F11" i="47"/>
  <c r="C11" i="47"/>
  <c r="D11" i="47" s="1"/>
  <c r="B11" i="47"/>
  <c r="F10" i="47"/>
  <c r="C10" i="47"/>
  <c r="B10" i="47"/>
  <c r="F9" i="47"/>
  <c r="D9" i="47"/>
  <c r="C9" i="47"/>
  <c r="B9" i="47"/>
  <c r="F8" i="47"/>
  <c r="C8" i="47"/>
  <c r="B8" i="47"/>
  <c r="D8" i="47" s="1"/>
  <c r="F7" i="47"/>
  <c r="D7" i="47"/>
  <c r="C7" i="47"/>
  <c r="B7" i="47"/>
  <c r="F6" i="47"/>
  <c r="C6" i="47"/>
  <c r="B6" i="47"/>
  <c r="F5" i="47"/>
  <c r="D5" i="47"/>
  <c r="C5" i="47"/>
  <c r="B5" i="47"/>
  <c r="F4" i="47"/>
  <c r="C4" i="47"/>
  <c r="B4" i="47"/>
  <c r="F34" i="46"/>
  <c r="C34" i="46"/>
  <c r="B34" i="46"/>
  <c r="F33" i="46"/>
  <c r="D33" i="46"/>
  <c r="C33" i="46"/>
  <c r="B33" i="46"/>
  <c r="F32" i="46"/>
  <c r="C32" i="46"/>
  <c r="B32" i="46"/>
  <c r="F31" i="46"/>
  <c r="C31" i="46"/>
  <c r="D31" i="46" s="1"/>
  <c r="B31" i="46"/>
  <c r="F30" i="46"/>
  <c r="D30" i="46"/>
  <c r="C30" i="46"/>
  <c r="B30" i="46"/>
  <c r="F29" i="46"/>
  <c r="D29" i="46"/>
  <c r="C29" i="46"/>
  <c r="B29" i="46"/>
  <c r="F28" i="46"/>
  <c r="C28" i="46"/>
  <c r="B28" i="46"/>
  <c r="F27" i="46"/>
  <c r="D27" i="46"/>
  <c r="C27" i="46"/>
  <c r="B27" i="46"/>
  <c r="F26" i="46"/>
  <c r="C26" i="46"/>
  <c r="B26" i="46"/>
  <c r="D26" i="46" s="1"/>
  <c r="F25" i="46"/>
  <c r="D25" i="46"/>
  <c r="C25" i="46"/>
  <c r="B25" i="46"/>
  <c r="F24" i="46"/>
  <c r="C24" i="46"/>
  <c r="B24" i="46"/>
  <c r="F23" i="46"/>
  <c r="C23" i="46"/>
  <c r="B23" i="46"/>
  <c r="F22" i="46"/>
  <c r="C22" i="46"/>
  <c r="B22" i="46"/>
  <c r="F21" i="46"/>
  <c r="C21" i="46"/>
  <c r="D21" i="46" s="1"/>
  <c r="B21" i="46"/>
  <c r="F20" i="46"/>
  <c r="D20" i="46"/>
  <c r="C20" i="46"/>
  <c r="B20" i="46"/>
  <c r="F19" i="46"/>
  <c r="D19" i="46"/>
  <c r="C19" i="46"/>
  <c r="B19" i="46"/>
  <c r="F18" i="46"/>
  <c r="D18" i="46"/>
  <c r="C18" i="46"/>
  <c r="B18" i="46"/>
  <c r="F17" i="46"/>
  <c r="C17" i="46"/>
  <c r="D17" i="46" s="1"/>
  <c r="B17" i="46"/>
  <c r="F16" i="46"/>
  <c r="C16" i="46"/>
  <c r="B16" i="46"/>
  <c r="F15" i="46"/>
  <c r="D15" i="46"/>
  <c r="C15" i="46"/>
  <c r="B15" i="46"/>
  <c r="F14" i="46"/>
  <c r="C14" i="46"/>
  <c r="B14" i="46"/>
  <c r="F13" i="46"/>
  <c r="D13" i="46" s="1"/>
  <c r="C13" i="46"/>
  <c r="B13" i="46"/>
  <c r="F12" i="46"/>
  <c r="C12" i="46"/>
  <c r="B12" i="46"/>
  <c r="F11" i="46"/>
  <c r="C11" i="46"/>
  <c r="D11" i="46" s="1"/>
  <c r="B11" i="46"/>
  <c r="F10" i="46"/>
  <c r="C10" i="46"/>
  <c r="B10" i="46"/>
  <c r="D10" i="46" s="1"/>
  <c r="F9" i="46"/>
  <c r="D9" i="46" s="1"/>
  <c r="C9" i="46"/>
  <c r="B9" i="46"/>
  <c r="F8" i="46"/>
  <c r="C8" i="46"/>
  <c r="B8" i="46"/>
  <c r="F7" i="46"/>
  <c r="D7" i="46"/>
  <c r="C7" i="46"/>
  <c r="B7" i="46"/>
  <c r="F6" i="46"/>
  <c r="D6" i="46"/>
  <c r="C6" i="46"/>
  <c r="B6" i="46"/>
  <c r="F5" i="46"/>
  <c r="C5" i="46"/>
  <c r="B5" i="46"/>
  <c r="D5" i="46" s="1"/>
  <c r="F4" i="46"/>
  <c r="C4" i="46"/>
  <c r="B4" i="46"/>
  <c r="F33" i="45"/>
  <c r="C33" i="45"/>
  <c r="B33" i="45"/>
  <c r="D33" i="45" s="1"/>
  <c r="F32" i="45"/>
  <c r="D32" i="45"/>
  <c r="C32" i="45"/>
  <c r="B32" i="45"/>
  <c r="F31" i="45"/>
  <c r="D31" i="45"/>
  <c r="C31" i="45"/>
  <c r="B31" i="45"/>
  <c r="F30" i="45"/>
  <c r="D30" i="45" s="1"/>
  <c r="C30" i="45"/>
  <c r="B30" i="45"/>
  <c r="F29" i="45"/>
  <c r="C29" i="45"/>
  <c r="B29" i="45"/>
  <c r="D29" i="45" s="1"/>
  <c r="F28" i="45"/>
  <c r="D28" i="45"/>
  <c r="C28" i="45"/>
  <c r="B28" i="45"/>
  <c r="F27" i="45"/>
  <c r="D27" i="45"/>
  <c r="C27" i="45"/>
  <c r="B27" i="45"/>
  <c r="F26" i="45"/>
  <c r="C26" i="45"/>
  <c r="B26" i="45"/>
  <c r="D26" i="45" s="1"/>
  <c r="F25" i="45"/>
  <c r="C25" i="45"/>
  <c r="B25" i="45"/>
  <c r="D25" i="45" s="1"/>
  <c r="F24" i="45"/>
  <c r="D24" i="45"/>
  <c r="C24" i="45"/>
  <c r="B24" i="45"/>
  <c r="F23" i="45"/>
  <c r="C23" i="45"/>
  <c r="B23" i="45"/>
  <c r="F22" i="45"/>
  <c r="C22" i="45"/>
  <c r="B22" i="45"/>
  <c r="F21" i="45"/>
  <c r="D21" i="45"/>
  <c r="C21" i="45"/>
  <c r="B21" i="45"/>
  <c r="F20" i="45"/>
  <c r="D20" i="45" s="1"/>
  <c r="C20" i="45"/>
  <c r="B20" i="45"/>
  <c r="F19" i="45"/>
  <c r="C19" i="45"/>
  <c r="B19" i="45"/>
  <c r="D19" i="45" s="1"/>
  <c r="F18" i="45"/>
  <c r="D18" i="45"/>
  <c r="C18" i="45"/>
  <c r="B18" i="45"/>
  <c r="F17" i="45"/>
  <c r="C17" i="45"/>
  <c r="B17" i="45"/>
  <c r="D17" i="45" s="1"/>
  <c r="F16" i="45"/>
  <c r="C16" i="45"/>
  <c r="B16" i="45"/>
  <c r="D16" i="45" s="1"/>
  <c r="F15" i="45"/>
  <c r="C15" i="45"/>
  <c r="B15" i="45"/>
  <c r="F14" i="45"/>
  <c r="C14" i="45"/>
  <c r="B14" i="45"/>
  <c r="D14" i="45" s="1"/>
  <c r="F13" i="45"/>
  <c r="C13" i="45"/>
  <c r="B13" i="45"/>
  <c r="F12" i="45"/>
  <c r="C12" i="45"/>
  <c r="B12" i="45"/>
  <c r="F11" i="45"/>
  <c r="D11" i="45" s="1"/>
  <c r="C11" i="45"/>
  <c r="B11" i="45"/>
  <c r="F10" i="45"/>
  <c r="D10" i="45"/>
  <c r="C10" i="45"/>
  <c r="B10" i="45"/>
  <c r="F9" i="45"/>
  <c r="C9" i="45"/>
  <c r="B9" i="45"/>
  <c r="F8" i="45"/>
  <c r="D8" i="45"/>
  <c r="C8" i="45"/>
  <c r="B8" i="45"/>
  <c r="F7" i="45"/>
  <c r="C7" i="45"/>
  <c r="B7" i="45"/>
  <c r="F6" i="45"/>
  <c r="C6" i="45"/>
  <c r="B6" i="45"/>
  <c r="D6" i="45" s="1"/>
  <c r="F5" i="45"/>
  <c r="C5" i="45"/>
  <c r="B5" i="45"/>
  <c r="F4" i="45"/>
  <c r="C4" i="45"/>
  <c r="B4" i="45"/>
  <c r="F35" i="44"/>
  <c r="C35" i="44"/>
  <c r="D35" i="44" s="1"/>
  <c r="B35" i="44"/>
  <c r="F34" i="44"/>
  <c r="D34" i="44" s="1"/>
  <c r="C34" i="44"/>
  <c r="B34" i="44"/>
  <c r="F33" i="44"/>
  <c r="D33" i="44"/>
  <c r="C33" i="44"/>
  <c r="B33" i="44"/>
  <c r="F32" i="44"/>
  <c r="C32" i="44"/>
  <c r="B32" i="44"/>
  <c r="D32" i="44" s="1"/>
  <c r="F31" i="44"/>
  <c r="C31" i="44"/>
  <c r="D31" i="44" s="1"/>
  <c r="B31" i="44"/>
  <c r="F30" i="44"/>
  <c r="C30" i="44"/>
  <c r="B30" i="44"/>
  <c r="D30" i="44" s="1"/>
  <c r="F29" i="44"/>
  <c r="D29" i="44"/>
  <c r="C29" i="44"/>
  <c r="B29" i="44"/>
  <c r="F28" i="44"/>
  <c r="C28" i="44"/>
  <c r="B28" i="44"/>
  <c r="F27" i="44"/>
  <c r="D27" i="44"/>
  <c r="C27" i="44"/>
  <c r="B27" i="44"/>
  <c r="F26" i="44"/>
  <c r="C26" i="44"/>
  <c r="B26" i="44"/>
  <c r="F25" i="44"/>
  <c r="C25" i="44"/>
  <c r="D25" i="44" s="1"/>
  <c r="B25" i="44"/>
  <c r="F24" i="44"/>
  <c r="D24" i="44"/>
  <c r="C24" i="44"/>
  <c r="B24" i="44"/>
  <c r="F23" i="44"/>
  <c r="D23" i="44"/>
  <c r="C23" i="44"/>
  <c r="B23" i="44"/>
  <c r="F22" i="44"/>
  <c r="C22" i="44"/>
  <c r="B22" i="44"/>
  <c r="D22" i="44" s="1"/>
  <c r="F21" i="44"/>
  <c r="C21" i="44"/>
  <c r="B21" i="44"/>
  <c r="D21" i="44" s="1"/>
  <c r="F20" i="44"/>
  <c r="C20" i="44"/>
  <c r="B20" i="44"/>
  <c r="F19" i="44"/>
  <c r="C19" i="44"/>
  <c r="B19" i="44"/>
  <c r="D19" i="44" s="1"/>
  <c r="F18" i="44"/>
  <c r="C18" i="44"/>
  <c r="B18" i="44"/>
  <c r="F17" i="44"/>
  <c r="D17" i="44"/>
  <c r="C17" i="44"/>
  <c r="B17" i="44"/>
  <c r="F16" i="44"/>
  <c r="C16" i="44"/>
  <c r="B16" i="44"/>
  <c r="F15" i="44"/>
  <c r="D15" i="44"/>
  <c r="C15" i="44"/>
  <c r="B15" i="44"/>
  <c r="F14" i="44"/>
  <c r="D14" i="44"/>
  <c r="C14" i="44"/>
  <c r="B14" i="44"/>
  <c r="F13" i="44"/>
  <c r="D13" i="44" s="1"/>
  <c r="C13" i="44"/>
  <c r="B13" i="44"/>
  <c r="F12" i="44"/>
  <c r="C12" i="44"/>
  <c r="D12" i="44" s="1"/>
  <c r="B12" i="44"/>
  <c r="F11" i="44"/>
  <c r="D11" i="44"/>
  <c r="C11" i="44"/>
  <c r="B11" i="44"/>
  <c r="F10" i="44"/>
  <c r="D10" i="44"/>
  <c r="C10" i="44"/>
  <c r="B10" i="44"/>
  <c r="F9" i="44"/>
  <c r="D9" i="44"/>
  <c r="C9" i="44"/>
  <c r="B9" i="44"/>
  <c r="F8" i="44"/>
  <c r="C8" i="44"/>
  <c r="B8" i="44"/>
  <c r="D8" i="44" s="1"/>
  <c r="F7" i="44"/>
  <c r="D7" i="44"/>
  <c r="C7" i="44"/>
  <c r="B7" i="44"/>
  <c r="F6" i="44"/>
  <c r="C6" i="44"/>
  <c r="B6" i="44"/>
  <c r="D6" i="44" s="1"/>
  <c r="F5" i="44"/>
  <c r="C5" i="44"/>
  <c r="B5" i="44"/>
  <c r="G4" i="44"/>
  <c r="F4" i="44"/>
  <c r="D4" i="44"/>
  <c r="E4" i="44" s="1"/>
  <c r="C4" i="44"/>
  <c r="B4" i="44"/>
  <c r="F34" i="43"/>
  <c r="C34" i="43"/>
  <c r="D34" i="43" s="1"/>
  <c r="B34" i="43"/>
  <c r="F33" i="43"/>
  <c r="C33" i="43"/>
  <c r="B33" i="43"/>
  <c r="D33" i="43" s="1"/>
  <c r="F32" i="43"/>
  <c r="C32" i="43"/>
  <c r="D32" i="43" s="1"/>
  <c r="B32" i="43"/>
  <c r="F31" i="43"/>
  <c r="D31" i="43"/>
  <c r="C31" i="43"/>
  <c r="B31" i="43"/>
  <c r="F30" i="43"/>
  <c r="C30" i="43"/>
  <c r="B30" i="43"/>
  <c r="F29" i="43"/>
  <c r="C29" i="43"/>
  <c r="B29" i="43"/>
  <c r="D29" i="43" s="1"/>
  <c r="F28" i="43"/>
  <c r="C28" i="43"/>
  <c r="B28" i="43"/>
  <c r="F27" i="43"/>
  <c r="C27" i="43"/>
  <c r="D27" i="43" s="1"/>
  <c r="B27" i="43"/>
  <c r="F26" i="43"/>
  <c r="C26" i="43"/>
  <c r="B26" i="43"/>
  <c r="D26" i="43" s="1"/>
  <c r="F25" i="43"/>
  <c r="D25" i="43"/>
  <c r="C25" i="43"/>
  <c r="B25" i="43"/>
  <c r="F24" i="43"/>
  <c r="C24" i="43"/>
  <c r="D24" i="43" s="1"/>
  <c r="B24" i="43"/>
  <c r="F23" i="43"/>
  <c r="C23" i="43"/>
  <c r="B23" i="43"/>
  <c r="F22" i="43"/>
  <c r="D22" i="43"/>
  <c r="C22" i="43"/>
  <c r="B22" i="43"/>
  <c r="F21" i="43"/>
  <c r="C21" i="43"/>
  <c r="B21" i="43"/>
  <c r="D21" i="43" s="1"/>
  <c r="F20" i="43"/>
  <c r="C20" i="43"/>
  <c r="B20" i="43"/>
  <c r="F19" i="43"/>
  <c r="C19" i="43"/>
  <c r="B19" i="43"/>
  <c r="D19" i="43" s="1"/>
  <c r="F18" i="43"/>
  <c r="C18" i="43"/>
  <c r="B18" i="43"/>
  <c r="F17" i="43"/>
  <c r="D17" i="43"/>
  <c r="C17" i="43"/>
  <c r="B17" i="43"/>
  <c r="F16" i="43"/>
  <c r="C16" i="43"/>
  <c r="B16" i="43"/>
  <c r="D16" i="43" s="1"/>
  <c r="F15" i="43"/>
  <c r="D15" i="43"/>
  <c r="C15" i="43"/>
  <c r="B15" i="43"/>
  <c r="F14" i="43"/>
  <c r="D14" i="43" s="1"/>
  <c r="C14" i="43"/>
  <c r="B14" i="43"/>
  <c r="F13" i="43"/>
  <c r="D13" i="43"/>
  <c r="C13" i="43"/>
  <c r="B13" i="43"/>
  <c r="F12" i="43"/>
  <c r="D12" i="43" s="1"/>
  <c r="C12" i="43"/>
  <c r="B12" i="43"/>
  <c r="F11" i="43"/>
  <c r="C11" i="43"/>
  <c r="B11" i="43"/>
  <c r="D11" i="43" s="1"/>
  <c r="F10" i="43"/>
  <c r="C10" i="43"/>
  <c r="B10" i="43"/>
  <c r="F9" i="43"/>
  <c r="C9" i="43"/>
  <c r="B9" i="43"/>
  <c r="D9" i="43" s="1"/>
  <c r="F8" i="43"/>
  <c r="C8" i="43"/>
  <c r="B8" i="43"/>
  <c r="F7" i="43"/>
  <c r="D7" i="43"/>
  <c r="C7" i="43"/>
  <c r="B7" i="43"/>
  <c r="F6" i="43"/>
  <c r="C6" i="43"/>
  <c r="B6" i="43"/>
  <c r="D6" i="43" s="1"/>
  <c r="F5" i="43"/>
  <c r="D5" i="43"/>
  <c r="C5" i="43"/>
  <c r="B5" i="43"/>
  <c r="F4" i="43"/>
  <c r="D4" i="43" s="1"/>
  <c r="C4" i="43"/>
  <c r="B4" i="43"/>
  <c r="F34" i="42"/>
  <c r="D34" i="42"/>
  <c r="C34" i="42"/>
  <c r="B34" i="42"/>
  <c r="F33" i="42"/>
  <c r="D33" i="42"/>
  <c r="C33" i="42"/>
  <c r="B33" i="42"/>
  <c r="F32" i="42"/>
  <c r="C32" i="42"/>
  <c r="B32" i="42"/>
  <c r="F31" i="42"/>
  <c r="C31" i="42"/>
  <c r="B31" i="42"/>
  <c r="F30" i="42"/>
  <c r="C30" i="42"/>
  <c r="B30" i="42"/>
  <c r="F29" i="42"/>
  <c r="C29" i="42"/>
  <c r="D29" i="42" s="1"/>
  <c r="B29" i="42"/>
  <c r="F28" i="42"/>
  <c r="D28" i="42"/>
  <c r="C28" i="42"/>
  <c r="B28" i="42"/>
  <c r="F27" i="42"/>
  <c r="D27" i="42"/>
  <c r="C27" i="42"/>
  <c r="B27" i="42"/>
  <c r="F26" i="42"/>
  <c r="D26" i="42"/>
  <c r="C26" i="42"/>
  <c r="B26" i="42"/>
  <c r="F25" i="42"/>
  <c r="C25" i="42"/>
  <c r="B25" i="42"/>
  <c r="D25" i="42" s="1"/>
  <c r="F24" i="42"/>
  <c r="C24" i="42"/>
  <c r="B24" i="42"/>
  <c r="D24" i="42" s="1"/>
  <c r="F23" i="42"/>
  <c r="D23" i="42"/>
  <c r="C23" i="42"/>
  <c r="B23" i="42"/>
  <c r="F22" i="42"/>
  <c r="C22" i="42"/>
  <c r="B22" i="42"/>
  <c r="F21" i="42"/>
  <c r="D21" i="42" s="1"/>
  <c r="C21" i="42"/>
  <c r="B21" i="42"/>
  <c r="F20" i="42"/>
  <c r="C20" i="42"/>
  <c r="B20" i="42"/>
  <c r="D20" i="42" s="1"/>
  <c r="F19" i="42"/>
  <c r="D19" i="42"/>
  <c r="C19" i="42"/>
  <c r="B19" i="42"/>
  <c r="F18" i="42"/>
  <c r="C18" i="42"/>
  <c r="B18" i="42"/>
  <c r="D18" i="42" s="1"/>
  <c r="F17" i="42"/>
  <c r="D17" i="42" s="1"/>
  <c r="C17" i="42"/>
  <c r="B17" i="42"/>
  <c r="F16" i="42"/>
  <c r="C16" i="42"/>
  <c r="B16" i="42"/>
  <c r="D16" i="42" s="1"/>
  <c r="F15" i="42"/>
  <c r="C15" i="42"/>
  <c r="B15" i="42"/>
  <c r="F14" i="42"/>
  <c r="C14" i="42"/>
  <c r="B14" i="42"/>
  <c r="F13" i="42"/>
  <c r="D13" i="42"/>
  <c r="C13" i="42"/>
  <c r="B13" i="42"/>
  <c r="F12" i="42"/>
  <c r="C12" i="42"/>
  <c r="B12" i="42"/>
  <c r="F11" i="42"/>
  <c r="C11" i="42"/>
  <c r="B11" i="42"/>
  <c r="F10" i="42"/>
  <c r="C10" i="42"/>
  <c r="B10" i="42"/>
  <c r="F9" i="42"/>
  <c r="C9" i="42"/>
  <c r="B9" i="42"/>
  <c r="F8" i="42"/>
  <c r="D8" i="42"/>
  <c r="C8" i="42"/>
  <c r="B8" i="42"/>
  <c r="F7" i="42"/>
  <c r="D7" i="42" s="1"/>
  <c r="C7" i="42"/>
  <c r="B7" i="42"/>
  <c r="F6" i="42"/>
  <c r="C6" i="42"/>
  <c r="B6" i="42"/>
  <c r="F5" i="42"/>
  <c r="C5" i="42"/>
  <c r="B5" i="42"/>
  <c r="D5" i="42" s="1"/>
  <c r="F4" i="42"/>
  <c r="C4" i="42"/>
  <c r="B4" i="42"/>
  <c r="F33" i="41"/>
  <c r="C33" i="41"/>
  <c r="B33" i="41"/>
  <c r="F32" i="41"/>
  <c r="D32" i="41"/>
  <c r="C32" i="41"/>
  <c r="B32" i="41"/>
  <c r="F31" i="41"/>
  <c r="C31" i="41"/>
  <c r="B31" i="41"/>
  <c r="F30" i="41"/>
  <c r="D30" i="41" s="1"/>
  <c r="C30" i="41"/>
  <c r="B30" i="41"/>
  <c r="F29" i="41"/>
  <c r="C29" i="41"/>
  <c r="B29" i="41"/>
  <c r="F28" i="41"/>
  <c r="D28" i="41"/>
  <c r="C28" i="41"/>
  <c r="B28" i="41"/>
  <c r="F27" i="41"/>
  <c r="C27" i="41"/>
  <c r="B27" i="41"/>
  <c r="F26" i="41"/>
  <c r="C26" i="41"/>
  <c r="B26" i="41"/>
  <c r="F25" i="41"/>
  <c r="D25" i="41"/>
  <c r="C25" i="41"/>
  <c r="B25" i="41"/>
  <c r="F24" i="41"/>
  <c r="C24" i="41"/>
  <c r="B24" i="41"/>
  <c r="D24" i="41" s="1"/>
  <c r="F23" i="41"/>
  <c r="C23" i="41"/>
  <c r="B23" i="41"/>
  <c r="D23" i="41" s="1"/>
  <c r="F22" i="41"/>
  <c r="C22" i="41"/>
  <c r="D22" i="41" s="1"/>
  <c r="B22" i="41"/>
  <c r="F21" i="41"/>
  <c r="C21" i="41"/>
  <c r="B21" i="41"/>
  <c r="F20" i="41"/>
  <c r="D20" i="41"/>
  <c r="C20" i="41"/>
  <c r="B20" i="41"/>
  <c r="F19" i="41"/>
  <c r="D19" i="41"/>
  <c r="C19" i="41"/>
  <c r="B19" i="41"/>
  <c r="F18" i="41"/>
  <c r="D18" i="41" s="1"/>
  <c r="C18" i="41"/>
  <c r="B18" i="41"/>
  <c r="F17" i="41"/>
  <c r="C17" i="41"/>
  <c r="B17" i="41"/>
  <c r="D17" i="41" s="1"/>
  <c r="F16" i="41"/>
  <c r="C16" i="41"/>
  <c r="B16" i="41"/>
  <c r="D16" i="41" s="1"/>
  <c r="F15" i="41"/>
  <c r="D15" i="41"/>
  <c r="C15" i="41"/>
  <c r="B15" i="41"/>
  <c r="F14" i="41"/>
  <c r="C14" i="41"/>
  <c r="B14" i="41"/>
  <c r="D14" i="41" s="1"/>
  <c r="F13" i="41"/>
  <c r="C13" i="41"/>
  <c r="B13" i="41"/>
  <c r="F12" i="41"/>
  <c r="C12" i="41"/>
  <c r="B12" i="41"/>
  <c r="D12" i="41" s="1"/>
  <c r="F11" i="41"/>
  <c r="C11" i="41"/>
  <c r="B11" i="41"/>
  <c r="F10" i="41"/>
  <c r="C10" i="41"/>
  <c r="B10" i="41"/>
  <c r="D10" i="41" s="1"/>
  <c r="F9" i="41"/>
  <c r="C9" i="41"/>
  <c r="B9" i="41"/>
  <c r="D9" i="41" s="1"/>
  <c r="F8" i="41"/>
  <c r="D8" i="41"/>
  <c r="C8" i="41"/>
  <c r="B8" i="41"/>
  <c r="F7" i="41"/>
  <c r="C7" i="41"/>
  <c r="B7" i="41"/>
  <c r="D7" i="41" s="1"/>
  <c r="F6" i="41"/>
  <c r="D6" i="41"/>
  <c r="C6" i="41"/>
  <c r="B6" i="41"/>
  <c r="F5" i="41"/>
  <c r="D5" i="41"/>
  <c r="C5" i="41"/>
  <c r="B5" i="41"/>
  <c r="F4" i="41"/>
  <c r="D4" i="41"/>
  <c r="C4" i="41"/>
  <c r="B4" i="41"/>
  <c r="F35" i="40"/>
  <c r="C35" i="40"/>
  <c r="D35" i="40" s="1"/>
  <c r="B35" i="40"/>
  <c r="F34" i="40"/>
  <c r="C34" i="40"/>
  <c r="B34" i="40"/>
  <c r="F33" i="40"/>
  <c r="D33" i="40" s="1"/>
  <c r="C33" i="40"/>
  <c r="B33" i="40"/>
  <c r="F32" i="40"/>
  <c r="C32" i="40"/>
  <c r="B32" i="40"/>
  <c r="D32" i="40" s="1"/>
  <c r="F31" i="40"/>
  <c r="D31" i="40"/>
  <c r="C31" i="40"/>
  <c r="B31" i="40"/>
  <c r="F30" i="40"/>
  <c r="C30" i="40"/>
  <c r="B30" i="40"/>
  <c r="D30" i="40" s="1"/>
  <c r="F29" i="40"/>
  <c r="C29" i="40"/>
  <c r="B29" i="40"/>
  <c r="F28" i="40"/>
  <c r="C28" i="40"/>
  <c r="B28" i="40"/>
  <c r="F27" i="40"/>
  <c r="C27" i="40"/>
  <c r="B27" i="40"/>
  <c r="D27" i="40" s="1"/>
  <c r="F26" i="40"/>
  <c r="C26" i="40"/>
  <c r="B26" i="40"/>
  <c r="D26" i="40" s="1"/>
  <c r="F25" i="40"/>
  <c r="C25" i="40"/>
  <c r="B25" i="40"/>
  <c r="F24" i="40"/>
  <c r="C24" i="40"/>
  <c r="B24" i="40"/>
  <c r="F23" i="40"/>
  <c r="C23" i="40"/>
  <c r="B23" i="40"/>
  <c r="D23" i="40" s="1"/>
  <c r="F22" i="40"/>
  <c r="C22" i="40"/>
  <c r="B22" i="40"/>
  <c r="D22" i="40" s="1"/>
  <c r="F21" i="40"/>
  <c r="D21" i="40"/>
  <c r="C21" i="40"/>
  <c r="B21" i="40"/>
  <c r="F20" i="40"/>
  <c r="C20" i="40"/>
  <c r="B20" i="40"/>
  <c r="D20" i="40" s="1"/>
  <c r="F19" i="40"/>
  <c r="C19" i="40"/>
  <c r="B19" i="40"/>
  <c r="F18" i="40"/>
  <c r="D18" i="40"/>
  <c r="C18" i="40"/>
  <c r="B18" i="40"/>
  <c r="F17" i="40"/>
  <c r="D17" i="40"/>
  <c r="C17" i="40"/>
  <c r="B17" i="40"/>
  <c r="F16" i="40"/>
  <c r="D16" i="40"/>
  <c r="C16" i="40"/>
  <c r="B16" i="40"/>
  <c r="F15" i="40"/>
  <c r="C15" i="40"/>
  <c r="B15" i="40"/>
  <c r="D15" i="40" s="1"/>
  <c r="F14" i="40"/>
  <c r="C14" i="40"/>
  <c r="B14" i="40"/>
  <c r="D14" i="40" s="1"/>
  <c r="F13" i="40"/>
  <c r="C13" i="40"/>
  <c r="D13" i="40" s="1"/>
  <c r="B13" i="40"/>
  <c r="F12" i="40"/>
  <c r="C12" i="40"/>
  <c r="B12" i="40"/>
  <c r="F11" i="40"/>
  <c r="D11" i="40"/>
  <c r="C11" i="40"/>
  <c r="B11" i="40"/>
  <c r="F10" i="40"/>
  <c r="C10" i="40"/>
  <c r="B10" i="40"/>
  <c r="D10" i="40" s="1"/>
  <c r="F9" i="40"/>
  <c r="D9" i="40"/>
  <c r="C9" i="40"/>
  <c r="B9" i="40"/>
  <c r="F8" i="40"/>
  <c r="C8" i="40"/>
  <c r="B8" i="40"/>
  <c r="F7" i="40"/>
  <c r="C7" i="40"/>
  <c r="B7" i="40"/>
  <c r="D7" i="40" s="1"/>
  <c r="F6" i="40"/>
  <c r="C6" i="40"/>
  <c r="B6" i="40"/>
  <c r="F5" i="40"/>
  <c r="D5" i="40" s="1"/>
  <c r="C5" i="40"/>
  <c r="B5" i="40"/>
  <c r="F4" i="40"/>
  <c r="C4" i="40"/>
  <c r="B4" i="40"/>
  <c r="F34" i="39"/>
  <c r="C34" i="39"/>
  <c r="B34" i="39"/>
  <c r="D34" i="39" s="1"/>
  <c r="F33" i="39"/>
  <c r="D33" i="39"/>
  <c r="C33" i="39"/>
  <c r="B33" i="39"/>
  <c r="F32" i="39"/>
  <c r="C32" i="39"/>
  <c r="B32" i="39"/>
  <c r="D32" i="39" s="1"/>
  <c r="F31" i="39"/>
  <c r="D31" i="39"/>
  <c r="C31" i="39"/>
  <c r="B31" i="39"/>
  <c r="F30" i="39"/>
  <c r="D30" i="39"/>
  <c r="C30" i="39"/>
  <c r="B30" i="39"/>
  <c r="F29" i="39"/>
  <c r="C29" i="39"/>
  <c r="B29" i="39"/>
  <c r="D29" i="39" s="1"/>
  <c r="F28" i="39"/>
  <c r="C28" i="39"/>
  <c r="D28" i="39" s="1"/>
  <c r="B28" i="39"/>
  <c r="F27" i="39"/>
  <c r="C27" i="39"/>
  <c r="B27" i="39"/>
  <c r="D27" i="39" s="1"/>
  <c r="F26" i="39"/>
  <c r="C26" i="39"/>
  <c r="B26" i="39"/>
  <c r="D26" i="39" s="1"/>
  <c r="F25" i="39"/>
  <c r="C25" i="39"/>
  <c r="D25" i="39" s="1"/>
  <c r="B25" i="39"/>
  <c r="F24" i="39"/>
  <c r="C24" i="39"/>
  <c r="B24" i="39"/>
  <c r="D24" i="39" s="1"/>
  <c r="F23" i="39"/>
  <c r="C23" i="39"/>
  <c r="D23" i="39" s="1"/>
  <c r="B23" i="39"/>
  <c r="F22" i="39"/>
  <c r="C22" i="39"/>
  <c r="D22" i="39" s="1"/>
  <c r="B22" i="39"/>
  <c r="F21" i="39"/>
  <c r="C21" i="39"/>
  <c r="B21" i="39"/>
  <c r="D21" i="39" s="1"/>
  <c r="F20" i="39"/>
  <c r="D20" i="39"/>
  <c r="C20" i="39"/>
  <c r="B20" i="39"/>
  <c r="F19" i="39"/>
  <c r="C19" i="39"/>
  <c r="B19" i="39"/>
  <c r="D19" i="39" s="1"/>
  <c r="F18" i="39"/>
  <c r="D18" i="39" s="1"/>
  <c r="C18" i="39"/>
  <c r="B18" i="39"/>
  <c r="F17" i="39"/>
  <c r="D17" i="39"/>
  <c r="C17" i="39"/>
  <c r="B17" i="39"/>
  <c r="F16" i="39"/>
  <c r="C16" i="39"/>
  <c r="B16" i="39"/>
  <c r="D16" i="39" s="1"/>
  <c r="F15" i="39"/>
  <c r="D15" i="39" s="1"/>
  <c r="C15" i="39"/>
  <c r="B15" i="39"/>
  <c r="F14" i="39"/>
  <c r="C14" i="39"/>
  <c r="B14" i="39"/>
  <c r="F13" i="39"/>
  <c r="C13" i="39"/>
  <c r="D13" i="39" s="1"/>
  <c r="B13" i="39"/>
  <c r="F12" i="39"/>
  <c r="C12" i="39"/>
  <c r="B12" i="39"/>
  <c r="F11" i="39"/>
  <c r="C11" i="39"/>
  <c r="B11" i="39"/>
  <c r="D11" i="39" s="1"/>
  <c r="F10" i="39"/>
  <c r="D10" i="39"/>
  <c r="C10" i="39"/>
  <c r="B10" i="39"/>
  <c r="F9" i="39"/>
  <c r="C9" i="39"/>
  <c r="B9" i="39"/>
  <c r="D9" i="39" s="1"/>
  <c r="F8" i="39"/>
  <c r="C8" i="39"/>
  <c r="B8" i="39"/>
  <c r="F7" i="39"/>
  <c r="D7" i="39" s="1"/>
  <c r="C7" i="39"/>
  <c r="B7" i="39"/>
  <c r="F6" i="39"/>
  <c r="D6" i="39"/>
  <c r="C6" i="39"/>
  <c r="B6" i="39"/>
  <c r="F5" i="39"/>
  <c r="C5" i="39"/>
  <c r="B5" i="39"/>
  <c r="D5" i="39" s="1"/>
  <c r="F4" i="39"/>
  <c r="C4" i="39"/>
  <c r="B4" i="39"/>
  <c r="F34" i="38"/>
  <c r="D34" i="38"/>
  <c r="C34" i="38"/>
  <c r="B34" i="38"/>
  <c r="F33" i="38"/>
  <c r="D33" i="38"/>
  <c r="C33" i="38"/>
  <c r="B33" i="38"/>
  <c r="F32" i="38"/>
  <c r="D32" i="38" s="1"/>
  <c r="C32" i="38"/>
  <c r="B32" i="38"/>
  <c r="F31" i="38"/>
  <c r="C31" i="38"/>
  <c r="B31" i="38"/>
  <c r="F30" i="38"/>
  <c r="C30" i="38"/>
  <c r="B30" i="38"/>
  <c r="D30" i="38" s="1"/>
  <c r="F29" i="38"/>
  <c r="D29" i="38"/>
  <c r="C29" i="38"/>
  <c r="B29" i="38"/>
  <c r="F28" i="38"/>
  <c r="C28" i="38"/>
  <c r="B28" i="38"/>
  <c r="F27" i="38"/>
  <c r="D27" i="38"/>
  <c r="C27" i="38"/>
  <c r="B27" i="38"/>
  <c r="F26" i="38"/>
  <c r="D26" i="38" s="1"/>
  <c r="C26" i="38"/>
  <c r="B26" i="38"/>
  <c r="F25" i="38"/>
  <c r="C25" i="38"/>
  <c r="B25" i="38"/>
  <c r="F24" i="38"/>
  <c r="C24" i="38"/>
  <c r="B24" i="38"/>
  <c r="D24" i="38" s="1"/>
  <c r="F23" i="38"/>
  <c r="D23" i="38"/>
  <c r="C23" i="38"/>
  <c r="B23" i="38"/>
  <c r="F22" i="38"/>
  <c r="D22" i="38"/>
  <c r="C22" i="38"/>
  <c r="B22" i="38"/>
  <c r="F21" i="38"/>
  <c r="C21" i="38"/>
  <c r="B21" i="38"/>
  <c r="F20" i="38"/>
  <c r="D20" i="38" s="1"/>
  <c r="C20" i="38"/>
  <c r="B20" i="38"/>
  <c r="F19" i="38"/>
  <c r="C19" i="38"/>
  <c r="B19" i="38"/>
  <c r="D19" i="38" s="1"/>
  <c r="F18" i="38"/>
  <c r="C18" i="38"/>
  <c r="B18" i="38"/>
  <c r="F17" i="38"/>
  <c r="D17" i="38"/>
  <c r="C17" i="38"/>
  <c r="B17" i="38"/>
  <c r="F16" i="38"/>
  <c r="C16" i="38"/>
  <c r="B16" i="38"/>
  <c r="D16" i="38" s="1"/>
  <c r="F15" i="38"/>
  <c r="C15" i="38"/>
  <c r="D15" i="38" s="1"/>
  <c r="B15" i="38"/>
  <c r="F14" i="38"/>
  <c r="C14" i="38"/>
  <c r="B14" i="38"/>
  <c r="D14" i="38" s="1"/>
  <c r="F13" i="38"/>
  <c r="D13" i="38"/>
  <c r="C13" i="38"/>
  <c r="B13" i="38"/>
  <c r="F12" i="38"/>
  <c r="C12" i="38"/>
  <c r="B12" i="38"/>
  <c r="D12" i="38" s="1"/>
  <c r="F11" i="38"/>
  <c r="C11" i="38"/>
  <c r="B11" i="38"/>
  <c r="F10" i="38"/>
  <c r="C10" i="38"/>
  <c r="D10" i="38" s="1"/>
  <c r="B10" i="38"/>
  <c r="F9" i="38"/>
  <c r="C9" i="38"/>
  <c r="B9" i="38"/>
  <c r="D9" i="38" s="1"/>
  <c r="F8" i="38"/>
  <c r="D8" i="38"/>
  <c r="C8" i="38"/>
  <c r="B8" i="38"/>
  <c r="F7" i="38"/>
  <c r="C7" i="38"/>
  <c r="B7" i="38"/>
  <c r="F6" i="38"/>
  <c r="C6" i="38"/>
  <c r="B6" i="38"/>
  <c r="D6" i="38" s="1"/>
  <c r="F5" i="38"/>
  <c r="C5" i="38"/>
  <c r="B5" i="38"/>
  <c r="D5" i="38" s="1"/>
  <c r="F4" i="38"/>
  <c r="D4" i="38"/>
  <c r="C4" i="38"/>
  <c r="B4" i="38"/>
  <c r="F33" i="37"/>
  <c r="C33" i="37"/>
  <c r="B33" i="37"/>
  <c r="D33" i="37" s="1"/>
  <c r="F32" i="37"/>
  <c r="C32" i="37"/>
  <c r="B32" i="37"/>
  <c r="F31" i="37"/>
  <c r="C31" i="37"/>
  <c r="B31" i="37"/>
  <c r="F30" i="37"/>
  <c r="D30" i="37"/>
  <c r="C30" i="37"/>
  <c r="B30" i="37"/>
  <c r="F29" i="37"/>
  <c r="D29" i="37"/>
  <c r="C29" i="37"/>
  <c r="B29" i="37"/>
  <c r="F28" i="37"/>
  <c r="D28" i="37"/>
  <c r="C28" i="37"/>
  <c r="B28" i="37"/>
  <c r="F27" i="37"/>
  <c r="C27" i="37"/>
  <c r="B27" i="37"/>
  <c r="D27" i="37" s="1"/>
  <c r="F26" i="37"/>
  <c r="D26" i="37"/>
  <c r="C26" i="37"/>
  <c r="B26" i="37"/>
  <c r="F25" i="37"/>
  <c r="C25" i="37"/>
  <c r="B25" i="37"/>
  <c r="F24" i="37"/>
  <c r="C24" i="37"/>
  <c r="B24" i="37"/>
  <c r="D24" i="37" s="1"/>
  <c r="F23" i="37"/>
  <c r="D23" i="37"/>
  <c r="C23" i="37"/>
  <c r="B23" i="37"/>
  <c r="F22" i="37"/>
  <c r="C22" i="37"/>
  <c r="D22" i="37" s="1"/>
  <c r="B22" i="37"/>
  <c r="F21" i="37"/>
  <c r="C21" i="37"/>
  <c r="B21" i="37"/>
  <c r="F20" i="37"/>
  <c r="C20" i="37"/>
  <c r="B20" i="37"/>
  <c r="F19" i="37"/>
  <c r="C19" i="37"/>
  <c r="B19" i="37"/>
  <c r="D19" i="37" s="1"/>
  <c r="F18" i="37"/>
  <c r="C18" i="37"/>
  <c r="D18" i="37" s="1"/>
  <c r="B18" i="37"/>
  <c r="F17" i="37"/>
  <c r="C17" i="37"/>
  <c r="B17" i="37"/>
  <c r="D17" i="37" s="1"/>
  <c r="F16" i="37"/>
  <c r="D16" i="37"/>
  <c r="C16" i="37"/>
  <c r="B16" i="37"/>
  <c r="F15" i="37"/>
  <c r="D15" i="37"/>
  <c r="C15" i="37"/>
  <c r="B15" i="37"/>
  <c r="F14" i="37"/>
  <c r="C14" i="37"/>
  <c r="B14" i="37"/>
  <c r="D14" i="37" s="1"/>
  <c r="F13" i="37"/>
  <c r="C13" i="37"/>
  <c r="B13" i="37"/>
  <c r="F12" i="37"/>
  <c r="C12" i="37"/>
  <c r="B12" i="37"/>
  <c r="D12" i="37" s="1"/>
  <c r="F11" i="37"/>
  <c r="C11" i="37"/>
  <c r="B11" i="37"/>
  <c r="D11" i="37" s="1"/>
  <c r="F10" i="37"/>
  <c r="C10" i="37"/>
  <c r="B10" i="37"/>
  <c r="F9" i="37"/>
  <c r="C9" i="37"/>
  <c r="B9" i="37"/>
  <c r="F8" i="37"/>
  <c r="C8" i="37"/>
  <c r="B8" i="37"/>
  <c r="F7" i="37"/>
  <c r="D7" i="37"/>
  <c r="C7" i="37"/>
  <c r="B7" i="37"/>
  <c r="F6" i="37"/>
  <c r="C6" i="37"/>
  <c r="D6" i="37" s="1"/>
  <c r="B6" i="37"/>
  <c r="F5" i="37"/>
  <c r="C5" i="37"/>
  <c r="B5" i="37"/>
  <c r="F4" i="37"/>
  <c r="C4" i="37"/>
  <c r="B4" i="37"/>
  <c r="F35" i="36"/>
  <c r="D35" i="36"/>
  <c r="C35" i="36"/>
  <c r="B35" i="36"/>
  <c r="F34" i="36"/>
  <c r="C34" i="36"/>
  <c r="B34" i="36"/>
  <c r="D34" i="36" s="1"/>
  <c r="F33" i="36"/>
  <c r="C33" i="36"/>
  <c r="D33" i="36" s="1"/>
  <c r="B33" i="36"/>
  <c r="F32" i="36"/>
  <c r="C32" i="36"/>
  <c r="B32" i="36"/>
  <c r="D32" i="36" s="1"/>
  <c r="F31" i="36"/>
  <c r="C31" i="36"/>
  <c r="B31" i="36"/>
  <c r="F30" i="36"/>
  <c r="C30" i="36"/>
  <c r="B30" i="36"/>
  <c r="D30" i="36" s="1"/>
  <c r="F29" i="36"/>
  <c r="D29" i="36"/>
  <c r="C29" i="36"/>
  <c r="B29" i="36"/>
  <c r="F28" i="36"/>
  <c r="C28" i="36"/>
  <c r="B28" i="36"/>
  <c r="D28" i="36" s="1"/>
  <c r="F27" i="36"/>
  <c r="C27" i="36"/>
  <c r="B27" i="36"/>
  <c r="D27" i="36" s="1"/>
  <c r="F26" i="36"/>
  <c r="C26" i="36"/>
  <c r="B26" i="36"/>
  <c r="D26" i="36" s="1"/>
  <c r="F25" i="36"/>
  <c r="D25" i="36" s="1"/>
  <c r="C25" i="36"/>
  <c r="B25" i="36"/>
  <c r="F24" i="36"/>
  <c r="C24" i="36"/>
  <c r="B24" i="36"/>
  <c r="F23" i="36"/>
  <c r="C23" i="36"/>
  <c r="D23" i="36" s="1"/>
  <c r="B23" i="36"/>
  <c r="F22" i="36"/>
  <c r="C22" i="36"/>
  <c r="B22" i="36"/>
  <c r="D22" i="36" s="1"/>
  <c r="F21" i="36"/>
  <c r="C21" i="36"/>
  <c r="D21" i="36" s="1"/>
  <c r="B21" i="36"/>
  <c r="F20" i="36"/>
  <c r="C20" i="36"/>
  <c r="B20" i="36"/>
  <c r="D20" i="36" s="1"/>
  <c r="F19" i="36"/>
  <c r="C19" i="36"/>
  <c r="D19" i="36" s="1"/>
  <c r="B19" i="36"/>
  <c r="F18" i="36"/>
  <c r="D18" i="36"/>
  <c r="C18" i="36"/>
  <c r="B18" i="36"/>
  <c r="F17" i="36"/>
  <c r="D17" i="36"/>
  <c r="C17" i="36"/>
  <c r="B17" i="36"/>
  <c r="F16" i="36"/>
  <c r="C16" i="36"/>
  <c r="B16" i="36"/>
  <c r="D16" i="36" s="1"/>
  <c r="F15" i="36"/>
  <c r="D15" i="36"/>
  <c r="C15" i="36"/>
  <c r="B15" i="36"/>
  <c r="F14" i="36"/>
  <c r="C14" i="36"/>
  <c r="B14" i="36"/>
  <c r="F13" i="36"/>
  <c r="D13" i="36" s="1"/>
  <c r="C13" i="36"/>
  <c r="B13" i="36"/>
  <c r="F12" i="36"/>
  <c r="C12" i="36"/>
  <c r="B12" i="36"/>
  <c r="D12" i="36" s="1"/>
  <c r="F11" i="36"/>
  <c r="D11" i="36"/>
  <c r="C11" i="36"/>
  <c r="B11" i="36"/>
  <c r="F10" i="36"/>
  <c r="C10" i="36"/>
  <c r="B10" i="36"/>
  <c r="F9" i="36"/>
  <c r="C9" i="36"/>
  <c r="B9" i="36"/>
  <c r="D9" i="36" s="1"/>
  <c r="F8" i="36"/>
  <c r="C8" i="36"/>
  <c r="B8" i="36"/>
  <c r="D8" i="36" s="1"/>
  <c r="F7" i="36"/>
  <c r="C7" i="36"/>
  <c r="D7" i="36" s="1"/>
  <c r="B7" i="36"/>
  <c r="F6" i="36"/>
  <c r="C6" i="36"/>
  <c r="B6" i="36"/>
  <c r="D6" i="36" s="1"/>
  <c r="F5" i="36"/>
  <c r="C5" i="36"/>
  <c r="D5" i="36" s="1"/>
  <c r="B5" i="36"/>
  <c r="F4" i="36"/>
  <c r="C4" i="36"/>
  <c r="B4" i="36"/>
  <c r="F34" i="35"/>
  <c r="C34" i="35"/>
  <c r="B34" i="35"/>
  <c r="F33" i="35"/>
  <c r="D33" i="35"/>
  <c r="C33" i="35"/>
  <c r="B33" i="35"/>
  <c r="F32" i="35"/>
  <c r="C32" i="35"/>
  <c r="B32" i="35"/>
  <c r="D32" i="35" s="1"/>
  <c r="F31" i="35"/>
  <c r="D31" i="35"/>
  <c r="C31" i="35"/>
  <c r="B31" i="35"/>
  <c r="F30" i="35"/>
  <c r="D30" i="35"/>
  <c r="C30" i="35"/>
  <c r="B30" i="35"/>
  <c r="F29" i="35"/>
  <c r="C29" i="35"/>
  <c r="B29" i="35"/>
  <c r="D29" i="35" s="1"/>
  <c r="F28" i="35"/>
  <c r="C28" i="35"/>
  <c r="B28" i="35"/>
  <c r="F27" i="35"/>
  <c r="C27" i="35"/>
  <c r="B27" i="35"/>
  <c r="D27" i="35" s="1"/>
  <c r="F26" i="35"/>
  <c r="C26" i="35"/>
  <c r="B26" i="35"/>
  <c r="D26" i="35" s="1"/>
  <c r="F25" i="35"/>
  <c r="D25" i="35" s="1"/>
  <c r="C25" i="35"/>
  <c r="B25" i="35"/>
  <c r="F24" i="35"/>
  <c r="D24" i="35"/>
  <c r="C24" i="35"/>
  <c r="B24" i="35"/>
  <c r="F23" i="35"/>
  <c r="D23" i="35"/>
  <c r="C23" i="35"/>
  <c r="B23" i="35"/>
  <c r="F22" i="35"/>
  <c r="C22" i="35"/>
  <c r="B22" i="35"/>
  <c r="D22" i="35" s="1"/>
  <c r="F21" i="35"/>
  <c r="D21" i="35" s="1"/>
  <c r="C21" i="35"/>
  <c r="B21" i="35"/>
  <c r="F20" i="35"/>
  <c r="C20" i="35"/>
  <c r="B20" i="35"/>
  <c r="D20" i="35" s="1"/>
  <c r="F19" i="35"/>
  <c r="D19" i="35"/>
  <c r="C19" i="35"/>
  <c r="B19" i="35"/>
  <c r="F18" i="35"/>
  <c r="C18" i="35"/>
  <c r="B18" i="35"/>
  <c r="F17" i="35"/>
  <c r="C17" i="35"/>
  <c r="B17" i="35"/>
  <c r="F16" i="35"/>
  <c r="C16" i="35"/>
  <c r="B16" i="35"/>
  <c r="D16" i="35" s="1"/>
  <c r="F15" i="35"/>
  <c r="C15" i="35"/>
  <c r="B15" i="35"/>
  <c r="D15" i="35" s="1"/>
  <c r="F14" i="35"/>
  <c r="D14" i="35" s="1"/>
  <c r="C14" i="35"/>
  <c r="B14" i="35"/>
  <c r="F13" i="35"/>
  <c r="D13" i="35"/>
  <c r="C13" i="35"/>
  <c r="B13" i="35"/>
  <c r="F12" i="35"/>
  <c r="D12" i="35"/>
  <c r="C12" i="35"/>
  <c r="B12" i="35"/>
  <c r="F11" i="35"/>
  <c r="C11" i="35"/>
  <c r="B11" i="35"/>
  <c r="D11" i="35" s="1"/>
  <c r="F10" i="35"/>
  <c r="D10" i="35"/>
  <c r="C10" i="35"/>
  <c r="B10" i="35"/>
  <c r="F9" i="35"/>
  <c r="D9" i="35"/>
  <c r="C9" i="35"/>
  <c r="B9" i="35"/>
  <c r="F8" i="35"/>
  <c r="D8" i="35"/>
  <c r="C8" i="35"/>
  <c r="B8" i="35"/>
  <c r="F7" i="35"/>
  <c r="C7" i="35"/>
  <c r="B7" i="35"/>
  <c r="F6" i="35"/>
  <c r="C6" i="35"/>
  <c r="B6" i="35"/>
  <c r="D6" i="35" s="1"/>
  <c r="F5" i="35"/>
  <c r="C5" i="35"/>
  <c r="B5" i="35"/>
  <c r="F4" i="35"/>
  <c r="C4" i="35"/>
  <c r="B4" i="35"/>
  <c r="F34" i="34"/>
  <c r="C34" i="34"/>
  <c r="B34" i="34"/>
  <c r="F33" i="34"/>
  <c r="D33" i="34"/>
  <c r="C33" i="34"/>
  <c r="B33" i="34"/>
  <c r="F32" i="34"/>
  <c r="D32" i="34"/>
  <c r="C32" i="34"/>
  <c r="B32" i="34"/>
  <c r="F31" i="34"/>
  <c r="D31" i="34"/>
  <c r="C31" i="34"/>
  <c r="B31" i="34"/>
  <c r="F30" i="34"/>
  <c r="C30" i="34"/>
  <c r="B30" i="34"/>
  <c r="D30" i="34" s="1"/>
  <c r="F29" i="34"/>
  <c r="C29" i="34"/>
  <c r="B29" i="34"/>
  <c r="D29" i="34" s="1"/>
  <c r="F28" i="34"/>
  <c r="C28" i="34"/>
  <c r="B28" i="34"/>
  <c r="D28" i="34" s="1"/>
  <c r="F27" i="34"/>
  <c r="C27" i="34"/>
  <c r="B27" i="34"/>
  <c r="F26" i="34"/>
  <c r="D26" i="34"/>
  <c r="C26" i="34"/>
  <c r="B26" i="34"/>
  <c r="F25" i="34"/>
  <c r="C25" i="34"/>
  <c r="B25" i="34"/>
  <c r="F24" i="34"/>
  <c r="C24" i="34"/>
  <c r="B24" i="34"/>
  <c r="D24" i="34" s="1"/>
  <c r="F23" i="34"/>
  <c r="D23" i="34" s="1"/>
  <c r="C23" i="34"/>
  <c r="B23" i="34"/>
  <c r="F22" i="34"/>
  <c r="C22" i="34"/>
  <c r="B22" i="34"/>
  <c r="D22" i="34" s="1"/>
  <c r="F21" i="34"/>
  <c r="C21" i="34"/>
  <c r="D21" i="34" s="1"/>
  <c r="B21" i="34"/>
  <c r="F20" i="34"/>
  <c r="C20" i="34"/>
  <c r="B20" i="34"/>
  <c r="D20" i="34" s="1"/>
  <c r="F19" i="34"/>
  <c r="C19" i="34"/>
  <c r="B19" i="34"/>
  <c r="F18" i="34"/>
  <c r="C18" i="34"/>
  <c r="B18" i="34"/>
  <c r="D18" i="34" s="1"/>
  <c r="F17" i="34"/>
  <c r="C17" i="34"/>
  <c r="B17" i="34"/>
  <c r="F16" i="34"/>
  <c r="C16" i="34"/>
  <c r="D16" i="34" s="1"/>
  <c r="B16" i="34"/>
  <c r="F15" i="34"/>
  <c r="D15" i="34"/>
  <c r="C15" i="34"/>
  <c r="B15" i="34"/>
  <c r="F14" i="34"/>
  <c r="C14" i="34"/>
  <c r="D14" i="34" s="1"/>
  <c r="B14" i="34"/>
  <c r="F13" i="34"/>
  <c r="D13" i="34" s="1"/>
  <c r="C13" i="34"/>
  <c r="B13" i="34"/>
  <c r="F12" i="34"/>
  <c r="C12" i="34"/>
  <c r="B12" i="34"/>
  <c r="D12" i="34" s="1"/>
  <c r="F11" i="34"/>
  <c r="D11" i="34"/>
  <c r="C11" i="34"/>
  <c r="B11" i="34"/>
  <c r="F10" i="34"/>
  <c r="D10" i="34"/>
  <c r="C10" i="34"/>
  <c r="B10" i="34"/>
  <c r="F9" i="34"/>
  <c r="D9" i="34"/>
  <c r="C9" i="34"/>
  <c r="B9" i="34"/>
  <c r="F8" i="34"/>
  <c r="C8" i="34"/>
  <c r="B8" i="34"/>
  <c r="D8" i="34" s="1"/>
  <c r="F7" i="34"/>
  <c r="D7" i="34"/>
  <c r="C7" i="34"/>
  <c r="B7" i="34"/>
  <c r="F6" i="34"/>
  <c r="D6" i="34" s="1"/>
  <c r="C6" i="34"/>
  <c r="B6" i="34"/>
  <c r="F5" i="34"/>
  <c r="D5" i="34"/>
  <c r="C5" i="34"/>
  <c r="B5" i="34"/>
  <c r="F4" i="34"/>
  <c r="C4" i="34"/>
  <c r="B4" i="34"/>
  <c r="F33" i="33"/>
  <c r="D33" i="33" s="1"/>
  <c r="C33" i="33"/>
  <c r="B33" i="33"/>
  <c r="F32" i="33"/>
  <c r="C32" i="33"/>
  <c r="B32" i="33"/>
  <c r="D32" i="33" s="1"/>
  <c r="F31" i="33"/>
  <c r="C31" i="33"/>
  <c r="B31" i="33"/>
  <c r="F30" i="33"/>
  <c r="C30" i="33"/>
  <c r="B30" i="33"/>
  <c r="D30" i="33" s="1"/>
  <c r="F29" i="33"/>
  <c r="C29" i="33"/>
  <c r="B29" i="33"/>
  <c r="D29" i="33" s="1"/>
  <c r="F28" i="33"/>
  <c r="D28" i="33" s="1"/>
  <c r="C28" i="33"/>
  <c r="B28" i="33"/>
  <c r="F27" i="33"/>
  <c r="C27" i="33"/>
  <c r="B27" i="33"/>
  <c r="F26" i="33"/>
  <c r="D26" i="33"/>
  <c r="C26" i="33"/>
  <c r="B26" i="33"/>
  <c r="F25" i="33"/>
  <c r="C25" i="33"/>
  <c r="B25" i="33"/>
  <c r="D25" i="33" s="1"/>
  <c r="F24" i="33"/>
  <c r="D24" i="33" s="1"/>
  <c r="C24" i="33"/>
  <c r="B24" i="33"/>
  <c r="F23" i="33"/>
  <c r="C23" i="33"/>
  <c r="B23" i="33"/>
  <c r="D23" i="33" s="1"/>
  <c r="F22" i="33"/>
  <c r="D22" i="33"/>
  <c r="C22" i="33"/>
  <c r="B22" i="33"/>
  <c r="F21" i="33"/>
  <c r="C21" i="33"/>
  <c r="B21" i="33"/>
  <c r="F20" i="33"/>
  <c r="C20" i="33"/>
  <c r="B20" i="33"/>
  <c r="F19" i="33"/>
  <c r="C19" i="33"/>
  <c r="B19" i="33"/>
  <c r="D19" i="33" s="1"/>
  <c r="F18" i="33"/>
  <c r="C18" i="33"/>
  <c r="B18" i="33"/>
  <c r="F17" i="33"/>
  <c r="D17" i="33"/>
  <c r="C17" i="33"/>
  <c r="B17" i="33"/>
  <c r="F16" i="33"/>
  <c r="C16" i="33"/>
  <c r="D16" i="33" s="1"/>
  <c r="B16" i="33"/>
  <c r="F15" i="33"/>
  <c r="D15" i="33"/>
  <c r="C15" i="33"/>
  <c r="B15" i="33"/>
  <c r="F14" i="33"/>
  <c r="D14" i="33"/>
  <c r="C14" i="33"/>
  <c r="B14" i="33"/>
  <c r="F13" i="33"/>
  <c r="C13" i="33"/>
  <c r="B13" i="33"/>
  <c r="D13" i="33" s="1"/>
  <c r="F12" i="33"/>
  <c r="C12" i="33"/>
  <c r="B12" i="33"/>
  <c r="D12" i="33" s="1"/>
  <c r="F11" i="33"/>
  <c r="D11" i="33"/>
  <c r="C11" i="33"/>
  <c r="B11" i="33"/>
  <c r="F10" i="33"/>
  <c r="D10" i="33" s="1"/>
  <c r="C10" i="33"/>
  <c r="B10" i="33"/>
  <c r="F9" i="33"/>
  <c r="C9" i="33"/>
  <c r="B9" i="33"/>
  <c r="F8" i="33"/>
  <c r="D8" i="33"/>
  <c r="C8" i="33"/>
  <c r="B8" i="33"/>
  <c r="F7" i="33"/>
  <c r="C7" i="33"/>
  <c r="D7" i="33" s="1"/>
  <c r="B7" i="33"/>
  <c r="F6" i="33"/>
  <c r="D6" i="33"/>
  <c r="C6" i="33"/>
  <c r="B6" i="33"/>
  <c r="F5" i="33"/>
  <c r="D5" i="33"/>
  <c r="C5" i="33"/>
  <c r="B5" i="33"/>
  <c r="F4" i="33"/>
  <c r="C4" i="33"/>
  <c r="B4" i="33"/>
  <c r="F35" i="32"/>
  <c r="D35" i="32"/>
  <c r="C35" i="32"/>
  <c r="B35" i="32"/>
  <c r="F34" i="32"/>
  <c r="C34" i="32"/>
  <c r="D34" i="32" s="1"/>
  <c r="B34" i="32"/>
  <c r="F33" i="32"/>
  <c r="C33" i="32"/>
  <c r="B33" i="32"/>
  <c r="D33" i="32" s="1"/>
  <c r="F32" i="32"/>
  <c r="C32" i="32"/>
  <c r="B32" i="32"/>
  <c r="F31" i="32"/>
  <c r="D31" i="32"/>
  <c r="C31" i="32"/>
  <c r="B31" i="32"/>
  <c r="F30" i="32"/>
  <c r="C30" i="32"/>
  <c r="D30" i="32" s="1"/>
  <c r="B30" i="32"/>
  <c r="F29" i="32"/>
  <c r="C29" i="32"/>
  <c r="D29" i="32" s="1"/>
  <c r="B29" i="32"/>
  <c r="F28" i="32"/>
  <c r="D28" i="32"/>
  <c r="C28" i="32"/>
  <c r="B28" i="32"/>
  <c r="F27" i="32"/>
  <c r="D27" i="32"/>
  <c r="C27" i="32"/>
  <c r="B27" i="32"/>
  <c r="F26" i="32"/>
  <c r="C26" i="32"/>
  <c r="D26" i="32" s="1"/>
  <c r="B26" i="32"/>
  <c r="F25" i="32"/>
  <c r="C25" i="32"/>
  <c r="B25" i="32"/>
  <c r="D25" i="32" s="1"/>
  <c r="F24" i="32"/>
  <c r="D24" i="32"/>
  <c r="C24" i="32"/>
  <c r="B24" i="32"/>
  <c r="F23" i="32"/>
  <c r="D23" i="32"/>
  <c r="C23" i="32"/>
  <c r="B23" i="32"/>
  <c r="F22" i="32"/>
  <c r="C22" i="32"/>
  <c r="B22" i="32"/>
  <c r="F21" i="32"/>
  <c r="D21" i="32" s="1"/>
  <c r="C21" i="32"/>
  <c r="B21" i="32"/>
  <c r="F20" i="32"/>
  <c r="D20" i="32"/>
  <c r="C20" i="32"/>
  <c r="B20" i="32"/>
  <c r="F19" i="32"/>
  <c r="D19" i="32"/>
  <c r="C19" i="32"/>
  <c r="B19" i="32"/>
  <c r="F18" i="32"/>
  <c r="C18" i="32"/>
  <c r="B18" i="32"/>
  <c r="D18" i="32" s="1"/>
  <c r="F17" i="32"/>
  <c r="C17" i="32"/>
  <c r="B17" i="32"/>
  <c r="D17" i="32" s="1"/>
  <c r="F16" i="32"/>
  <c r="D16" i="32"/>
  <c r="C16" i="32"/>
  <c r="B16" i="32"/>
  <c r="F15" i="32"/>
  <c r="C15" i="32"/>
  <c r="B15" i="32"/>
  <c r="D15" i="32" s="1"/>
  <c r="F14" i="32"/>
  <c r="C14" i="32"/>
  <c r="B14" i="32"/>
  <c r="F13" i="32"/>
  <c r="C13" i="32"/>
  <c r="B13" i="32"/>
  <c r="D13" i="32" s="1"/>
  <c r="F12" i="32"/>
  <c r="C12" i="32"/>
  <c r="B12" i="32"/>
  <c r="F11" i="32"/>
  <c r="D11" i="32"/>
  <c r="C11" i="32"/>
  <c r="B11" i="32"/>
  <c r="F10" i="32"/>
  <c r="D10" i="32"/>
  <c r="C10" i="32"/>
  <c r="B10" i="32"/>
  <c r="F9" i="32"/>
  <c r="D9" i="32" s="1"/>
  <c r="C9" i="32"/>
  <c r="B9" i="32"/>
  <c r="F8" i="32"/>
  <c r="F37" i="32" s="1"/>
  <c r="C8" i="32"/>
  <c r="D8" i="32" s="1"/>
  <c r="B8" i="32"/>
  <c r="F7" i="32"/>
  <c r="D7" i="32" s="1"/>
  <c r="C7" i="32"/>
  <c r="B7" i="32"/>
  <c r="F6" i="32"/>
  <c r="C6" i="32"/>
  <c r="D6" i="32" s="1"/>
  <c r="B6" i="32"/>
  <c r="F5" i="32"/>
  <c r="C5" i="32"/>
  <c r="B5" i="32"/>
  <c r="D5" i="32" s="1"/>
  <c r="F4" i="32"/>
  <c r="D4" i="32"/>
  <c r="G4" i="32" s="1"/>
  <c r="G5" i="32" s="1"/>
  <c r="G6" i="32" s="1"/>
  <c r="G7" i="32" s="1"/>
  <c r="G8" i="32" s="1"/>
  <c r="G9" i="32" s="1"/>
  <c r="G10" i="32" s="1"/>
  <c r="G11" i="32" s="1"/>
  <c r="C4" i="32"/>
  <c r="B4" i="32"/>
  <c r="B37" i="32" s="1"/>
  <c r="F34" i="31"/>
  <c r="C34" i="31"/>
  <c r="B34" i="31"/>
  <c r="F33" i="31"/>
  <c r="C33" i="31"/>
  <c r="D33" i="31" s="1"/>
  <c r="B33" i="31"/>
  <c r="F32" i="31"/>
  <c r="C32" i="31"/>
  <c r="B32" i="31"/>
  <c r="D32" i="31" s="1"/>
  <c r="F31" i="31"/>
  <c r="C31" i="31"/>
  <c r="D31" i="31" s="1"/>
  <c r="B31" i="31"/>
  <c r="F30" i="31"/>
  <c r="C30" i="31"/>
  <c r="B30" i="31"/>
  <c r="F29" i="31"/>
  <c r="C29" i="31"/>
  <c r="D29" i="31" s="1"/>
  <c r="B29" i="31"/>
  <c r="F28" i="31"/>
  <c r="C28" i="31"/>
  <c r="B28" i="31"/>
  <c r="D28" i="31" s="1"/>
  <c r="F27" i="31"/>
  <c r="D27" i="31"/>
  <c r="C27" i="31"/>
  <c r="B27" i="31"/>
  <c r="F26" i="31"/>
  <c r="C26" i="31"/>
  <c r="B26" i="31"/>
  <c r="D26" i="31" s="1"/>
  <c r="F25" i="31"/>
  <c r="C25" i="31"/>
  <c r="B25" i="31"/>
  <c r="F24" i="31"/>
  <c r="C24" i="31"/>
  <c r="B24" i="31"/>
  <c r="F23" i="31"/>
  <c r="C23" i="31"/>
  <c r="B23" i="31"/>
  <c r="D23" i="31" s="1"/>
  <c r="F22" i="31"/>
  <c r="C22" i="31"/>
  <c r="B22" i="31"/>
  <c r="D22" i="31" s="1"/>
  <c r="F21" i="31"/>
  <c r="C21" i="31"/>
  <c r="D21" i="31" s="1"/>
  <c r="B21" i="31"/>
  <c r="F20" i="31"/>
  <c r="C20" i="31"/>
  <c r="B20" i="31"/>
  <c r="D20" i="31" s="1"/>
  <c r="F19" i="31"/>
  <c r="C19" i="31"/>
  <c r="B19" i="31"/>
  <c r="D19" i="31" s="1"/>
  <c r="F18" i="31"/>
  <c r="C18" i="31"/>
  <c r="B18" i="31"/>
  <c r="F17" i="31"/>
  <c r="C17" i="31"/>
  <c r="B17" i="31"/>
  <c r="D17" i="31" s="1"/>
  <c r="F16" i="31"/>
  <c r="C16" i="31"/>
  <c r="B16" i="31"/>
  <c r="F15" i="31"/>
  <c r="C15" i="31"/>
  <c r="B15" i="31"/>
  <c r="F14" i="31"/>
  <c r="C14" i="31"/>
  <c r="B14" i="31"/>
  <c r="F13" i="31"/>
  <c r="C13" i="31"/>
  <c r="B13" i="31"/>
  <c r="F12" i="31"/>
  <c r="C12" i="31"/>
  <c r="B12" i="31"/>
  <c r="D12" i="31" s="1"/>
  <c r="F11" i="31"/>
  <c r="C11" i="31"/>
  <c r="B11" i="31"/>
  <c r="F10" i="31"/>
  <c r="C10" i="31"/>
  <c r="D10" i="31" s="1"/>
  <c r="B10" i="31"/>
  <c r="F9" i="31"/>
  <c r="C9" i="31"/>
  <c r="B9" i="31"/>
  <c r="D9" i="31" s="1"/>
  <c r="F8" i="31"/>
  <c r="C8" i="31"/>
  <c r="D8" i="31" s="1"/>
  <c r="B8" i="31"/>
  <c r="F7" i="31"/>
  <c r="C7" i="31"/>
  <c r="B7" i="31"/>
  <c r="D7" i="31" s="1"/>
  <c r="F6" i="31"/>
  <c r="C6" i="31"/>
  <c r="D6" i="31" s="1"/>
  <c r="B6" i="31"/>
  <c r="F5" i="31"/>
  <c r="C5" i="31"/>
  <c r="B5" i="31"/>
  <c r="F4" i="31"/>
  <c r="C4" i="31"/>
  <c r="B4" i="31"/>
  <c r="F34" i="30"/>
  <c r="C34" i="30"/>
  <c r="D34" i="30" s="1"/>
  <c r="B34" i="30"/>
  <c r="F33" i="30"/>
  <c r="C33" i="30"/>
  <c r="B33" i="30"/>
  <c r="F32" i="30"/>
  <c r="C32" i="30"/>
  <c r="B32" i="30"/>
  <c r="F31" i="30"/>
  <c r="C31" i="30"/>
  <c r="B31" i="30"/>
  <c r="D31" i="30" s="1"/>
  <c r="F30" i="30"/>
  <c r="C30" i="30"/>
  <c r="D30" i="30" s="1"/>
  <c r="B30" i="30"/>
  <c r="F29" i="30"/>
  <c r="D29" i="30" s="1"/>
  <c r="C29" i="30"/>
  <c r="B29" i="30"/>
  <c r="F28" i="30"/>
  <c r="C28" i="30"/>
  <c r="D28" i="30" s="1"/>
  <c r="B28" i="30"/>
  <c r="F27" i="30"/>
  <c r="C27" i="30"/>
  <c r="D27" i="30" s="1"/>
  <c r="B27" i="30"/>
  <c r="F26" i="30"/>
  <c r="C26" i="30"/>
  <c r="D26" i="30" s="1"/>
  <c r="B26" i="30"/>
  <c r="F25" i="30"/>
  <c r="C25" i="30"/>
  <c r="B25" i="30"/>
  <c r="D25" i="30" s="1"/>
  <c r="F24" i="30"/>
  <c r="C24" i="30"/>
  <c r="D24" i="30" s="1"/>
  <c r="B24" i="30"/>
  <c r="F23" i="30"/>
  <c r="C23" i="30"/>
  <c r="B23" i="30"/>
  <c r="F22" i="30"/>
  <c r="C22" i="30"/>
  <c r="D22" i="30" s="1"/>
  <c r="B22" i="30"/>
  <c r="F21" i="30"/>
  <c r="C21" i="30"/>
  <c r="B21" i="30"/>
  <c r="F20" i="30"/>
  <c r="C20" i="30"/>
  <c r="D20" i="30" s="1"/>
  <c r="B20" i="30"/>
  <c r="F19" i="30"/>
  <c r="C19" i="30"/>
  <c r="B19" i="30"/>
  <c r="F18" i="30"/>
  <c r="C18" i="30"/>
  <c r="B18" i="30"/>
  <c r="D18" i="30" s="1"/>
  <c r="F17" i="30"/>
  <c r="C17" i="30"/>
  <c r="B17" i="30"/>
  <c r="F16" i="30"/>
  <c r="C16" i="30"/>
  <c r="D16" i="30" s="1"/>
  <c r="B16" i="30"/>
  <c r="F15" i="30"/>
  <c r="C15" i="30"/>
  <c r="D15" i="30" s="1"/>
  <c r="B15" i="30"/>
  <c r="F14" i="30"/>
  <c r="C14" i="30"/>
  <c r="D14" i="30" s="1"/>
  <c r="B14" i="30"/>
  <c r="F13" i="30"/>
  <c r="C13" i="30"/>
  <c r="D13" i="30" s="1"/>
  <c r="B13" i="30"/>
  <c r="F12" i="30"/>
  <c r="C12" i="30"/>
  <c r="B12" i="30"/>
  <c r="F11" i="30"/>
  <c r="C11" i="30"/>
  <c r="D11" i="30" s="1"/>
  <c r="B11" i="30"/>
  <c r="F10" i="30"/>
  <c r="C10" i="30"/>
  <c r="D10" i="30" s="1"/>
  <c r="B10" i="30"/>
  <c r="F9" i="30"/>
  <c r="C9" i="30"/>
  <c r="B9" i="30"/>
  <c r="D9" i="30" s="1"/>
  <c r="F8" i="30"/>
  <c r="D8" i="30" s="1"/>
  <c r="C8" i="30"/>
  <c r="B8" i="30"/>
  <c r="F7" i="30"/>
  <c r="F36" i="30" s="1"/>
  <c r="G12" i="3" s="1"/>
  <c r="C7" i="30"/>
  <c r="B7" i="30"/>
  <c r="B36" i="30" s="1"/>
  <c r="F6" i="30"/>
  <c r="D6" i="30"/>
  <c r="C6" i="30"/>
  <c r="B6" i="30"/>
  <c r="F5" i="30"/>
  <c r="C5" i="30"/>
  <c r="B5" i="30"/>
  <c r="F4" i="30"/>
  <c r="C4" i="30"/>
  <c r="D4" i="30" s="1"/>
  <c r="B4" i="30"/>
  <c r="F33" i="29"/>
  <c r="C33" i="29"/>
  <c r="B33" i="29"/>
  <c r="F32" i="29"/>
  <c r="C32" i="29"/>
  <c r="B32" i="29"/>
  <c r="F31" i="29"/>
  <c r="C31" i="29"/>
  <c r="B31" i="29"/>
  <c r="F30" i="29"/>
  <c r="C30" i="29"/>
  <c r="B30" i="29"/>
  <c r="F29" i="29"/>
  <c r="C29" i="29"/>
  <c r="D29" i="29" s="1"/>
  <c r="B29" i="29"/>
  <c r="F28" i="29"/>
  <c r="C28" i="29"/>
  <c r="B28" i="29"/>
  <c r="D28" i="29" s="1"/>
  <c r="F27" i="29"/>
  <c r="C27" i="29"/>
  <c r="B27" i="29"/>
  <c r="F26" i="29"/>
  <c r="C26" i="29"/>
  <c r="B26" i="29"/>
  <c r="F25" i="29"/>
  <c r="C25" i="29"/>
  <c r="B25" i="29"/>
  <c r="D25" i="29" s="1"/>
  <c r="F24" i="29"/>
  <c r="C24" i="29"/>
  <c r="D24" i="29" s="1"/>
  <c r="B24" i="29"/>
  <c r="F23" i="29"/>
  <c r="C23" i="29"/>
  <c r="D23" i="29" s="1"/>
  <c r="B23" i="29"/>
  <c r="F22" i="29"/>
  <c r="C22" i="29"/>
  <c r="B22" i="29"/>
  <c r="D22" i="29" s="1"/>
  <c r="F21" i="29"/>
  <c r="C21" i="29"/>
  <c r="B21" i="29"/>
  <c r="F20" i="29"/>
  <c r="C20" i="29"/>
  <c r="D20" i="29" s="1"/>
  <c r="B20" i="29"/>
  <c r="F19" i="29"/>
  <c r="C19" i="29"/>
  <c r="D19" i="29" s="1"/>
  <c r="B19" i="29"/>
  <c r="F18" i="29"/>
  <c r="C18" i="29"/>
  <c r="B18" i="29"/>
  <c r="D18" i="29" s="1"/>
  <c r="F17" i="29"/>
  <c r="C17" i="29"/>
  <c r="D17" i="29" s="1"/>
  <c r="B17" i="29"/>
  <c r="F16" i="29"/>
  <c r="F35" i="29" s="1"/>
  <c r="G11" i="3" s="1"/>
  <c r="C16" i="29"/>
  <c r="B16" i="29"/>
  <c r="F15" i="29"/>
  <c r="C15" i="29"/>
  <c r="D15" i="29" s="1"/>
  <c r="B15" i="29"/>
  <c r="F14" i="29"/>
  <c r="D14" i="29"/>
  <c r="C14" i="29"/>
  <c r="B14" i="29"/>
  <c r="F13" i="29"/>
  <c r="C13" i="29"/>
  <c r="B13" i="29"/>
  <c r="F12" i="29"/>
  <c r="C12" i="29"/>
  <c r="B12" i="29"/>
  <c r="F11" i="29"/>
  <c r="D11" i="29"/>
  <c r="C11" i="29"/>
  <c r="B11" i="29"/>
  <c r="F10" i="29"/>
  <c r="C10" i="29"/>
  <c r="D10" i="29" s="1"/>
  <c r="B10" i="29"/>
  <c r="F9" i="29"/>
  <c r="C9" i="29"/>
  <c r="D9" i="29" s="1"/>
  <c r="B9" i="29"/>
  <c r="F8" i="29"/>
  <c r="D8" i="29" s="1"/>
  <c r="C8" i="29"/>
  <c r="B8" i="29"/>
  <c r="F7" i="29"/>
  <c r="C7" i="29"/>
  <c r="D7" i="29" s="1"/>
  <c r="B7" i="29"/>
  <c r="F6" i="29"/>
  <c r="C6" i="29"/>
  <c r="B6" i="29"/>
  <c r="F5" i="29"/>
  <c r="C5" i="29"/>
  <c r="B5" i="29"/>
  <c r="F4" i="29"/>
  <c r="C4" i="29"/>
  <c r="B4" i="29"/>
  <c r="F35" i="28"/>
  <c r="C35" i="28"/>
  <c r="B35" i="28"/>
  <c r="D35" i="28" s="1"/>
  <c r="F34" i="28"/>
  <c r="C34" i="28"/>
  <c r="D34" i="28" s="1"/>
  <c r="B34" i="28"/>
  <c r="F33" i="28"/>
  <c r="C33" i="28"/>
  <c r="B33" i="28"/>
  <c r="F32" i="28"/>
  <c r="C32" i="28"/>
  <c r="D32" i="28" s="1"/>
  <c r="B32" i="28"/>
  <c r="F31" i="28"/>
  <c r="C31" i="28"/>
  <c r="B31" i="28"/>
  <c r="F30" i="28"/>
  <c r="C30" i="28"/>
  <c r="B30" i="28"/>
  <c r="D30" i="28" s="1"/>
  <c r="F29" i="28"/>
  <c r="C29" i="28"/>
  <c r="B29" i="28"/>
  <c r="D29" i="28" s="1"/>
  <c r="F28" i="28"/>
  <c r="C28" i="28"/>
  <c r="B28" i="28"/>
  <c r="F27" i="28"/>
  <c r="C27" i="28"/>
  <c r="B27" i="28"/>
  <c r="D27" i="28" s="1"/>
  <c r="F26" i="28"/>
  <c r="C26" i="28"/>
  <c r="D26" i="28" s="1"/>
  <c r="B26" i="28"/>
  <c r="F25" i="28"/>
  <c r="C25" i="28"/>
  <c r="B25" i="28"/>
  <c r="F24" i="28"/>
  <c r="C24" i="28"/>
  <c r="B24" i="28"/>
  <c r="F23" i="28"/>
  <c r="C23" i="28"/>
  <c r="B23" i="28"/>
  <c r="D23" i="28" s="1"/>
  <c r="F22" i="28"/>
  <c r="C22" i="28"/>
  <c r="D22" i="28" s="1"/>
  <c r="B22" i="28"/>
  <c r="F21" i="28"/>
  <c r="C21" i="28"/>
  <c r="D21" i="28" s="1"/>
  <c r="B21" i="28"/>
  <c r="F20" i="28"/>
  <c r="C20" i="28"/>
  <c r="D20" i="28" s="1"/>
  <c r="B20" i="28"/>
  <c r="F19" i="28"/>
  <c r="C19" i="28"/>
  <c r="B19" i="28"/>
  <c r="D19" i="28" s="1"/>
  <c r="F18" i="28"/>
  <c r="D18" i="28"/>
  <c r="C18" i="28"/>
  <c r="B18" i="28"/>
  <c r="F17" i="28"/>
  <c r="C17" i="28"/>
  <c r="D17" i="28" s="1"/>
  <c r="B17" i="28"/>
  <c r="F16" i="28"/>
  <c r="C16" i="28"/>
  <c r="D16" i="28" s="1"/>
  <c r="B16" i="28"/>
  <c r="F15" i="28"/>
  <c r="C15" i="28"/>
  <c r="B15" i="28"/>
  <c r="D15" i="28" s="1"/>
  <c r="F14" i="28"/>
  <c r="C14" i="28"/>
  <c r="D14" i="28" s="1"/>
  <c r="B14" i="28"/>
  <c r="F13" i="28"/>
  <c r="C13" i="28"/>
  <c r="B13" i="28"/>
  <c r="F12" i="28"/>
  <c r="C12" i="28"/>
  <c r="D12" i="28" s="1"/>
  <c r="B12" i="28"/>
  <c r="F11" i="28"/>
  <c r="C11" i="28"/>
  <c r="D11" i="28" s="1"/>
  <c r="B11" i="28"/>
  <c r="F10" i="28"/>
  <c r="C10" i="28"/>
  <c r="B10" i="28"/>
  <c r="F9" i="28"/>
  <c r="F37" i="28" s="1"/>
  <c r="C9" i="28"/>
  <c r="B9" i="28"/>
  <c r="F8" i="28"/>
  <c r="C8" i="28"/>
  <c r="D8" i="28" s="1"/>
  <c r="B8" i="28"/>
  <c r="F7" i="28"/>
  <c r="C7" i="28"/>
  <c r="B7" i="28"/>
  <c r="F6" i="28"/>
  <c r="C6" i="28"/>
  <c r="D6" i="28" s="1"/>
  <c r="B6" i="28"/>
  <c r="F5" i="28"/>
  <c r="C5" i="28"/>
  <c r="B5" i="28"/>
  <c r="D5" i="28" s="1"/>
  <c r="F4" i="28"/>
  <c r="C4" i="28"/>
  <c r="D4" i="28" s="1"/>
  <c r="G4" i="28" s="1"/>
  <c r="G5" i="28" s="1"/>
  <c r="B4" i="28"/>
  <c r="F34" i="27"/>
  <c r="D34" i="27"/>
  <c r="C34" i="27"/>
  <c r="B34" i="27"/>
  <c r="F33" i="27"/>
  <c r="C33" i="27"/>
  <c r="B33" i="27"/>
  <c r="F32" i="27"/>
  <c r="C32" i="27"/>
  <c r="B32" i="27"/>
  <c r="D32" i="27" s="1"/>
  <c r="F31" i="27"/>
  <c r="C31" i="27"/>
  <c r="B31" i="27"/>
  <c r="D31" i="27" s="1"/>
  <c r="F30" i="27"/>
  <c r="C30" i="27"/>
  <c r="B30" i="27"/>
  <c r="B36" i="27" s="1"/>
  <c r="F29" i="27"/>
  <c r="C29" i="27"/>
  <c r="D29" i="27" s="1"/>
  <c r="B29" i="27"/>
  <c r="F28" i="27"/>
  <c r="C28" i="27"/>
  <c r="D28" i="27" s="1"/>
  <c r="B28" i="27"/>
  <c r="F27" i="27"/>
  <c r="C27" i="27"/>
  <c r="B27" i="27"/>
  <c r="F26" i="27"/>
  <c r="C26" i="27"/>
  <c r="B26" i="27"/>
  <c r="D26" i="27" s="1"/>
  <c r="F25" i="27"/>
  <c r="C25" i="27"/>
  <c r="D25" i="27" s="1"/>
  <c r="B25" i="27"/>
  <c r="F24" i="27"/>
  <c r="C24" i="27"/>
  <c r="D24" i="27" s="1"/>
  <c r="B24" i="27"/>
  <c r="F23" i="27"/>
  <c r="C23" i="27"/>
  <c r="B23" i="27"/>
  <c r="F22" i="27"/>
  <c r="C22" i="27"/>
  <c r="B22" i="27"/>
  <c r="D22" i="27" s="1"/>
  <c r="F21" i="27"/>
  <c r="C21" i="27"/>
  <c r="B21" i="27"/>
  <c r="D21" i="27" s="1"/>
  <c r="F20" i="27"/>
  <c r="C20" i="27"/>
  <c r="B20" i="27"/>
  <c r="D20" i="27" s="1"/>
  <c r="F19" i="27"/>
  <c r="C19" i="27"/>
  <c r="B19" i="27"/>
  <c r="D19" i="27" s="1"/>
  <c r="F18" i="27"/>
  <c r="C18" i="27"/>
  <c r="D18" i="27" s="1"/>
  <c r="B18" i="27"/>
  <c r="F17" i="27"/>
  <c r="C17" i="27"/>
  <c r="B17" i="27"/>
  <c r="F16" i="27"/>
  <c r="C16" i="27"/>
  <c r="D16" i="27" s="1"/>
  <c r="B16" i="27"/>
  <c r="F15" i="27"/>
  <c r="C15" i="27"/>
  <c r="B15" i="27"/>
  <c r="D15" i="27" s="1"/>
  <c r="F14" i="27"/>
  <c r="C14" i="27"/>
  <c r="D14" i="27" s="1"/>
  <c r="B14" i="27"/>
  <c r="F13" i="27"/>
  <c r="C13" i="27"/>
  <c r="D13" i="27" s="1"/>
  <c r="B13" i="27"/>
  <c r="F12" i="27"/>
  <c r="C12" i="27"/>
  <c r="B12" i="27"/>
  <c r="F11" i="27"/>
  <c r="C11" i="27"/>
  <c r="B11" i="27"/>
  <c r="F10" i="27"/>
  <c r="C10" i="27"/>
  <c r="D10" i="27" s="1"/>
  <c r="B10" i="27"/>
  <c r="F9" i="27"/>
  <c r="C9" i="27"/>
  <c r="B9" i="27"/>
  <c r="F8" i="27"/>
  <c r="C8" i="27"/>
  <c r="D8" i="27" s="1"/>
  <c r="B8" i="27"/>
  <c r="F7" i="27"/>
  <c r="C7" i="27"/>
  <c r="B7" i="27"/>
  <c r="D7" i="27" s="1"/>
  <c r="F6" i="27"/>
  <c r="C6" i="27"/>
  <c r="B6" i="27"/>
  <c r="D6" i="27" s="1"/>
  <c r="F5" i="27"/>
  <c r="D5" i="27"/>
  <c r="C5" i="27"/>
  <c r="B5" i="27"/>
  <c r="F4" i="27"/>
  <c r="C4" i="27"/>
  <c r="C36" i="27" s="1"/>
  <c r="D7" i="3" s="1"/>
  <c r="B4" i="27"/>
  <c r="F34" i="26"/>
  <c r="C34" i="26"/>
  <c r="D34" i="26" s="1"/>
  <c r="B34" i="26"/>
  <c r="F33" i="26"/>
  <c r="C33" i="26"/>
  <c r="B33" i="26"/>
  <c r="F32" i="26"/>
  <c r="C32" i="26"/>
  <c r="D32" i="26" s="1"/>
  <c r="B32" i="26"/>
  <c r="F31" i="26"/>
  <c r="C31" i="26"/>
  <c r="D31" i="26" s="1"/>
  <c r="B31" i="26"/>
  <c r="F30" i="26"/>
  <c r="C30" i="26"/>
  <c r="D30" i="26" s="1"/>
  <c r="B30" i="26"/>
  <c r="F29" i="26"/>
  <c r="C29" i="26"/>
  <c r="B29" i="26"/>
  <c r="F28" i="26"/>
  <c r="D28" i="26"/>
  <c r="C28" i="26"/>
  <c r="B28" i="26"/>
  <c r="F27" i="26"/>
  <c r="C27" i="26"/>
  <c r="B27" i="26"/>
  <c r="F26" i="26"/>
  <c r="C26" i="26"/>
  <c r="D26" i="26" s="1"/>
  <c r="B26" i="26"/>
  <c r="F25" i="26"/>
  <c r="C25" i="26"/>
  <c r="D25" i="26" s="1"/>
  <c r="B25" i="26"/>
  <c r="F24" i="26"/>
  <c r="C24" i="26"/>
  <c r="D24" i="26" s="1"/>
  <c r="B24" i="26"/>
  <c r="F23" i="26"/>
  <c r="C23" i="26"/>
  <c r="B23" i="26"/>
  <c r="D23" i="26" s="1"/>
  <c r="F22" i="26"/>
  <c r="D22" i="26"/>
  <c r="C22" i="26"/>
  <c r="B22" i="26"/>
  <c r="F21" i="26"/>
  <c r="C21" i="26"/>
  <c r="D21" i="26" s="1"/>
  <c r="B21" i="26"/>
  <c r="F20" i="26"/>
  <c r="C20" i="26"/>
  <c r="D20" i="26" s="1"/>
  <c r="B20" i="26"/>
  <c r="F19" i="26"/>
  <c r="C19" i="26"/>
  <c r="B19" i="26"/>
  <c r="D19" i="26" s="1"/>
  <c r="F18" i="26"/>
  <c r="C18" i="26"/>
  <c r="B18" i="26"/>
  <c r="F17" i="26"/>
  <c r="C17" i="26"/>
  <c r="B17" i="26"/>
  <c r="F16" i="26"/>
  <c r="C16" i="26"/>
  <c r="B16" i="26"/>
  <c r="D16" i="26" s="1"/>
  <c r="F15" i="26"/>
  <c r="C15" i="26"/>
  <c r="B15" i="26"/>
  <c r="D15" i="26" s="1"/>
  <c r="F14" i="26"/>
  <c r="C14" i="26"/>
  <c r="B14" i="26"/>
  <c r="F13" i="26"/>
  <c r="C13" i="26"/>
  <c r="B13" i="26"/>
  <c r="F12" i="26"/>
  <c r="C12" i="26"/>
  <c r="B12" i="26"/>
  <c r="D12" i="26" s="1"/>
  <c r="F11" i="26"/>
  <c r="D11" i="26"/>
  <c r="C11" i="26"/>
  <c r="B11" i="26"/>
  <c r="F10" i="26"/>
  <c r="C10" i="26"/>
  <c r="D10" i="26" s="1"/>
  <c r="B10" i="26"/>
  <c r="F9" i="26"/>
  <c r="C9" i="26"/>
  <c r="B9" i="26"/>
  <c r="D9" i="26" s="1"/>
  <c r="F8" i="26"/>
  <c r="C8" i="26"/>
  <c r="B8" i="26"/>
  <c r="D8" i="26" s="1"/>
  <c r="F7" i="26"/>
  <c r="C7" i="26"/>
  <c r="D7" i="26" s="1"/>
  <c r="B7" i="26"/>
  <c r="F6" i="26"/>
  <c r="C6" i="26"/>
  <c r="B6" i="26"/>
  <c r="D6" i="26" s="1"/>
  <c r="F5" i="26"/>
  <c r="F36" i="26" s="1"/>
  <c r="C5" i="26"/>
  <c r="D5" i="26" s="1"/>
  <c r="B5" i="26"/>
  <c r="B36" i="26" s="1"/>
  <c r="F4" i="26"/>
  <c r="C4" i="26"/>
  <c r="D4" i="26" s="1"/>
  <c r="B4" i="26"/>
  <c r="F33" i="25"/>
  <c r="C33" i="25"/>
  <c r="B33" i="25"/>
  <c r="F32" i="25"/>
  <c r="C32" i="25"/>
  <c r="D32" i="25" s="1"/>
  <c r="B32" i="25"/>
  <c r="F31" i="25"/>
  <c r="C31" i="25"/>
  <c r="D31" i="25" s="1"/>
  <c r="B31" i="25"/>
  <c r="F30" i="25"/>
  <c r="C30" i="25"/>
  <c r="B30" i="25"/>
  <c r="F29" i="25"/>
  <c r="C29" i="25"/>
  <c r="B29" i="25"/>
  <c r="D29" i="25" s="1"/>
  <c r="F28" i="25"/>
  <c r="C28" i="25"/>
  <c r="D28" i="25" s="1"/>
  <c r="B28" i="25"/>
  <c r="F27" i="25"/>
  <c r="C27" i="25"/>
  <c r="B27" i="25"/>
  <c r="D27" i="25" s="1"/>
  <c r="F26" i="25"/>
  <c r="C26" i="25"/>
  <c r="B26" i="25"/>
  <c r="F25" i="25"/>
  <c r="C25" i="25"/>
  <c r="D25" i="25" s="1"/>
  <c r="B25" i="25"/>
  <c r="F24" i="25"/>
  <c r="C24" i="25"/>
  <c r="B24" i="25"/>
  <c r="F23" i="25"/>
  <c r="C23" i="25"/>
  <c r="B23" i="25"/>
  <c r="D23" i="25" s="1"/>
  <c r="F22" i="25"/>
  <c r="C22" i="25"/>
  <c r="B22" i="25"/>
  <c r="D22" i="25" s="1"/>
  <c r="F21" i="25"/>
  <c r="C21" i="25"/>
  <c r="B21" i="25"/>
  <c r="F20" i="25"/>
  <c r="C20" i="25"/>
  <c r="B20" i="25"/>
  <c r="F19" i="25"/>
  <c r="C19" i="25"/>
  <c r="B19" i="25"/>
  <c r="D19" i="25" s="1"/>
  <c r="F18" i="25"/>
  <c r="C18" i="25"/>
  <c r="D18" i="25" s="1"/>
  <c r="B18" i="25"/>
  <c r="F17" i="25"/>
  <c r="C17" i="25"/>
  <c r="B17" i="25"/>
  <c r="D17" i="25" s="1"/>
  <c r="F16" i="25"/>
  <c r="C16" i="25"/>
  <c r="B16" i="25"/>
  <c r="F15" i="25"/>
  <c r="C15" i="25"/>
  <c r="D15" i="25" s="1"/>
  <c r="B15" i="25"/>
  <c r="F14" i="25"/>
  <c r="C14" i="25"/>
  <c r="B14" i="25"/>
  <c r="F13" i="25"/>
  <c r="C13" i="25"/>
  <c r="D13" i="25" s="1"/>
  <c r="B13" i="25"/>
  <c r="F12" i="25"/>
  <c r="C12" i="25"/>
  <c r="D12" i="25" s="1"/>
  <c r="B12" i="25"/>
  <c r="F11" i="25"/>
  <c r="C11" i="25"/>
  <c r="B11" i="25"/>
  <c r="F10" i="25"/>
  <c r="C10" i="25"/>
  <c r="B10" i="25"/>
  <c r="D10" i="25" s="1"/>
  <c r="F9" i="25"/>
  <c r="C9" i="25"/>
  <c r="D9" i="25" s="1"/>
  <c r="B9" i="25"/>
  <c r="F8" i="25"/>
  <c r="C8" i="25"/>
  <c r="B8" i="25"/>
  <c r="D8" i="25" s="1"/>
  <c r="F7" i="25"/>
  <c r="C7" i="25"/>
  <c r="B7" i="25"/>
  <c r="D7" i="25" s="1"/>
  <c r="F6" i="25"/>
  <c r="C6" i="25"/>
  <c r="D6" i="25" s="1"/>
  <c r="B6" i="25"/>
  <c r="F5" i="25"/>
  <c r="C5" i="25"/>
  <c r="B5" i="25"/>
  <c r="D5" i="25" s="1"/>
  <c r="F4" i="25"/>
  <c r="F35" i="25" s="1"/>
  <c r="C4" i="25"/>
  <c r="B4" i="25"/>
  <c r="F35" i="24"/>
  <c r="C35" i="24"/>
  <c r="B35" i="24"/>
  <c r="F34" i="24"/>
  <c r="C34" i="24"/>
  <c r="D34" i="24" s="1"/>
  <c r="B34" i="24"/>
  <c r="F33" i="24"/>
  <c r="C33" i="24"/>
  <c r="B33" i="24"/>
  <c r="D33" i="24" s="1"/>
  <c r="F32" i="24"/>
  <c r="C32" i="24"/>
  <c r="B32" i="24"/>
  <c r="D32" i="24" s="1"/>
  <c r="F31" i="24"/>
  <c r="C31" i="24"/>
  <c r="B31" i="24"/>
  <c r="D31" i="24" s="1"/>
  <c r="F30" i="24"/>
  <c r="C30" i="24"/>
  <c r="B30" i="24"/>
  <c r="D30" i="24" s="1"/>
  <c r="F29" i="24"/>
  <c r="D29" i="24"/>
  <c r="C29" i="24"/>
  <c r="B29" i="24"/>
  <c r="F28" i="24"/>
  <c r="C28" i="24"/>
  <c r="D28" i="24" s="1"/>
  <c r="B28" i="24"/>
  <c r="F27" i="24"/>
  <c r="C27" i="24"/>
  <c r="B27" i="24"/>
  <c r="F26" i="24"/>
  <c r="C26" i="24"/>
  <c r="D26" i="24" s="1"/>
  <c r="B26" i="24"/>
  <c r="F25" i="24"/>
  <c r="C25" i="24"/>
  <c r="B25" i="24"/>
  <c r="D25" i="24" s="1"/>
  <c r="F24" i="24"/>
  <c r="C24" i="24"/>
  <c r="D24" i="24" s="1"/>
  <c r="B24" i="24"/>
  <c r="F23" i="24"/>
  <c r="C23" i="24"/>
  <c r="B23" i="24"/>
  <c r="F22" i="24"/>
  <c r="C22" i="24"/>
  <c r="B22" i="24"/>
  <c r="F21" i="24"/>
  <c r="C21" i="24"/>
  <c r="B21" i="24"/>
  <c r="D21" i="24" s="1"/>
  <c r="F20" i="24"/>
  <c r="C20" i="24"/>
  <c r="B20" i="24"/>
  <c r="D20" i="24" s="1"/>
  <c r="F19" i="24"/>
  <c r="C19" i="24"/>
  <c r="B19" i="24"/>
  <c r="D19" i="24" s="1"/>
  <c r="F18" i="24"/>
  <c r="C18" i="24"/>
  <c r="B18" i="24"/>
  <c r="F17" i="24"/>
  <c r="C17" i="24"/>
  <c r="B17" i="24"/>
  <c r="F16" i="24"/>
  <c r="D16" i="24"/>
  <c r="C16" i="24"/>
  <c r="B16" i="24"/>
  <c r="F15" i="24"/>
  <c r="C15" i="24"/>
  <c r="B15" i="24"/>
  <c r="D15" i="24" s="1"/>
  <c r="F14" i="24"/>
  <c r="C14" i="24"/>
  <c r="D14" i="24" s="1"/>
  <c r="B14" i="24"/>
  <c r="F13" i="24"/>
  <c r="C13" i="24"/>
  <c r="B13" i="24"/>
  <c r="D13" i="24" s="1"/>
  <c r="F12" i="24"/>
  <c r="C12" i="24"/>
  <c r="B12" i="24"/>
  <c r="D12" i="24" s="1"/>
  <c r="F11" i="24"/>
  <c r="C11" i="24"/>
  <c r="D11" i="24" s="1"/>
  <c r="B11" i="24"/>
  <c r="F10" i="24"/>
  <c r="C10" i="24"/>
  <c r="B10" i="24"/>
  <c r="D10" i="24" s="1"/>
  <c r="F9" i="24"/>
  <c r="C9" i="24"/>
  <c r="D9" i="24" s="1"/>
  <c r="B9" i="24"/>
  <c r="F8" i="24"/>
  <c r="C8" i="24"/>
  <c r="D8" i="24" s="1"/>
  <c r="B8" i="24"/>
  <c r="F7" i="24"/>
  <c r="C7" i="24"/>
  <c r="B7" i="24"/>
  <c r="F6" i="24"/>
  <c r="C6" i="24"/>
  <c r="D6" i="24" s="1"/>
  <c r="B6" i="24"/>
  <c r="F5" i="24"/>
  <c r="C5" i="24"/>
  <c r="D5" i="24" s="1"/>
  <c r="B5" i="24"/>
  <c r="F4" i="24"/>
  <c r="C4" i="24"/>
  <c r="B4" i="24"/>
  <c r="C55" i="23"/>
  <c r="N108" i="22"/>
  <c r="M108" i="22"/>
  <c r="N107" i="22"/>
  <c r="M107" i="22"/>
  <c r="N106" i="22"/>
  <c r="M106" i="22"/>
  <c r="N104" i="22"/>
  <c r="M104" i="22"/>
  <c r="L104" i="22"/>
  <c r="K104" i="22"/>
  <c r="J104" i="22"/>
  <c r="I104" i="22"/>
  <c r="H104" i="22"/>
  <c r="G104" i="22"/>
  <c r="D105" i="21"/>
  <c r="C55" i="20"/>
  <c r="N108" i="19"/>
  <c r="M108" i="19"/>
  <c r="N107" i="19"/>
  <c r="M107" i="19"/>
  <c r="N106" i="19"/>
  <c r="M106" i="19"/>
  <c r="N104" i="19"/>
  <c r="M104" i="19"/>
  <c r="L104" i="19"/>
  <c r="K104" i="19"/>
  <c r="J104" i="19"/>
  <c r="I104" i="19"/>
  <c r="H104" i="19"/>
  <c r="G104" i="19"/>
  <c r="D105" i="18"/>
  <c r="C55" i="17"/>
  <c r="N108" i="16"/>
  <c r="M108" i="16"/>
  <c r="N107" i="16"/>
  <c r="M107" i="16"/>
  <c r="N106" i="16"/>
  <c r="M106" i="16"/>
  <c r="N104" i="16"/>
  <c r="M104" i="16"/>
  <c r="L104" i="16"/>
  <c r="K104" i="16"/>
  <c r="J104" i="16"/>
  <c r="I104" i="16"/>
  <c r="H104" i="16"/>
  <c r="G104" i="16"/>
  <c r="D105" i="15"/>
  <c r="C55" i="14"/>
  <c r="N108" i="13"/>
  <c r="M108" i="13"/>
  <c r="N107" i="13"/>
  <c r="M107" i="13"/>
  <c r="N106" i="13"/>
  <c r="M106" i="13"/>
  <c r="N104" i="13"/>
  <c r="M104" i="13"/>
  <c r="L104" i="13"/>
  <c r="K104" i="13"/>
  <c r="J104" i="13"/>
  <c r="I104" i="13"/>
  <c r="H104" i="13"/>
  <c r="G104" i="13"/>
  <c r="D105" i="12"/>
  <c r="C55" i="11"/>
  <c r="N107" i="10"/>
  <c r="M107" i="10"/>
  <c r="N106" i="10"/>
  <c r="M106" i="10"/>
  <c r="N105" i="10"/>
  <c r="M105" i="10"/>
  <c r="N103" i="10"/>
  <c r="M103" i="10"/>
  <c r="L103" i="10"/>
  <c r="K103" i="10"/>
  <c r="J103" i="10"/>
  <c r="I103" i="10"/>
  <c r="H103" i="10"/>
  <c r="G103" i="10"/>
  <c r="D105" i="9"/>
  <c r="C55" i="8"/>
  <c r="N108" i="7"/>
  <c r="M108" i="7"/>
  <c r="N107" i="7"/>
  <c r="M107" i="7"/>
  <c r="N106" i="7"/>
  <c r="M106" i="7"/>
  <c r="N104" i="7"/>
  <c r="M104" i="7"/>
  <c r="L104" i="7"/>
  <c r="K104" i="7"/>
  <c r="J104" i="7"/>
  <c r="I104" i="7"/>
  <c r="H104" i="7"/>
  <c r="G104" i="7"/>
  <c r="D105" i="6"/>
  <c r="D13" i="28" l="1"/>
  <c r="D25" i="31"/>
  <c r="D31" i="29"/>
  <c r="D13" i="29"/>
  <c r="J28" i="48"/>
  <c r="D10" i="28"/>
  <c r="D28" i="28"/>
  <c r="D14" i="31"/>
  <c r="D30" i="29"/>
  <c r="G6" i="28"/>
  <c r="D33" i="29"/>
  <c r="J16" i="48"/>
  <c r="L16" i="48"/>
  <c r="J22" i="50"/>
  <c r="D33" i="30"/>
  <c r="H22" i="50"/>
  <c r="D5" i="29"/>
  <c r="D17" i="30"/>
  <c r="D23" i="30"/>
  <c r="F17" i="48"/>
  <c r="L22" i="50"/>
  <c r="D18" i="31"/>
  <c r="J20" i="48"/>
  <c r="F22" i="50"/>
  <c r="F23" i="50" s="1"/>
  <c r="J29" i="48"/>
  <c r="J30" i="48" s="1"/>
  <c r="D19" i="30"/>
  <c r="D24" i="31"/>
  <c r="D30" i="31"/>
  <c r="L29" i="50"/>
  <c r="L30" i="50" s="1"/>
  <c r="L29" i="49"/>
  <c r="L30" i="49"/>
  <c r="D14" i="25"/>
  <c r="D26" i="25"/>
  <c r="D33" i="25"/>
  <c r="D11" i="25"/>
  <c r="D18" i="24"/>
  <c r="D4" i="27"/>
  <c r="H22" i="49"/>
  <c r="D35" i="24"/>
  <c r="D18" i="26"/>
  <c r="H30" i="49"/>
  <c r="D17" i="26"/>
  <c r="D17" i="27"/>
  <c r="J29" i="49"/>
  <c r="D16" i="25"/>
  <c r="H17" i="48"/>
  <c r="G5" i="3"/>
  <c r="C12" i="3"/>
  <c r="G10" i="3"/>
  <c r="G12" i="32"/>
  <c r="G13" i="32" s="1"/>
  <c r="G14" i="32" s="1"/>
  <c r="G15" i="32" s="1"/>
  <c r="G16" i="32" s="1"/>
  <c r="G17" i="32" s="1"/>
  <c r="G18" i="32" s="1"/>
  <c r="G19" i="32" s="1"/>
  <c r="G20" i="32" s="1"/>
  <c r="G21" i="32" s="1"/>
  <c r="G16" i="3"/>
  <c r="F16" i="2"/>
  <c r="D36" i="27"/>
  <c r="C7" i="3"/>
  <c r="D14" i="26"/>
  <c r="D5" i="31"/>
  <c r="B36" i="31"/>
  <c r="D18" i="35"/>
  <c r="F36" i="43"/>
  <c r="G31" i="3" s="1"/>
  <c r="G6" i="3"/>
  <c r="D18" i="43"/>
  <c r="D4" i="46"/>
  <c r="B36" i="46"/>
  <c r="B37" i="24"/>
  <c r="D33" i="28"/>
  <c r="D21" i="29"/>
  <c r="D16" i="31"/>
  <c r="F35" i="33"/>
  <c r="G17" i="3" s="1"/>
  <c r="D4" i="33"/>
  <c r="D4" i="25"/>
  <c r="C36" i="26"/>
  <c r="D36" i="26" s="1"/>
  <c r="D9" i="27"/>
  <c r="D21" i="33"/>
  <c r="C37" i="40"/>
  <c r="D30" i="27"/>
  <c r="D5" i="35"/>
  <c r="B36" i="35"/>
  <c r="D22" i="24"/>
  <c r="C35" i="25"/>
  <c r="D27" i="29"/>
  <c r="B35" i="41"/>
  <c r="F5" i="48"/>
  <c r="J15" i="48"/>
  <c r="J22" i="49"/>
  <c r="C6" i="3"/>
  <c r="E4" i="28"/>
  <c r="E5" i="28" s="1"/>
  <c r="E6" i="28" s="1"/>
  <c r="D7" i="30"/>
  <c r="C36" i="35"/>
  <c r="D19" i="3" s="1"/>
  <c r="D4" i="35"/>
  <c r="D8" i="37"/>
  <c r="F35" i="37"/>
  <c r="G23" i="3" s="1"/>
  <c r="G7" i="28"/>
  <c r="G8" i="28" s="1"/>
  <c r="D24" i="28"/>
  <c r="D21" i="25"/>
  <c r="F36" i="35"/>
  <c r="G19" i="3" s="1"/>
  <c r="C36" i="47"/>
  <c r="D37" i="3" s="1"/>
  <c r="D27" i="26"/>
  <c r="F36" i="27"/>
  <c r="D25" i="28"/>
  <c r="F36" i="42"/>
  <c r="G30" i="3" s="1"/>
  <c r="C16" i="3"/>
  <c r="B16" i="2"/>
  <c r="D4" i="24"/>
  <c r="C37" i="24"/>
  <c r="D4" i="29"/>
  <c r="B35" i="29"/>
  <c r="E4" i="32"/>
  <c r="E5" i="32" s="1"/>
  <c r="E6" i="32" s="1"/>
  <c r="E7" i="32" s="1"/>
  <c r="E8" i="32" s="1"/>
  <c r="E9" i="32" s="1"/>
  <c r="E10" i="32" s="1"/>
  <c r="E11" i="32" s="1"/>
  <c r="B36" i="34"/>
  <c r="D4" i="34"/>
  <c r="L12" i="50"/>
  <c r="L5" i="50"/>
  <c r="C35" i="37"/>
  <c r="D23" i="3" s="1"/>
  <c r="D12" i="27"/>
  <c r="C37" i="28"/>
  <c r="D31" i="28"/>
  <c r="C35" i="29"/>
  <c r="D11" i="3" s="1"/>
  <c r="D4" i="37"/>
  <c r="D25" i="38"/>
  <c r="D28" i="40"/>
  <c r="F35" i="45"/>
  <c r="G35" i="3" s="1"/>
  <c r="D6" i="47"/>
  <c r="B36" i="47"/>
  <c r="D33" i="27"/>
  <c r="D37" i="32"/>
  <c r="D23" i="27"/>
  <c r="D7" i="28"/>
  <c r="D15" i="31"/>
  <c r="C36" i="34"/>
  <c r="D18" i="3" s="1"/>
  <c r="D27" i="34"/>
  <c r="D7" i="35"/>
  <c r="D31" i="42"/>
  <c r="D13" i="26"/>
  <c r="D26" i="29"/>
  <c r="D11" i="27"/>
  <c r="D9" i="28"/>
  <c r="D18" i="38"/>
  <c r="C36" i="39"/>
  <c r="D25" i="3" s="1"/>
  <c r="D4" i="42"/>
  <c r="B36" i="42"/>
  <c r="D17" i="24"/>
  <c r="D11" i="31"/>
  <c r="C37" i="32"/>
  <c r="D12" i="32"/>
  <c r="D32" i="32"/>
  <c r="D20" i="33"/>
  <c r="D19" i="34"/>
  <c r="D34" i="35"/>
  <c r="C36" i="42"/>
  <c r="D30" i="3" s="1"/>
  <c r="B35" i="45"/>
  <c r="F37" i="40"/>
  <c r="F37" i="44"/>
  <c r="D7" i="24"/>
  <c r="D29" i="26"/>
  <c r="D33" i="26"/>
  <c r="D12" i="30"/>
  <c r="C36" i="31"/>
  <c r="D13" i="3" s="1"/>
  <c r="B35" i="33"/>
  <c r="C36" i="38"/>
  <c r="D24" i="3" s="1"/>
  <c r="D12" i="29"/>
  <c r="D16" i="29"/>
  <c r="D32" i="30"/>
  <c r="C35" i="33"/>
  <c r="D17" i="3" s="1"/>
  <c r="C37" i="36"/>
  <c r="D12" i="39"/>
  <c r="D19" i="40"/>
  <c r="D29" i="40"/>
  <c r="D26" i="41"/>
  <c r="D16" i="44"/>
  <c r="D30" i="25"/>
  <c r="D27" i="27"/>
  <c r="D13" i="37"/>
  <c r="D24" i="40"/>
  <c r="D21" i="41"/>
  <c r="D28" i="43"/>
  <c r="D16" i="46"/>
  <c r="L22" i="49"/>
  <c r="D32" i="29"/>
  <c r="D5" i="30"/>
  <c r="D13" i="31"/>
  <c r="D14" i="32"/>
  <c r="D25" i="34"/>
  <c r="D34" i="34"/>
  <c r="F37" i="36"/>
  <c r="D9" i="37"/>
  <c r="D8" i="39"/>
  <c r="D27" i="41"/>
  <c r="T23" i="49"/>
  <c r="F8" i="48"/>
  <c r="F12" i="49"/>
  <c r="F37" i="24"/>
  <c r="D21" i="30"/>
  <c r="F36" i="31"/>
  <c r="G13" i="3" s="1"/>
  <c r="B35" i="37"/>
  <c r="B36" i="38"/>
  <c r="D6" i="40"/>
  <c r="H8" i="48"/>
  <c r="H12" i="49"/>
  <c r="H23" i="49" s="1"/>
  <c r="D18" i="33"/>
  <c r="F36" i="34"/>
  <c r="G18" i="3" s="1"/>
  <c r="D10" i="36"/>
  <c r="D23" i="24"/>
  <c r="D20" i="25"/>
  <c r="D24" i="25"/>
  <c r="B37" i="28"/>
  <c r="D6" i="29"/>
  <c r="D31" i="33"/>
  <c r="D5" i="37"/>
  <c r="D10" i="37"/>
  <c r="D4" i="39"/>
  <c r="B36" i="39"/>
  <c r="D18" i="44"/>
  <c r="L12" i="49"/>
  <c r="L8" i="48"/>
  <c r="L12" i="48" s="1"/>
  <c r="L5" i="49"/>
  <c r="D27" i="24"/>
  <c r="D31" i="38"/>
  <c r="D14" i="42"/>
  <c r="F14" i="48"/>
  <c r="F22" i="49"/>
  <c r="D20" i="37"/>
  <c r="B37" i="40"/>
  <c r="B37" i="44"/>
  <c r="F36" i="39"/>
  <c r="G25" i="3" s="1"/>
  <c r="D29" i="47"/>
  <c r="X30" i="48"/>
  <c r="D22" i="42"/>
  <c r="D4" i="45"/>
  <c r="D9" i="45"/>
  <c r="D24" i="47"/>
  <c r="D20" i="44"/>
  <c r="D28" i="44"/>
  <c r="D23" i="46"/>
  <c r="P23" i="49"/>
  <c r="D29" i="41"/>
  <c r="D8" i="43"/>
  <c r="D23" i="45"/>
  <c r="D28" i="46"/>
  <c r="D19" i="47"/>
  <c r="J26" i="49"/>
  <c r="D34" i="31"/>
  <c r="D17" i="34"/>
  <c r="D13" i="41"/>
  <c r="D9" i="42"/>
  <c r="D10" i="43"/>
  <c r="D23" i="43"/>
  <c r="H26" i="48"/>
  <c r="C36" i="30"/>
  <c r="D12" i="3" s="1"/>
  <c r="D28" i="35"/>
  <c r="D31" i="36"/>
  <c r="D7" i="38"/>
  <c r="D11" i="38"/>
  <c r="D28" i="38"/>
  <c r="D31" i="41"/>
  <c r="D10" i="42"/>
  <c r="D15" i="42"/>
  <c r="D8" i="46"/>
  <c r="R23" i="48"/>
  <c r="F30" i="50"/>
  <c r="F31" i="50" s="1"/>
  <c r="H7" i="50" s="1"/>
  <c r="D17" i="35"/>
  <c r="D4" i="36"/>
  <c r="B37" i="36"/>
  <c r="D12" i="40"/>
  <c r="D11" i="42"/>
  <c r="D20" i="43"/>
  <c r="C37" i="44"/>
  <c r="D5" i="44"/>
  <c r="G5" i="44" s="1"/>
  <c r="G6" i="44" s="1"/>
  <c r="G7" i="44" s="1"/>
  <c r="G8" i="44" s="1"/>
  <c r="G9" i="44" s="1"/>
  <c r="G10" i="44" s="1"/>
  <c r="G11" i="44" s="1"/>
  <c r="G12" i="44" s="1"/>
  <c r="G13" i="44" s="1"/>
  <c r="G14" i="44" s="1"/>
  <c r="G15" i="44" s="1"/>
  <c r="G16" i="44" s="1"/>
  <c r="G17" i="44" s="1"/>
  <c r="G18" i="44" s="1"/>
  <c r="G19" i="44" s="1"/>
  <c r="G20" i="44" s="1"/>
  <c r="G21" i="44" s="1"/>
  <c r="G22" i="44" s="1"/>
  <c r="G23" i="44" s="1"/>
  <c r="G24" i="44" s="1"/>
  <c r="G25" i="44" s="1"/>
  <c r="G26" i="44" s="1"/>
  <c r="G27" i="44" s="1"/>
  <c r="G28" i="44" s="1"/>
  <c r="G29" i="44" s="1"/>
  <c r="G30" i="44" s="1"/>
  <c r="G31" i="44" s="1"/>
  <c r="G32" i="44" s="1"/>
  <c r="G33" i="44" s="1"/>
  <c r="G34" i="44" s="1"/>
  <c r="G35" i="44" s="1"/>
  <c r="C36" i="46"/>
  <c r="D36" i="3" s="1"/>
  <c r="D4" i="31"/>
  <c r="D27" i="33"/>
  <c r="D31" i="37"/>
  <c r="D6" i="42"/>
  <c r="D12" i="45"/>
  <c r="P30" i="48"/>
  <c r="H12" i="50"/>
  <c r="H10" i="48"/>
  <c r="B35" i="25"/>
  <c r="D8" i="40"/>
  <c r="L26" i="48"/>
  <c r="D9" i="33"/>
  <c r="D14" i="39"/>
  <c r="D22" i="46"/>
  <c r="D14" i="47"/>
  <c r="H14" i="48"/>
  <c r="D32" i="37"/>
  <c r="F36" i="38"/>
  <c r="G24" i="3" s="1"/>
  <c r="D21" i="38"/>
  <c r="D30" i="42"/>
  <c r="C35" i="45"/>
  <c r="D35" i="3" s="1"/>
  <c r="D22" i="45"/>
  <c r="J12" i="49"/>
  <c r="H30" i="50"/>
  <c r="D24" i="36"/>
  <c r="D7" i="45"/>
  <c r="D14" i="46"/>
  <c r="L14" i="48"/>
  <c r="L22" i="48" s="1"/>
  <c r="F5" i="50"/>
  <c r="F11" i="48"/>
  <c r="J30" i="50"/>
  <c r="D22" i="32"/>
  <c r="D25" i="40"/>
  <c r="C35" i="41"/>
  <c r="D29" i="3" s="1"/>
  <c r="D33" i="41"/>
  <c r="D30" i="43"/>
  <c r="D34" i="47"/>
  <c r="F15" i="48"/>
  <c r="D30" i="47"/>
  <c r="R30" i="48"/>
  <c r="F24" i="48"/>
  <c r="F26" i="48" s="1"/>
  <c r="D14" i="36"/>
  <c r="D21" i="37"/>
  <c r="D25" i="37"/>
  <c r="F35" i="41"/>
  <c r="G29" i="3" s="1"/>
  <c r="D12" i="42"/>
  <c r="T30" i="48"/>
  <c r="L29" i="48"/>
  <c r="F27" i="48"/>
  <c r="F29" i="48" s="1"/>
  <c r="J12" i="50"/>
  <c r="J23" i="50" s="1"/>
  <c r="L23" i="51"/>
  <c r="D11" i="41"/>
  <c r="D15" i="45"/>
  <c r="D34" i="46"/>
  <c r="D10" i="47"/>
  <c r="D22" i="47"/>
  <c r="J5" i="49"/>
  <c r="J5" i="48" s="1"/>
  <c r="F18" i="48"/>
  <c r="J19" i="48"/>
  <c r="P30" i="49"/>
  <c r="D34" i="40"/>
  <c r="D32" i="42"/>
  <c r="B36" i="43"/>
  <c r="D26" i="44"/>
  <c r="F36" i="46"/>
  <c r="G36" i="3" s="1"/>
  <c r="D12" i="46"/>
  <c r="T5" i="48"/>
  <c r="D4" i="40"/>
  <c r="C36" i="43"/>
  <c r="D31" i="3" s="1"/>
  <c r="D5" i="45"/>
  <c r="D24" i="46"/>
  <c r="D4" i="47"/>
  <c r="J8" i="48"/>
  <c r="AB23" i="48"/>
  <c r="H27" i="48"/>
  <c r="H29" i="48" s="1"/>
  <c r="J10" i="48"/>
  <c r="J5" i="50"/>
  <c r="R23" i="50"/>
  <c r="D13" i="45"/>
  <c r="D32" i="46"/>
  <c r="F36" i="47"/>
  <c r="G37" i="3" s="1"/>
  <c r="D20" i="47"/>
  <c r="D32" i="47"/>
  <c r="L15" i="48"/>
  <c r="X23" i="50"/>
  <c r="F26" i="49"/>
  <c r="F29" i="49"/>
  <c r="F12" i="51"/>
  <c r="F23" i="51" s="1"/>
  <c r="F31" i="51" s="1"/>
  <c r="H7" i="51" s="1"/>
  <c r="H12" i="51"/>
  <c r="H23" i="51" s="1"/>
  <c r="J12" i="51"/>
  <c r="J23" i="51" s="1"/>
  <c r="G9" i="28" l="1"/>
  <c r="G10" i="28" s="1"/>
  <c r="G11" i="28" s="1"/>
  <c r="G12" i="28" s="1"/>
  <c r="G13" i="28" s="1"/>
  <c r="G14" i="28" s="1"/>
  <c r="G15" i="28" s="1"/>
  <c r="G16" i="28" s="1"/>
  <c r="G17" i="28" s="1"/>
  <c r="G18" i="28" s="1"/>
  <c r="G19" i="28" s="1"/>
  <c r="G20" i="28" s="1"/>
  <c r="G21" i="28" s="1"/>
  <c r="G22" i="28" s="1"/>
  <c r="G23" i="28" s="1"/>
  <c r="E7" i="28"/>
  <c r="E8" i="28" s="1"/>
  <c r="E9" i="28" s="1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H23" i="50"/>
  <c r="H31" i="50"/>
  <c r="J7" i="50" s="1"/>
  <c r="J31" i="50" s="1"/>
  <c r="L7" i="50" s="1"/>
  <c r="L23" i="50"/>
  <c r="J22" i="48"/>
  <c r="J30" i="49"/>
  <c r="L23" i="48"/>
  <c r="L23" i="49"/>
  <c r="H22" i="48"/>
  <c r="J23" i="49"/>
  <c r="F30" i="48"/>
  <c r="F23" i="49"/>
  <c r="F31" i="49" s="1"/>
  <c r="H7" i="49" s="1"/>
  <c r="H31" i="49" s="1"/>
  <c r="J7" i="49" s="1"/>
  <c r="J31" i="49" s="1"/>
  <c r="L7" i="49" s="1"/>
  <c r="L31" i="49" s="1"/>
  <c r="N7" i="49" s="1"/>
  <c r="N31" i="49" s="1"/>
  <c r="P7" i="49" s="1"/>
  <c r="P31" i="49" s="1"/>
  <c r="R7" i="49" s="1"/>
  <c r="R31" i="49" s="1"/>
  <c r="T7" i="49" s="1"/>
  <c r="T31" i="49" s="1"/>
  <c r="V7" i="49" s="1"/>
  <c r="V31" i="49" s="1"/>
  <c r="X7" i="49" s="1"/>
  <c r="X31" i="49" s="1"/>
  <c r="Z7" i="49" s="1"/>
  <c r="Z31" i="49" s="1"/>
  <c r="AB7" i="49" s="1"/>
  <c r="AB31" i="49" s="1"/>
  <c r="E6" i="3"/>
  <c r="G4" i="45"/>
  <c r="G5" i="45" s="1"/>
  <c r="G6" i="45" s="1"/>
  <c r="G7" i="45" s="1"/>
  <c r="G8" i="45" s="1"/>
  <c r="G9" i="45" s="1"/>
  <c r="G10" i="45" s="1"/>
  <c r="G11" i="45" s="1"/>
  <c r="G12" i="45" s="1"/>
  <c r="G13" i="45" s="1"/>
  <c r="G14" i="45" s="1"/>
  <c r="G15" i="45" s="1"/>
  <c r="G16" i="45" s="1"/>
  <c r="G17" i="45" s="1"/>
  <c r="G18" i="45" s="1"/>
  <c r="G19" i="45" s="1"/>
  <c r="G20" i="45" s="1"/>
  <c r="G21" i="45" s="1"/>
  <c r="G22" i="45" s="1"/>
  <c r="G23" i="45" s="1"/>
  <c r="G24" i="45" s="1"/>
  <c r="G25" i="45" s="1"/>
  <c r="G26" i="45" s="1"/>
  <c r="G27" i="45" s="1"/>
  <c r="G28" i="45" s="1"/>
  <c r="G29" i="45" s="1"/>
  <c r="G30" i="45" s="1"/>
  <c r="G31" i="45" s="1"/>
  <c r="G32" i="45" s="1"/>
  <c r="G33" i="45" s="1"/>
  <c r="G37" i="44"/>
  <c r="H34" i="3" s="1"/>
  <c r="D36" i="43"/>
  <c r="E31" i="3" s="1"/>
  <c r="C31" i="3"/>
  <c r="G24" i="28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G35" i="28" s="1"/>
  <c r="F6" i="2"/>
  <c r="F14" i="2"/>
  <c r="G4" i="3"/>
  <c r="F30" i="49"/>
  <c r="H12" i="48"/>
  <c r="D35" i="37"/>
  <c r="E23" i="3" s="1"/>
  <c r="C23" i="3"/>
  <c r="F18" i="2"/>
  <c r="G28" i="3"/>
  <c r="G32" i="3" s="1"/>
  <c r="D36" i="31"/>
  <c r="E13" i="3" s="1"/>
  <c r="C13" i="3"/>
  <c r="G34" i="3"/>
  <c r="G38" i="3" s="1"/>
  <c r="F19" i="2"/>
  <c r="C19" i="2"/>
  <c r="D34" i="3"/>
  <c r="D38" i="3" s="1"/>
  <c r="L5" i="48"/>
  <c r="D36" i="38"/>
  <c r="E24" i="3" s="1"/>
  <c r="C24" i="3"/>
  <c r="C15" i="2"/>
  <c r="D10" i="3"/>
  <c r="D14" i="3" s="1"/>
  <c r="C18" i="2"/>
  <c r="D28" i="3"/>
  <c r="D32" i="3" s="1"/>
  <c r="C9" i="2"/>
  <c r="F12" i="48"/>
  <c r="F23" i="48" s="1"/>
  <c r="D36" i="34"/>
  <c r="E18" i="3" s="1"/>
  <c r="C18" i="3"/>
  <c r="B9" i="2"/>
  <c r="C35" i="3"/>
  <c r="D35" i="45"/>
  <c r="E35" i="3" s="1"/>
  <c r="H30" i="48"/>
  <c r="E12" i="32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B8" i="2"/>
  <c r="E7" i="3"/>
  <c r="E24" i="28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G20" i="3"/>
  <c r="C10" i="3"/>
  <c r="B15" i="2"/>
  <c r="D37" i="28"/>
  <c r="E16" i="3"/>
  <c r="D4" i="3"/>
  <c r="C6" i="2"/>
  <c r="C14" i="2"/>
  <c r="G22" i="32"/>
  <c r="G23" i="32" s="1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G35" i="32" s="1"/>
  <c r="J12" i="48"/>
  <c r="F17" i="2"/>
  <c r="G22" i="3"/>
  <c r="G26" i="3" s="1"/>
  <c r="C17" i="2"/>
  <c r="D22" i="3"/>
  <c r="D26" i="3" s="1"/>
  <c r="G4" i="24"/>
  <c r="G5" i="24" s="1"/>
  <c r="G6" i="24" s="1"/>
  <c r="G7" i="24" s="1"/>
  <c r="G8" i="24" s="1"/>
  <c r="G9" i="24" s="1"/>
  <c r="G10" i="24" s="1"/>
  <c r="G11" i="24" s="1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G27" i="24" s="1"/>
  <c r="G28" i="24" s="1"/>
  <c r="G29" i="24" s="1"/>
  <c r="G30" i="24" s="1"/>
  <c r="G31" i="24" s="1"/>
  <c r="G32" i="24" s="1"/>
  <c r="G33" i="24" s="1"/>
  <c r="G34" i="24" s="1"/>
  <c r="G35" i="24" s="1"/>
  <c r="E4" i="24"/>
  <c r="E5" i="24" s="1"/>
  <c r="E6" i="24" s="1"/>
  <c r="E7" i="24" s="1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F15" i="2"/>
  <c r="C11" i="3"/>
  <c r="D35" i="29"/>
  <c r="E11" i="3" s="1"/>
  <c r="D37" i="36"/>
  <c r="B17" i="2"/>
  <c r="C22" i="3"/>
  <c r="D37" i="44"/>
  <c r="B19" i="2"/>
  <c r="C34" i="3"/>
  <c r="D16" i="3"/>
  <c r="D20" i="3" s="1"/>
  <c r="C16" i="2"/>
  <c r="D36" i="47"/>
  <c r="E37" i="3" s="1"/>
  <c r="C37" i="3"/>
  <c r="G14" i="3"/>
  <c r="D6" i="3"/>
  <c r="C8" i="2"/>
  <c r="G4" i="36"/>
  <c r="G5" i="36" s="1"/>
  <c r="G6" i="36" s="1"/>
  <c r="G7" i="36" s="1"/>
  <c r="G8" i="36" s="1"/>
  <c r="G9" i="36" s="1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E4" i="36"/>
  <c r="E5" i="36" s="1"/>
  <c r="E6" i="36" s="1"/>
  <c r="E7" i="36" s="1"/>
  <c r="E8" i="36" s="1"/>
  <c r="E9" i="36" s="1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C28" i="3"/>
  <c r="C32" i="3" s="1"/>
  <c r="D37" i="40"/>
  <c r="B18" i="2"/>
  <c r="C29" i="3"/>
  <c r="D35" i="41"/>
  <c r="E29" i="3" s="1"/>
  <c r="C4" i="3"/>
  <c r="D37" i="24"/>
  <c r="B6" i="2"/>
  <c r="B14" i="2"/>
  <c r="B20" i="2" s="1"/>
  <c r="L30" i="48"/>
  <c r="E5" i="44"/>
  <c r="E6" i="44" s="1"/>
  <c r="E7" i="44" s="1"/>
  <c r="E8" i="44" s="1"/>
  <c r="E9" i="44" s="1"/>
  <c r="E10" i="44" s="1"/>
  <c r="E11" i="44" s="1"/>
  <c r="E12" i="44" s="1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D36" i="30"/>
  <c r="E12" i="3" s="1"/>
  <c r="D36" i="39"/>
  <c r="E25" i="3" s="1"/>
  <c r="C25" i="3"/>
  <c r="D36" i="42"/>
  <c r="E30" i="3" s="1"/>
  <c r="C30" i="3"/>
  <c r="C7" i="2"/>
  <c r="D5" i="3"/>
  <c r="D36" i="46"/>
  <c r="E36" i="3" s="1"/>
  <c r="C36" i="3"/>
  <c r="F7" i="2"/>
  <c r="H31" i="51"/>
  <c r="J7" i="51" s="1"/>
  <c r="J31" i="51" s="1"/>
  <c r="L7" i="51" s="1"/>
  <c r="L31" i="51" s="1"/>
  <c r="N7" i="51" s="1"/>
  <c r="N31" i="51" s="1"/>
  <c r="P7" i="51" s="1"/>
  <c r="P31" i="51" s="1"/>
  <c r="R7" i="51" s="1"/>
  <c r="R31" i="51" s="1"/>
  <c r="T7" i="51" s="1"/>
  <c r="T31" i="51" s="1"/>
  <c r="V7" i="51" s="1"/>
  <c r="V31" i="51" s="1"/>
  <c r="X7" i="51" s="1"/>
  <c r="X31" i="51" s="1"/>
  <c r="Z7" i="51" s="1"/>
  <c r="Z31" i="51" s="1"/>
  <c r="AB7" i="51" s="1"/>
  <c r="AB31" i="51" s="1"/>
  <c r="E4" i="40"/>
  <c r="E5" i="40" s="1"/>
  <c r="E6" i="40" s="1"/>
  <c r="E7" i="40" s="1"/>
  <c r="E8" i="40" s="1"/>
  <c r="E9" i="40" s="1"/>
  <c r="E10" i="40" s="1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G4" i="40"/>
  <c r="G5" i="40" s="1"/>
  <c r="G6" i="40" s="1"/>
  <c r="G7" i="40" s="1"/>
  <c r="G8" i="40" s="1"/>
  <c r="G9" i="40" s="1"/>
  <c r="G10" i="40" s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s="1"/>
  <c r="G29" i="40" s="1"/>
  <c r="G30" i="40" s="1"/>
  <c r="G31" i="40" s="1"/>
  <c r="G32" i="40" s="1"/>
  <c r="G33" i="40" s="1"/>
  <c r="G34" i="40" s="1"/>
  <c r="G35" i="40" s="1"/>
  <c r="D35" i="25"/>
  <c r="C5" i="3"/>
  <c r="B7" i="2"/>
  <c r="F22" i="48"/>
  <c r="G7" i="3"/>
  <c r="F9" i="2"/>
  <c r="D35" i="33"/>
  <c r="E17" i="3" s="1"/>
  <c r="C17" i="3"/>
  <c r="C20" i="3" s="1"/>
  <c r="D36" i="35"/>
  <c r="E19" i="3" s="1"/>
  <c r="C19" i="3"/>
  <c r="F8" i="2"/>
  <c r="L31" i="50" l="1"/>
  <c r="N7" i="50" s="1"/>
  <c r="N31" i="50" s="1"/>
  <c r="P7" i="50" s="1"/>
  <c r="P31" i="50" s="1"/>
  <c r="R7" i="50" s="1"/>
  <c r="R31" i="50" s="1"/>
  <c r="T7" i="50" s="1"/>
  <c r="T31" i="50" s="1"/>
  <c r="V7" i="50" s="1"/>
  <c r="V31" i="50" s="1"/>
  <c r="X7" i="50" s="1"/>
  <c r="X31" i="50" s="1"/>
  <c r="Z7" i="50" s="1"/>
  <c r="Z31" i="50" s="1"/>
  <c r="AB7" i="50" s="1"/>
  <c r="AB31" i="50" s="1"/>
  <c r="J23" i="48"/>
  <c r="H23" i="48"/>
  <c r="F31" i="48"/>
  <c r="H7" i="48" s="1"/>
  <c r="E28" i="3"/>
  <c r="E32" i="3" s="1"/>
  <c r="D18" i="2"/>
  <c r="E4" i="33"/>
  <c r="E5" i="33" s="1"/>
  <c r="E6" i="33" s="1"/>
  <c r="E7" i="33" s="1"/>
  <c r="E8" i="33" s="1"/>
  <c r="E9" i="33" s="1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7" i="32"/>
  <c r="F16" i="3" s="1"/>
  <c r="C20" i="2"/>
  <c r="H31" i="48"/>
  <c r="J7" i="48" s="1"/>
  <c r="J31" i="48" s="1"/>
  <c r="L7" i="48" s="1"/>
  <c r="L31" i="48" s="1"/>
  <c r="N7" i="48" s="1"/>
  <c r="N31" i="48" s="1"/>
  <c r="P7" i="48" s="1"/>
  <c r="P31" i="48" s="1"/>
  <c r="R7" i="48" s="1"/>
  <c r="R31" i="48" s="1"/>
  <c r="T7" i="48" s="1"/>
  <c r="T31" i="48" s="1"/>
  <c r="V7" i="48" s="1"/>
  <c r="V31" i="48" s="1"/>
  <c r="X7" i="48" s="1"/>
  <c r="X31" i="48" s="1"/>
  <c r="Z7" i="48" s="1"/>
  <c r="Z31" i="48" s="1"/>
  <c r="AB7" i="48" s="1"/>
  <c r="AB31" i="48" s="1"/>
  <c r="C38" i="3"/>
  <c r="E34" i="3"/>
  <c r="E38" i="3" s="1"/>
  <c r="D19" i="2"/>
  <c r="E10" i="3"/>
  <c r="E14" i="3" s="1"/>
  <c r="D15" i="2"/>
  <c r="G4" i="29"/>
  <c r="G5" i="29" s="1"/>
  <c r="G6" i="29" s="1"/>
  <c r="G7" i="29" s="1"/>
  <c r="G8" i="29" s="1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7" i="28"/>
  <c r="H10" i="3" s="1"/>
  <c r="D14" i="2"/>
  <c r="D6" i="2"/>
  <c r="E4" i="3"/>
  <c r="C26" i="3"/>
  <c r="C40" i="3"/>
  <c r="C8" i="3"/>
  <c r="C14" i="3"/>
  <c r="G37" i="24"/>
  <c r="G4" i="25"/>
  <c r="G5" i="25" s="1"/>
  <c r="G6" i="25" s="1"/>
  <c r="G7" i="25" s="1"/>
  <c r="G8" i="25" s="1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G20" i="25" s="1"/>
  <c r="G21" i="25" s="1"/>
  <c r="G22" i="25" s="1"/>
  <c r="G23" i="25" s="1"/>
  <c r="G24" i="25" s="1"/>
  <c r="G25" i="25" s="1"/>
  <c r="G26" i="25" s="1"/>
  <c r="G27" i="25" s="1"/>
  <c r="G28" i="25" s="1"/>
  <c r="G29" i="25" s="1"/>
  <c r="G30" i="25" s="1"/>
  <c r="G31" i="25" s="1"/>
  <c r="G32" i="25" s="1"/>
  <c r="G33" i="25" s="1"/>
  <c r="G37" i="32"/>
  <c r="H16" i="3" s="1"/>
  <c r="G4" i="33"/>
  <c r="G5" i="33" s="1"/>
  <c r="G6" i="33" s="1"/>
  <c r="G7" i="33" s="1"/>
  <c r="G8" i="33" s="1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D8" i="3"/>
  <c r="D40" i="3"/>
  <c r="E4" i="37"/>
  <c r="E5" i="37" s="1"/>
  <c r="E6" i="37" s="1"/>
  <c r="E7" i="37" s="1"/>
  <c r="E8" i="37" s="1"/>
  <c r="E9" i="37" s="1"/>
  <c r="E10" i="37" s="1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7" i="36"/>
  <c r="F22" i="3" s="1"/>
  <c r="E4" i="25"/>
  <c r="E5" i="25" s="1"/>
  <c r="E6" i="25" s="1"/>
  <c r="E7" i="25" s="1"/>
  <c r="E8" i="25" s="1"/>
  <c r="E9" i="25" s="1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7" i="24"/>
  <c r="E4" i="45"/>
  <c r="E5" i="45" s="1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7" i="44"/>
  <c r="F34" i="3" s="1"/>
  <c r="F20" i="2"/>
  <c r="F10" i="2"/>
  <c r="G4" i="41"/>
  <c r="G5" i="41" s="1"/>
  <c r="G6" i="41" s="1"/>
  <c r="G7" i="41" s="1"/>
  <c r="G8" i="41" s="1"/>
  <c r="G9" i="41" s="1"/>
  <c r="G10" i="41" s="1"/>
  <c r="G11" i="41" s="1"/>
  <c r="G12" i="41" s="1"/>
  <c r="G13" i="41" s="1"/>
  <c r="G14" i="41" s="1"/>
  <c r="G15" i="41" s="1"/>
  <c r="G16" i="41" s="1"/>
  <c r="G17" i="41" s="1"/>
  <c r="G18" i="41" s="1"/>
  <c r="G19" i="41" s="1"/>
  <c r="G20" i="41" s="1"/>
  <c r="G21" i="41" s="1"/>
  <c r="G22" i="41" s="1"/>
  <c r="G23" i="41" s="1"/>
  <c r="G24" i="41" s="1"/>
  <c r="G25" i="41" s="1"/>
  <c r="G26" i="41" s="1"/>
  <c r="G27" i="41" s="1"/>
  <c r="G28" i="41" s="1"/>
  <c r="G29" i="41" s="1"/>
  <c r="G30" i="41" s="1"/>
  <c r="G31" i="41" s="1"/>
  <c r="G32" i="41" s="1"/>
  <c r="G33" i="41" s="1"/>
  <c r="G37" i="40"/>
  <c r="H28" i="3" s="1"/>
  <c r="E4" i="29"/>
  <c r="E5" i="29" s="1"/>
  <c r="E6" i="29" s="1"/>
  <c r="E7" i="29" s="1"/>
  <c r="E8" i="29" s="1"/>
  <c r="E9" i="29" s="1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7" i="28"/>
  <c r="F10" i="3" s="1"/>
  <c r="G4" i="46"/>
  <c r="G5" i="46" s="1"/>
  <c r="G6" i="46" s="1"/>
  <c r="G7" i="46" s="1"/>
  <c r="G8" i="46" s="1"/>
  <c r="G9" i="46" s="1"/>
  <c r="G10" i="46" s="1"/>
  <c r="G11" i="46" s="1"/>
  <c r="G12" i="46" s="1"/>
  <c r="G13" i="46" s="1"/>
  <c r="G14" i="46" s="1"/>
  <c r="G15" i="46" s="1"/>
  <c r="G16" i="46" s="1"/>
  <c r="G17" i="46" s="1"/>
  <c r="G18" i="46" s="1"/>
  <c r="G19" i="46" s="1"/>
  <c r="G20" i="46" s="1"/>
  <c r="G21" i="46" s="1"/>
  <c r="G22" i="46" s="1"/>
  <c r="G23" i="46" s="1"/>
  <c r="G24" i="46" s="1"/>
  <c r="G25" i="46" s="1"/>
  <c r="G26" i="46" s="1"/>
  <c r="G27" i="46" s="1"/>
  <c r="G28" i="46" s="1"/>
  <c r="G29" i="46" s="1"/>
  <c r="G30" i="46" s="1"/>
  <c r="G31" i="46" s="1"/>
  <c r="G32" i="46" s="1"/>
  <c r="G33" i="46" s="1"/>
  <c r="G34" i="46" s="1"/>
  <c r="G35" i="45"/>
  <c r="H35" i="3" s="1"/>
  <c r="E37" i="40"/>
  <c r="F28" i="3" s="1"/>
  <c r="E4" i="41"/>
  <c r="E5" i="41" s="1"/>
  <c r="E6" i="41" s="1"/>
  <c r="E7" i="41" s="1"/>
  <c r="E8" i="41" s="1"/>
  <c r="E9" i="41" s="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D9" i="2"/>
  <c r="G37" i="36"/>
  <c r="H22" i="3" s="1"/>
  <c r="G4" i="37"/>
  <c r="G5" i="37" s="1"/>
  <c r="G6" i="37" s="1"/>
  <c r="G7" i="37" s="1"/>
  <c r="G8" i="37" s="1"/>
  <c r="G9" i="37" s="1"/>
  <c r="G10" i="37" s="1"/>
  <c r="G11" i="37" s="1"/>
  <c r="G12" i="37" s="1"/>
  <c r="G13" i="37" s="1"/>
  <c r="G14" i="37" s="1"/>
  <c r="G15" i="37" s="1"/>
  <c r="G16" i="37" s="1"/>
  <c r="G17" i="37" s="1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C10" i="2"/>
  <c r="G40" i="3"/>
  <c r="G8" i="3"/>
  <c r="E20" i="3"/>
  <c r="D16" i="2"/>
  <c r="B10" i="2"/>
  <c r="E5" i="3"/>
  <c r="D7" i="2"/>
  <c r="D17" i="2"/>
  <c r="E22" i="3"/>
  <c r="E26" i="3" s="1"/>
  <c r="D8" i="2"/>
  <c r="G4" i="47" l="1"/>
  <c r="G5" i="47" s="1"/>
  <c r="G6" i="47" s="1"/>
  <c r="G7" i="47" s="1"/>
  <c r="G8" i="47" s="1"/>
  <c r="G9" i="47" s="1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G27" i="47" s="1"/>
  <c r="G28" i="47" s="1"/>
  <c r="G29" i="47" s="1"/>
  <c r="G30" i="47" s="1"/>
  <c r="G31" i="47" s="1"/>
  <c r="G32" i="47" s="1"/>
  <c r="G33" i="47" s="1"/>
  <c r="G34" i="47" s="1"/>
  <c r="G36" i="47" s="1"/>
  <c r="G36" i="46"/>
  <c r="H36" i="3" s="1"/>
  <c r="G4" i="30"/>
  <c r="G5" i="30" s="1"/>
  <c r="G6" i="30" s="1"/>
  <c r="G7" i="30" s="1"/>
  <c r="G8" i="30" s="1"/>
  <c r="G9" i="30" s="1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G25" i="30" s="1"/>
  <c r="G26" i="30" s="1"/>
  <c r="G27" i="30" s="1"/>
  <c r="G28" i="30" s="1"/>
  <c r="G29" i="30" s="1"/>
  <c r="G30" i="30" s="1"/>
  <c r="G31" i="30" s="1"/>
  <c r="G32" i="30" s="1"/>
  <c r="G33" i="30" s="1"/>
  <c r="G34" i="30" s="1"/>
  <c r="G35" i="29"/>
  <c r="H11" i="3" s="1"/>
  <c r="E8" i="3"/>
  <c r="E40" i="3"/>
  <c r="E4" i="30"/>
  <c r="E5" i="30" s="1"/>
  <c r="E6" i="30" s="1"/>
  <c r="E7" i="30" s="1"/>
  <c r="E8" i="30" s="1"/>
  <c r="E9" i="30" s="1"/>
  <c r="E10" i="30" s="1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29"/>
  <c r="F11" i="3" s="1"/>
  <c r="G4" i="42"/>
  <c r="G5" i="42" s="1"/>
  <c r="G6" i="42" s="1"/>
  <c r="G7" i="42" s="1"/>
  <c r="G8" i="42" s="1"/>
  <c r="G9" i="42" s="1"/>
  <c r="G10" i="42" s="1"/>
  <c r="G11" i="42" s="1"/>
  <c r="G12" i="42" s="1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G25" i="42" s="1"/>
  <c r="G26" i="42" s="1"/>
  <c r="G27" i="42" s="1"/>
  <c r="G28" i="42" s="1"/>
  <c r="G29" i="42" s="1"/>
  <c r="G30" i="42" s="1"/>
  <c r="G31" i="42" s="1"/>
  <c r="G32" i="42" s="1"/>
  <c r="G33" i="42" s="1"/>
  <c r="G34" i="42" s="1"/>
  <c r="G35" i="41"/>
  <c r="H29" i="3" s="1"/>
  <c r="D20" i="2"/>
  <c r="E4" i="26"/>
  <c r="E5" i="26" s="1"/>
  <c r="E6" i="26" s="1"/>
  <c r="E7" i="26" s="1"/>
  <c r="E8" i="26" s="1"/>
  <c r="E9" i="26" s="1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5"/>
  <c r="G4" i="38"/>
  <c r="G5" i="38" s="1"/>
  <c r="G6" i="38" s="1"/>
  <c r="G7" i="38" s="1"/>
  <c r="G8" i="38" s="1"/>
  <c r="G9" i="38" s="1"/>
  <c r="G10" i="38" s="1"/>
  <c r="G11" i="38" s="1"/>
  <c r="G12" i="38" s="1"/>
  <c r="G13" i="38" s="1"/>
  <c r="G14" i="38" s="1"/>
  <c r="G15" i="38" s="1"/>
  <c r="G16" i="38" s="1"/>
  <c r="G17" i="38" s="1"/>
  <c r="G18" i="38" s="1"/>
  <c r="G19" i="38" s="1"/>
  <c r="G20" i="38" s="1"/>
  <c r="G21" i="38" s="1"/>
  <c r="G22" i="38" s="1"/>
  <c r="G23" i="38" s="1"/>
  <c r="G24" i="38" s="1"/>
  <c r="G25" i="38" s="1"/>
  <c r="G26" i="38" s="1"/>
  <c r="G27" i="38" s="1"/>
  <c r="G28" i="38" s="1"/>
  <c r="G29" i="38" s="1"/>
  <c r="G30" i="38" s="1"/>
  <c r="G31" i="38" s="1"/>
  <c r="G32" i="38" s="1"/>
  <c r="G33" i="38" s="1"/>
  <c r="G34" i="38" s="1"/>
  <c r="G35" i="37"/>
  <c r="H23" i="3" s="1"/>
  <c r="G35" i="33"/>
  <c r="H17" i="3" s="1"/>
  <c r="G4" i="34"/>
  <c r="G5" i="34" s="1"/>
  <c r="G6" i="34" s="1"/>
  <c r="G7" i="34" s="1"/>
  <c r="G8" i="34" s="1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E35" i="45"/>
  <c r="F35" i="3" s="1"/>
  <c r="E4" i="46"/>
  <c r="E5" i="46" s="1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6" i="2"/>
  <c r="F4" i="3"/>
  <c r="E4" i="38"/>
  <c r="E5" i="38" s="1"/>
  <c r="E6" i="38" s="1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7"/>
  <c r="F23" i="3" s="1"/>
  <c r="E35" i="33"/>
  <c r="F17" i="3" s="1"/>
  <c r="E4" i="34"/>
  <c r="E5" i="34" s="1"/>
  <c r="E6" i="34" s="1"/>
  <c r="E7" i="34" s="1"/>
  <c r="E8" i="34" s="1"/>
  <c r="E9" i="34" s="1"/>
  <c r="E10" i="34" s="1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D10" i="2"/>
  <c r="G4" i="26"/>
  <c r="G5" i="26" s="1"/>
  <c r="G6" i="26" s="1"/>
  <c r="G7" i="26" s="1"/>
  <c r="G8" i="26" s="1"/>
  <c r="G9" i="26" s="1"/>
  <c r="G10" i="26" s="1"/>
  <c r="G11" i="26" s="1"/>
  <c r="G12" i="26" s="1"/>
  <c r="G13" i="26" s="1"/>
  <c r="G14" i="26" s="1"/>
  <c r="G15" i="26" s="1"/>
  <c r="G16" i="26" s="1"/>
  <c r="G17" i="26" s="1"/>
  <c r="G18" i="26" s="1"/>
  <c r="G19" i="26" s="1"/>
  <c r="G20" i="26" s="1"/>
  <c r="G21" i="26" s="1"/>
  <c r="G22" i="26" s="1"/>
  <c r="G23" i="26" s="1"/>
  <c r="G24" i="26" s="1"/>
  <c r="G25" i="26" s="1"/>
  <c r="G26" i="26" s="1"/>
  <c r="G27" i="26" s="1"/>
  <c r="G28" i="26" s="1"/>
  <c r="G29" i="26" s="1"/>
  <c r="G30" i="26" s="1"/>
  <c r="G31" i="26" s="1"/>
  <c r="G32" i="26" s="1"/>
  <c r="G33" i="26" s="1"/>
  <c r="G34" i="26" s="1"/>
  <c r="G35" i="25"/>
  <c r="E35" i="41"/>
  <c r="F29" i="3" s="1"/>
  <c r="E4" i="42"/>
  <c r="E5" i="42" s="1"/>
  <c r="E6" i="42" s="1"/>
  <c r="E7" i="42" s="1"/>
  <c r="E8" i="42" s="1"/>
  <c r="E9" i="42" s="1"/>
  <c r="E10" i="42" s="1"/>
  <c r="E11" i="42" s="1"/>
  <c r="E12" i="42" s="1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G6" i="2"/>
  <c r="H4" i="3"/>
  <c r="E36" i="46" l="1"/>
  <c r="F36" i="3" s="1"/>
  <c r="E4" i="47"/>
  <c r="E5" i="47" s="1"/>
  <c r="E6" i="47" s="1"/>
  <c r="E7" i="47" s="1"/>
  <c r="E8" i="47" s="1"/>
  <c r="E9" i="47" s="1"/>
  <c r="E10" i="47" s="1"/>
  <c r="E11" i="47" s="1"/>
  <c r="E12" i="47" s="1"/>
  <c r="E13" i="47" s="1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6" i="47" s="1"/>
  <c r="G4" i="35"/>
  <c r="G5" i="35" s="1"/>
  <c r="G6" i="35" s="1"/>
  <c r="G7" i="35" s="1"/>
  <c r="G8" i="35" s="1"/>
  <c r="G9" i="35" s="1"/>
  <c r="G10" i="35" s="1"/>
  <c r="G11" i="35" s="1"/>
  <c r="G12" i="35" s="1"/>
  <c r="G13" i="35" s="1"/>
  <c r="G14" i="35" s="1"/>
  <c r="G15" i="35" s="1"/>
  <c r="G16" i="35" s="1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G36" i="35" s="1"/>
  <c r="G36" i="34"/>
  <c r="H18" i="3" s="1"/>
  <c r="E4" i="27"/>
  <c r="E5" i="27" s="1"/>
  <c r="E6" i="27" s="1"/>
  <c r="E7" i="27" s="1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6" i="27" s="1"/>
  <c r="E36" i="26"/>
  <c r="G36" i="38"/>
  <c r="H24" i="3" s="1"/>
  <c r="G4" i="39"/>
  <c r="G5" i="39" s="1"/>
  <c r="G6" i="39" s="1"/>
  <c r="G7" i="39" s="1"/>
  <c r="G8" i="39" s="1"/>
  <c r="G9" i="39" s="1"/>
  <c r="G10" i="39" s="1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G25" i="39" s="1"/>
  <c r="G26" i="39" s="1"/>
  <c r="G27" i="39" s="1"/>
  <c r="G28" i="39" s="1"/>
  <c r="G29" i="39" s="1"/>
  <c r="G30" i="39" s="1"/>
  <c r="G31" i="39" s="1"/>
  <c r="G32" i="39" s="1"/>
  <c r="G33" i="39" s="1"/>
  <c r="G34" i="39" s="1"/>
  <c r="G36" i="39" s="1"/>
  <c r="E7" i="2"/>
  <c r="F5" i="3"/>
  <c r="H5" i="3"/>
  <c r="G7" i="2"/>
  <c r="G4" i="43"/>
  <c r="G5" i="43" s="1"/>
  <c r="G6" i="43" s="1"/>
  <c r="G7" i="43" s="1"/>
  <c r="G8" i="43" s="1"/>
  <c r="G9" i="43" s="1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G27" i="43" s="1"/>
  <c r="G28" i="43" s="1"/>
  <c r="G29" i="43" s="1"/>
  <c r="G30" i="43" s="1"/>
  <c r="G31" i="43" s="1"/>
  <c r="G32" i="43" s="1"/>
  <c r="G33" i="43" s="1"/>
  <c r="G34" i="43" s="1"/>
  <c r="G36" i="43" s="1"/>
  <c r="G36" i="42"/>
  <c r="H30" i="3" s="1"/>
  <c r="E36" i="34"/>
  <c r="F18" i="3" s="1"/>
  <c r="E4" i="35"/>
  <c r="E5" i="35" s="1"/>
  <c r="E6" i="35" s="1"/>
  <c r="E7" i="35" s="1"/>
  <c r="E8" i="35" s="1"/>
  <c r="E9" i="35" s="1"/>
  <c r="E10" i="35" s="1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6" i="35" s="1"/>
  <c r="G4" i="27"/>
  <c r="G5" i="27" s="1"/>
  <c r="G6" i="27" s="1"/>
  <c r="G7" i="27" s="1"/>
  <c r="G8" i="27" s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G36" i="27" s="1"/>
  <c r="G36" i="26"/>
  <c r="G36" i="30"/>
  <c r="H12" i="3" s="1"/>
  <c r="G4" i="31"/>
  <c r="G5" i="31" s="1"/>
  <c r="G6" i="31" s="1"/>
  <c r="G7" i="31" s="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6" i="31" s="1"/>
  <c r="E36" i="38"/>
  <c r="F24" i="3" s="1"/>
  <c r="E4" i="39"/>
  <c r="E5" i="39" s="1"/>
  <c r="E6" i="39" s="1"/>
  <c r="E7" i="39" s="1"/>
  <c r="E8" i="39" s="1"/>
  <c r="E9" i="39" s="1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6" i="39" s="1"/>
  <c r="E4" i="43"/>
  <c r="E5" i="43" s="1"/>
  <c r="E6" i="43" s="1"/>
  <c r="E7" i="43" s="1"/>
  <c r="E8" i="43" s="1"/>
  <c r="E9" i="43" s="1"/>
  <c r="E10" i="43" s="1"/>
  <c r="E11" i="43" s="1"/>
  <c r="E12" i="43" s="1"/>
  <c r="E13" i="43" s="1"/>
  <c r="E14" i="43" s="1"/>
  <c r="E15" i="43" s="1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6" i="43" s="1"/>
  <c r="E36" i="42"/>
  <c r="F30" i="3" s="1"/>
  <c r="E4" i="31"/>
  <c r="E5" i="31" s="1"/>
  <c r="E6" i="31" s="1"/>
  <c r="E7" i="31" s="1"/>
  <c r="E8" i="31" s="1"/>
  <c r="E9" i="31" s="1"/>
  <c r="E10" i="31" s="1"/>
  <c r="E11" i="31" s="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6" i="31" s="1"/>
  <c r="E36" i="30"/>
  <c r="F12" i="3" s="1"/>
  <c r="G19" i="2"/>
  <c r="H37" i="3"/>
  <c r="H38" i="3" s="1"/>
  <c r="H13" i="3" l="1"/>
  <c r="H14" i="3" s="1"/>
  <c r="G15" i="2"/>
  <c r="F19" i="3"/>
  <c r="F20" i="3" s="1"/>
  <c r="E16" i="2"/>
  <c r="F7" i="3"/>
  <c r="F8" i="3" s="1"/>
  <c r="E14" i="2"/>
  <c r="E9" i="2"/>
  <c r="E10" i="2" s="1"/>
  <c r="H7" i="3"/>
  <c r="H8" i="3" s="1"/>
  <c r="G9" i="2"/>
  <c r="G10" i="2" s="1"/>
  <c r="G14" i="2"/>
  <c r="H6" i="3"/>
  <c r="G8" i="2"/>
  <c r="H25" i="3"/>
  <c r="H26" i="3" s="1"/>
  <c r="G17" i="2"/>
  <c r="E8" i="2"/>
  <c r="F6" i="3"/>
  <c r="G16" i="2"/>
  <c r="H19" i="3"/>
  <c r="H20" i="3" s="1"/>
  <c r="E19" i="2"/>
  <c r="F37" i="3"/>
  <c r="F38" i="3" s="1"/>
  <c r="G18" i="2"/>
  <c r="H31" i="3"/>
  <c r="H32" i="3" s="1"/>
  <c r="F13" i="3"/>
  <c r="F14" i="3" s="1"/>
  <c r="E15" i="2"/>
  <c r="E18" i="2"/>
  <c r="F31" i="3"/>
  <c r="F32" i="3" s="1"/>
  <c r="F25" i="3"/>
  <c r="F26" i="3" s="1"/>
  <c r="E17" i="2"/>
  <c r="G20" i="2" l="1"/>
  <c r="E20" i="2"/>
</calcChain>
</file>

<file path=xl/sharedStrings.xml><?xml version="1.0" encoding="utf-8"?>
<sst xmlns="http://schemas.openxmlformats.org/spreadsheetml/2006/main" count="1600" uniqueCount="307">
  <si>
    <t>全社統合 資金管理ファイル</t>
  </si>
  <si>
    <t>シート構成</t>
  </si>
  <si>
    <r>
      <rPr>
        <b/>
        <sz val="10"/>
        <color rgb="FF1F4E78"/>
        <rFont val="DejaVu Sans"/>
        <family val="2"/>
      </rPr>
      <t>マスター</t>
    </r>
    <r>
      <rPr>
        <b/>
        <sz val="10"/>
        <color rgb="FF1F4E78"/>
        <rFont val="DejaVu Sans"/>
        <family val="2"/>
        <charset val="1"/>
      </rPr>
      <t>_</t>
    </r>
    <r>
      <rPr>
        <b/>
        <sz val="10"/>
        <color rgb="FF1F4E78"/>
        <rFont val="DejaVu Sans"/>
        <family val="2"/>
      </rPr>
      <t>物件</t>
    </r>
  </si>
  <si>
    <t>物件→会社マッピング表</t>
  </si>
  <si>
    <r>
      <rPr>
        <b/>
        <sz val="10"/>
        <color rgb="FF1F4E78"/>
        <rFont val="DejaVu Sans"/>
        <family val="2"/>
      </rPr>
      <t>マスター</t>
    </r>
    <r>
      <rPr>
        <b/>
        <sz val="10"/>
        <color rgb="FF1F4E78"/>
        <rFont val="DejaVu Sans"/>
        <family val="2"/>
        <charset val="1"/>
      </rPr>
      <t>_</t>
    </r>
    <r>
      <rPr>
        <b/>
        <sz val="10"/>
        <color rgb="FF1F4E78"/>
        <rFont val="DejaVu Sans"/>
        <family val="2"/>
      </rPr>
      <t>勘定科目</t>
    </r>
  </si>
  <si>
    <t>勘定科目→資金繰り項目マッピング表</t>
  </si>
  <si>
    <r>
      <rPr>
        <b/>
        <sz val="10"/>
        <color rgb="FF1F4E78"/>
        <rFont val="DejaVu Sans"/>
        <family val="2"/>
      </rPr>
      <t>入金入力</t>
    </r>
    <r>
      <rPr>
        <b/>
        <sz val="10"/>
        <color rgb="FF1F4E78"/>
        <rFont val="DejaVu Sans"/>
        <family val="2"/>
        <charset val="1"/>
      </rPr>
      <t>_{</t>
    </r>
    <r>
      <rPr>
        <b/>
        <sz val="10"/>
        <color rgb="FF1F4E78"/>
        <rFont val="DejaVu Sans"/>
        <family val="2"/>
      </rPr>
      <t>社名</t>
    </r>
    <r>
      <rPr>
        <b/>
        <sz val="10"/>
        <color rgb="FF1F4E78"/>
        <rFont val="DejaVu Sans"/>
        <family val="2"/>
        <charset val="1"/>
      </rPr>
      <t>}</t>
    </r>
  </si>
  <si>
    <r>
      <rPr>
        <sz val="10"/>
        <rFont val="DejaVu Sans"/>
        <family val="2"/>
      </rPr>
      <t>会社別の入金入力（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社分）</t>
    </r>
  </si>
  <si>
    <r>
      <rPr>
        <b/>
        <sz val="10"/>
        <color rgb="FF1F4E78"/>
        <rFont val="DejaVu Sans"/>
        <family val="2"/>
      </rPr>
      <t>未払一覧</t>
    </r>
    <r>
      <rPr>
        <b/>
        <sz val="10"/>
        <color rgb="FF1F4E78"/>
        <rFont val="DejaVu Sans"/>
        <family val="2"/>
        <charset val="1"/>
      </rPr>
      <t>_{</t>
    </r>
    <r>
      <rPr>
        <b/>
        <sz val="10"/>
        <color rgb="FF1F4E78"/>
        <rFont val="DejaVu Sans"/>
        <family val="2"/>
      </rPr>
      <t>社名</t>
    </r>
    <r>
      <rPr>
        <b/>
        <sz val="10"/>
        <color rgb="FF1F4E78"/>
        <rFont val="DejaVu Sans"/>
        <family val="2"/>
        <charset val="1"/>
      </rPr>
      <t>}</t>
    </r>
  </si>
  <si>
    <r>
      <rPr>
        <sz val="10"/>
        <rFont val="DejaVu Sans"/>
        <family val="2"/>
      </rPr>
      <t>会社別の支出予定／請求書ファイルリンク（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社分）</t>
    </r>
  </si>
  <si>
    <r>
      <rPr>
        <b/>
        <sz val="10"/>
        <color rgb="FF1F4E78"/>
        <rFont val="DejaVu Sans"/>
        <family val="2"/>
      </rPr>
      <t>カード枠回復</t>
    </r>
    <r>
      <rPr>
        <b/>
        <sz val="10"/>
        <color rgb="FF1F4E78"/>
        <rFont val="DejaVu Sans"/>
        <family val="2"/>
        <charset val="1"/>
      </rPr>
      <t>_{</t>
    </r>
    <r>
      <rPr>
        <b/>
        <sz val="10"/>
        <color rgb="FF1F4E78"/>
        <rFont val="DejaVu Sans"/>
        <family val="2"/>
      </rPr>
      <t>社名</t>
    </r>
    <r>
      <rPr>
        <b/>
        <sz val="10"/>
        <color rgb="FF1F4E78"/>
        <rFont val="DejaVu Sans"/>
        <family val="2"/>
        <charset val="1"/>
      </rPr>
      <t>}</t>
    </r>
  </si>
  <si>
    <r>
      <rPr>
        <sz val="10"/>
        <rFont val="DejaVu Sans"/>
        <family val="2"/>
      </rPr>
      <t>会社別のカード枠回復入力（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社分）</t>
    </r>
  </si>
  <si>
    <r>
      <rPr>
        <b/>
        <sz val="10"/>
        <color rgb="FF1F4E78"/>
        <rFont val="Noto Sans CJK SC"/>
        <charset val="1"/>
      </rPr>
      <t>5</t>
    </r>
    <r>
      <rPr>
        <b/>
        <sz val="10"/>
        <color rgb="FF1F4E78"/>
        <rFont val="DejaVu Sans"/>
        <family val="2"/>
      </rPr>
      <t>月</t>
    </r>
    <r>
      <rPr>
        <b/>
        <sz val="10"/>
        <color rgb="FF1F4E78"/>
        <rFont val="Noto Sans CJK SC"/>
        <charset val="1"/>
      </rPr>
      <t>_{</t>
    </r>
    <r>
      <rPr>
        <b/>
        <sz val="10"/>
        <color rgb="FF1F4E78"/>
        <rFont val="DejaVu Sans"/>
        <family val="2"/>
      </rPr>
      <t>社名</t>
    </r>
    <r>
      <rPr>
        <b/>
        <sz val="10"/>
        <color rgb="FF1F4E78"/>
        <rFont val="Noto Sans CJK SC"/>
        <charset val="1"/>
      </rPr>
      <t xml:space="preserve">} </t>
    </r>
    <r>
      <rPr>
        <b/>
        <sz val="10"/>
        <color rgb="FF1F4E78"/>
        <rFont val="DejaVu Sans"/>
        <family val="2"/>
      </rPr>
      <t xml:space="preserve">〜 </t>
    </r>
    <r>
      <rPr>
        <b/>
        <sz val="10"/>
        <color rgb="FF1F4E78"/>
        <rFont val="Noto Sans CJK SC"/>
        <charset val="1"/>
      </rPr>
      <t>8</t>
    </r>
    <r>
      <rPr>
        <b/>
        <sz val="10"/>
        <color rgb="FF1F4E78"/>
        <rFont val="DejaVu Sans"/>
        <family val="2"/>
      </rPr>
      <t>月</t>
    </r>
    <r>
      <rPr>
        <b/>
        <sz val="10"/>
        <color rgb="FF1F4E78"/>
        <rFont val="Noto Sans CJK SC"/>
        <charset val="1"/>
      </rPr>
      <t>_{</t>
    </r>
    <r>
      <rPr>
        <b/>
        <sz val="10"/>
        <color rgb="FF1F4E78"/>
        <rFont val="DejaVu Sans"/>
        <family val="2"/>
      </rPr>
      <t>社名</t>
    </r>
    <r>
      <rPr>
        <b/>
        <sz val="10"/>
        <color rgb="FF1F4E78"/>
        <rFont val="Noto Sans CJK SC"/>
        <charset val="1"/>
      </rPr>
      <t>}</t>
    </r>
  </si>
  <si>
    <r>
      <rPr>
        <sz val="10"/>
        <rFont val="DejaVu Sans"/>
        <family val="2"/>
      </rPr>
      <t>会社別</t>
    </r>
    <r>
      <rPr>
        <sz val="10"/>
        <rFont val="DejaVu Sans"/>
        <family val="2"/>
        <charset val="1"/>
      </rPr>
      <t>×</t>
    </r>
    <r>
      <rPr>
        <sz val="10"/>
        <rFont val="DejaVu Sans"/>
        <family val="2"/>
      </rPr>
      <t>月別の日次キャッシュフロー（</t>
    </r>
    <r>
      <rPr>
        <sz val="10"/>
        <rFont val="DejaVu Sans"/>
        <family val="2"/>
        <charset val="1"/>
      </rPr>
      <t>16</t>
    </r>
    <r>
      <rPr>
        <sz val="10"/>
        <rFont val="DejaVu Sans"/>
        <family val="2"/>
      </rPr>
      <t>シート）</t>
    </r>
  </si>
  <si>
    <t>全社月次サマリー</t>
  </si>
  <si>
    <t>全社・月次集計</t>
  </si>
  <si>
    <r>
      <rPr>
        <b/>
        <sz val="10"/>
        <color rgb="FF1F4E78"/>
        <rFont val="DejaVu Sans"/>
        <family val="2"/>
      </rPr>
      <t>資金繰り表</t>
    </r>
    <r>
      <rPr>
        <b/>
        <sz val="10"/>
        <color rgb="FF1F4E78"/>
        <rFont val="DejaVu Sans"/>
        <family val="2"/>
        <charset val="1"/>
      </rPr>
      <t>_*</t>
    </r>
  </si>
  <si>
    <r>
      <rPr>
        <sz val="10"/>
        <rFont val="DejaVu Sans"/>
        <family val="2"/>
      </rPr>
      <t>資金繰り表（マッピング経由で</t>
    </r>
    <r>
      <rPr>
        <sz val="10"/>
        <rFont val="DejaVu Sans"/>
        <family val="2"/>
        <charset val="1"/>
      </rPr>
      <t>SUMIFS</t>
    </r>
    <r>
      <rPr>
        <sz val="10"/>
        <rFont val="DejaVu Sans"/>
        <family val="2"/>
      </rPr>
      <t>自動連動）</t>
    </r>
  </si>
  <si>
    <r>
      <rPr>
        <b/>
        <sz val="14"/>
        <color rgb="FFFFFFFF"/>
        <rFont val="DejaVu Sans"/>
        <family val="2"/>
      </rPr>
      <t>全社合算サマリー（</t>
    </r>
    <r>
      <rPr>
        <b/>
        <sz val="14"/>
        <color rgb="FFFFFFFF"/>
        <rFont val="DejaVu Sans"/>
        <family val="2"/>
        <charset val="1"/>
      </rPr>
      <t>6</t>
    </r>
    <r>
      <rPr>
        <b/>
        <sz val="14"/>
        <color rgb="FFFFFFFF"/>
        <rFont val="DejaVu Sans"/>
        <family val="2"/>
      </rPr>
      <t>社合計）</t>
    </r>
  </si>
  <si>
    <r>
      <rPr>
        <i/>
        <sz val="10"/>
        <color rgb="FF666666"/>
        <rFont val="Noto Sans CJK SC"/>
        <charset val="1"/>
      </rPr>
      <t>6</t>
    </r>
    <r>
      <rPr>
        <i/>
        <sz val="10"/>
        <color rgb="FF666666"/>
        <rFont val="DejaVu Sans"/>
        <family val="2"/>
      </rPr>
      <t>社（レジデンス／リゾート／モーテル／ザック／ワールド・レイ／ココ・ユニバース）の月別キャッシュフロー集計</t>
    </r>
  </si>
  <si>
    <r>
      <rPr>
        <b/>
        <sz val="12"/>
        <color rgb="FFFFFFFF"/>
        <rFont val="DejaVu Sans"/>
        <family val="2"/>
      </rPr>
      <t>■ 月別合算（</t>
    </r>
    <r>
      <rPr>
        <b/>
        <sz val="12"/>
        <color rgb="FFFFFFFF"/>
        <rFont val="DejaVu Sans"/>
        <family val="2"/>
        <charset val="1"/>
      </rPr>
      <t>6</t>
    </r>
    <r>
      <rPr>
        <b/>
        <sz val="12"/>
        <color rgb="FFFFFFFF"/>
        <rFont val="DejaVu Sans"/>
        <family val="2"/>
      </rPr>
      <t>社合計）</t>
    </r>
  </si>
  <si>
    <t>月</t>
  </si>
  <si>
    <t>入金（円）</t>
  </si>
  <si>
    <t>支出（円）</t>
  </si>
  <si>
    <t>当月差引（円）</t>
  </si>
  <si>
    <t>月末累計差引（円）</t>
  </si>
  <si>
    <t>カード枠回復額（円）</t>
  </si>
  <si>
    <t>月末使用可能額（円）</t>
  </si>
  <si>
    <r>
      <rPr>
        <sz val="10"/>
        <rFont val="Noto Sans CJK SC"/>
        <charset val="1"/>
      </rPr>
      <t>5</t>
    </r>
    <r>
      <rPr>
        <sz val="10"/>
        <rFont val="DejaVu Sans"/>
        <family val="2"/>
      </rPr>
      <t>月</t>
    </r>
  </si>
  <si>
    <r>
      <rPr>
        <sz val="10"/>
        <rFont val="Noto Sans CJK SC"/>
        <charset val="1"/>
      </rPr>
      <t>6</t>
    </r>
    <r>
      <rPr>
        <sz val="10"/>
        <rFont val="DejaVu Sans"/>
        <family val="2"/>
      </rPr>
      <t>月</t>
    </r>
  </si>
  <si>
    <r>
      <rPr>
        <sz val="10"/>
        <rFont val="Noto Sans CJK SC"/>
        <charset val="1"/>
      </rPr>
      <t>7</t>
    </r>
    <r>
      <rPr>
        <sz val="10"/>
        <rFont val="DejaVu Sans"/>
        <family val="2"/>
      </rPr>
      <t>月</t>
    </r>
  </si>
  <si>
    <r>
      <rPr>
        <sz val="10"/>
        <rFont val="Noto Sans CJK SC"/>
        <charset val="1"/>
      </rPr>
      <t>8</t>
    </r>
    <r>
      <rPr>
        <sz val="10"/>
        <rFont val="DejaVu Sans"/>
        <family val="2"/>
      </rPr>
      <t>月</t>
    </r>
  </si>
  <si>
    <r>
      <rPr>
        <b/>
        <sz val="11"/>
        <rFont val="Noto Sans CJK SC"/>
        <charset val="1"/>
      </rPr>
      <t>4</t>
    </r>
    <r>
      <rPr>
        <b/>
        <sz val="11"/>
        <rFont val="DejaVu Sans"/>
        <family val="2"/>
      </rPr>
      <t>ヶ月合計</t>
    </r>
  </si>
  <si>
    <r>
      <rPr>
        <b/>
        <sz val="12"/>
        <color rgb="FFFFFFFF"/>
        <rFont val="DejaVu Sans"/>
        <family val="2"/>
      </rPr>
      <t xml:space="preserve">■ 会社別 </t>
    </r>
    <r>
      <rPr>
        <b/>
        <sz val="12"/>
        <color rgb="FFFFFFFF"/>
        <rFont val="DejaVu Sans"/>
        <family val="2"/>
        <charset val="1"/>
      </rPr>
      <t>4</t>
    </r>
    <r>
      <rPr>
        <b/>
        <sz val="12"/>
        <color rgb="FFFFFFFF"/>
        <rFont val="DejaVu Sans"/>
        <family val="2"/>
      </rPr>
      <t>ヶ月合計</t>
    </r>
  </si>
  <si>
    <t>会社</t>
  </si>
  <si>
    <r>
      <rPr>
        <b/>
        <sz val="10"/>
        <color rgb="FFFFFFFF"/>
        <rFont val="Noto Sans CJK SC"/>
        <charset val="1"/>
      </rPr>
      <t>4</t>
    </r>
    <r>
      <rPr>
        <b/>
        <sz val="10"/>
        <color rgb="FFFFFFFF"/>
        <rFont val="DejaVu Sans"/>
        <family val="2"/>
      </rPr>
      <t>ヶ月差引（円）</t>
    </r>
  </si>
  <si>
    <r>
      <rPr>
        <b/>
        <sz val="10"/>
        <color rgb="FFFFFFFF"/>
        <rFont val="Noto Sans CJK SC"/>
        <charset val="1"/>
      </rPr>
      <t>8</t>
    </r>
    <r>
      <rPr>
        <b/>
        <sz val="10"/>
        <color rgb="FFFFFFFF"/>
        <rFont val="DejaVu Sans"/>
        <family val="2"/>
      </rPr>
      <t>月末累計差引（円）</t>
    </r>
  </si>
  <si>
    <r>
      <rPr>
        <b/>
        <sz val="10"/>
        <color rgb="FFFFFFFF"/>
        <rFont val="Noto Sans CJK SC"/>
        <charset val="1"/>
      </rPr>
      <t>8</t>
    </r>
    <r>
      <rPr>
        <b/>
        <sz val="10"/>
        <color rgb="FFFFFFFF"/>
        <rFont val="DejaVu Sans"/>
        <family val="2"/>
      </rPr>
      <t>月末使用可能額（円）</t>
    </r>
  </si>
  <si>
    <t>レジデンス</t>
  </si>
  <si>
    <t>リゾート</t>
  </si>
  <si>
    <t>モーテル</t>
  </si>
  <si>
    <t>ザック</t>
  </si>
  <si>
    <t>ワールド・レイ</t>
  </si>
  <si>
    <t>ココ・ユニバース</t>
  </si>
  <si>
    <t>合計</t>
  </si>
  <si>
    <r>
      <rPr>
        <b/>
        <sz val="14"/>
        <color rgb="FFFFFFFF"/>
        <rFont val="DejaVu Sans"/>
        <family val="2"/>
      </rPr>
      <t>全社月次サマリー（</t>
    </r>
    <r>
      <rPr>
        <b/>
        <sz val="14"/>
        <color rgb="FFFFFFFF"/>
        <rFont val="DejaVu Sans"/>
        <family val="2"/>
        <charset val="1"/>
      </rPr>
      <t>6</t>
    </r>
    <r>
      <rPr>
        <b/>
        <sz val="14"/>
        <color rgb="FFFFFFFF"/>
        <rFont val="DejaVu Sans"/>
        <family val="2"/>
      </rPr>
      <t>社</t>
    </r>
    <r>
      <rPr>
        <b/>
        <sz val="14"/>
        <color rgb="FFFFFFFF"/>
        <rFont val="DejaVu Sans"/>
        <family val="2"/>
        <charset val="1"/>
      </rPr>
      <t>×4</t>
    </r>
    <r>
      <rPr>
        <b/>
        <sz val="14"/>
        <color rgb="FFFFFFFF"/>
        <rFont val="DejaVu Sans"/>
        <family val="2"/>
      </rPr>
      <t>ヶ月）</t>
    </r>
  </si>
  <si>
    <t>全社合計</t>
  </si>
  <si>
    <r>
      <rPr>
        <b/>
        <sz val="14"/>
        <color rgb="FFFFFFFF"/>
        <rFont val="DejaVu Sans"/>
        <family val="2"/>
      </rPr>
      <t>物件→会社 マッピング表（</t>
    </r>
    <r>
      <rPr>
        <b/>
        <sz val="14"/>
        <color rgb="FFFFFFFF"/>
        <rFont val="DejaVu Sans"/>
        <family val="2"/>
        <charset val="1"/>
      </rPr>
      <t>B</t>
    </r>
    <r>
      <rPr>
        <b/>
        <sz val="14"/>
        <color rgb="FFFFFFFF"/>
        <rFont val="DejaVu Sans"/>
        <family val="2"/>
      </rPr>
      <t>列の会社名を変更すると全シートに反映）</t>
    </r>
  </si>
  <si>
    <t>物件名</t>
  </si>
  <si>
    <t>所属会社</t>
  </si>
  <si>
    <t>備考</t>
  </si>
  <si>
    <t>ほうらい</t>
  </si>
  <si>
    <t>フォレスト</t>
  </si>
  <si>
    <t>ｸﾞﾘｰﾝｼｬﾜｰ</t>
  </si>
  <si>
    <t>周防大島</t>
  </si>
  <si>
    <t>ココユニバース</t>
  </si>
  <si>
    <t>勘定科目→資金繰り項目 マッピング表</t>
  </si>
  <si>
    <t>勘定科目</t>
  </si>
  <si>
    <t>資金繰り項目</t>
  </si>
  <si>
    <t>水道光熱費</t>
  </si>
  <si>
    <t>買掛金支払</t>
  </si>
  <si>
    <t>設備費</t>
  </si>
  <si>
    <t>通信費</t>
  </si>
  <si>
    <t>衛生管理費</t>
  </si>
  <si>
    <t>食材費</t>
  </si>
  <si>
    <t>システム利用料</t>
  </si>
  <si>
    <t>業務委託料</t>
  </si>
  <si>
    <t>備品消耗品費</t>
  </si>
  <si>
    <t>ゴミ収集費</t>
  </si>
  <si>
    <t>租税公課</t>
  </si>
  <si>
    <t>税金・社会保険料</t>
  </si>
  <si>
    <t>保険</t>
  </si>
  <si>
    <t>その他経費</t>
  </si>
  <si>
    <t>手数料</t>
  </si>
  <si>
    <t>リース料</t>
  </si>
  <si>
    <t>その他</t>
  </si>
  <si>
    <t>役員報酬</t>
  </si>
  <si>
    <t>従業員給与</t>
  </si>
  <si>
    <t>地代家賃</t>
  </si>
  <si>
    <t>支払利息</t>
  </si>
  <si>
    <t>社員給与</t>
  </si>
  <si>
    <t>入金入力 — レジデンス（黄色セルに入力 → 月次サマリーへ自動反映）</t>
  </si>
  <si>
    <t>区分は資金繰り表の収入項目と連動します（現金売上／売掛金回収／手形入金／その他収入／借入金／設備売却）</t>
  </si>
  <si>
    <t>日付</t>
  </si>
  <si>
    <t>項目</t>
  </si>
  <si>
    <t>区分</t>
  </si>
  <si>
    <t>金額（円）</t>
  </si>
  <si>
    <t>入金確認</t>
  </si>
  <si>
    <r>
      <rPr>
        <b/>
        <sz val="14"/>
        <color rgb="FFFFFFFF"/>
        <rFont val="DejaVu Sans"/>
        <family val="2"/>
      </rPr>
      <t>支払予定一覧 — レジデンス（黄色セルに入力／請求書ファイルパスを</t>
    </r>
    <r>
      <rPr>
        <b/>
        <sz val="14"/>
        <color rgb="FFFFFFFF"/>
        <rFont val="DejaVu Sans"/>
        <family val="2"/>
        <charset val="1"/>
      </rPr>
      <t>O</t>
    </r>
    <r>
      <rPr>
        <b/>
        <sz val="14"/>
        <color rgb="FFFFFFFF"/>
        <rFont val="DejaVu Sans"/>
        <family val="2"/>
      </rPr>
      <t>列に貼付）</t>
    </r>
  </si>
  <si>
    <r>
      <rPr>
        <b/>
        <sz val="9"/>
        <rFont val="DejaVu Sans"/>
        <family val="2"/>
      </rPr>
      <t>優先度</t>
    </r>
    <r>
      <rPr>
        <b/>
        <sz val="9"/>
        <rFont val="DejaVu Sans"/>
        <family val="2"/>
        <charset val="1"/>
      </rPr>
      <t xml:space="preserve">: </t>
    </r>
  </si>
  <si>
    <r>
      <rPr>
        <b/>
        <sz val="9"/>
        <color rgb="FFFFFFFF"/>
        <rFont val="DejaVu Sans"/>
        <family val="2"/>
      </rPr>
      <t>高（</t>
    </r>
    <r>
      <rPr>
        <b/>
        <sz val="9"/>
        <color rgb="FFFFFFFF"/>
        <rFont val="DejaVu Sans"/>
        <family val="2"/>
        <charset val="1"/>
      </rPr>
      <t>3</t>
    </r>
    <r>
      <rPr>
        <b/>
        <sz val="9"/>
        <color rgb="FFFFFFFF"/>
        <rFont val="DejaVu Sans"/>
        <family val="2"/>
      </rPr>
      <t>ヶ月以上滞留）</t>
    </r>
  </si>
  <si>
    <r>
      <rPr>
        <b/>
        <sz val="9"/>
        <color rgb="FFFFFFFF"/>
        <rFont val="DejaVu Sans"/>
        <family val="2"/>
      </rPr>
      <t>中（</t>
    </r>
    <r>
      <rPr>
        <b/>
        <sz val="9"/>
        <color rgb="FFFFFFFF"/>
        <rFont val="DejaVu Sans"/>
        <family val="2"/>
        <charset val="1"/>
      </rPr>
      <t>2</t>
    </r>
    <r>
      <rPr>
        <b/>
        <sz val="9"/>
        <color rgb="FFFFFFFF"/>
        <rFont val="DejaVu Sans"/>
        <family val="2"/>
      </rPr>
      <t>ヶ月滞留）</t>
    </r>
  </si>
  <si>
    <t>低（前月のみ）</t>
  </si>
  <si>
    <t>月次（経常支出）</t>
  </si>
  <si>
    <r>
      <rPr>
        <i/>
        <sz val="9"/>
        <color rgb="FFC00000"/>
        <rFont val="DejaVu Sans"/>
        <family val="2"/>
      </rPr>
      <t>※ 支払予定日に日付を入れると月次サマリーへ自動反映／勘定科目は資金繰り表へ自動マッピング／</t>
    </r>
    <r>
      <rPr>
        <i/>
        <sz val="9"/>
        <color rgb="FFC00000"/>
        <rFont val="DejaVu Sans"/>
        <family val="2"/>
        <charset val="1"/>
      </rPr>
      <t>O</t>
    </r>
    <r>
      <rPr>
        <i/>
        <sz val="9"/>
        <color rgb="FFC00000"/>
        <rFont val="DejaVu Sans"/>
        <family val="2"/>
      </rPr>
      <t>列に請求書</t>
    </r>
    <r>
      <rPr>
        <i/>
        <sz val="9"/>
        <color rgb="FFC00000"/>
        <rFont val="DejaVu Sans"/>
        <family val="2"/>
        <charset val="1"/>
      </rPr>
      <t>PDF</t>
    </r>
    <r>
      <rPr>
        <i/>
        <sz val="9"/>
        <color rgb="FFC00000"/>
        <rFont val="DejaVu Sans"/>
        <family val="2"/>
      </rPr>
      <t>のフルパスを貼ると右下にリンクが出ます</t>
    </r>
  </si>
  <si>
    <t>種別</t>
  </si>
  <si>
    <t>物件</t>
  </si>
  <si>
    <t>概要</t>
  </si>
  <si>
    <t>期日</t>
  </si>
  <si>
    <t>請求先</t>
  </si>
  <si>
    <t>当月分</t>
  </si>
  <si>
    <t>前月繰越</t>
  </si>
  <si>
    <t>前々月繰越</t>
  </si>
  <si>
    <t>前々々月以前</t>
  </si>
  <si>
    <t>累積未払合計</t>
  </si>
  <si>
    <t>優先度</t>
  </si>
  <si>
    <t>支払予定日</t>
  </si>
  <si>
    <t>支払予定額</t>
  </si>
  <si>
    <t>支払状況</t>
  </si>
  <si>
    <t>請求書ファイル</t>
  </si>
  <si>
    <t>未払繰越</t>
  </si>
  <si>
    <r>
      <rPr>
        <sz val="10"/>
        <rFont val="DejaVu Sans"/>
        <family val="2"/>
      </rPr>
      <t>トラストユアサービス（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か月分）</t>
    </r>
  </si>
  <si>
    <t>低</t>
  </si>
  <si>
    <r>
      <rPr>
        <sz val="10"/>
        <rFont val="DejaVu Sans"/>
        <family val="2"/>
      </rPr>
      <t>あしたば（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ヶ月分）</t>
    </r>
  </si>
  <si>
    <t>高</t>
  </si>
  <si>
    <t>支払済合計</t>
  </si>
  <si>
    <t>未払残高（予定）</t>
  </si>
  <si>
    <t>取消</t>
  </si>
  <si>
    <t>カード枠回復入力 — レジデンス</t>
  </si>
  <si>
    <t>※ 支払日に金額が反映 → カード枠回復額として月次サマリーへ計上（支出には含めません）</t>
  </si>
  <si>
    <t>支払日</t>
  </si>
  <si>
    <r>
      <rPr>
        <b/>
        <sz val="10"/>
        <color rgb="FFFFFFFF"/>
        <rFont val="DejaVu Sans"/>
        <family val="2"/>
      </rPr>
      <t xml:space="preserve">カード会社 </t>
    </r>
    <r>
      <rPr>
        <b/>
        <sz val="10"/>
        <color rgb="FFFFFFFF"/>
        <rFont val="DejaVu Sans"/>
        <family val="2"/>
        <charset val="1"/>
      </rPr>
      <t xml:space="preserve">/ </t>
    </r>
    <r>
      <rPr>
        <b/>
        <sz val="10"/>
        <color rgb="FFFFFFFF"/>
        <rFont val="DejaVu Sans"/>
        <family val="2"/>
      </rPr>
      <t>項目</t>
    </r>
  </si>
  <si>
    <t>回復額（円）</t>
  </si>
  <si>
    <t>入金入力 — リゾート（黄色セルに入力 → 月次サマリーへ自動反映）</t>
  </si>
  <si>
    <t>Booking</t>
  </si>
  <si>
    <t>現金売上</t>
  </si>
  <si>
    <t>予測</t>
  </si>
  <si>
    <t>PayPay</t>
  </si>
  <si>
    <t>ホテル売上</t>
  </si>
  <si>
    <t>楽天</t>
  </si>
  <si>
    <t>JCB</t>
  </si>
  <si>
    <t>GMO</t>
  </si>
  <si>
    <t>JMS</t>
  </si>
  <si>
    <t>スマレジ</t>
  </si>
  <si>
    <t>売上</t>
  </si>
  <si>
    <t>じゃらん</t>
  </si>
  <si>
    <t>カード</t>
  </si>
  <si>
    <t>一休</t>
  </si>
  <si>
    <t>竹原市</t>
  </si>
  <si>
    <r>
      <rPr>
        <b/>
        <sz val="14"/>
        <color rgb="FFFFFFFF"/>
        <rFont val="DejaVu Sans"/>
        <family val="2"/>
      </rPr>
      <t>支払予定一覧 — リゾート（黄色セルに入力／請求書ファイルパスを</t>
    </r>
    <r>
      <rPr>
        <b/>
        <sz val="14"/>
        <color rgb="FFFFFFFF"/>
        <rFont val="DejaVu Sans"/>
        <family val="2"/>
        <charset val="1"/>
      </rPr>
      <t>O</t>
    </r>
    <r>
      <rPr>
        <b/>
        <sz val="14"/>
        <color rgb="FFFFFFFF"/>
        <rFont val="DejaVu Sans"/>
        <family val="2"/>
      </rPr>
      <t>列に貼付）</t>
    </r>
  </si>
  <si>
    <r>
      <rPr>
        <sz val="10"/>
        <rFont val="DejaVu Sans"/>
        <family val="2"/>
      </rPr>
      <t>第一興商（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か月分）</t>
    </r>
  </si>
  <si>
    <t>たけはら</t>
  </si>
  <si>
    <t>キャノン※再引落あり</t>
  </si>
  <si>
    <t>ビュー</t>
  </si>
  <si>
    <r>
      <rPr>
        <sz val="10"/>
        <rFont val="DejaVu Sans"/>
        <family val="2"/>
      </rPr>
      <t>安芸クリーナー（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</si>
  <si>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アシード（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</si>
  <si>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t>デルーネ</t>
  </si>
  <si>
    <r>
      <rPr>
        <sz val="10"/>
        <rFont val="Noto Sans CJK SC"/>
        <charset val="1"/>
      </rPr>
      <t>IPPO</t>
    </r>
    <r>
      <rPr>
        <sz val="10"/>
        <rFont val="DejaVu Sans"/>
        <family val="2"/>
      </rPr>
      <t>（</t>
    </r>
    <r>
      <rPr>
        <sz val="10"/>
        <rFont val="Noto Sans CJK SC"/>
        <charset val="1"/>
      </rPr>
      <t>4</t>
    </r>
    <r>
      <rPr>
        <sz val="10"/>
        <rFont val="DejaVu Sans"/>
        <family val="2"/>
      </rPr>
      <t>か月分）</t>
    </r>
  </si>
  <si>
    <t>業務委託費</t>
  </si>
  <si>
    <r>
      <rPr>
        <sz val="10"/>
        <rFont val="DejaVu Sans"/>
        <family val="2"/>
      </rPr>
      <t>クリンプロ（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</si>
  <si>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t>温井</t>
  </si>
  <si>
    <t>中</t>
  </si>
  <si>
    <r>
      <rPr>
        <sz val="10"/>
        <rFont val="DejaVu Sans"/>
        <family val="2"/>
      </rPr>
      <t>富田肥料（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</si>
  <si>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t>百姓屋</t>
  </si>
  <si>
    <r>
      <rPr>
        <sz val="10"/>
        <rFont val="DejaVu Sans"/>
        <family val="2"/>
      </rPr>
      <t>アペックス（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</si>
  <si>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西部環境（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</si>
  <si>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木下商会（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か月分）</t>
    </r>
  </si>
  <si>
    <t>いこいの村</t>
  </si>
  <si>
    <r>
      <rPr>
        <sz val="10"/>
        <rFont val="DejaVu Sans"/>
        <family val="2"/>
      </rPr>
      <t>青原木材（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</si>
  <si>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第一興商（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</si>
  <si>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百姓屋（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</si>
  <si>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t>加計機工</t>
  </si>
  <si>
    <r>
      <rPr>
        <sz val="10"/>
        <rFont val="DejaVu Sans"/>
        <family val="2"/>
      </rPr>
      <t>イマイチ（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</si>
  <si>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エムケイ興産（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</si>
  <si>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みどりのまち（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か月分）</t>
    </r>
  </si>
  <si>
    <t>弥山</t>
  </si>
  <si>
    <r>
      <rPr>
        <sz val="10"/>
        <rFont val="DejaVu Sans"/>
        <family val="2"/>
      </rPr>
      <t>竹原クリーナー（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</si>
  <si>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トラストユアサービス（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カ月分）</t>
    </r>
  </si>
  <si>
    <r>
      <rPr>
        <sz val="10"/>
        <rFont val="DejaVu Sans"/>
        <family val="2"/>
      </rPr>
      <t>アイパス（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</si>
  <si>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あしたば（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</si>
  <si>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入江さん</t>
    </r>
    <r>
      <rPr>
        <sz val="10"/>
        <rFont val="DejaVu Sans"/>
        <family val="2"/>
        <charset val="1"/>
      </rPr>
      <t>(2</t>
    </r>
    <r>
      <rPr>
        <sz val="10"/>
        <rFont val="DejaVu Sans"/>
        <family val="2"/>
      </rPr>
      <t>カ月分）</t>
    </r>
  </si>
  <si>
    <r>
      <rPr>
        <sz val="10"/>
        <rFont val="DejaVu Sans"/>
        <family val="2"/>
      </rPr>
      <t>アズブレインオフィス（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</si>
  <si>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キンヤ（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</si>
  <si>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ライフサービス</t>
    </r>
    <r>
      <rPr>
        <sz val="10"/>
        <rFont val="DejaVu Sans"/>
        <family val="2"/>
        <charset val="1"/>
      </rPr>
      <t>(4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</si>
  <si>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川本酒造場（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</si>
  <si>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クミアイ燃料（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</t>
    </r>
    <r>
      <rPr>
        <sz val="10"/>
        <rFont val="DejaVu Sans"/>
        <family val="2"/>
        <charset val="1"/>
      </rPr>
      <t>)</t>
    </r>
  </si>
  <si>
    <t>燃料費</t>
  </si>
  <si>
    <r>
      <rPr>
        <sz val="10"/>
        <rFont val="Noto Sans CJK SC"/>
        <charset val="1"/>
      </rPr>
      <t>E-MAN</t>
    </r>
    <r>
      <rPr>
        <sz val="10"/>
        <rFont val="DejaVu Sans"/>
        <family val="2"/>
      </rPr>
      <t>（</t>
    </r>
    <r>
      <rPr>
        <sz val="10"/>
        <rFont val="Noto Sans CJK SC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</si>
  <si>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広島市県民税（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月不能分）</t>
    </r>
  </si>
  <si>
    <r>
      <rPr>
        <sz val="10"/>
        <rFont val="DejaVu Sans"/>
        <family val="2"/>
      </rPr>
      <t>東芝エレベータ（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</si>
  <si>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t>フォレストヒルズ</t>
  </si>
  <si>
    <r>
      <rPr>
        <sz val="10"/>
        <rFont val="DejaVu Sans"/>
        <family val="2"/>
      </rPr>
      <t>不二ビルサービス</t>
    </r>
    <r>
      <rPr>
        <sz val="10"/>
        <rFont val="DejaVu Sans"/>
        <family val="2"/>
        <charset val="1"/>
      </rPr>
      <t>(4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</si>
  <si>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チュウブ（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</si>
  <si>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三原総和（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</si>
  <si>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t>ごみ収集</t>
  </si>
  <si>
    <t>柳井地域水道企業団</t>
  </si>
  <si>
    <t>ファクタリング返済</t>
  </si>
  <si>
    <t>月次</t>
  </si>
  <si>
    <t>月次予定</t>
  </si>
  <si>
    <t>ライフサービス</t>
  </si>
  <si>
    <t>広島組合燃料</t>
  </si>
  <si>
    <t>チュウブ</t>
  </si>
  <si>
    <t>エムケイ興産</t>
  </si>
  <si>
    <t>第一興商</t>
  </si>
  <si>
    <t>アズブレイン</t>
  </si>
  <si>
    <t>レジデンスシシンヨー</t>
  </si>
  <si>
    <t>黒瀬様</t>
  </si>
  <si>
    <t>ケロシン</t>
  </si>
  <si>
    <t>電気</t>
  </si>
  <si>
    <t>現金振込ガス</t>
  </si>
  <si>
    <t>高宮様</t>
  </si>
  <si>
    <t>一幸</t>
  </si>
  <si>
    <t>仁谷様</t>
  </si>
  <si>
    <t>西部環境</t>
  </si>
  <si>
    <t>ネットシスジャパン</t>
  </si>
  <si>
    <t>古本様</t>
  </si>
  <si>
    <t>仲尾さま</t>
  </si>
  <si>
    <t>社員給与（中道）</t>
  </si>
  <si>
    <t>社員給与（中道父）</t>
  </si>
  <si>
    <t>社員給与（下坂）</t>
  </si>
  <si>
    <t>カード枠回復入力 — リゾート</t>
  </si>
  <si>
    <r>
      <rPr>
        <sz val="10"/>
        <color rgb="FF0000FF"/>
        <rFont val="DejaVu Sans"/>
        <family val="2"/>
      </rPr>
      <t>セゾン</t>
    </r>
    <r>
      <rPr>
        <sz val="10"/>
        <color rgb="FF0000FF"/>
        <rFont val="DejaVu Sans"/>
        <family val="2"/>
        <charset val="1"/>
      </rPr>
      <t>YUSO</t>
    </r>
  </si>
  <si>
    <t>セゾンパルコ</t>
  </si>
  <si>
    <t>入金入力 — モーテル（黄色セルに入力 → 月次サマリーへ自動反映）</t>
  </si>
  <si>
    <r>
      <rPr>
        <b/>
        <sz val="14"/>
        <color rgb="FFFFFFFF"/>
        <rFont val="DejaVu Sans"/>
        <family val="2"/>
      </rPr>
      <t>支払予定一覧 — モーテル（黄色セルに入力／請求書ファイルパスを</t>
    </r>
    <r>
      <rPr>
        <b/>
        <sz val="14"/>
        <color rgb="FFFFFFFF"/>
        <rFont val="DejaVu Sans"/>
        <family val="2"/>
        <charset val="1"/>
      </rPr>
      <t>O</t>
    </r>
    <r>
      <rPr>
        <b/>
        <sz val="14"/>
        <color rgb="FFFFFFFF"/>
        <rFont val="DejaVu Sans"/>
        <family val="2"/>
      </rPr>
      <t>列に貼付）</t>
    </r>
  </si>
  <si>
    <r>
      <rPr>
        <sz val="10"/>
        <rFont val="Noto Sans CJK SC"/>
        <charset val="1"/>
      </rPr>
      <t>T.OLABO(2</t>
    </r>
    <r>
      <rPr>
        <sz val="10"/>
        <rFont val="DejaVu Sans"/>
        <family val="2"/>
      </rPr>
      <t>カ月分）</t>
    </r>
  </si>
  <si>
    <r>
      <rPr>
        <sz val="10"/>
        <rFont val="DejaVu Sans"/>
        <family val="2"/>
      </rPr>
      <t>富士企業（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</si>
  <si>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r>
      <rPr>
        <sz val="10"/>
        <rFont val="DejaVu Sans"/>
        <family val="2"/>
      </rPr>
      <t>あしたば（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ヶ月分）</t>
    </r>
  </si>
  <si>
    <t>ふくや</t>
  </si>
  <si>
    <t>カード枠回復入力 — モーテル</t>
  </si>
  <si>
    <t>入金入力 — ザック（黄色セルに入力 → 月次サマリーへ自動反映）</t>
  </si>
  <si>
    <r>
      <rPr>
        <b/>
        <sz val="14"/>
        <color rgb="FFFFFFFF"/>
        <rFont val="DejaVu Sans"/>
        <family val="2"/>
      </rPr>
      <t>支払予定一覧 — ザック（黄色セルに入力／請求書ファイルパスを</t>
    </r>
    <r>
      <rPr>
        <b/>
        <sz val="14"/>
        <color rgb="FFFFFFFF"/>
        <rFont val="DejaVu Sans"/>
        <family val="2"/>
        <charset val="1"/>
      </rPr>
      <t>O</t>
    </r>
    <r>
      <rPr>
        <b/>
        <sz val="14"/>
        <color rgb="FFFFFFFF"/>
        <rFont val="DejaVu Sans"/>
        <family val="2"/>
      </rPr>
      <t>列に貼付）</t>
    </r>
  </si>
  <si>
    <t>カード枠回復入力 — ザック</t>
  </si>
  <si>
    <t>入金入力 — ワールド・レイ（黄色セルに入力 → 月次サマリーへ自動反映）</t>
  </si>
  <si>
    <t>区分は資金繰り表の収入項目（参考）／本社の資金繰り表には反映しません</t>
  </si>
  <si>
    <r>
      <rPr>
        <b/>
        <sz val="14"/>
        <color rgb="FFFFFFFF"/>
        <rFont val="DejaVu Sans"/>
        <family val="2"/>
      </rPr>
      <t>支払予定一覧 — ワールド・レイ（黄色セルに入力／請求書ファイルパスを</t>
    </r>
    <r>
      <rPr>
        <b/>
        <sz val="14"/>
        <color rgb="FFFFFFFF"/>
        <rFont val="DejaVu Sans"/>
        <family val="2"/>
        <charset val="1"/>
      </rPr>
      <t>O</t>
    </r>
    <r>
      <rPr>
        <b/>
        <sz val="14"/>
        <color rgb="FFFFFFFF"/>
        <rFont val="DejaVu Sans"/>
        <family val="2"/>
      </rPr>
      <t>列に貼付）</t>
    </r>
  </si>
  <si>
    <r>
      <rPr>
        <i/>
        <sz val="9"/>
        <color rgb="FFC00000"/>
        <rFont val="DejaVu Sans"/>
        <family val="2"/>
      </rPr>
      <t>※ 支払予定日入力で月次サマリーへ自動反映／勘定科目→資金繰り表マッピング／</t>
    </r>
    <r>
      <rPr>
        <i/>
        <sz val="9"/>
        <color rgb="FFC00000"/>
        <rFont val="DejaVu Sans"/>
        <family val="2"/>
        <charset val="1"/>
      </rPr>
      <t>O</t>
    </r>
    <r>
      <rPr>
        <i/>
        <sz val="9"/>
        <color rgb="FFC00000"/>
        <rFont val="DejaVu Sans"/>
        <family val="2"/>
      </rPr>
      <t>列に</t>
    </r>
    <r>
      <rPr>
        <i/>
        <sz val="9"/>
        <color rgb="FFC00000"/>
        <rFont val="DejaVu Sans"/>
        <family val="2"/>
        <charset val="1"/>
      </rPr>
      <t>PDF</t>
    </r>
    <r>
      <rPr>
        <i/>
        <sz val="9"/>
        <color rgb="FFC00000"/>
        <rFont val="DejaVu Sans"/>
        <family val="2"/>
      </rPr>
      <t>のフルパス</t>
    </r>
  </si>
  <si>
    <t>カード枠回復入力 — ワールド・レイ</t>
  </si>
  <si>
    <t>入金入力 — ココ・ユニバース（黄色セルに入力 → 月次サマリーへ自動反映）</t>
  </si>
  <si>
    <r>
      <rPr>
        <b/>
        <sz val="14"/>
        <color rgb="FFFFFFFF"/>
        <rFont val="DejaVu Sans"/>
        <family val="2"/>
      </rPr>
      <t>支払予定一覧 — ココ・ユニバース（黄色セルに入力／請求書ファイルパスを</t>
    </r>
    <r>
      <rPr>
        <b/>
        <sz val="14"/>
        <color rgb="FFFFFFFF"/>
        <rFont val="DejaVu Sans"/>
        <family val="2"/>
        <charset val="1"/>
      </rPr>
      <t>O</t>
    </r>
    <r>
      <rPr>
        <b/>
        <sz val="14"/>
        <color rgb="FFFFFFFF"/>
        <rFont val="DejaVu Sans"/>
        <family val="2"/>
      </rPr>
      <t>列に貼付）</t>
    </r>
  </si>
  <si>
    <t>カード枠回復入力 — ココ・ユニバース</t>
  </si>
  <si>
    <r>
      <rPr>
        <b/>
        <sz val="14"/>
        <color rgb="FFFFFFFF"/>
        <rFont val="Noto Sans CJK SC"/>
        <charset val="1"/>
      </rPr>
      <t>5</t>
    </r>
    <r>
      <rPr>
        <b/>
        <sz val="14"/>
        <color rgb="FFFFFFFF"/>
        <rFont val="DejaVu Sans"/>
        <family val="2"/>
      </rPr>
      <t>月 日次キャッシュフロー — レジデンス</t>
    </r>
  </si>
  <si>
    <r>
      <rPr>
        <i/>
        <sz val="9"/>
        <color rgb="FFC00000"/>
        <rFont val="DejaVu Sans"/>
        <family val="2"/>
      </rPr>
      <t>入金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入金入力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レジデンス／支出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未払一覧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レジデンス（カード枠回復は除く）／使用可能額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累計差引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累計カード枠回復</t>
    </r>
  </si>
  <si>
    <t>日次差引（円）</t>
  </si>
  <si>
    <t>累計差引（円）</t>
  </si>
  <si>
    <t>使用可能額（円）</t>
  </si>
  <si>
    <t>土</t>
  </si>
  <si>
    <t>日</t>
  </si>
  <si>
    <r>
      <rPr>
        <b/>
        <sz val="11"/>
        <rFont val="Noto Sans CJK SC"/>
        <charset val="1"/>
      </rPr>
      <t>5</t>
    </r>
    <r>
      <rPr>
        <b/>
        <sz val="11"/>
        <rFont val="DejaVu Sans"/>
        <family val="2"/>
      </rPr>
      <t>月合計</t>
    </r>
  </si>
  <si>
    <t>当月合計</t>
  </si>
  <si>
    <r>
      <rPr>
        <b/>
        <sz val="14"/>
        <color rgb="FFFFFFFF"/>
        <rFont val="Noto Sans CJK SC"/>
        <charset val="1"/>
      </rPr>
      <t>6</t>
    </r>
    <r>
      <rPr>
        <b/>
        <sz val="14"/>
        <color rgb="FFFFFFFF"/>
        <rFont val="DejaVu Sans"/>
        <family val="2"/>
      </rPr>
      <t>月 日次キャッシュフロー — レジデンス</t>
    </r>
  </si>
  <si>
    <r>
      <rPr>
        <b/>
        <sz val="11"/>
        <rFont val="Noto Sans CJK SC"/>
        <charset val="1"/>
      </rPr>
      <t>6</t>
    </r>
    <r>
      <rPr>
        <b/>
        <sz val="11"/>
        <rFont val="DejaVu Sans"/>
        <family val="2"/>
      </rPr>
      <t>月合計</t>
    </r>
  </si>
  <si>
    <r>
      <rPr>
        <b/>
        <sz val="14"/>
        <color rgb="FFFFFFFF"/>
        <rFont val="Noto Sans CJK SC"/>
        <charset val="1"/>
      </rPr>
      <t>7</t>
    </r>
    <r>
      <rPr>
        <b/>
        <sz val="14"/>
        <color rgb="FFFFFFFF"/>
        <rFont val="DejaVu Sans"/>
        <family val="2"/>
      </rPr>
      <t>月 日次キャッシュフロー — レジデンス</t>
    </r>
  </si>
  <si>
    <r>
      <rPr>
        <b/>
        <sz val="11"/>
        <rFont val="Noto Sans CJK SC"/>
        <charset val="1"/>
      </rPr>
      <t>7</t>
    </r>
    <r>
      <rPr>
        <b/>
        <sz val="11"/>
        <rFont val="DejaVu Sans"/>
        <family val="2"/>
      </rPr>
      <t>月合計</t>
    </r>
  </si>
  <si>
    <r>
      <rPr>
        <b/>
        <sz val="14"/>
        <color rgb="FFFFFFFF"/>
        <rFont val="Noto Sans CJK SC"/>
        <charset val="1"/>
      </rPr>
      <t>8</t>
    </r>
    <r>
      <rPr>
        <b/>
        <sz val="14"/>
        <color rgb="FFFFFFFF"/>
        <rFont val="DejaVu Sans"/>
        <family val="2"/>
      </rPr>
      <t>月 日次キャッシュフロー — レジデンス</t>
    </r>
  </si>
  <si>
    <r>
      <rPr>
        <b/>
        <sz val="11"/>
        <rFont val="Noto Sans CJK SC"/>
        <charset val="1"/>
      </rPr>
      <t>8</t>
    </r>
    <r>
      <rPr>
        <b/>
        <sz val="11"/>
        <rFont val="DejaVu Sans"/>
        <family val="2"/>
      </rPr>
      <t>月合計</t>
    </r>
  </si>
  <si>
    <r>
      <rPr>
        <b/>
        <sz val="14"/>
        <color rgb="FFFFFFFF"/>
        <rFont val="Noto Sans CJK SC"/>
        <charset val="1"/>
      </rPr>
      <t>5</t>
    </r>
    <r>
      <rPr>
        <b/>
        <sz val="14"/>
        <color rgb="FFFFFFFF"/>
        <rFont val="DejaVu Sans"/>
        <family val="2"/>
      </rPr>
      <t>月 日次キャッシュフロー — リゾート</t>
    </r>
  </si>
  <si>
    <r>
      <rPr>
        <i/>
        <sz val="9"/>
        <color rgb="FFC00000"/>
        <rFont val="DejaVu Sans"/>
        <family val="2"/>
      </rPr>
      <t>入金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入金入力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リゾート／支出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未払一覧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リゾート（カード枠回復は除く）／使用可能額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累計差引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累計カード枠回復</t>
    </r>
  </si>
  <si>
    <r>
      <rPr>
        <b/>
        <sz val="14"/>
        <color rgb="FFFFFFFF"/>
        <rFont val="Noto Sans CJK SC"/>
        <charset val="1"/>
      </rPr>
      <t>6</t>
    </r>
    <r>
      <rPr>
        <b/>
        <sz val="14"/>
        <color rgb="FFFFFFFF"/>
        <rFont val="DejaVu Sans"/>
        <family val="2"/>
      </rPr>
      <t>月 日次キャッシュフロー — リゾート</t>
    </r>
  </si>
  <si>
    <r>
      <rPr>
        <b/>
        <sz val="14"/>
        <color rgb="FFFFFFFF"/>
        <rFont val="Noto Sans CJK SC"/>
        <charset val="1"/>
      </rPr>
      <t>7</t>
    </r>
    <r>
      <rPr>
        <b/>
        <sz val="14"/>
        <color rgb="FFFFFFFF"/>
        <rFont val="DejaVu Sans"/>
        <family val="2"/>
      </rPr>
      <t>月 日次キャッシュフロー — リゾート</t>
    </r>
  </si>
  <si>
    <r>
      <rPr>
        <b/>
        <sz val="14"/>
        <color rgb="FFFFFFFF"/>
        <rFont val="Noto Sans CJK SC"/>
        <charset val="1"/>
      </rPr>
      <t>8</t>
    </r>
    <r>
      <rPr>
        <b/>
        <sz val="14"/>
        <color rgb="FFFFFFFF"/>
        <rFont val="DejaVu Sans"/>
        <family val="2"/>
      </rPr>
      <t>月 日次キャッシュフロー — リゾート</t>
    </r>
  </si>
  <si>
    <r>
      <rPr>
        <b/>
        <sz val="14"/>
        <color rgb="FFFFFFFF"/>
        <rFont val="Noto Sans CJK SC"/>
        <charset val="1"/>
      </rPr>
      <t>5</t>
    </r>
    <r>
      <rPr>
        <b/>
        <sz val="14"/>
        <color rgb="FFFFFFFF"/>
        <rFont val="DejaVu Sans"/>
        <family val="2"/>
      </rPr>
      <t>月 日次キャッシュフロー — モーテル</t>
    </r>
  </si>
  <si>
    <r>
      <rPr>
        <i/>
        <sz val="9"/>
        <color rgb="FFC00000"/>
        <rFont val="DejaVu Sans"/>
        <family val="2"/>
      </rPr>
      <t>入金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入金入力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モーテル／支出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未払一覧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モーテル（カード枠回復は除く）／使用可能額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累計差引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累計カード枠回復</t>
    </r>
  </si>
  <si>
    <r>
      <rPr>
        <b/>
        <sz val="14"/>
        <color rgb="FFFFFFFF"/>
        <rFont val="Noto Sans CJK SC"/>
        <charset val="1"/>
      </rPr>
      <t>6</t>
    </r>
    <r>
      <rPr>
        <b/>
        <sz val="14"/>
        <color rgb="FFFFFFFF"/>
        <rFont val="DejaVu Sans"/>
        <family val="2"/>
      </rPr>
      <t>月 日次キャッシュフロー — モーテル</t>
    </r>
  </si>
  <si>
    <r>
      <rPr>
        <b/>
        <sz val="14"/>
        <color rgb="FFFFFFFF"/>
        <rFont val="Noto Sans CJK SC"/>
        <charset val="1"/>
      </rPr>
      <t>7</t>
    </r>
    <r>
      <rPr>
        <b/>
        <sz val="14"/>
        <color rgb="FFFFFFFF"/>
        <rFont val="DejaVu Sans"/>
        <family val="2"/>
      </rPr>
      <t>月 日次キャッシュフロー — モーテル</t>
    </r>
  </si>
  <si>
    <r>
      <rPr>
        <b/>
        <sz val="14"/>
        <color rgb="FFFFFFFF"/>
        <rFont val="Noto Sans CJK SC"/>
        <charset val="1"/>
      </rPr>
      <t>8</t>
    </r>
    <r>
      <rPr>
        <b/>
        <sz val="14"/>
        <color rgb="FFFFFFFF"/>
        <rFont val="DejaVu Sans"/>
        <family val="2"/>
      </rPr>
      <t>月 日次キャッシュフロー — モーテル</t>
    </r>
  </si>
  <si>
    <r>
      <rPr>
        <b/>
        <sz val="14"/>
        <color rgb="FFFFFFFF"/>
        <rFont val="Noto Sans CJK SC"/>
        <charset val="1"/>
      </rPr>
      <t>5</t>
    </r>
    <r>
      <rPr>
        <b/>
        <sz val="14"/>
        <color rgb="FFFFFFFF"/>
        <rFont val="DejaVu Sans"/>
        <family val="2"/>
      </rPr>
      <t>月 日次キャッシュフロー — ザック</t>
    </r>
  </si>
  <si>
    <r>
      <rPr>
        <i/>
        <sz val="9"/>
        <color rgb="FFC00000"/>
        <rFont val="DejaVu Sans"/>
        <family val="2"/>
      </rPr>
      <t>入金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入金入力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ザック／支出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未払一覧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ザック（カード枠回復は除く）／使用可能額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累計差引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累計カード枠回復</t>
    </r>
  </si>
  <si>
    <r>
      <rPr>
        <b/>
        <sz val="14"/>
        <color rgb="FFFFFFFF"/>
        <rFont val="Noto Sans CJK SC"/>
        <charset val="1"/>
      </rPr>
      <t>6</t>
    </r>
    <r>
      <rPr>
        <b/>
        <sz val="14"/>
        <color rgb="FFFFFFFF"/>
        <rFont val="DejaVu Sans"/>
        <family val="2"/>
      </rPr>
      <t>月 日次キャッシュフロー — ザック</t>
    </r>
  </si>
  <si>
    <r>
      <rPr>
        <b/>
        <sz val="14"/>
        <color rgb="FFFFFFFF"/>
        <rFont val="Noto Sans CJK SC"/>
        <charset val="1"/>
      </rPr>
      <t>7</t>
    </r>
    <r>
      <rPr>
        <b/>
        <sz val="14"/>
        <color rgb="FFFFFFFF"/>
        <rFont val="DejaVu Sans"/>
        <family val="2"/>
      </rPr>
      <t>月 日次キャッシュフロー — ザック</t>
    </r>
  </si>
  <si>
    <r>
      <rPr>
        <b/>
        <sz val="14"/>
        <color rgb="FFFFFFFF"/>
        <rFont val="Noto Sans CJK SC"/>
        <charset val="1"/>
      </rPr>
      <t>8</t>
    </r>
    <r>
      <rPr>
        <b/>
        <sz val="14"/>
        <color rgb="FFFFFFFF"/>
        <rFont val="DejaVu Sans"/>
        <family val="2"/>
      </rPr>
      <t>月 日次キャッシュフロー — ザック</t>
    </r>
  </si>
  <si>
    <r>
      <rPr>
        <b/>
        <sz val="14"/>
        <color rgb="FFFFFFFF"/>
        <rFont val="Noto Sans CJK SC"/>
        <charset val="1"/>
      </rPr>
      <t>5</t>
    </r>
    <r>
      <rPr>
        <b/>
        <sz val="14"/>
        <color rgb="FFFFFFFF"/>
        <rFont val="DejaVu Sans"/>
        <family val="2"/>
      </rPr>
      <t>月 日次キャッシュフロー — ワールド・レイ</t>
    </r>
  </si>
  <si>
    <r>
      <rPr>
        <i/>
        <sz val="9"/>
        <color rgb="FFC00000"/>
        <rFont val="DejaVu Sans"/>
        <family val="2"/>
      </rPr>
      <t>入金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入金入力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ワールド・レイ／支出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未払一覧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ワールド・レイ（カード枠回復は除く）／使用可能額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累計差引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累計カード枠回復</t>
    </r>
  </si>
  <si>
    <r>
      <rPr>
        <b/>
        <sz val="14"/>
        <color rgb="FFFFFFFF"/>
        <rFont val="Noto Sans CJK SC"/>
        <charset val="1"/>
      </rPr>
      <t>6</t>
    </r>
    <r>
      <rPr>
        <b/>
        <sz val="14"/>
        <color rgb="FFFFFFFF"/>
        <rFont val="DejaVu Sans"/>
        <family val="2"/>
      </rPr>
      <t>月 日次キャッシュフロー — ワールド・レイ</t>
    </r>
  </si>
  <si>
    <r>
      <rPr>
        <b/>
        <sz val="14"/>
        <color rgb="FFFFFFFF"/>
        <rFont val="Noto Sans CJK SC"/>
        <charset val="1"/>
      </rPr>
      <t>7</t>
    </r>
    <r>
      <rPr>
        <b/>
        <sz val="14"/>
        <color rgb="FFFFFFFF"/>
        <rFont val="DejaVu Sans"/>
        <family val="2"/>
      </rPr>
      <t>月 日次キャッシュフロー — ワールド・レイ</t>
    </r>
  </si>
  <si>
    <r>
      <rPr>
        <b/>
        <sz val="14"/>
        <color rgb="FFFFFFFF"/>
        <rFont val="Noto Sans CJK SC"/>
        <charset val="1"/>
      </rPr>
      <t>8</t>
    </r>
    <r>
      <rPr>
        <b/>
        <sz val="14"/>
        <color rgb="FFFFFFFF"/>
        <rFont val="DejaVu Sans"/>
        <family val="2"/>
      </rPr>
      <t>月 日次キャッシュフロー — ワールド・レイ</t>
    </r>
  </si>
  <si>
    <r>
      <rPr>
        <b/>
        <sz val="14"/>
        <color rgb="FFFFFFFF"/>
        <rFont val="Noto Sans CJK SC"/>
        <charset val="1"/>
      </rPr>
      <t>5</t>
    </r>
    <r>
      <rPr>
        <b/>
        <sz val="14"/>
        <color rgb="FFFFFFFF"/>
        <rFont val="DejaVu Sans"/>
        <family val="2"/>
      </rPr>
      <t>月 日次キャッシュフロー — ココ・ユニバース</t>
    </r>
  </si>
  <si>
    <r>
      <rPr>
        <i/>
        <sz val="9"/>
        <color rgb="FFC00000"/>
        <rFont val="DejaVu Sans"/>
        <family val="2"/>
      </rPr>
      <t>入金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入金入力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ココ・ユニバース／支出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未払一覧</t>
    </r>
    <r>
      <rPr>
        <i/>
        <sz val="9"/>
        <color rgb="FFC00000"/>
        <rFont val="DejaVu Sans"/>
        <family val="2"/>
        <charset val="1"/>
      </rPr>
      <t>_</t>
    </r>
    <r>
      <rPr>
        <i/>
        <sz val="9"/>
        <color rgb="FFC00000"/>
        <rFont val="DejaVu Sans"/>
        <family val="2"/>
      </rPr>
      <t>ココ・ユニバース（カード枠回復は除く）／使用可能額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累計差引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累計カード枠回復</t>
    </r>
  </si>
  <si>
    <r>
      <rPr>
        <b/>
        <sz val="14"/>
        <color rgb="FFFFFFFF"/>
        <rFont val="Noto Sans CJK SC"/>
        <charset val="1"/>
      </rPr>
      <t>6</t>
    </r>
    <r>
      <rPr>
        <b/>
        <sz val="14"/>
        <color rgb="FFFFFFFF"/>
        <rFont val="DejaVu Sans"/>
        <family val="2"/>
      </rPr>
      <t>月 日次キャッシュフロー — ココ・ユニバース</t>
    </r>
  </si>
  <si>
    <r>
      <rPr>
        <b/>
        <sz val="14"/>
        <color rgb="FFFFFFFF"/>
        <rFont val="Noto Sans CJK SC"/>
        <charset val="1"/>
      </rPr>
      <t>7</t>
    </r>
    <r>
      <rPr>
        <b/>
        <sz val="14"/>
        <color rgb="FFFFFFFF"/>
        <rFont val="DejaVu Sans"/>
        <family val="2"/>
      </rPr>
      <t>月 日次キャッシュフロー — ココ・ユニバース</t>
    </r>
  </si>
  <si>
    <r>
      <rPr>
        <b/>
        <sz val="14"/>
        <color rgb="FFFFFFFF"/>
        <rFont val="Noto Sans CJK SC"/>
        <charset val="1"/>
      </rPr>
      <t>8</t>
    </r>
    <r>
      <rPr>
        <b/>
        <sz val="14"/>
        <color rgb="FFFFFFFF"/>
        <rFont val="DejaVu Sans"/>
        <family val="2"/>
      </rPr>
      <t>月 日次キャッシュフロー — ココ・ユニバース</t>
    </r>
  </si>
  <si>
    <t>資金繰り表</t>
  </si>
  <si>
    <t>商号・屋号：</t>
  </si>
  <si>
    <t xml:space="preserve">　    </t>
  </si>
  <si>
    <t xml:space="preserve"> 作成日：令和</t>
  </si>
  <si>
    <t>年</t>
  </si>
  <si>
    <t>単位：千円</t>
  </si>
  <si>
    <t>売上高</t>
  </si>
  <si>
    <t>仕入（外注費含む）</t>
  </si>
  <si>
    <t>月初繰越残高（Ａ）</t>
  </si>
  <si>
    <t>経
常
収
支</t>
  </si>
  <si>
    <t>収
入</t>
  </si>
  <si>
    <t>売
上</t>
  </si>
  <si>
    <t>売掛金回収</t>
  </si>
  <si>
    <t>手形入金</t>
  </si>
  <si>
    <t>その他収入</t>
  </si>
  <si>
    <t>　計（Ｂ）</t>
  </si>
  <si>
    <t>支
出</t>
  </si>
  <si>
    <t>仕
入</t>
  </si>
  <si>
    <t>現金仕入</t>
  </si>
  <si>
    <t>手形決済</t>
  </si>
  <si>
    <t>経
費</t>
  </si>
  <si>
    <t>　計（Ｃ）</t>
  </si>
  <si>
    <t>差引過不足（Ｄ＝Ｂ－Ｃ）</t>
  </si>
  <si>
    <t>財
務
・
投
資</t>
  </si>
  <si>
    <t>借入金</t>
  </si>
  <si>
    <t>設備売却等</t>
  </si>
  <si>
    <t>　計（Ｅ）</t>
  </si>
  <si>
    <t>借入金返済</t>
  </si>
  <si>
    <t>設備購入等</t>
  </si>
  <si>
    <t>　計（Ｆ）</t>
  </si>
  <si>
    <t>計（Ｇ＝Ｅ－Ｆ）</t>
  </si>
  <si>
    <t>次月繰越金（Ｈ＝Ａ＋Ｄ＋Ｇ）</t>
  </si>
  <si>
    <t>株式会社グローバルリゾートレジデンス</t>
  </si>
  <si>
    <t>株式会社グローバルリゾート・モーテル東京</t>
  </si>
  <si>
    <t>グローバルザック株式会社</t>
  </si>
  <si>
    <t>済</t>
    <rPh sb="0" eb="1">
      <t>スミ</t>
    </rPh>
    <phoneticPr fontId="4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</si>
</sst>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\-"/>
    <numFmt numFmtId="177" formatCode="#,##0_);[Red]\(#,##0\)"/>
  </numFmts>
  <fonts count="47">
    <font>
      <sz val="11"/>
      <color theme="1"/>
      <name val="Calibri"/>
      <family val="2"/>
      <charset val="1"/>
    </font>
    <font>
      <b/>
      <sz val="14"/>
      <color rgb="FFFFFFFF"/>
      <name val="DejaVu Sans"/>
      <family val="2"/>
    </font>
    <font>
      <b/>
      <sz val="11"/>
      <color rgb="FF1F4E78"/>
      <name val="DejaVu Sans"/>
      <family val="2"/>
    </font>
    <font>
      <b/>
      <sz val="10"/>
      <color rgb="FF1F4E78"/>
      <name val="DejaVu Sans"/>
      <family val="2"/>
    </font>
    <font>
      <b/>
      <sz val="10"/>
      <color rgb="FF1F4E78"/>
      <name val="DejaVu Sans"/>
      <family val="2"/>
      <charset val="1"/>
    </font>
    <font>
      <sz val="10"/>
      <name val="DejaVu Sans"/>
      <family val="2"/>
    </font>
    <font>
      <sz val="10"/>
      <name val="DejaVu Sans"/>
      <family val="2"/>
      <charset val="1"/>
    </font>
    <font>
      <b/>
      <sz val="10"/>
      <color rgb="FF1F4E78"/>
      <name val="Noto Sans CJK SC"/>
      <charset val="1"/>
    </font>
    <font>
      <b/>
      <sz val="14"/>
      <color rgb="FFFFFFFF"/>
      <name val="DejaVu Sans"/>
      <family val="2"/>
      <charset val="1"/>
    </font>
    <font>
      <i/>
      <sz val="10"/>
      <color rgb="FF666666"/>
      <name val="Noto Sans CJK SC"/>
      <charset val="1"/>
    </font>
    <font>
      <i/>
      <sz val="10"/>
      <color rgb="FF666666"/>
      <name val="DejaVu Sans"/>
      <family val="2"/>
    </font>
    <font>
      <b/>
      <sz val="12"/>
      <color rgb="FFFFFFFF"/>
      <name val="DejaVu Sans"/>
      <family val="2"/>
    </font>
    <font>
      <b/>
      <sz val="12"/>
      <color rgb="FFFFFFFF"/>
      <name val="DejaVu Sans"/>
      <family val="2"/>
      <charset val="1"/>
    </font>
    <font>
      <b/>
      <sz val="10"/>
      <color rgb="FFFFFFFF"/>
      <name val="DejaVu Sans"/>
      <family val="2"/>
    </font>
    <font>
      <sz val="10"/>
      <name val="Noto Sans CJK SC"/>
      <charset val="1"/>
    </font>
    <font>
      <sz val="10"/>
      <name val="メイリオ"/>
      <family val="3"/>
      <charset val="128"/>
    </font>
    <font>
      <b/>
      <sz val="11"/>
      <name val="Noto Sans CJK SC"/>
      <charset val="1"/>
    </font>
    <font>
      <b/>
      <sz val="11"/>
      <name val="DejaVu Sans"/>
      <family val="2"/>
    </font>
    <font>
      <b/>
      <sz val="10"/>
      <color rgb="FFFFFFFF"/>
      <name val="Noto Sans CJK SC"/>
      <charset val="1"/>
    </font>
    <font>
      <sz val="10"/>
      <color rgb="FF0000FF"/>
      <name val="DejaVu Sans"/>
      <family val="2"/>
    </font>
    <font>
      <sz val="10"/>
      <color rgb="FF0000FF"/>
      <name val="メイリオ"/>
      <family val="3"/>
      <charset val="128"/>
    </font>
    <font>
      <i/>
      <sz val="9"/>
      <color rgb="FFC00000"/>
      <name val="DejaVu Sans"/>
      <family val="2"/>
    </font>
    <font>
      <b/>
      <sz val="9"/>
      <name val="DejaVu Sans"/>
      <family val="2"/>
    </font>
    <font>
      <b/>
      <sz val="9"/>
      <name val="DejaVu Sans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DejaVu Sans"/>
      <family val="2"/>
      <charset val="1"/>
    </font>
    <font>
      <i/>
      <sz val="9"/>
      <color rgb="FFC00000"/>
      <name val="DejaVu Sans"/>
      <family val="2"/>
      <charset val="1"/>
    </font>
    <font>
      <b/>
      <sz val="10"/>
      <name val="メイリオ"/>
      <family val="3"/>
      <charset val="128"/>
    </font>
    <font>
      <b/>
      <sz val="10"/>
      <name val="DejaVu Sans"/>
      <family val="2"/>
    </font>
    <font>
      <i/>
      <sz val="10"/>
      <color rgb="FF888888"/>
      <name val="DejaVu Sans"/>
      <family val="2"/>
    </font>
    <font>
      <i/>
      <sz val="10"/>
      <color rgb="FF888888"/>
      <name val="Noto Sans CJK SC"/>
      <charset val="1"/>
    </font>
    <font>
      <b/>
      <sz val="10"/>
      <color rgb="FFFFFFFF"/>
      <name val="DejaVu Sans"/>
      <family val="2"/>
      <charset val="1"/>
    </font>
    <font>
      <sz val="10"/>
      <color rgb="FF0000FF"/>
      <name val="DejaVu Sans"/>
      <family val="2"/>
      <charset val="1"/>
    </font>
    <font>
      <b/>
      <sz val="10"/>
      <name val="Noto Sans CJK SC"/>
      <charset val="1"/>
    </font>
    <font>
      <b/>
      <sz val="14"/>
      <color rgb="FFFFFFFF"/>
      <name val="Noto Sans CJK SC"/>
      <charset val="1"/>
    </font>
    <font>
      <sz val="9"/>
      <color rgb="FF888888"/>
      <name val="メイリオ"/>
      <family val="3"/>
      <charset val="128"/>
    </font>
    <font>
      <sz val="9"/>
      <color rgb="FF888888"/>
      <name val="DejaVu Sans"/>
      <family val="2"/>
    </font>
    <font>
      <b/>
      <sz val="20"/>
      <color theme="1"/>
      <name val="DejaVu Sans"/>
      <family val="2"/>
    </font>
    <font>
      <sz val="14"/>
      <color theme="1"/>
      <name val="DejaVu Sans"/>
      <family val="2"/>
    </font>
    <font>
      <sz val="11"/>
      <color theme="1"/>
      <name val="Meiryo"/>
      <family val="3"/>
      <charset val="128"/>
    </font>
    <font>
      <sz val="12"/>
      <color theme="1"/>
      <name val="Meiryo"/>
      <family val="3"/>
      <charset val="128"/>
    </font>
    <font>
      <sz val="12"/>
      <color theme="1"/>
      <name val="DejaVu Sans"/>
      <family val="2"/>
    </font>
    <font>
      <u/>
      <sz val="11"/>
      <color theme="1"/>
      <name val="Meiryo"/>
      <family val="3"/>
      <charset val="128"/>
    </font>
    <font>
      <sz val="11"/>
      <color theme="1"/>
      <name val="DejaVu Sans"/>
      <family val="2"/>
    </font>
    <font>
      <sz val="16"/>
      <color theme="1"/>
      <name val="Meiryo"/>
      <family val="3"/>
      <charset val="128"/>
    </font>
    <font>
      <sz val="11"/>
      <color theme="1"/>
      <name val="Calibri"/>
      <family val="2"/>
    </font>
    <font>
      <sz val="6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AD3"/>
      </patternFill>
    </fill>
    <fill>
      <patternFill patternType="solid">
        <fgColor rgb="FFD9E1F2"/>
        <bgColor rgb="FFCFE2F3"/>
      </patternFill>
    </fill>
    <fill>
      <patternFill patternType="solid">
        <fgColor rgb="FFFFE699"/>
        <bgColor rgb="FFFCE5CD"/>
      </patternFill>
    </fill>
    <fill>
      <patternFill patternType="solid">
        <fgColor rgb="FF6FA8DC"/>
        <bgColor rgb="FFA4C2F4"/>
      </patternFill>
    </fill>
    <fill>
      <patternFill patternType="solid">
        <fgColor rgb="FF93C47D"/>
        <bgColor rgb="FFA4C2F4"/>
      </patternFill>
    </fill>
    <fill>
      <patternFill patternType="solid">
        <fgColor rgb="FFE69138"/>
        <bgColor rgb="FFF6B26B"/>
      </patternFill>
    </fill>
    <fill>
      <patternFill patternType="solid">
        <fgColor rgb="FFB45F06"/>
        <bgColor rgb="FFE06666"/>
      </patternFill>
    </fill>
    <fill>
      <patternFill patternType="solid">
        <fgColor rgb="FF8E7CC3"/>
        <bgColor rgb="FF888888"/>
      </patternFill>
    </fill>
    <fill>
      <patternFill patternType="solid">
        <fgColor rgb="FFD5A6BD"/>
        <bgColor rgb="FFF6B26B"/>
      </patternFill>
    </fill>
    <fill>
      <patternFill patternType="solid">
        <fgColor rgb="FFFFFFCC"/>
        <bgColor rgb="FFFFF2CC"/>
      </patternFill>
    </fill>
    <fill>
      <patternFill patternType="solid">
        <fgColor rgb="FFE06666"/>
        <bgColor rgb="FFE69138"/>
      </patternFill>
    </fill>
    <fill>
      <patternFill patternType="solid">
        <fgColor rgb="FFF6B26B"/>
        <bgColor rgb="FFE69138"/>
      </patternFill>
    </fill>
    <fill>
      <patternFill patternType="solid">
        <fgColor rgb="FFA4C2F4"/>
        <bgColor rgb="FFCFE2F3"/>
      </patternFill>
    </fill>
    <fill>
      <patternFill patternType="solid">
        <fgColor rgb="FFFFF2CC"/>
        <bgColor rgb="FFFEF2CB"/>
      </patternFill>
    </fill>
    <fill>
      <patternFill patternType="solid">
        <fgColor rgb="FFC6EFCE"/>
        <bgColor rgb="FFD9EAD3"/>
      </patternFill>
    </fill>
    <fill>
      <patternFill patternType="solid">
        <fgColor rgb="FFFCE4D6"/>
        <bgColor rgb="FFFCE5CD"/>
      </patternFill>
    </fill>
    <fill>
      <patternFill patternType="solid">
        <fgColor rgb="FFEEEEEE"/>
        <bgColor rgb="FFE3F0FB"/>
      </patternFill>
    </fill>
    <fill>
      <patternFill patternType="solid">
        <fgColor rgb="FFE3F0FB"/>
        <bgColor rgb="FFDEEAF6"/>
      </patternFill>
    </fill>
    <fill>
      <patternFill patternType="solid">
        <fgColor rgb="FFFCE4E4"/>
        <bgColor rgb="FFFCE4D6"/>
      </patternFill>
    </fill>
    <fill>
      <patternFill patternType="solid">
        <fgColor theme="0"/>
        <bgColor rgb="FFFFFFCC"/>
      </patternFill>
    </fill>
    <fill>
      <patternFill patternType="solid">
        <fgColor rgb="FFFEF2CB"/>
        <bgColor rgb="FFFFF2CC"/>
      </patternFill>
    </fill>
    <fill>
      <patternFill patternType="solid">
        <fgColor rgb="FFDEEAF6"/>
        <bgColor rgb="FFE3F0FB"/>
      </patternFill>
    </fill>
  </fills>
  <borders count="27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7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right" vertical="center"/>
    </xf>
    <xf numFmtId="176" fontId="15" fillId="3" borderId="1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center" vertical="center" wrapText="1"/>
    </xf>
    <xf numFmtId="176" fontId="16" fillId="5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9" fillId="8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14" fontId="20" fillId="12" borderId="1" xfId="0" applyNumberFormat="1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center" wrapText="1"/>
    </xf>
    <xf numFmtId="176" fontId="20" fillId="12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4" fillId="13" borderId="0" xfId="0" applyFont="1" applyFill="1" applyAlignment="1">
      <alignment horizontal="center" vertical="center" wrapText="1"/>
    </xf>
    <xf numFmtId="0" fontId="24" fillId="14" borderId="0" xfId="0" applyFont="1" applyFill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15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76" fontId="27" fillId="16" borderId="1" xfId="0" applyNumberFormat="1" applyFont="1" applyFill="1" applyBorder="1" applyAlignment="1">
      <alignment horizontal="right" vertical="center"/>
    </xf>
    <xf numFmtId="0" fontId="28" fillId="0" borderId="1" xfId="0" applyFont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176" fontId="16" fillId="17" borderId="1" xfId="0" applyNumberFormat="1" applyFont="1" applyFill="1" applyBorder="1" applyAlignment="1">
      <alignment horizontal="right" vertical="center"/>
    </xf>
    <xf numFmtId="0" fontId="16" fillId="17" borderId="1" xfId="0" applyFont="1" applyFill="1" applyBorder="1" applyAlignment="1">
      <alignment horizontal="right" vertical="center"/>
    </xf>
    <xf numFmtId="0" fontId="16" fillId="18" borderId="1" xfId="0" applyFont="1" applyFill="1" applyBorder="1" applyAlignment="1">
      <alignment horizontal="center" vertical="center"/>
    </xf>
    <xf numFmtId="176" fontId="16" fillId="18" borderId="1" xfId="0" applyNumberFormat="1" applyFont="1" applyFill="1" applyBorder="1" applyAlignment="1">
      <alignment horizontal="right" vertical="center"/>
    </xf>
    <xf numFmtId="0" fontId="16" fillId="18" borderId="1" xfId="0" applyFont="1" applyFill="1" applyBorder="1" applyAlignment="1">
      <alignment horizontal="right" vertical="center"/>
    </xf>
    <xf numFmtId="0" fontId="30" fillId="19" borderId="1" xfId="0" applyFont="1" applyFill="1" applyBorder="1" applyAlignment="1">
      <alignment horizontal="center" vertical="center"/>
    </xf>
    <xf numFmtId="176" fontId="30" fillId="19" borderId="1" xfId="0" applyNumberFormat="1" applyFont="1" applyFill="1" applyBorder="1" applyAlignment="1">
      <alignment horizontal="right" vertical="center"/>
    </xf>
    <xf numFmtId="0" fontId="30" fillId="19" borderId="1" xfId="0" applyFont="1" applyFill="1" applyBorder="1" applyAlignment="1">
      <alignment horizontal="right" vertical="center"/>
    </xf>
    <xf numFmtId="0" fontId="19" fillId="1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76" fontId="27" fillId="4" borderId="1" xfId="0" applyNumberFormat="1" applyFont="1" applyFill="1" applyBorder="1" applyAlignment="1">
      <alignment horizontal="right" vertical="center"/>
    </xf>
    <xf numFmtId="0" fontId="35" fillId="0" borderId="1" xfId="0" applyFont="1" applyBorder="1" applyAlignment="1">
      <alignment horizontal="left" vertical="center"/>
    </xf>
    <xf numFmtId="14" fontId="14" fillId="20" borderId="1" xfId="0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4" fontId="14" fillId="21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38" fillId="22" borderId="0" xfId="0" applyFont="1" applyFill="1" applyAlignment="1">
      <alignment vertical="center"/>
    </xf>
    <xf numFmtId="0" fontId="39" fillId="22" borderId="0" xfId="0" applyFont="1" applyFill="1" applyAlignment="1">
      <alignment horizontal="center" vertical="center"/>
    </xf>
    <xf numFmtId="0" fontId="40" fillId="22" borderId="0" xfId="0" applyFont="1" applyFill="1" applyAlignment="1">
      <alignment vertical="center" shrinkToFit="1"/>
    </xf>
    <xf numFmtId="0" fontId="41" fillId="22" borderId="0" xfId="0" applyFont="1" applyFill="1" applyAlignment="1">
      <alignment vertical="center"/>
    </xf>
    <xf numFmtId="0" fontId="40" fillId="23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22" borderId="0" xfId="0" applyFont="1" applyFill="1" applyAlignment="1">
      <alignment vertical="center"/>
    </xf>
    <xf numFmtId="0" fontId="39" fillId="22" borderId="0" xfId="0" applyFont="1" applyFill="1" applyAlignment="1">
      <alignment vertical="center"/>
    </xf>
    <xf numFmtId="0" fontId="39" fillId="22" borderId="0" xfId="0" applyFont="1" applyFill="1" applyAlignment="1">
      <alignment horizontal="right" vertical="center"/>
    </xf>
    <xf numFmtId="0" fontId="39" fillId="22" borderId="4" xfId="0" applyFont="1" applyFill="1" applyBorder="1" applyAlignment="1">
      <alignment horizontal="right" vertical="center" wrapText="1"/>
    </xf>
    <xf numFmtId="0" fontId="43" fillId="22" borderId="5" xfId="0" applyFont="1" applyFill="1" applyBorder="1" applyAlignment="1">
      <alignment horizontal="right" vertical="center" wrapText="1"/>
    </xf>
    <xf numFmtId="0" fontId="39" fillId="0" borderId="4" xfId="0" applyFont="1" applyBorder="1" applyAlignment="1">
      <alignment horizontal="right" vertical="center" wrapText="1"/>
    </xf>
    <xf numFmtId="0" fontId="39" fillId="0" borderId="4" xfId="0" applyFont="1" applyBorder="1" applyAlignment="1">
      <alignment vertical="center" wrapText="1"/>
    </xf>
    <xf numFmtId="0" fontId="43" fillId="22" borderId="6" xfId="0" applyFont="1" applyFill="1" applyBorder="1" applyAlignment="1">
      <alignment horizontal="right" vertical="center" wrapText="1"/>
    </xf>
    <xf numFmtId="0" fontId="4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9" fillId="1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34" fillId="6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34" fillId="7" borderId="0" xfId="0" applyFont="1" applyFill="1" applyAlignment="1">
      <alignment horizontal="center" vertical="center" wrapText="1"/>
    </xf>
    <xf numFmtId="0" fontId="34" fillId="8" borderId="0" xfId="0" applyFont="1" applyFill="1" applyAlignment="1">
      <alignment horizontal="center" vertical="center" wrapText="1"/>
    </xf>
    <xf numFmtId="0" fontId="34" fillId="9" borderId="0" xfId="0" applyFont="1" applyFill="1" applyAlignment="1">
      <alignment horizontal="center" vertical="center" wrapText="1"/>
    </xf>
    <xf numFmtId="0" fontId="34" fillId="10" borderId="0" xfId="0" applyFont="1" applyFill="1" applyAlignment="1">
      <alignment horizontal="center" vertical="center" wrapText="1"/>
    </xf>
    <xf numFmtId="0" fontId="34" fillId="11" borderId="0" xfId="0" applyFont="1" applyFill="1" applyAlignment="1">
      <alignment horizontal="center" vertical="center" wrapText="1"/>
    </xf>
    <xf numFmtId="177" fontId="39" fillId="23" borderId="10" xfId="0" applyNumberFormat="1" applyFont="1" applyFill="1" applyBorder="1" applyAlignment="1">
      <alignment vertical="center"/>
    </xf>
    <xf numFmtId="0" fontId="37" fillId="22" borderId="0" xfId="0" applyFont="1" applyFill="1" applyAlignment="1">
      <alignment horizontal="center" vertical="center"/>
    </xf>
    <xf numFmtId="0" fontId="38" fillId="23" borderId="2" xfId="0" applyFont="1" applyFill="1" applyBorder="1" applyAlignment="1">
      <alignment horizontal="left" vertical="center"/>
    </xf>
    <xf numFmtId="0" fontId="41" fillId="22" borderId="2" xfId="0" applyFont="1" applyFill="1" applyBorder="1" applyAlignment="1">
      <alignment horizontal="right" vertical="center"/>
    </xf>
    <xf numFmtId="0" fontId="39" fillId="0" borderId="3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top"/>
    </xf>
    <xf numFmtId="176" fontId="39" fillId="23" borderId="8" xfId="0" applyNumberFormat="1" applyFont="1" applyFill="1" applyBorder="1" applyAlignment="1">
      <alignment vertical="center"/>
    </xf>
    <xf numFmtId="0" fontId="43" fillId="22" borderId="11" xfId="0" applyFont="1" applyFill="1" applyBorder="1" applyAlignment="1">
      <alignment horizontal="center" vertical="top"/>
    </xf>
    <xf numFmtId="176" fontId="27" fillId="23" borderId="12" xfId="0" applyNumberFormat="1" applyFont="1" applyFill="1" applyBorder="1" applyAlignment="1">
      <alignment vertical="center"/>
    </xf>
    <xf numFmtId="176" fontId="27" fillId="24" borderId="12" xfId="0" applyNumberFormat="1" applyFont="1" applyFill="1" applyBorder="1" applyAlignment="1">
      <alignment vertical="center"/>
    </xf>
    <xf numFmtId="176" fontId="27" fillId="24" borderId="13" xfId="0" applyNumberFormat="1" applyFont="1" applyFill="1" applyBorder="1" applyAlignment="1">
      <alignment vertical="center"/>
    </xf>
    <xf numFmtId="0" fontId="43" fillId="0" borderId="9" xfId="0" applyFont="1" applyBorder="1" applyAlignment="1">
      <alignment horizontal="center" vertical="top"/>
    </xf>
    <xf numFmtId="0" fontId="43" fillId="24" borderId="14" xfId="0" applyFont="1" applyFill="1" applyBorder="1" applyAlignment="1">
      <alignment horizontal="center" vertical="center" wrapText="1"/>
    </xf>
    <xf numFmtId="0" fontId="43" fillId="24" borderId="15" xfId="0" applyFont="1" applyFill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top"/>
    </xf>
    <xf numFmtId="176" fontId="15" fillId="23" borderId="16" xfId="0" applyNumberFormat="1" applyFont="1" applyFill="1" applyBorder="1" applyAlignment="1">
      <alignment horizontal="right" vertical="center"/>
    </xf>
    <xf numFmtId="177" fontId="39" fillId="23" borderId="16" xfId="0" applyNumberFormat="1" applyFont="1" applyFill="1" applyBorder="1" applyAlignment="1">
      <alignment vertical="center"/>
    </xf>
    <xf numFmtId="0" fontId="43" fillId="0" borderId="8" xfId="0" applyFont="1" applyBorder="1" applyAlignment="1">
      <alignment horizontal="center" vertical="top"/>
    </xf>
    <xf numFmtId="176" fontId="15" fillId="23" borderId="8" xfId="0" applyNumberFormat="1" applyFont="1" applyFill="1" applyBorder="1" applyAlignment="1">
      <alignment horizontal="right" vertical="center"/>
    </xf>
    <xf numFmtId="177" fontId="39" fillId="23" borderId="8" xfId="0" applyNumberFormat="1" applyFont="1" applyFill="1" applyBorder="1" applyAlignment="1">
      <alignment vertical="center"/>
    </xf>
    <xf numFmtId="0" fontId="43" fillId="24" borderId="18" xfId="0" applyFont="1" applyFill="1" applyBorder="1" applyAlignment="1">
      <alignment horizontal="center" vertical="top"/>
    </xf>
    <xf numFmtId="176" fontId="27" fillId="24" borderId="8" xfId="0" applyNumberFormat="1" applyFont="1" applyFill="1" applyBorder="1" applyAlignment="1">
      <alignment vertical="center"/>
    </xf>
    <xf numFmtId="177" fontId="39" fillId="23" borderId="17" xfId="0" applyNumberFormat="1" applyFont="1" applyFill="1" applyBorder="1" applyAlignment="1">
      <alignment vertical="center"/>
    </xf>
    <xf numFmtId="176" fontId="27" fillId="24" borderId="17" xfId="0" applyNumberFormat="1" applyFont="1" applyFill="1" applyBorder="1" applyAlignment="1">
      <alignment vertical="center"/>
    </xf>
    <xf numFmtId="0" fontId="43" fillId="24" borderId="19" xfId="0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24" borderId="21" xfId="0" applyFont="1" applyFill="1" applyBorder="1" applyAlignment="1">
      <alignment horizontal="center" vertical="top"/>
    </xf>
    <xf numFmtId="176" fontId="27" fillId="24" borderId="22" xfId="0" applyNumberFormat="1" applyFont="1" applyFill="1" applyBorder="1" applyAlignment="1">
      <alignment vertical="center"/>
    </xf>
    <xf numFmtId="0" fontId="43" fillId="24" borderId="8" xfId="0" applyFont="1" applyFill="1" applyBorder="1" applyAlignment="1">
      <alignment horizontal="center" vertical="top"/>
    </xf>
    <xf numFmtId="176" fontId="39" fillId="24" borderId="8" xfId="0" applyNumberFormat="1" applyFont="1" applyFill="1" applyBorder="1" applyAlignment="1">
      <alignment vertical="center"/>
    </xf>
    <xf numFmtId="176" fontId="39" fillId="24" borderId="17" xfId="0" applyNumberFormat="1" applyFont="1" applyFill="1" applyBorder="1" applyAlignment="1">
      <alignment vertical="center"/>
    </xf>
    <xf numFmtId="0" fontId="44" fillId="0" borderId="24" xfId="0" applyFont="1" applyBorder="1" applyAlignment="1">
      <alignment horizontal="right" vertical="center"/>
    </xf>
    <xf numFmtId="176" fontId="27" fillId="24" borderId="23" xfId="0" applyNumberFormat="1" applyFont="1" applyFill="1" applyBorder="1" applyAlignment="1">
      <alignment vertical="center"/>
    </xf>
    <xf numFmtId="0" fontId="43" fillId="24" borderId="11" xfId="0" applyFont="1" applyFill="1" applyBorder="1" applyAlignment="1">
      <alignment horizontal="center" vertical="top"/>
    </xf>
    <xf numFmtId="0" fontId="43" fillId="24" borderId="20" xfId="0" applyFont="1" applyFill="1" applyBorder="1" applyAlignment="1">
      <alignment horizontal="center" vertical="center" wrapText="1"/>
    </xf>
    <xf numFmtId="176" fontId="39" fillId="23" borderId="17" xfId="0" applyNumberFormat="1" applyFont="1" applyFill="1" applyBorder="1" applyAlignment="1">
      <alignment vertical="center"/>
    </xf>
    <xf numFmtId="177" fontId="39" fillId="23" borderId="10" xfId="0" applyNumberFormat="1" applyFont="1" applyFill="1" applyBorder="1" applyAlignment="1">
      <alignment vertical="center" wrapText="1"/>
    </xf>
    <xf numFmtId="177" fontId="39" fillId="23" borderId="25" xfId="0" applyNumberFormat="1" applyFont="1" applyFill="1" applyBorder="1" applyAlignment="1">
      <alignment vertical="center"/>
    </xf>
    <xf numFmtId="177" fontId="39" fillId="23" borderId="26" xfId="0" applyNumberFormat="1" applyFont="1" applyFill="1" applyBorder="1" applyAlignment="1">
      <alignment vertical="center"/>
    </xf>
  </cellXfs>
  <cellStyles count="1">
    <cellStyle name="標準" xfId="0" builtinId="0"/>
  </cellStyles>
  <dxfs count="60">
    <dxf>
      <font>
        <b/>
        <sz val="10"/>
        <color rgb="FFFFFFFF"/>
        <name val="Noto Sans CJK SC"/>
        <charset val="1"/>
      </font>
      <fill>
        <patternFill>
          <bgColor rgb="FFA4C2F4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93C47D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F6B26B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E06666"/>
        </patternFill>
      </fill>
    </dxf>
    <dxf>
      <font>
        <i/>
        <strike/>
        <sz val="10"/>
        <color rgb="FFCC0000"/>
        <name val="メイリオ"/>
        <charset val="1"/>
      </font>
      <fill>
        <patternFill>
          <bgColor rgb="FFEEEEEE"/>
        </patternFill>
      </fill>
    </dxf>
    <dxf>
      <font>
        <strike/>
        <sz val="10"/>
        <color rgb="FF888888"/>
        <name val="メイリオ"/>
        <charset val="1"/>
      </font>
      <fill>
        <patternFill>
          <bgColor rgb="FFD9D9D9"/>
        </patternFill>
      </fill>
    </dxf>
    <dxf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8D7DA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A4C2F4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93C47D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F6B26B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E06666"/>
        </patternFill>
      </fill>
    </dxf>
    <dxf>
      <font>
        <i/>
        <strike/>
        <sz val="10"/>
        <color rgb="FFCC0000"/>
        <name val="メイリオ"/>
        <charset val="1"/>
      </font>
      <fill>
        <patternFill>
          <bgColor rgb="FFEEEEEE"/>
        </patternFill>
      </fill>
    </dxf>
    <dxf>
      <font>
        <strike/>
        <sz val="10"/>
        <color rgb="FF888888"/>
        <name val="メイリオ"/>
        <charset val="1"/>
      </font>
      <fill>
        <patternFill>
          <bgColor rgb="FFD9D9D9"/>
        </patternFill>
      </fill>
    </dxf>
    <dxf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8D7DA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A4C2F4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93C47D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F6B26B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E06666"/>
        </patternFill>
      </fill>
    </dxf>
    <dxf>
      <font>
        <i/>
        <strike/>
        <sz val="10"/>
        <color rgb="FFCC0000"/>
        <name val="メイリオ"/>
        <charset val="1"/>
      </font>
      <fill>
        <patternFill>
          <bgColor rgb="FFEEEEEE"/>
        </patternFill>
      </fill>
    </dxf>
    <dxf>
      <font>
        <strike/>
        <sz val="10"/>
        <color rgb="FF888888"/>
        <name val="メイリオ"/>
        <charset val="1"/>
      </font>
      <fill>
        <patternFill>
          <bgColor rgb="FFD9D9D9"/>
        </patternFill>
      </fill>
    </dxf>
    <dxf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8D7DA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A4C2F4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93C47D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F6B26B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E06666"/>
        </patternFill>
      </fill>
    </dxf>
    <dxf>
      <font>
        <i/>
        <strike/>
        <sz val="10"/>
        <color rgb="FFCC0000"/>
        <name val="メイリオ"/>
        <charset val="1"/>
      </font>
      <fill>
        <patternFill>
          <bgColor rgb="FFEEEEEE"/>
        </patternFill>
      </fill>
    </dxf>
    <dxf>
      <font>
        <strike/>
        <sz val="10"/>
        <color rgb="FF888888"/>
        <name val="メイリオ"/>
        <charset val="1"/>
      </font>
      <fill>
        <patternFill>
          <bgColor rgb="FFD9D9D9"/>
        </patternFill>
      </fill>
    </dxf>
    <dxf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8D7DA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A4C2F4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93C47D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F6B26B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E06666"/>
        </patternFill>
      </fill>
    </dxf>
    <dxf>
      <font>
        <i/>
        <strike/>
        <sz val="10"/>
        <color rgb="FFCC0000"/>
        <name val="メイリオ"/>
        <charset val="1"/>
      </font>
      <fill>
        <patternFill>
          <bgColor rgb="FFEEEEEE"/>
        </patternFill>
      </fill>
    </dxf>
    <dxf>
      <font>
        <strike/>
        <sz val="10"/>
        <color rgb="FF888888"/>
        <name val="メイリオ"/>
        <charset val="1"/>
      </font>
      <fill>
        <patternFill>
          <bgColor rgb="FFD9D9D9"/>
        </patternFill>
      </fill>
    </dxf>
    <dxf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8D7DA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A4C2F4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93C47D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F6B26B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E06666"/>
        </patternFill>
      </fill>
    </dxf>
    <dxf>
      <font>
        <i/>
        <strike/>
        <sz val="10"/>
        <color rgb="FFCC0000"/>
        <name val="メイリオ"/>
        <charset val="1"/>
      </font>
      <fill>
        <patternFill>
          <bgColor rgb="FFEEEEEE"/>
        </patternFill>
      </fill>
    </dxf>
    <dxf>
      <font>
        <strike/>
        <sz val="10"/>
        <color rgb="FF888888"/>
        <name val="メイリオ"/>
        <charset val="1"/>
      </font>
      <fill>
        <patternFill>
          <bgColor rgb="FFD9D9D9"/>
        </patternFill>
      </fill>
    </dxf>
    <dxf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EF2CB"/>
      <rgbColor rgb="FFFF00FF"/>
      <rgbColor rgb="FFEEEEEE"/>
      <rgbColor rgb="FFC00000"/>
      <rgbColor rgb="FF008000"/>
      <rgbColor rgb="FF000080"/>
      <rgbColor rgb="FFE2EFDA"/>
      <rgbColor rgb="FF800080"/>
      <rgbColor rgb="FF008080"/>
      <rgbColor rgb="FFD5A6BD"/>
      <rgbColor rgb="FF888888"/>
      <rgbColor rgb="FF6FA8DC"/>
      <rgbColor rgb="FF993366"/>
      <rgbColor rgb="FFFFFFCC"/>
      <rgbColor rgb="FFE3F0FB"/>
      <rgbColor rgb="FF660066"/>
      <rgbColor rgb="FFE06666"/>
      <rgbColor rgb="FF0066CC"/>
      <rgbColor rgb="FFCFE2F3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FCE4E4"/>
      <rgbColor rgb="FFDEEAF6"/>
      <rgbColor rgb="FFC6EFCE"/>
      <rgbColor rgb="FFFFE699"/>
      <rgbColor rgb="FFA4C2F4"/>
      <rgbColor rgb="FFF6B26B"/>
      <rgbColor rgb="FFD9D9D9"/>
      <rgbColor rgb="FFF8D7DA"/>
      <rgbColor rgb="FF3366FF"/>
      <rgbColor rgb="FFD9E1F2"/>
      <rgbColor rgb="FF93C47D"/>
      <rgbColor rgb="FFFCE5CD"/>
      <rgbColor rgb="FFE69138"/>
      <rgbColor rgb="FFFCE4D6"/>
      <rgbColor rgb="FF666666"/>
      <rgbColor rgb="FF8E7CC3"/>
      <rgbColor rgb="FF003366"/>
      <rgbColor rgb="FFD9EAD3"/>
      <rgbColor rgb="FF003300"/>
      <rgbColor rgb="FF333300"/>
      <rgbColor rgb="FFB45F06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Normal="100" workbookViewId="0">
      <selection sqref="A1:I1"/>
    </sheetView>
  </sheetViews>
  <sheetFormatPr defaultColWidth="8.7109375" defaultRowHeight="15"/>
  <cols>
    <col min="1" max="1" width="30" customWidth="1"/>
    <col min="3" max="3" width="60" customWidth="1"/>
  </cols>
  <sheetData>
    <row r="1" spans="1:9" ht="31.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</row>
    <row r="3" spans="1:9" ht="15" customHeight="1">
      <c r="A3" s="2" t="s">
        <v>1</v>
      </c>
    </row>
    <row r="4" spans="1:9" ht="15" customHeight="1">
      <c r="A4" s="3" t="s">
        <v>2</v>
      </c>
      <c r="C4" s="4" t="s">
        <v>3</v>
      </c>
    </row>
    <row r="5" spans="1:9" ht="15" customHeight="1">
      <c r="A5" s="3" t="s">
        <v>4</v>
      </c>
      <c r="C5" s="4" t="s">
        <v>5</v>
      </c>
    </row>
    <row r="6" spans="1:9" ht="15" customHeight="1">
      <c r="A6" s="3" t="s">
        <v>6</v>
      </c>
      <c r="C6" s="4" t="s">
        <v>7</v>
      </c>
    </row>
    <row r="7" spans="1:9" ht="15" customHeight="1">
      <c r="A7" s="3" t="s">
        <v>8</v>
      </c>
      <c r="C7" s="4" t="s">
        <v>9</v>
      </c>
    </row>
    <row r="8" spans="1:9" ht="15" customHeight="1">
      <c r="A8" s="3" t="s">
        <v>10</v>
      </c>
      <c r="C8" s="4" t="s">
        <v>11</v>
      </c>
    </row>
    <row r="9" spans="1:9" ht="15" customHeight="1">
      <c r="A9" s="5" t="s">
        <v>12</v>
      </c>
      <c r="C9" s="4" t="s">
        <v>13</v>
      </c>
    </row>
    <row r="10" spans="1:9" ht="15" customHeight="1">
      <c r="A10" s="3" t="s">
        <v>14</v>
      </c>
      <c r="C10" s="4" t="s">
        <v>15</v>
      </c>
    </row>
    <row r="11" spans="1:9" ht="15" customHeight="1">
      <c r="A11" s="3" t="s">
        <v>16</v>
      </c>
      <c r="C11" s="4" t="s">
        <v>17</v>
      </c>
    </row>
  </sheetData>
  <mergeCells count="1">
    <mergeCell ref="A1:I1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>
      <pane ySplit="5" topLeftCell="A6" activePane="bottomLeft" state="frozen"/>
      <selection pane="bottomLeft" activeCell="A13" sqref="A13:XFD13"/>
    </sheetView>
  </sheetViews>
  <sheetFormatPr defaultColWidth="8.7109375" defaultRowHeight="15"/>
  <cols>
    <col min="1" max="1" width="16" customWidth="1"/>
    <col min="2" max="4" width="18" customWidth="1"/>
    <col min="5" max="6" width="20" customWidth="1"/>
    <col min="7" max="7" width="22" customWidth="1"/>
  </cols>
  <sheetData>
    <row r="1" spans="1:9" ht="31.5" customHeight="1">
      <c r="A1" s="80" t="s">
        <v>18</v>
      </c>
      <c r="B1" s="80"/>
      <c r="C1" s="80"/>
      <c r="D1" s="80"/>
      <c r="E1" s="80"/>
      <c r="F1" s="80"/>
      <c r="G1" s="80"/>
      <c r="H1" s="80"/>
      <c r="I1" s="80"/>
    </row>
    <row r="2" spans="1:9" ht="15" customHeight="1">
      <c r="A2" s="81" t="s">
        <v>19</v>
      </c>
      <c r="B2" s="81"/>
      <c r="C2" s="81"/>
      <c r="D2" s="81"/>
      <c r="E2" s="81"/>
      <c r="F2" s="81"/>
      <c r="G2" s="81"/>
      <c r="H2" s="81"/>
      <c r="I2" s="81"/>
    </row>
    <row r="4" spans="1:9" ht="15" customHeight="1">
      <c r="A4" s="82" t="s">
        <v>20</v>
      </c>
      <c r="B4" s="82"/>
      <c r="C4" s="82"/>
      <c r="D4" s="82"/>
      <c r="E4" s="82"/>
      <c r="F4" s="82"/>
      <c r="G4" s="82"/>
      <c r="H4" s="82"/>
      <c r="I4" s="82"/>
    </row>
    <row r="5" spans="1:9" ht="15" customHeight="1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</row>
    <row r="6" spans="1:9" ht="15" customHeight="1">
      <c r="A6" s="7" t="s">
        <v>28</v>
      </c>
      <c r="B6" s="8">
        <f>'5月_レジデンス'!B37+'5月_リゾート'!B37+'5月_モーテル'!B37+'5月_ザック'!B37+'5月_ワールド・レイ'!B37+'5月_ココ・ユニバース'!B37</f>
        <v>21100000</v>
      </c>
      <c r="C6" s="8">
        <f>'5月_レジデンス'!C37+'5月_リゾート'!C37+'5月_モーテル'!C37+'5月_ザック'!C37+'5月_ワールド・レイ'!C37+'5月_ココ・ユニバース'!C37</f>
        <v>10478391</v>
      </c>
      <c r="D6" s="8">
        <f>'5月_レジデンス'!D37+'5月_リゾート'!D37+'5月_モーテル'!D37+'5月_ザック'!D37+'5月_ワールド・レイ'!D37+'5月_ココ・ユニバース'!D37</f>
        <v>5351609</v>
      </c>
      <c r="E6" s="8">
        <f>'5月_レジデンス'!E37+'5月_リゾート'!E37+'5月_モーテル'!E37+'5月_ザック'!E37+'5月_ワールド・レイ'!E37+'5月_ココ・ユニバース'!E37</f>
        <v>5351609</v>
      </c>
      <c r="F6" s="9">
        <f>'5月_レジデンス'!F37+'5月_リゾート'!F37+'5月_モーテル'!F37+'5月_ザック'!F37+'5月_ワールド・レイ'!F37+'5月_ココ・ユニバース'!F37</f>
        <v>5270000</v>
      </c>
      <c r="G6" s="10">
        <f>'5月_レジデンス'!G37+'5月_リゾート'!G37+'5月_モーテル'!G37+'5月_ザック'!G37+'5月_ワールド・レイ'!G37+'5月_ココ・ユニバース'!G37</f>
        <v>10621609</v>
      </c>
    </row>
    <row r="7" spans="1:9" ht="15" customHeight="1">
      <c r="A7" s="7" t="s">
        <v>29</v>
      </c>
      <c r="B7" s="8">
        <f>'6月_レジデンス'!B35+'6月_リゾート'!B35+'6月_モーテル'!B35+'6月_ザック'!B35+'6月_ワールド・レイ'!B35+'6月_ココ・ユニバース'!B35</f>
        <v>0</v>
      </c>
      <c r="C7" s="8">
        <f>'6月_レジデンス'!C35+'6月_リゾート'!C35+'6月_モーテル'!C35+'6月_ザック'!C35+'6月_ワールド・レイ'!C35+'6月_ココ・ユニバース'!C35</f>
        <v>0</v>
      </c>
      <c r="D7" s="8">
        <f>'6月_レジデンス'!D35+'6月_リゾート'!D35+'6月_モーテル'!D35+'6月_ザック'!D35+'6月_ワールド・レイ'!D35+'6月_ココ・ユニバース'!D35</f>
        <v>0</v>
      </c>
      <c r="E7" s="8">
        <f>'6月_レジデンス'!E35+'6月_リゾート'!E35+'6月_モーテル'!E35+'6月_ザック'!E35+'6月_ワールド・レイ'!E35+'6月_ココ・ユニバース'!E35</f>
        <v>5351609</v>
      </c>
      <c r="F7" s="9">
        <f>'6月_レジデンス'!F35+'6月_リゾート'!F35+'6月_モーテル'!F35+'6月_ザック'!F35+'6月_ワールド・レイ'!F35+'6月_ココ・ユニバース'!F35</f>
        <v>0</v>
      </c>
      <c r="G7" s="10">
        <f>'6月_レジデンス'!G35+'6月_リゾート'!G35+'6月_モーテル'!G35+'6月_ザック'!G35+'6月_ワールド・レイ'!G35+'6月_ココ・ユニバース'!G35</f>
        <v>10621609</v>
      </c>
    </row>
    <row r="8" spans="1:9" ht="15" customHeight="1">
      <c r="A8" s="7" t="s">
        <v>30</v>
      </c>
      <c r="B8" s="8">
        <f>'7月_レジデンス'!B36+'7月_リゾート'!B36+'7月_モーテル'!B36+'7月_ザック'!B36+'7月_ワールド・レイ'!B36+'7月_ココ・ユニバース'!B36</f>
        <v>0</v>
      </c>
      <c r="C8" s="8">
        <f>'7月_レジデンス'!C36+'7月_リゾート'!C36+'7月_モーテル'!C36+'7月_ザック'!C36+'7月_ワールド・レイ'!C36+'7月_ココ・ユニバース'!C36</f>
        <v>0</v>
      </c>
      <c r="D8" s="8">
        <f>'7月_レジデンス'!D36+'7月_リゾート'!D36+'7月_モーテル'!D36+'7月_ザック'!D36+'7月_ワールド・レイ'!D36+'7月_ココ・ユニバース'!D36</f>
        <v>0</v>
      </c>
      <c r="E8" s="8">
        <f>'7月_レジデンス'!E36+'7月_リゾート'!E36+'7月_モーテル'!E36+'7月_ザック'!E36+'7月_ワールド・レイ'!E36+'7月_ココ・ユニバース'!E36</f>
        <v>5351609</v>
      </c>
      <c r="F8" s="9">
        <f>'7月_レジデンス'!F36+'7月_リゾート'!F36+'7月_モーテル'!F36+'7月_ザック'!F36+'7月_ワールド・レイ'!F36+'7月_ココ・ユニバース'!F36</f>
        <v>0</v>
      </c>
      <c r="G8" s="10">
        <f>'7月_レジデンス'!G36+'7月_リゾート'!G36+'7月_モーテル'!G36+'7月_ザック'!G36+'7月_ワールド・レイ'!G36+'7月_ココ・ユニバース'!G36</f>
        <v>10621609</v>
      </c>
    </row>
    <row r="9" spans="1:9" ht="15" customHeight="1">
      <c r="A9" s="7" t="s">
        <v>31</v>
      </c>
      <c r="B9" s="8">
        <f>'8月_レジデンス'!B36+'8月_リゾート'!B36+'8月_モーテル'!B36+'8月_ザック'!B36+'8月_ワールド・レイ'!B36+'8月_ココ・ユニバース'!B36</f>
        <v>0</v>
      </c>
      <c r="C9" s="8">
        <f>'8月_レジデンス'!C36+'8月_リゾート'!C36+'8月_モーテル'!C36+'8月_ザック'!C36+'8月_ワールド・レイ'!C36+'8月_ココ・ユニバース'!C36</f>
        <v>0</v>
      </c>
      <c r="D9" s="8">
        <f>'8月_レジデンス'!D36+'8月_リゾート'!D36+'8月_モーテル'!D36+'8月_ザック'!D36+'8月_ワールド・レイ'!D36+'8月_ココ・ユニバース'!D36</f>
        <v>0</v>
      </c>
      <c r="E9" s="8">
        <f>'8月_レジデンス'!E36+'8月_リゾート'!E36+'8月_モーテル'!E36+'8月_ザック'!E36+'8月_ワールド・レイ'!E36+'8月_ココ・ユニバース'!E36</f>
        <v>5351609</v>
      </c>
      <c r="F9" s="9">
        <f>'8月_レジデンス'!F36+'8月_リゾート'!F36+'8月_モーテル'!F36+'8月_ザック'!F36+'8月_ワールド・レイ'!F36+'8月_ココ・ユニバース'!F36</f>
        <v>0</v>
      </c>
      <c r="G9" s="10">
        <f>'8月_レジデンス'!G36+'8月_リゾート'!G36+'8月_モーテル'!G36+'8月_ザック'!G36+'8月_ワールド・レイ'!G36+'8月_ココ・ユニバース'!G36</f>
        <v>10621609</v>
      </c>
    </row>
    <row r="10" spans="1:9" ht="15" customHeight="1">
      <c r="A10" s="11" t="s">
        <v>32</v>
      </c>
      <c r="B10" s="12">
        <f>SUM(B6:B9)</f>
        <v>21100000</v>
      </c>
      <c r="C10" s="12">
        <f>SUM(C6:C9)</f>
        <v>10478391</v>
      </c>
      <c r="D10" s="12">
        <f>SUM(D6:D9)</f>
        <v>5351609</v>
      </c>
      <c r="E10" s="12">
        <f>E9</f>
        <v>5351609</v>
      </c>
      <c r="F10" s="12">
        <f>SUM(F6:F9)</f>
        <v>5270000</v>
      </c>
      <c r="G10" s="12">
        <f>G9</f>
        <v>10621609</v>
      </c>
    </row>
    <row r="12" spans="1:9" ht="15" customHeight="1">
      <c r="A12" s="82" t="s">
        <v>33</v>
      </c>
      <c r="B12" s="82"/>
      <c r="C12" s="82"/>
      <c r="D12" s="82"/>
      <c r="E12" s="82"/>
      <c r="F12" s="82"/>
      <c r="G12" s="82"/>
      <c r="H12" s="82"/>
      <c r="I12" s="82"/>
    </row>
    <row r="13" spans="1:9" ht="25.5">
      <c r="A13" s="6" t="s">
        <v>34</v>
      </c>
      <c r="B13" s="6" t="s">
        <v>22</v>
      </c>
      <c r="C13" s="6" t="s">
        <v>23</v>
      </c>
      <c r="D13" s="13" t="s">
        <v>35</v>
      </c>
      <c r="E13" s="13" t="s">
        <v>36</v>
      </c>
      <c r="F13" s="6" t="s">
        <v>26</v>
      </c>
      <c r="G13" s="13" t="s">
        <v>37</v>
      </c>
    </row>
    <row r="14" spans="1:9" ht="15" customHeight="1">
      <c r="A14" s="14" t="s">
        <v>38</v>
      </c>
      <c r="B14" s="8">
        <f>'5月_レジデンス'!B37+'6月_レジデンス'!B35+'7月_レジデンス'!B36+'8月_レジデンス'!B36</f>
        <v>0</v>
      </c>
      <c r="C14" s="8">
        <f>'5月_レジデンス'!C37+'6月_レジデンス'!C35+'7月_レジデンス'!C36+'8月_レジデンス'!C36</f>
        <v>0</v>
      </c>
      <c r="D14" s="8">
        <f>'5月_レジデンス'!D37+'6月_レジデンス'!D35+'7月_レジデンス'!D36+'8月_レジデンス'!D36</f>
        <v>0</v>
      </c>
      <c r="E14" s="8">
        <f>'8月_レジデンス'!E36</f>
        <v>0</v>
      </c>
      <c r="F14" s="9">
        <f>'5月_レジデンス'!F37+'6月_レジデンス'!F35+'7月_レジデンス'!F36+'8月_レジデンス'!F36</f>
        <v>0</v>
      </c>
      <c r="G14" s="10">
        <f>'8月_レジデンス'!G36</f>
        <v>0</v>
      </c>
    </row>
    <row r="15" spans="1:9" ht="15" customHeight="1">
      <c r="A15" s="15" t="s">
        <v>39</v>
      </c>
      <c r="B15" s="8">
        <f>'5月_リゾート'!B37+'6月_リゾート'!B35+'7月_リゾート'!B36+'8月_リゾート'!B36</f>
        <v>21100000</v>
      </c>
      <c r="C15" s="8">
        <f>'5月_リゾート'!C37+'6月_リゾート'!C35+'7月_リゾート'!C36+'8月_リゾート'!C36</f>
        <v>10478391</v>
      </c>
      <c r="D15" s="8">
        <f>'5月_リゾート'!D37+'6月_リゾート'!D35+'7月_リゾート'!D36+'8月_リゾート'!D36</f>
        <v>5351609</v>
      </c>
      <c r="E15" s="8">
        <f>'8月_リゾート'!E36</f>
        <v>5351609</v>
      </c>
      <c r="F15" s="9">
        <f>'5月_リゾート'!F37+'6月_リゾート'!F35+'7月_リゾート'!F36+'8月_リゾート'!F36</f>
        <v>5270000</v>
      </c>
      <c r="G15" s="10">
        <f>'8月_リゾート'!G36</f>
        <v>10621609</v>
      </c>
    </row>
    <row r="16" spans="1:9" ht="15" customHeight="1">
      <c r="A16" s="16" t="s">
        <v>40</v>
      </c>
      <c r="B16" s="8">
        <f>'5月_モーテル'!B37+'6月_モーテル'!B35+'7月_モーテル'!B36+'8月_モーテル'!B36</f>
        <v>0</v>
      </c>
      <c r="C16" s="8">
        <f>'5月_モーテル'!C37+'6月_モーテル'!C35+'7月_モーテル'!C36+'8月_モーテル'!C36</f>
        <v>0</v>
      </c>
      <c r="D16" s="8">
        <f>'5月_モーテル'!D37+'6月_モーテル'!D35+'7月_モーテル'!D36+'8月_モーテル'!D36</f>
        <v>0</v>
      </c>
      <c r="E16" s="8">
        <f>'8月_モーテル'!E36</f>
        <v>0</v>
      </c>
      <c r="F16" s="9">
        <f>'5月_モーテル'!F37+'6月_モーテル'!F35+'7月_モーテル'!F36+'8月_モーテル'!F36</f>
        <v>0</v>
      </c>
      <c r="G16" s="10">
        <f>'8月_モーテル'!G36</f>
        <v>0</v>
      </c>
    </row>
    <row r="17" spans="1:7" ht="15" customHeight="1">
      <c r="A17" s="17" t="s">
        <v>41</v>
      </c>
      <c r="B17" s="8">
        <f>'5月_ザック'!B37+'6月_ザック'!B35+'7月_ザック'!B36+'8月_ザック'!B36</f>
        <v>0</v>
      </c>
      <c r="C17" s="8">
        <f>'5月_ザック'!C37+'6月_ザック'!C35+'7月_ザック'!C36+'8月_ザック'!C36</f>
        <v>0</v>
      </c>
      <c r="D17" s="8">
        <f>'5月_ザック'!D37+'6月_ザック'!D35+'7月_ザック'!D36+'8月_ザック'!D36</f>
        <v>0</v>
      </c>
      <c r="E17" s="8">
        <f>'8月_ザック'!E36</f>
        <v>0</v>
      </c>
      <c r="F17" s="9">
        <f>'5月_ザック'!F37+'6月_ザック'!F35+'7月_ザック'!F36+'8月_ザック'!F36</f>
        <v>0</v>
      </c>
      <c r="G17" s="10">
        <f>'8月_ザック'!G36</f>
        <v>0</v>
      </c>
    </row>
    <row r="18" spans="1:7" ht="16.5">
      <c r="A18" s="18" t="s">
        <v>42</v>
      </c>
      <c r="B18" s="8">
        <f>'5月_ワールド・レイ'!B37+'6月_ワールド・レイ'!B35+'7月_ワールド・レイ'!B36+'8月_ワールド・レイ'!B36</f>
        <v>0</v>
      </c>
      <c r="C18" s="8">
        <f>'5月_ワールド・レイ'!C37+'6月_ワールド・レイ'!C35+'7月_ワールド・レイ'!C36+'8月_ワールド・レイ'!C36</f>
        <v>0</v>
      </c>
      <c r="D18" s="8">
        <f>'5月_ワールド・レイ'!D37+'6月_ワールド・レイ'!D35+'7月_ワールド・レイ'!D36+'8月_ワールド・レイ'!D36</f>
        <v>0</v>
      </c>
      <c r="E18" s="8">
        <f>'8月_ワールド・レイ'!E36</f>
        <v>0</v>
      </c>
      <c r="F18" s="9">
        <f>'5月_ワールド・レイ'!F37+'6月_ワールド・レイ'!F35+'7月_ワールド・レイ'!F36+'8月_ワールド・レイ'!F36</f>
        <v>0</v>
      </c>
      <c r="G18" s="10">
        <f>'8月_ワールド・レイ'!G36</f>
        <v>0</v>
      </c>
    </row>
    <row r="19" spans="1:7" ht="25.5">
      <c r="A19" s="19" t="s">
        <v>43</v>
      </c>
      <c r="B19" s="8">
        <f>'5月_ココ・ユニバース'!B37+'6月_ココ・ユニバース'!B35+'7月_ココ・ユニバース'!B36+'8月_ココ・ユニバース'!B36</f>
        <v>0</v>
      </c>
      <c r="C19" s="8">
        <f>'5月_ココ・ユニバース'!C37+'6月_ココ・ユニバース'!C35+'7月_ココ・ユニバース'!C36+'8月_ココ・ユニバース'!C36</f>
        <v>0</v>
      </c>
      <c r="D19" s="8">
        <f>'5月_ココ・ユニバース'!D37+'6月_ココ・ユニバース'!D35+'7月_ココ・ユニバース'!D36+'8月_ココ・ユニバース'!D36</f>
        <v>0</v>
      </c>
      <c r="E19" s="8">
        <f>'8月_ココ・ユニバース'!E36</f>
        <v>0</v>
      </c>
      <c r="F19" s="9">
        <f>'5月_ココ・ユニバース'!F37+'6月_ココ・ユニバース'!F35+'7月_ココ・ユニバース'!F36+'8月_ココ・ユニバース'!F36</f>
        <v>0</v>
      </c>
      <c r="G19" s="10">
        <f>'8月_ココ・ユニバース'!G36</f>
        <v>0</v>
      </c>
    </row>
    <row r="20" spans="1:7" ht="15" customHeight="1">
      <c r="A20" s="1" t="s">
        <v>44</v>
      </c>
      <c r="B20" s="12">
        <f t="shared" ref="B20:G20" si="0">SUM(B14:B19)</f>
        <v>21100000</v>
      </c>
      <c r="C20" s="12">
        <f t="shared" si="0"/>
        <v>10478391</v>
      </c>
      <c r="D20" s="12">
        <f t="shared" si="0"/>
        <v>5351609</v>
      </c>
      <c r="E20" s="12">
        <f t="shared" si="0"/>
        <v>5351609</v>
      </c>
      <c r="F20" s="12">
        <f t="shared" si="0"/>
        <v>5270000</v>
      </c>
      <c r="G20" s="12">
        <f t="shared" si="0"/>
        <v>10621609</v>
      </c>
    </row>
  </sheetData>
  <mergeCells count="4">
    <mergeCell ref="A1:I1"/>
    <mergeCell ref="A2:I2"/>
    <mergeCell ref="A4:I4"/>
    <mergeCell ref="A12:I1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zoomScaleNormal="100" workbookViewId="0">
      <pane ySplit="3" topLeftCell="A26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2" width="12" customWidth="1"/>
    <col min="3" max="5" width="16" customWidth="1"/>
    <col min="6" max="8" width="18" customWidth="1"/>
  </cols>
  <sheetData>
    <row r="1" spans="1:8" ht="27.75" customHeight="1">
      <c r="A1" s="80" t="s">
        <v>45</v>
      </c>
      <c r="B1" s="80"/>
      <c r="C1" s="80"/>
      <c r="D1" s="80"/>
      <c r="E1" s="80"/>
      <c r="F1" s="80"/>
      <c r="G1" s="80"/>
      <c r="H1" s="80"/>
    </row>
    <row r="3" spans="1:8" ht="23.25" customHeight="1">
      <c r="A3" s="6" t="s">
        <v>34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</row>
    <row r="4" spans="1:8" ht="15" customHeight="1">
      <c r="A4" s="14" t="s">
        <v>38</v>
      </c>
      <c r="B4" s="7" t="s">
        <v>28</v>
      </c>
      <c r="C4" s="8">
        <f>'5月_レジデンス'!B37</f>
        <v>0</v>
      </c>
      <c r="D4" s="8">
        <f>'5月_レジデンス'!C37</f>
        <v>0</v>
      </c>
      <c r="E4" s="8">
        <f>'5月_レジデンス'!D37</f>
        <v>0</v>
      </c>
      <c r="F4" s="8">
        <f>'5月_レジデンス'!E37</f>
        <v>0</v>
      </c>
      <c r="G4" s="9">
        <f>'5月_レジデンス'!F37</f>
        <v>0</v>
      </c>
      <c r="H4" s="10">
        <f>'5月_レジデンス'!G37</f>
        <v>0</v>
      </c>
    </row>
    <row r="5" spans="1:8" ht="15" customHeight="1">
      <c r="A5" s="14" t="s">
        <v>38</v>
      </c>
      <c r="B5" s="7" t="s">
        <v>29</v>
      </c>
      <c r="C5" s="8">
        <f>'6月_レジデンス'!B35</f>
        <v>0</v>
      </c>
      <c r="D5" s="8">
        <f>'6月_レジデンス'!C35</f>
        <v>0</v>
      </c>
      <c r="E5" s="8">
        <f>'6月_レジデンス'!D35</f>
        <v>0</v>
      </c>
      <c r="F5" s="8">
        <f>'6月_レジデンス'!E35</f>
        <v>0</v>
      </c>
      <c r="G5" s="9">
        <f>'6月_レジデンス'!F35</f>
        <v>0</v>
      </c>
      <c r="H5" s="10">
        <f>'6月_レジデンス'!G35</f>
        <v>0</v>
      </c>
    </row>
    <row r="6" spans="1:8" ht="15" customHeight="1">
      <c r="A6" s="14" t="s">
        <v>38</v>
      </c>
      <c r="B6" s="7" t="s">
        <v>30</v>
      </c>
      <c r="C6" s="8">
        <f>'7月_レジデンス'!B36</f>
        <v>0</v>
      </c>
      <c r="D6" s="8">
        <f>'7月_レジデンス'!C36</f>
        <v>0</v>
      </c>
      <c r="E6" s="8">
        <f>'7月_レジデンス'!D36</f>
        <v>0</v>
      </c>
      <c r="F6" s="8">
        <f>'7月_レジデンス'!E36</f>
        <v>0</v>
      </c>
      <c r="G6" s="9">
        <f>'7月_レジデンス'!F36</f>
        <v>0</v>
      </c>
      <c r="H6" s="10">
        <f>'7月_レジデンス'!G36</f>
        <v>0</v>
      </c>
    </row>
    <row r="7" spans="1:8" ht="15" customHeight="1">
      <c r="A7" s="14" t="s">
        <v>38</v>
      </c>
      <c r="B7" s="7" t="s">
        <v>31</v>
      </c>
      <c r="C7" s="8">
        <f>'8月_レジデンス'!B36</f>
        <v>0</v>
      </c>
      <c r="D7" s="8">
        <f>'8月_レジデンス'!C36</f>
        <v>0</v>
      </c>
      <c r="E7" s="8">
        <f>'8月_レジデンス'!D36</f>
        <v>0</v>
      </c>
      <c r="F7" s="8">
        <f>'8月_レジデンス'!E36</f>
        <v>0</v>
      </c>
      <c r="G7" s="9">
        <f>'8月_レジデンス'!F36</f>
        <v>0</v>
      </c>
      <c r="H7" s="10">
        <f>'8月_レジデンス'!G36</f>
        <v>0</v>
      </c>
    </row>
    <row r="8" spans="1:8" ht="15" customHeight="1">
      <c r="A8" s="1" t="s">
        <v>38</v>
      </c>
      <c r="B8" s="11" t="s">
        <v>32</v>
      </c>
      <c r="C8" s="12">
        <f>SUM(C4:C7)</f>
        <v>0</v>
      </c>
      <c r="D8" s="12">
        <f>SUM(D4:D7)</f>
        <v>0</v>
      </c>
      <c r="E8" s="12">
        <f>SUM(E4:E7)</f>
        <v>0</v>
      </c>
      <c r="F8" s="12">
        <f>F7</f>
        <v>0</v>
      </c>
      <c r="G8" s="12">
        <f>SUM(G4:G7)</f>
        <v>0</v>
      </c>
      <c r="H8" s="12">
        <f>H7</f>
        <v>0</v>
      </c>
    </row>
    <row r="10" spans="1:8" ht="15" customHeight="1">
      <c r="A10" s="15" t="s">
        <v>39</v>
      </c>
      <c r="B10" s="7" t="s">
        <v>28</v>
      </c>
      <c r="C10" s="8">
        <f>'5月_リゾート'!B37</f>
        <v>21100000</v>
      </c>
      <c r="D10" s="8">
        <f>'5月_リゾート'!C37</f>
        <v>10478391</v>
      </c>
      <c r="E10" s="8">
        <f>'5月_リゾート'!D37</f>
        <v>5351609</v>
      </c>
      <c r="F10" s="8">
        <f>'5月_リゾート'!E37</f>
        <v>5351609</v>
      </c>
      <c r="G10" s="9">
        <f>'5月_リゾート'!F37</f>
        <v>5270000</v>
      </c>
      <c r="H10" s="10">
        <f>'5月_リゾート'!G37</f>
        <v>10621609</v>
      </c>
    </row>
    <row r="11" spans="1:8" ht="15" customHeight="1">
      <c r="A11" s="15" t="s">
        <v>39</v>
      </c>
      <c r="B11" s="7" t="s">
        <v>29</v>
      </c>
      <c r="C11" s="8">
        <f>'6月_リゾート'!B35</f>
        <v>0</v>
      </c>
      <c r="D11" s="8">
        <f>'6月_リゾート'!C35</f>
        <v>0</v>
      </c>
      <c r="E11" s="8">
        <f>'6月_リゾート'!D35</f>
        <v>0</v>
      </c>
      <c r="F11" s="8">
        <f>'6月_リゾート'!E35</f>
        <v>5351609</v>
      </c>
      <c r="G11" s="9">
        <f>'6月_リゾート'!F35</f>
        <v>0</v>
      </c>
      <c r="H11" s="10">
        <f>'6月_リゾート'!G35</f>
        <v>10621609</v>
      </c>
    </row>
    <row r="12" spans="1:8" ht="15" customHeight="1">
      <c r="A12" s="15" t="s">
        <v>39</v>
      </c>
      <c r="B12" s="7" t="s">
        <v>30</v>
      </c>
      <c r="C12" s="8">
        <f>'7月_リゾート'!B36</f>
        <v>0</v>
      </c>
      <c r="D12" s="8">
        <f>'7月_リゾート'!C36</f>
        <v>0</v>
      </c>
      <c r="E12" s="8">
        <f>'7月_リゾート'!D36</f>
        <v>0</v>
      </c>
      <c r="F12" s="8">
        <f>'7月_リゾート'!E36</f>
        <v>5351609</v>
      </c>
      <c r="G12" s="9">
        <f>'7月_リゾート'!F36</f>
        <v>0</v>
      </c>
      <c r="H12" s="10">
        <f>'7月_リゾート'!G36</f>
        <v>10621609</v>
      </c>
    </row>
    <row r="13" spans="1:8" ht="15" customHeight="1">
      <c r="A13" s="15" t="s">
        <v>39</v>
      </c>
      <c r="B13" s="7" t="s">
        <v>31</v>
      </c>
      <c r="C13" s="8">
        <f>'8月_リゾート'!B36</f>
        <v>0</v>
      </c>
      <c r="D13" s="8">
        <f>'8月_リゾート'!C36</f>
        <v>0</v>
      </c>
      <c r="E13" s="8">
        <f>'8月_リゾート'!D36</f>
        <v>0</v>
      </c>
      <c r="F13" s="8">
        <f>'8月_リゾート'!E36</f>
        <v>5351609</v>
      </c>
      <c r="G13" s="9">
        <f>'8月_リゾート'!F36</f>
        <v>0</v>
      </c>
      <c r="H13" s="10">
        <f>'8月_リゾート'!G36</f>
        <v>10621609</v>
      </c>
    </row>
    <row r="14" spans="1:8" ht="15" customHeight="1">
      <c r="A14" s="1" t="s">
        <v>39</v>
      </c>
      <c r="B14" s="11" t="s">
        <v>32</v>
      </c>
      <c r="C14" s="12">
        <f>SUM(C10:C13)</f>
        <v>21100000</v>
      </c>
      <c r="D14" s="12">
        <f>SUM(D10:D13)</f>
        <v>10478391</v>
      </c>
      <c r="E14" s="12">
        <f>SUM(E10:E13)</f>
        <v>5351609</v>
      </c>
      <c r="F14" s="12">
        <f>F13</f>
        <v>5351609</v>
      </c>
      <c r="G14" s="12">
        <f>SUM(G10:G13)</f>
        <v>5270000</v>
      </c>
      <c r="H14" s="12">
        <f>H13</f>
        <v>10621609</v>
      </c>
    </row>
    <row r="16" spans="1:8" ht="15" customHeight="1">
      <c r="A16" s="16" t="s">
        <v>40</v>
      </c>
      <c r="B16" s="7" t="s">
        <v>28</v>
      </c>
      <c r="C16" s="8">
        <f>'5月_モーテル'!B37</f>
        <v>0</v>
      </c>
      <c r="D16" s="8">
        <f>'5月_モーテル'!C37</f>
        <v>0</v>
      </c>
      <c r="E16" s="8">
        <f>'5月_モーテル'!D37</f>
        <v>0</v>
      </c>
      <c r="F16" s="8">
        <f>'5月_モーテル'!E37</f>
        <v>0</v>
      </c>
      <c r="G16" s="9">
        <f>'5月_モーテル'!F37</f>
        <v>0</v>
      </c>
      <c r="H16" s="10">
        <f>'5月_モーテル'!G37</f>
        <v>0</v>
      </c>
    </row>
    <row r="17" spans="1:8" ht="15" customHeight="1">
      <c r="A17" s="16" t="s">
        <v>40</v>
      </c>
      <c r="B17" s="7" t="s">
        <v>29</v>
      </c>
      <c r="C17" s="8">
        <f>'6月_モーテル'!B35</f>
        <v>0</v>
      </c>
      <c r="D17" s="8">
        <f>'6月_モーテル'!C35</f>
        <v>0</v>
      </c>
      <c r="E17" s="8">
        <f>'6月_モーテル'!D35</f>
        <v>0</v>
      </c>
      <c r="F17" s="8">
        <f>'6月_モーテル'!E35</f>
        <v>0</v>
      </c>
      <c r="G17" s="9">
        <f>'6月_モーテル'!F35</f>
        <v>0</v>
      </c>
      <c r="H17" s="10">
        <f>'6月_モーテル'!G35</f>
        <v>0</v>
      </c>
    </row>
    <row r="18" spans="1:8" ht="15" customHeight="1">
      <c r="A18" s="16" t="s">
        <v>40</v>
      </c>
      <c r="B18" s="7" t="s">
        <v>30</v>
      </c>
      <c r="C18" s="8">
        <f>'7月_モーテル'!B36</f>
        <v>0</v>
      </c>
      <c r="D18" s="8">
        <f>'7月_モーテル'!C36</f>
        <v>0</v>
      </c>
      <c r="E18" s="8">
        <f>'7月_モーテル'!D36</f>
        <v>0</v>
      </c>
      <c r="F18" s="8">
        <f>'7月_モーテル'!E36</f>
        <v>0</v>
      </c>
      <c r="G18" s="9">
        <f>'7月_モーテル'!F36</f>
        <v>0</v>
      </c>
      <c r="H18" s="10">
        <f>'7月_モーテル'!G36</f>
        <v>0</v>
      </c>
    </row>
    <row r="19" spans="1:8" ht="15" customHeight="1">
      <c r="A19" s="16" t="s">
        <v>40</v>
      </c>
      <c r="B19" s="7" t="s">
        <v>31</v>
      </c>
      <c r="C19" s="8">
        <f>'8月_モーテル'!B36</f>
        <v>0</v>
      </c>
      <c r="D19" s="8">
        <f>'8月_モーテル'!C36</f>
        <v>0</v>
      </c>
      <c r="E19" s="8">
        <f>'8月_モーテル'!D36</f>
        <v>0</v>
      </c>
      <c r="F19" s="8">
        <f>'8月_モーテル'!E36</f>
        <v>0</v>
      </c>
      <c r="G19" s="9">
        <f>'8月_モーテル'!F36</f>
        <v>0</v>
      </c>
      <c r="H19" s="10">
        <f>'8月_モーテル'!G36</f>
        <v>0</v>
      </c>
    </row>
    <row r="20" spans="1:8" ht="15" customHeight="1">
      <c r="A20" s="1" t="s">
        <v>40</v>
      </c>
      <c r="B20" s="11" t="s">
        <v>32</v>
      </c>
      <c r="C20" s="12">
        <f>SUM(C16:C19)</f>
        <v>0</v>
      </c>
      <c r="D20" s="12">
        <f>SUM(D16:D19)</f>
        <v>0</v>
      </c>
      <c r="E20" s="12">
        <f>SUM(E16:E19)</f>
        <v>0</v>
      </c>
      <c r="F20" s="12">
        <f>F19</f>
        <v>0</v>
      </c>
      <c r="G20" s="12">
        <f>SUM(G16:G19)</f>
        <v>0</v>
      </c>
      <c r="H20" s="12">
        <f>H19</f>
        <v>0</v>
      </c>
    </row>
    <row r="22" spans="1:8" ht="15" customHeight="1">
      <c r="A22" s="17" t="s">
        <v>41</v>
      </c>
      <c r="B22" s="7" t="s">
        <v>28</v>
      </c>
      <c r="C22" s="8">
        <f>'5月_ザック'!B37</f>
        <v>0</v>
      </c>
      <c r="D22" s="8">
        <f>'5月_ザック'!C37</f>
        <v>0</v>
      </c>
      <c r="E22" s="8">
        <f>'5月_ザック'!D37</f>
        <v>0</v>
      </c>
      <c r="F22" s="8">
        <f>'5月_ザック'!E37</f>
        <v>0</v>
      </c>
      <c r="G22" s="9">
        <f>'5月_ザック'!F37</f>
        <v>0</v>
      </c>
      <c r="H22" s="10">
        <f>'5月_ザック'!G37</f>
        <v>0</v>
      </c>
    </row>
    <row r="23" spans="1:8" ht="15" customHeight="1">
      <c r="A23" s="17" t="s">
        <v>41</v>
      </c>
      <c r="B23" s="7" t="s">
        <v>29</v>
      </c>
      <c r="C23" s="8">
        <f>'6月_ザック'!B35</f>
        <v>0</v>
      </c>
      <c r="D23" s="8">
        <f>'6月_ザック'!C35</f>
        <v>0</v>
      </c>
      <c r="E23" s="8">
        <f>'6月_ザック'!D35</f>
        <v>0</v>
      </c>
      <c r="F23" s="8">
        <f>'6月_ザック'!E35</f>
        <v>0</v>
      </c>
      <c r="G23" s="9">
        <f>'6月_ザック'!F35</f>
        <v>0</v>
      </c>
      <c r="H23" s="10">
        <f>'6月_ザック'!G35</f>
        <v>0</v>
      </c>
    </row>
    <row r="24" spans="1:8" ht="15" customHeight="1">
      <c r="A24" s="17" t="s">
        <v>41</v>
      </c>
      <c r="B24" s="7" t="s">
        <v>30</v>
      </c>
      <c r="C24" s="8">
        <f>'7月_ザック'!B36</f>
        <v>0</v>
      </c>
      <c r="D24" s="8">
        <f>'7月_ザック'!C36</f>
        <v>0</v>
      </c>
      <c r="E24" s="8">
        <f>'7月_ザック'!D36</f>
        <v>0</v>
      </c>
      <c r="F24" s="8">
        <f>'7月_ザック'!E36</f>
        <v>0</v>
      </c>
      <c r="G24" s="9">
        <f>'7月_ザック'!F36</f>
        <v>0</v>
      </c>
      <c r="H24" s="10">
        <f>'7月_ザック'!G36</f>
        <v>0</v>
      </c>
    </row>
    <row r="25" spans="1:8" ht="15" customHeight="1">
      <c r="A25" s="17" t="s">
        <v>41</v>
      </c>
      <c r="B25" s="7" t="s">
        <v>31</v>
      </c>
      <c r="C25" s="8">
        <f>'8月_ザック'!B36</f>
        <v>0</v>
      </c>
      <c r="D25" s="8">
        <f>'8月_ザック'!C36</f>
        <v>0</v>
      </c>
      <c r="E25" s="8">
        <f>'8月_ザック'!D36</f>
        <v>0</v>
      </c>
      <c r="F25" s="8">
        <f>'8月_ザック'!E36</f>
        <v>0</v>
      </c>
      <c r="G25" s="9">
        <f>'8月_ザック'!F36</f>
        <v>0</v>
      </c>
      <c r="H25" s="10">
        <f>'8月_ザック'!G36</f>
        <v>0</v>
      </c>
    </row>
    <row r="26" spans="1:8" ht="15" customHeight="1">
      <c r="A26" s="1" t="s">
        <v>41</v>
      </c>
      <c r="B26" s="11" t="s">
        <v>32</v>
      </c>
      <c r="C26" s="12">
        <f>SUM(C22:C25)</f>
        <v>0</v>
      </c>
      <c r="D26" s="12">
        <f>SUM(D22:D25)</f>
        <v>0</v>
      </c>
      <c r="E26" s="12">
        <f>SUM(E22:E25)</f>
        <v>0</v>
      </c>
      <c r="F26" s="12">
        <f>F25</f>
        <v>0</v>
      </c>
      <c r="G26" s="12">
        <f>SUM(G22:G25)</f>
        <v>0</v>
      </c>
      <c r="H26" s="12">
        <f>H25</f>
        <v>0</v>
      </c>
    </row>
    <row r="28" spans="1:8" ht="15" customHeight="1">
      <c r="A28" s="18" t="s">
        <v>42</v>
      </c>
      <c r="B28" s="7" t="s">
        <v>28</v>
      </c>
      <c r="C28" s="8">
        <f>'5月_ワールド・レイ'!B37</f>
        <v>0</v>
      </c>
      <c r="D28" s="8">
        <f>'5月_ワールド・レイ'!C37</f>
        <v>0</v>
      </c>
      <c r="E28" s="8">
        <f>'5月_ワールド・レイ'!D37</f>
        <v>0</v>
      </c>
      <c r="F28" s="8">
        <f>'5月_ワールド・レイ'!E37</f>
        <v>0</v>
      </c>
      <c r="G28" s="9">
        <f>'5月_ワールド・レイ'!F37</f>
        <v>0</v>
      </c>
      <c r="H28" s="10">
        <f>'5月_ワールド・レイ'!G37</f>
        <v>0</v>
      </c>
    </row>
    <row r="29" spans="1:8" ht="15" customHeight="1">
      <c r="A29" s="18" t="s">
        <v>42</v>
      </c>
      <c r="B29" s="7" t="s">
        <v>29</v>
      </c>
      <c r="C29" s="8">
        <f>'6月_ワールド・レイ'!B35</f>
        <v>0</v>
      </c>
      <c r="D29" s="8">
        <f>'6月_ワールド・レイ'!C35</f>
        <v>0</v>
      </c>
      <c r="E29" s="8">
        <f>'6月_ワールド・レイ'!D35</f>
        <v>0</v>
      </c>
      <c r="F29" s="8">
        <f>'6月_ワールド・レイ'!E35</f>
        <v>0</v>
      </c>
      <c r="G29" s="9">
        <f>'6月_ワールド・レイ'!F35</f>
        <v>0</v>
      </c>
      <c r="H29" s="10">
        <f>'6月_ワールド・レイ'!G35</f>
        <v>0</v>
      </c>
    </row>
    <row r="30" spans="1:8" ht="15" customHeight="1">
      <c r="A30" s="18" t="s">
        <v>42</v>
      </c>
      <c r="B30" s="7" t="s">
        <v>30</v>
      </c>
      <c r="C30" s="8">
        <f>'7月_ワールド・レイ'!B36</f>
        <v>0</v>
      </c>
      <c r="D30" s="8">
        <f>'7月_ワールド・レイ'!C36</f>
        <v>0</v>
      </c>
      <c r="E30" s="8">
        <f>'7月_ワールド・レイ'!D36</f>
        <v>0</v>
      </c>
      <c r="F30" s="8">
        <f>'7月_ワールド・レイ'!E36</f>
        <v>0</v>
      </c>
      <c r="G30" s="9">
        <f>'7月_ワールド・レイ'!F36</f>
        <v>0</v>
      </c>
      <c r="H30" s="10">
        <f>'7月_ワールド・レイ'!G36</f>
        <v>0</v>
      </c>
    </row>
    <row r="31" spans="1:8" ht="15" customHeight="1">
      <c r="A31" s="18" t="s">
        <v>42</v>
      </c>
      <c r="B31" s="7" t="s">
        <v>31</v>
      </c>
      <c r="C31" s="8">
        <f>'8月_ワールド・レイ'!B36</f>
        <v>0</v>
      </c>
      <c r="D31" s="8">
        <f>'8月_ワールド・レイ'!C36</f>
        <v>0</v>
      </c>
      <c r="E31" s="8">
        <f>'8月_ワールド・レイ'!D36</f>
        <v>0</v>
      </c>
      <c r="F31" s="8">
        <f>'8月_ワールド・レイ'!E36</f>
        <v>0</v>
      </c>
      <c r="G31" s="9">
        <f>'8月_ワールド・レイ'!F36</f>
        <v>0</v>
      </c>
      <c r="H31" s="10">
        <f>'8月_ワールド・レイ'!G36</f>
        <v>0</v>
      </c>
    </row>
    <row r="32" spans="1:8" ht="27.75" customHeight="1">
      <c r="A32" s="1" t="s">
        <v>42</v>
      </c>
      <c r="B32" s="11" t="s">
        <v>32</v>
      </c>
      <c r="C32" s="12">
        <f>SUM(C28:C31)</f>
        <v>0</v>
      </c>
      <c r="D32" s="12">
        <f>SUM(D28:D31)</f>
        <v>0</v>
      </c>
      <c r="E32" s="12">
        <f>SUM(E28:E31)</f>
        <v>0</v>
      </c>
      <c r="F32" s="12">
        <f>F31</f>
        <v>0</v>
      </c>
      <c r="G32" s="12">
        <f>SUM(G28:G31)</f>
        <v>0</v>
      </c>
      <c r="H32" s="12">
        <f>H31</f>
        <v>0</v>
      </c>
    </row>
    <row r="34" spans="1:8" ht="23.25" customHeight="1">
      <c r="A34" s="19" t="s">
        <v>43</v>
      </c>
      <c r="B34" s="7" t="s">
        <v>28</v>
      </c>
      <c r="C34" s="8">
        <f>'5月_ココ・ユニバース'!B37</f>
        <v>0</v>
      </c>
      <c r="D34" s="8">
        <f>'5月_ココ・ユニバース'!C37</f>
        <v>0</v>
      </c>
      <c r="E34" s="8">
        <f>'5月_ココ・ユニバース'!D37</f>
        <v>0</v>
      </c>
      <c r="F34" s="8">
        <f>'5月_ココ・ユニバース'!E37</f>
        <v>0</v>
      </c>
      <c r="G34" s="9">
        <f>'5月_ココ・ユニバース'!F37</f>
        <v>0</v>
      </c>
      <c r="H34" s="10">
        <f>'5月_ココ・ユニバース'!G37</f>
        <v>0</v>
      </c>
    </row>
    <row r="35" spans="1:8" ht="23.25" customHeight="1">
      <c r="A35" s="19" t="s">
        <v>43</v>
      </c>
      <c r="B35" s="7" t="s">
        <v>29</v>
      </c>
      <c r="C35" s="8">
        <f>'6月_ココ・ユニバース'!B35</f>
        <v>0</v>
      </c>
      <c r="D35" s="8">
        <f>'6月_ココ・ユニバース'!C35</f>
        <v>0</v>
      </c>
      <c r="E35" s="8">
        <f>'6月_ココ・ユニバース'!D35</f>
        <v>0</v>
      </c>
      <c r="F35" s="8">
        <f>'6月_ココ・ユニバース'!E35</f>
        <v>0</v>
      </c>
      <c r="G35" s="9">
        <f>'6月_ココ・ユニバース'!F35</f>
        <v>0</v>
      </c>
      <c r="H35" s="10">
        <f>'6月_ココ・ユニバース'!G35</f>
        <v>0</v>
      </c>
    </row>
    <row r="36" spans="1:8" ht="23.25" customHeight="1">
      <c r="A36" s="19" t="s">
        <v>43</v>
      </c>
      <c r="B36" s="7" t="s">
        <v>30</v>
      </c>
      <c r="C36" s="8">
        <f>'7月_ココ・ユニバース'!B36</f>
        <v>0</v>
      </c>
      <c r="D36" s="8">
        <f>'7月_ココ・ユニバース'!C36</f>
        <v>0</v>
      </c>
      <c r="E36" s="8">
        <f>'7月_ココ・ユニバース'!D36</f>
        <v>0</v>
      </c>
      <c r="F36" s="8">
        <f>'7月_ココ・ユニバース'!E36</f>
        <v>0</v>
      </c>
      <c r="G36" s="9">
        <f>'7月_ココ・ユニバース'!F36</f>
        <v>0</v>
      </c>
      <c r="H36" s="10">
        <f>'7月_ココ・ユニバース'!G36</f>
        <v>0</v>
      </c>
    </row>
    <row r="37" spans="1:8" ht="23.25" customHeight="1">
      <c r="A37" s="19" t="s">
        <v>43</v>
      </c>
      <c r="B37" s="7" t="s">
        <v>31</v>
      </c>
      <c r="C37" s="8">
        <f>'8月_ココ・ユニバース'!B36</f>
        <v>0</v>
      </c>
      <c r="D37" s="8">
        <f>'8月_ココ・ユニバース'!C36</f>
        <v>0</v>
      </c>
      <c r="E37" s="8">
        <f>'8月_ココ・ユニバース'!D36</f>
        <v>0</v>
      </c>
      <c r="F37" s="8">
        <f>'8月_ココ・ユニバース'!E36</f>
        <v>0</v>
      </c>
      <c r="G37" s="9">
        <f>'8月_ココ・ユニバース'!F36</f>
        <v>0</v>
      </c>
      <c r="H37" s="10">
        <f>'8月_ココ・ユニバース'!G36</f>
        <v>0</v>
      </c>
    </row>
    <row r="38" spans="1:8" ht="27.75" customHeight="1">
      <c r="A38" s="1" t="s">
        <v>43</v>
      </c>
      <c r="B38" s="11" t="s">
        <v>32</v>
      </c>
      <c r="C38" s="12">
        <f>SUM(C34:C37)</f>
        <v>0</v>
      </c>
      <c r="D38" s="12">
        <f>SUM(D34:D37)</f>
        <v>0</v>
      </c>
      <c r="E38" s="12">
        <f>SUM(E34:E37)</f>
        <v>0</v>
      </c>
      <c r="F38" s="12">
        <f>F37</f>
        <v>0</v>
      </c>
      <c r="G38" s="12">
        <f>SUM(G34:G37)</f>
        <v>0</v>
      </c>
      <c r="H38" s="12">
        <f>H37</f>
        <v>0</v>
      </c>
    </row>
    <row r="40" spans="1:8" ht="15" customHeight="1">
      <c r="A40" s="83" t="s">
        <v>46</v>
      </c>
      <c r="B40" s="83"/>
      <c r="C40" s="12">
        <f>SUM(C4:C7)+SUM(C10:C13)+SUM(C16:C19)+SUM(C22:C25)+SUM(C28:C31)+SUM(C34:C37)</f>
        <v>21100000</v>
      </c>
      <c r="D40" s="12">
        <f>SUM(D4:D7)+SUM(D10:D13)+SUM(D16:D19)+SUM(D22:D25)+SUM(D28:D31)+SUM(D34:D37)</f>
        <v>10478391</v>
      </c>
      <c r="E40" s="12">
        <f>SUM(E4:E7)+SUM(E10:E13)+SUM(E16:E19)+SUM(E22:E25)+SUM(E28:E31)+SUM(E34:E37)</f>
        <v>5351609</v>
      </c>
      <c r="F40" s="12"/>
      <c r="G40" s="12">
        <f>SUM(G4:G7)+SUM(G10:G13)+SUM(G16:G19)+SUM(G22:G25)+SUM(G28:G31)+SUM(G34:G37)</f>
        <v>5270000</v>
      </c>
      <c r="H40" s="12"/>
    </row>
  </sheetData>
  <mergeCells count="2">
    <mergeCell ref="A1:H1"/>
    <mergeCell ref="A40:B40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selection sqref="A1:C1"/>
    </sheetView>
  </sheetViews>
  <sheetFormatPr defaultColWidth="8.7109375" defaultRowHeight="15"/>
  <cols>
    <col min="1" max="1" width="18" customWidth="1"/>
    <col min="2" max="2" width="14" customWidth="1"/>
    <col min="3" max="3" width="30" customWidth="1"/>
  </cols>
  <sheetData>
    <row r="1" spans="1:3" ht="27.75" customHeight="1">
      <c r="A1" s="80" t="s">
        <v>47</v>
      </c>
      <c r="B1" s="80"/>
      <c r="C1" s="80"/>
    </row>
    <row r="3" spans="1:3" ht="15" customHeight="1">
      <c r="A3" s="6" t="s">
        <v>48</v>
      </c>
      <c r="B3" s="6" t="s">
        <v>49</v>
      </c>
      <c r="C3" s="6" t="s">
        <v>50</v>
      </c>
    </row>
    <row r="4" spans="1:3" ht="15" customHeight="1">
      <c r="A4" s="20" t="s">
        <v>39</v>
      </c>
      <c r="B4" s="21" t="s">
        <v>39</v>
      </c>
      <c r="C4" s="22"/>
    </row>
    <row r="5" spans="1:3" ht="15" customHeight="1">
      <c r="A5" s="20" t="s">
        <v>51</v>
      </c>
      <c r="B5" s="21" t="s">
        <v>39</v>
      </c>
      <c r="C5" s="22"/>
    </row>
    <row r="6" spans="1:3" ht="15" customHeight="1">
      <c r="A6" s="20" t="s">
        <v>52</v>
      </c>
      <c r="B6" s="21" t="s">
        <v>39</v>
      </c>
      <c r="C6" s="22"/>
    </row>
    <row r="7" spans="1:3" ht="15" customHeight="1">
      <c r="A7" s="20" t="s">
        <v>53</v>
      </c>
      <c r="B7" s="21" t="s">
        <v>39</v>
      </c>
      <c r="C7" s="22"/>
    </row>
    <row r="8" spans="1:3" ht="15" customHeight="1">
      <c r="A8" s="20" t="s">
        <v>54</v>
      </c>
      <c r="B8" s="21" t="s">
        <v>39</v>
      </c>
      <c r="C8" s="22"/>
    </row>
    <row r="9" spans="1:3" ht="15" customHeight="1">
      <c r="A9" s="20" t="s">
        <v>40</v>
      </c>
      <c r="B9" s="23" t="s">
        <v>40</v>
      </c>
      <c r="C9" s="22"/>
    </row>
    <row r="10" spans="1:3" ht="15" customHeight="1">
      <c r="A10" s="20" t="s">
        <v>38</v>
      </c>
      <c r="B10" s="24" t="s">
        <v>38</v>
      </c>
      <c r="C10" s="22"/>
    </row>
    <row r="11" spans="1:3" ht="15" customHeight="1">
      <c r="A11" s="20" t="s">
        <v>55</v>
      </c>
      <c r="B11" s="25" t="s">
        <v>41</v>
      </c>
      <c r="C11" s="22"/>
    </row>
  </sheetData>
  <mergeCells count="1">
    <mergeCell ref="A1:C1"/>
  </mergeCells>
  <phoneticPr fontId="46"/>
  <dataValidations count="1">
    <dataValidation type="list" prompt="所属会社を選択" sqref="B4:B11" xr:uid="{00000000-0002-0000-0300-000000000000}">
      <formula1>"レジデンス,リゾート,モーテル,ザック"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zoomScaleNormal="100" workbookViewId="0">
      <selection sqref="A1:C1"/>
    </sheetView>
  </sheetViews>
  <sheetFormatPr defaultColWidth="8.7109375" defaultRowHeight="15"/>
  <cols>
    <col min="1" max="1" width="20" customWidth="1"/>
    <col min="2" max="2" width="22" customWidth="1"/>
    <col min="3" max="3" width="30" customWidth="1"/>
  </cols>
  <sheetData>
    <row r="1" spans="1:3" ht="27.75" customHeight="1">
      <c r="A1" s="80" t="s">
        <v>56</v>
      </c>
      <c r="B1" s="80"/>
      <c r="C1" s="80"/>
    </row>
    <row r="3" spans="1:3" ht="15" customHeight="1">
      <c r="A3" s="6" t="s">
        <v>57</v>
      </c>
      <c r="B3" s="6" t="s">
        <v>58</v>
      </c>
      <c r="C3" s="6" t="s">
        <v>50</v>
      </c>
    </row>
    <row r="4" spans="1:3" ht="15" customHeight="1">
      <c r="A4" s="20" t="s">
        <v>59</v>
      </c>
      <c r="B4" s="26" t="s">
        <v>60</v>
      </c>
      <c r="C4" s="22"/>
    </row>
    <row r="5" spans="1:3" ht="15" customHeight="1">
      <c r="A5" s="20" t="s">
        <v>61</v>
      </c>
      <c r="B5" s="26" t="s">
        <v>60</v>
      </c>
      <c r="C5" s="22"/>
    </row>
    <row r="6" spans="1:3" ht="15" customHeight="1">
      <c r="A6" s="20" t="s">
        <v>62</v>
      </c>
      <c r="B6" s="26" t="s">
        <v>60</v>
      </c>
      <c r="C6" s="22"/>
    </row>
    <row r="7" spans="1:3" ht="15" customHeight="1">
      <c r="A7" s="20" t="s">
        <v>63</v>
      </c>
      <c r="B7" s="26" t="s">
        <v>60</v>
      </c>
      <c r="C7" s="22"/>
    </row>
    <row r="8" spans="1:3" ht="15" customHeight="1">
      <c r="A8" s="20" t="s">
        <v>64</v>
      </c>
      <c r="B8" s="26" t="s">
        <v>60</v>
      </c>
      <c r="C8" s="22"/>
    </row>
    <row r="9" spans="1:3" ht="15" customHeight="1">
      <c r="A9" s="20" t="s">
        <v>65</v>
      </c>
      <c r="B9" s="26" t="s">
        <v>60</v>
      </c>
      <c r="C9" s="22"/>
    </row>
    <row r="10" spans="1:3" ht="15" customHeight="1">
      <c r="A10" s="20" t="s">
        <v>66</v>
      </c>
      <c r="B10" s="26" t="s">
        <v>60</v>
      </c>
      <c r="C10" s="22"/>
    </row>
    <row r="11" spans="1:3" ht="15" customHeight="1">
      <c r="A11" s="20" t="s">
        <v>67</v>
      </c>
      <c r="B11" s="26" t="s">
        <v>60</v>
      </c>
      <c r="C11" s="22"/>
    </row>
    <row r="12" spans="1:3" ht="15" customHeight="1">
      <c r="A12" s="20" t="s">
        <v>68</v>
      </c>
      <c r="B12" s="26" t="s">
        <v>60</v>
      </c>
      <c r="C12" s="22"/>
    </row>
    <row r="13" spans="1:3" ht="15" customHeight="1">
      <c r="A13" s="20" t="s">
        <v>69</v>
      </c>
      <c r="B13" s="26" t="s">
        <v>70</v>
      </c>
      <c r="C13" s="22"/>
    </row>
    <row r="14" spans="1:3" ht="15" customHeight="1">
      <c r="A14" s="20" t="s">
        <v>71</v>
      </c>
      <c r="B14" s="26" t="s">
        <v>72</v>
      </c>
      <c r="C14" s="22"/>
    </row>
    <row r="15" spans="1:3" ht="15" customHeight="1">
      <c r="A15" s="20" t="s">
        <v>73</v>
      </c>
      <c r="B15" s="26" t="s">
        <v>72</v>
      </c>
      <c r="C15" s="22"/>
    </row>
    <row r="16" spans="1:3" ht="15" customHeight="1">
      <c r="A16" s="20" t="s">
        <v>74</v>
      </c>
      <c r="B16" s="26" t="s">
        <v>72</v>
      </c>
      <c r="C16" s="22"/>
    </row>
    <row r="17" spans="1:3" ht="15" customHeight="1">
      <c r="A17" s="20" t="s">
        <v>75</v>
      </c>
      <c r="B17" s="26" t="s">
        <v>72</v>
      </c>
      <c r="C17" s="22"/>
    </row>
    <row r="18" spans="1:3" ht="15" customHeight="1">
      <c r="A18" s="20" t="s">
        <v>76</v>
      </c>
      <c r="B18" s="26" t="s">
        <v>76</v>
      </c>
      <c r="C18" s="22"/>
    </row>
    <row r="19" spans="1:3" ht="15" customHeight="1">
      <c r="A19" s="20" t="s">
        <v>77</v>
      </c>
      <c r="B19" s="26" t="s">
        <v>77</v>
      </c>
      <c r="C19" s="22"/>
    </row>
    <row r="20" spans="1:3" ht="15" customHeight="1">
      <c r="A20" s="20" t="s">
        <v>78</v>
      </c>
      <c r="B20" s="26" t="s">
        <v>78</v>
      </c>
      <c r="C20" s="22"/>
    </row>
    <row r="21" spans="1:3" ht="15" customHeight="1">
      <c r="A21" s="20" t="s">
        <v>79</v>
      </c>
      <c r="B21" s="26" t="s">
        <v>79</v>
      </c>
      <c r="C21" s="22"/>
    </row>
    <row r="22" spans="1:3" ht="15" customHeight="1">
      <c r="A22" s="20" t="s">
        <v>80</v>
      </c>
      <c r="B22" s="26" t="s">
        <v>77</v>
      </c>
      <c r="C22" s="22"/>
    </row>
    <row r="23" spans="1:3" ht="15" customHeight="1">
      <c r="A23" s="27"/>
      <c r="B23" s="26"/>
      <c r="C23" s="22"/>
    </row>
    <row r="24" spans="1:3" ht="15" customHeight="1">
      <c r="A24" s="27"/>
      <c r="B24" s="26"/>
      <c r="C24" s="22"/>
    </row>
    <row r="25" spans="1:3" ht="15" customHeight="1">
      <c r="A25" s="27"/>
      <c r="B25" s="26"/>
      <c r="C25" s="22"/>
    </row>
    <row r="26" spans="1:3" ht="15" customHeight="1">
      <c r="A26" s="27"/>
      <c r="B26" s="26"/>
      <c r="C26" s="22"/>
    </row>
    <row r="27" spans="1:3" ht="15" customHeight="1">
      <c r="A27" s="27"/>
      <c r="B27" s="26"/>
      <c r="C27" s="22"/>
    </row>
    <row r="28" spans="1:3" ht="15" customHeight="1">
      <c r="A28" s="27"/>
      <c r="B28" s="26"/>
      <c r="C28" s="22"/>
    </row>
    <row r="29" spans="1:3" ht="15" customHeight="1">
      <c r="A29" s="27"/>
      <c r="B29" s="26"/>
      <c r="C29" s="22"/>
    </row>
    <row r="30" spans="1:3" ht="15" customHeight="1">
      <c r="A30" s="27"/>
      <c r="B30" s="26"/>
      <c r="C30" s="22"/>
    </row>
    <row r="31" spans="1:3" ht="15" customHeight="1">
      <c r="A31" s="27"/>
      <c r="B31" s="26"/>
      <c r="C31" s="22"/>
    </row>
    <row r="32" spans="1:3" ht="15" customHeight="1">
      <c r="A32" s="27"/>
      <c r="B32" s="26"/>
      <c r="C32" s="22"/>
    </row>
  </sheetData>
  <mergeCells count="1">
    <mergeCell ref="A1:C1"/>
  </mergeCells>
  <phoneticPr fontId="46"/>
  <dataValidations count="1">
    <dataValidation type="list" allowBlank="1" sqref="B4:B32" xr:uid="{00000000-0002-0000-0400-000000000000}">
      <formula1>"買掛金支払,手形決済,役員報酬,従業員給与,地代家賃,支払利息,税金・社会保険料,その他経費,借入金返済,設備購入等"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5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/>
  <cols>
    <col min="1" max="1" width="14" customWidth="1"/>
    <col min="2" max="2" width="24" customWidth="1"/>
    <col min="3" max="3" width="14" customWidth="1"/>
    <col min="4" max="4" width="16" customWidth="1"/>
    <col min="5" max="5" width="24" customWidth="1"/>
    <col min="6" max="6" width="12" customWidth="1"/>
  </cols>
  <sheetData>
    <row r="1" spans="1:6" ht="27.75" customHeight="1">
      <c r="A1" s="84" t="s">
        <v>81</v>
      </c>
      <c r="B1" s="84"/>
      <c r="C1" s="84"/>
      <c r="D1" s="84"/>
      <c r="E1" s="84"/>
      <c r="F1" s="84"/>
    </row>
    <row r="2" spans="1:6" ht="15" customHeight="1">
      <c r="A2" s="85" t="s">
        <v>82</v>
      </c>
      <c r="B2" s="85"/>
      <c r="C2" s="85"/>
      <c r="D2" s="85"/>
      <c r="E2" s="85"/>
      <c r="F2" s="85"/>
    </row>
    <row r="3" spans="1:6" ht="15" customHeight="1">
      <c r="A3" s="6" t="s">
        <v>83</v>
      </c>
      <c r="B3" s="6" t="s">
        <v>84</v>
      </c>
      <c r="C3" s="6" t="s">
        <v>85</v>
      </c>
      <c r="D3" s="6" t="s">
        <v>86</v>
      </c>
      <c r="E3" s="6" t="s">
        <v>50</v>
      </c>
      <c r="F3" s="6" t="s">
        <v>87</v>
      </c>
    </row>
    <row r="4" spans="1:6" ht="15" customHeight="1">
      <c r="A4" s="28"/>
      <c r="B4" s="29"/>
      <c r="C4" s="27"/>
      <c r="D4" s="30"/>
      <c r="E4" s="29"/>
      <c r="F4" s="31"/>
    </row>
    <row r="5" spans="1:6" ht="15" customHeight="1">
      <c r="A5" s="28"/>
      <c r="B5" s="29"/>
      <c r="C5" s="27"/>
      <c r="D5" s="30"/>
      <c r="E5" s="29"/>
      <c r="F5" s="31"/>
    </row>
    <row r="6" spans="1:6" ht="15" customHeight="1">
      <c r="A6" s="28"/>
      <c r="B6" s="29"/>
      <c r="C6" s="27"/>
      <c r="D6" s="30"/>
      <c r="E6" s="29"/>
      <c r="F6" s="31"/>
    </row>
    <row r="7" spans="1:6" ht="15" customHeight="1">
      <c r="A7" s="28"/>
      <c r="B7" s="29"/>
      <c r="C7" s="27"/>
      <c r="D7" s="30"/>
      <c r="E7" s="29"/>
      <c r="F7" s="31"/>
    </row>
    <row r="8" spans="1:6" ht="15" customHeight="1">
      <c r="A8" s="28"/>
      <c r="B8" s="29"/>
      <c r="C8" s="27"/>
      <c r="D8" s="30"/>
      <c r="E8" s="29"/>
      <c r="F8" s="31"/>
    </row>
    <row r="9" spans="1:6" ht="15" customHeight="1">
      <c r="A9" s="28"/>
      <c r="B9" s="29"/>
      <c r="C9" s="27"/>
      <c r="D9" s="30"/>
      <c r="E9" s="29"/>
      <c r="F9" s="31"/>
    </row>
    <row r="10" spans="1:6" ht="15" customHeight="1">
      <c r="A10" s="28"/>
      <c r="B10" s="29"/>
      <c r="C10" s="27"/>
      <c r="D10" s="30"/>
      <c r="E10" s="29"/>
      <c r="F10" s="31"/>
    </row>
    <row r="11" spans="1:6" ht="15" customHeight="1">
      <c r="A11" s="28"/>
      <c r="B11" s="29"/>
      <c r="C11" s="27"/>
      <c r="D11" s="30"/>
      <c r="E11" s="29"/>
      <c r="F11" s="31"/>
    </row>
    <row r="12" spans="1:6" ht="15" customHeight="1">
      <c r="A12" s="28"/>
      <c r="B12" s="29"/>
      <c r="C12" s="27"/>
      <c r="D12" s="30"/>
      <c r="E12" s="29"/>
      <c r="F12" s="31"/>
    </row>
    <row r="13" spans="1:6" ht="15" customHeight="1">
      <c r="A13" s="28"/>
      <c r="B13" s="29"/>
      <c r="C13" s="27"/>
      <c r="D13" s="30"/>
      <c r="E13" s="29"/>
      <c r="F13" s="31"/>
    </row>
    <row r="14" spans="1:6" ht="15" customHeight="1">
      <c r="A14" s="28"/>
      <c r="B14" s="29"/>
      <c r="C14" s="27"/>
      <c r="D14" s="30"/>
      <c r="E14" s="29"/>
      <c r="F14" s="31"/>
    </row>
    <row r="15" spans="1:6" ht="15" customHeight="1">
      <c r="A15" s="28"/>
      <c r="B15" s="29"/>
      <c r="C15" s="27"/>
      <c r="D15" s="30"/>
      <c r="E15" s="29"/>
      <c r="F15" s="31"/>
    </row>
    <row r="16" spans="1:6" ht="15" customHeight="1">
      <c r="A16" s="28"/>
      <c r="B16" s="29"/>
      <c r="C16" s="27"/>
      <c r="D16" s="30"/>
      <c r="E16" s="29"/>
      <c r="F16" s="31"/>
    </row>
    <row r="17" spans="1:6" ht="15" customHeight="1">
      <c r="A17" s="28"/>
      <c r="B17" s="29"/>
      <c r="C17" s="27"/>
      <c r="D17" s="30"/>
      <c r="E17" s="29"/>
      <c r="F17" s="31"/>
    </row>
    <row r="18" spans="1:6" ht="15" customHeight="1">
      <c r="A18" s="28"/>
      <c r="B18" s="29"/>
      <c r="C18" s="27"/>
      <c r="D18" s="30"/>
      <c r="E18" s="29"/>
      <c r="F18" s="31"/>
    </row>
    <row r="19" spans="1:6" ht="15" customHeight="1">
      <c r="A19" s="28"/>
      <c r="B19" s="29"/>
      <c r="C19" s="27"/>
      <c r="D19" s="30"/>
      <c r="E19" s="29"/>
      <c r="F19" s="31"/>
    </row>
    <row r="20" spans="1:6" ht="15" customHeight="1">
      <c r="A20" s="28"/>
      <c r="B20" s="29"/>
      <c r="C20" s="27"/>
      <c r="D20" s="30"/>
      <c r="E20" s="29"/>
      <c r="F20" s="31"/>
    </row>
    <row r="21" spans="1:6" ht="15" customHeight="1">
      <c r="A21" s="28"/>
      <c r="B21" s="29"/>
      <c r="C21" s="27"/>
      <c r="D21" s="30"/>
      <c r="E21" s="29"/>
      <c r="F21" s="31"/>
    </row>
    <row r="22" spans="1:6" ht="15" customHeight="1">
      <c r="A22" s="28"/>
      <c r="B22" s="29"/>
      <c r="C22" s="27"/>
      <c r="D22" s="30"/>
      <c r="E22" s="29"/>
      <c r="F22" s="31"/>
    </row>
    <row r="23" spans="1:6" ht="15" customHeight="1">
      <c r="A23" s="28"/>
      <c r="B23" s="29"/>
      <c r="C23" s="27"/>
      <c r="D23" s="30"/>
      <c r="E23" s="29"/>
      <c r="F23" s="31"/>
    </row>
    <row r="24" spans="1:6" ht="15" customHeight="1">
      <c r="A24" s="28"/>
      <c r="B24" s="29"/>
      <c r="C24" s="27"/>
      <c r="D24" s="30"/>
      <c r="E24" s="29"/>
      <c r="F24" s="31"/>
    </row>
    <row r="25" spans="1:6" ht="15" customHeight="1">
      <c r="A25" s="28"/>
      <c r="B25" s="29"/>
      <c r="C25" s="27"/>
      <c r="D25" s="30"/>
      <c r="E25" s="29"/>
      <c r="F25" s="31"/>
    </row>
    <row r="26" spans="1:6" ht="15" customHeight="1">
      <c r="A26" s="28"/>
      <c r="B26" s="29"/>
      <c r="C26" s="27"/>
      <c r="D26" s="30"/>
      <c r="E26" s="29"/>
      <c r="F26" s="31"/>
    </row>
    <row r="27" spans="1:6" ht="15" customHeight="1">
      <c r="A27" s="28"/>
      <c r="B27" s="29"/>
      <c r="C27" s="27"/>
      <c r="D27" s="30"/>
      <c r="E27" s="29"/>
      <c r="F27" s="31"/>
    </row>
    <row r="28" spans="1:6" ht="15" customHeight="1">
      <c r="A28" s="28"/>
      <c r="B28" s="29"/>
      <c r="C28" s="27"/>
      <c r="D28" s="30"/>
      <c r="E28" s="29"/>
      <c r="F28" s="31"/>
    </row>
    <row r="29" spans="1:6" ht="15" customHeight="1">
      <c r="A29" s="28"/>
      <c r="B29" s="29"/>
      <c r="C29" s="27"/>
      <c r="D29" s="30"/>
      <c r="E29" s="29"/>
      <c r="F29" s="31"/>
    </row>
    <row r="30" spans="1:6" ht="15" customHeight="1">
      <c r="A30" s="28"/>
      <c r="B30" s="29"/>
      <c r="C30" s="27"/>
      <c r="D30" s="30"/>
      <c r="E30" s="29"/>
      <c r="F30" s="31"/>
    </row>
    <row r="31" spans="1:6" ht="15" customHeight="1">
      <c r="A31" s="28"/>
      <c r="B31" s="29"/>
      <c r="C31" s="27"/>
      <c r="D31" s="30"/>
      <c r="E31" s="29"/>
      <c r="F31" s="31"/>
    </row>
    <row r="32" spans="1:6" ht="15" customHeight="1">
      <c r="A32" s="28"/>
      <c r="B32" s="29"/>
      <c r="C32" s="27"/>
      <c r="D32" s="30"/>
      <c r="E32" s="29"/>
      <c r="F32" s="31"/>
    </row>
    <row r="33" spans="1:6" ht="15" customHeight="1">
      <c r="A33" s="28"/>
      <c r="B33" s="29"/>
      <c r="C33" s="27"/>
      <c r="D33" s="30"/>
      <c r="E33" s="29"/>
      <c r="F33" s="31"/>
    </row>
    <row r="34" spans="1:6" ht="15" customHeight="1">
      <c r="A34" s="28"/>
      <c r="B34" s="29"/>
      <c r="C34" s="27"/>
      <c r="D34" s="30"/>
      <c r="E34" s="29"/>
      <c r="F34" s="31"/>
    </row>
    <row r="35" spans="1:6" ht="15" customHeight="1">
      <c r="A35" s="28"/>
      <c r="B35" s="29"/>
      <c r="C35" s="27"/>
      <c r="D35" s="30"/>
      <c r="E35" s="29"/>
      <c r="F35" s="31"/>
    </row>
    <row r="36" spans="1:6" ht="15" customHeight="1">
      <c r="A36" s="28"/>
      <c r="B36" s="29"/>
      <c r="C36" s="27"/>
      <c r="D36" s="30"/>
      <c r="E36" s="29"/>
      <c r="F36" s="31"/>
    </row>
    <row r="37" spans="1:6" ht="15" customHeight="1">
      <c r="A37" s="28"/>
      <c r="B37" s="29"/>
      <c r="C37" s="27"/>
      <c r="D37" s="30"/>
      <c r="E37" s="29"/>
      <c r="F37" s="31"/>
    </row>
    <row r="38" spans="1:6" ht="15" customHeight="1">
      <c r="A38" s="28"/>
      <c r="B38" s="29"/>
      <c r="C38" s="27"/>
      <c r="D38" s="30"/>
      <c r="E38" s="29"/>
      <c r="F38" s="31"/>
    </row>
    <row r="39" spans="1:6" ht="15" customHeight="1">
      <c r="A39" s="28"/>
      <c r="B39" s="29"/>
      <c r="C39" s="27"/>
      <c r="D39" s="30"/>
      <c r="E39" s="29"/>
      <c r="F39" s="31"/>
    </row>
    <row r="40" spans="1:6" ht="15" customHeight="1">
      <c r="A40" s="28"/>
      <c r="B40" s="29"/>
      <c r="C40" s="27"/>
      <c r="D40" s="30"/>
      <c r="E40" s="29"/>
      <c r="F40" s="31"/>
    </row>
    <row r="41" spans="1:6" ht="15" customHeight="1">
      <c r="A41" s="28"/>
      <c r="B41" s="29"/>
      <c r="C41" s="27"/>
      <c r="D41" s="30"/>
      <c r="E41" s="29"/>
      <c r="F41" s="31"/>
    </row>
    <row r="42" spans="1:6" ht="15" customHeight="1">
      <c r="A42" s="28"/>
      <c r="B42" s="29"/>
      <c r="C42" s="27"/>
      <c r="D42" s="30"/>
      <c r="E42" s="29"/>
      <c r="F42" s="31"/>
    </row>
    <row r="43" spans="1:6" ht="15" customHeight="1">
      <c r="A43" s="28"/>
      <c r="B43" s="29"/>
      <c r="C43" s="27"/>
      <c r="D43" s="30"/>
      <c r="E43" s="29"/>
      <c r="F43" s="31"/>
    </row>
    <row r="44" spans="1:6" ht="15" customHeight="1">
      <c r="A44" s="28"/>
      <c r="B44" s="29"/>
      <c r="C44" s="27"/>
      <c r="D44" s="30"/>
      <c r="E44" s="29"/>
      <c r="F44" s="31"/>
    </row>
    <row r="45" spans="1:6" ht="15" customHeight="1">
      <c r="A45" s="28"/>
      <c r="B45" s="29"/>
      <c r="C45" s="27"/>
      <c r="D45" s="30"/>
      <c r="E45" s="29"/>
      <c r="F45" s="31"/>
    </row>
    <row r="46" spans="1:6" ht="15" customHeight="1">
      <c r="A46" s="28"/>
      <c r="B46" s="29"/>
      <c r="C46" s="27"/>
      <c r="D46" s="30"/>
      <c r="E46" s="29"/>
      <c r="F46" s="31"/>
    </row>
    <row r="47" spans="1:6" ht="15" customHeight="1">
      <c r="A47" s="28"/>
      <c r="B47" s="29"/>
      <c r="C47" s="27"/>
      <c r="D47" s="30"/>
      <c r="E47" s="29"/>
      <c r="F47" s="31"/>
    </row>
    <row r="48" spans="1:6" ht="15" customHeight="1">
      <c r="A48" s="28"/>
      <c r="B48" s="29"/>
      <c r="C48" s="27"/>
      <c r="D48" s="30"/>
      <c r="E48" s="29"/>
      <c r="F48" s="31"/>
    </row>
    <row r="49" spans="1:6" ht="15" customHeight="1">
      <c r="A49" s="28"/>
      <c r="B49" s="29"/>
      <c r="C49" s="27"/>
      <c r="D49" s="30"/>
      <c r="E49" s="29"/>
      <c r="F49" s="31"/>
    </row>
    <row r="50" spans="1:6" ht="15" customHeight="1">
      <c r="A50" s="28"/>
      <c r="B50" s="29"/>
      <c r="C50" s="27"/>
      <c r="D50" s="30"/>
      <c r="E50" s="29"/>
      <c r="F50" s="31"/>
    </row>
    <row r="51" spans="1:6" ht="15" customHeight="1">
      <c r="A51" s="28"/>
      <c r="B51" s="29"/>
      <c r="C51" s="27"/>
      <c r="D51" s="30"/>
      <c r="E51" s="29"/>
      <c r="F51" s="31"/>
    </row>
    <row r="52" spans="1:6" ht="15" customHeight="1">
      <c r="A52" s="28"/>
      <c r="B52" s="29"/>
      <c r="C52" s="27"/>
      <c r="D52" s="30"/>
      <c r="E52" s="29"/>
      <c r="F52" s="31"/>
    </row>
    <row r="53" spans="1:6" ht="15" customHeight="1">
      <c r="A53" s="28"/>
      <c r="B53" s="29"/>
      <c r="C53" s="27"/>
      <c r="D53" s="30"/>
      <c r="E53" s="29"/>
      <c r="F53" s="31"/>
    </row>
    <row r="54" spans="1:6" ht="15" customHeight="1">
      <c r="A54" s="28"/>
      <c r="B54" s="29"/>
      <c r="C54" s="27"/>
      <c r="D54" s="30"/>
      <c r="E54" s="29"/>
      <c r="F54" s="31"/>
    </row>
    <row r="55" spans="1:6" ht="15" customHeight="1">
      <c r="A55" s="28"/>
      <c r="B55" s="29"/>
      <c r="C55" s="27"/>
      <c r="D55" s="30"/>
      <c r="E55" s="29"/>
      <c r="F55" s="31"/>
    </row>
    <row r="56" spans="1:6" ht="15" customHeight="1">
      <c r="A56" s="28"/>
      <c r="B56" s="29"/>
      <c r="C56" s="27"/>
      <c r="D56" s="30"/>
      <c r="E56" s="29"/>
      <c r="F56" s="31"/>
    </row>
    <row r="57" spans="1:6" ht="15" customHeight="1">
      <c r="A57" s="28"/>
      <c r="B57" s="29"/>
      <c r="C57" s="27"/>
      <c r="D57" s="30"/>
      <c r="E57" s="29"/>
      <c r="F57" s="31"/>
    </row>
    <row r="58" spans="1:6" ht="15" customHeight="1">
      <c r="A58" s="28"/>
      <c r="B58" s="29"/>
      <c r="C58" s="27"/>
      <c r="D58" s="30"/>
      <c r="E58" s="29"/>
      <c r="F58" s="31"/>
    </row>
    <row r="59" spans="1:6" ht="15" customHeight="1">
      <c r="A59" s="28"/>
      <c r="B59" s="29"/>
      <c r="C59" s="27"/>
      <c r="D59" s="30"/>
      <c r="E59" s="29"/>
      <c r="F59" s="31"/>
    </row>
    <row r="60" spans="1:6" ht="15" customHeight="1">
      <c r="A60" s="28"/>
      <c r="B60" s="29"/>
      <c r="C60" s="27"/>
      <c r="D60" s="30"/>
      <c r="E60" s="29"/>
      <c r="F60" s="31"/>
    </row>
    <row r="61" spans="1:6" ht="15" customHeight="1">
      <c r="A61" s="28"/>
      <c r="B61" s="29"/>
      <c r="C61" s="27"/>
      <c r="D61" s="30"/>
      <c r="E61" s="29"/>
      <c r="F61" s="31"/>
    </row>
    <row r="62" spans="1:6" ht="15" customHeight="1">
      <c r="A62" s="28"/>
      <c r="B62" s="29"/>
      <c r="C62" s="27"/>
      <c r="D62" s="30"/>
      <c r="E62" s="29"/>
      <c r="F62" s="31"/>
    </row>
    <row r="63" spans="1:6" ht="15" customHeight="1">
      <c r="A63" s="28"/>
      <c r="B63" s="29"/>
      <c r="C63" s="27"/>
      <c r="D63" s="30"/>
      <c r="E63" s="29"/>
      <c r="F63" s="31"/>
    </row>
    <row r="64" spans="1:6" ht="15" customHeight="1">
      <c r="A64" s="28"/>
      <c r="B64" s="29"/>
      <c r="C64" s="27"/>
      <c r="D64" s="30"/>
      <c r="E64" s="29"/>
      <c r="F64" s="31"/>
    </row>
    <row r="65" spans="1:6" ht="15" customHeight="1">
      <c r="A65" s="28"/>
      <c r="B65" s="29"/>
      <c r="C65" s="27"/>
      <c r="D65" s="30"/>
      <c r="E65" s="29"/>
      <c r="F65" s="31"/>
    </row>
    <row r="66" spans="1:6" ht="15" customHeight="1">
      <c r="A66" s="28"/>
      <c r="B66" s="29"/>
      <c r="C66" s="27"/>
      <c r="D66" s="30"/>
      <c r="E66" s="29"/>
      <c r="F66" s="31"/>
    </row>
    <row r="67" spans="1:6" ht="15" customHeight="1">
      <c r="A67" s="28"/>
      <c r="B67" s="29"/>
      <c r="C67" s="27"/>
      <c r="D67" s="30"/>
      <c r="E67" s="29"/>
      <c r="F67" s="31"/>
    </row>
    <row r="68" spans="1:6" ht="15" customHeight="1">
      <c r="A68" s="28"/>
      <c r="B68" s="29"/>
      <c r="C68" s="27"/>
      <c r="D68" s="30"/>
      <c r="E68" s="29"/>
      <c r="F68" s="31"/>
    </row>
    <row r="69" spans="1:6" ht="15" customHeight="1">
      <c r="A69" s="28"/>
      <c r="B69" s="29"/>
      <c r="C69" s="27"/>
      <c r="D69" s="30"/>
      <c r="E69" s="29"/>
      <c r="F69" s="31"/>
    </row>
    <row r="70" spans="1:6" ht="15" customHeight="1">
      <c r="A70" s="28"/>
      <c r="B70" s="29"/>
      <c r="C70" s="27"/>
      <c r="D70" s="30"/>
      <c r="E70" s="29"/>
      <c r="F70" s="31"/>
    </row>
    <row r="71" spans="1:6" ht="15" customHeight="1">
      <c r="A71" s="28"/>
      <c r="B71" s="29"/>
      <c r="C71" s="27"/>
      <c r="D71" s="30"/>
      <c r="E71" s="29"/>
      <c r="F71" s="31"/>
    </row>
    <row r="72" spans="1:6" ht="15" customHeight="1">
      <c r="A72" s="28"/>
      <c r="B72" s="29"/>
      <c r="C72" s="27"/>
      <c r="D72" s="30"/>
      <c r="E72" s="29"/>
      <c r="F72" s="31"/>
    </row>
    <row r="73" spans="1:6" ht="15" customHeight="1">
      <c r="A73" s="28"/>
      <c r="B73" s="29"/>
      <c r="C73" s="27"/>
      <c r="D73" s="30"/>
      <c r="E73" s="29"/>
      <c r="F73" s="31"/>
    </row>
    <row r="74" spans="1:6" ht="15" customHeight="1">
      <c r="A74" s="28"/>
      <c r="B74" s="29"/>
      <c r="C74" s="27"/>
      <c r="D74" s="30"/>
      <c r="E74" s="29"/>
      <c r="F74" s="31"/>
    </row>
    <row r="75" spans="1:6" ht="15" customHeight="1">
      <c r="A75" s="28"/>
      <c r="B75" s="29"/>
      <c r="C75" s="27"/>
      <c r="D75" s="30"/>
      <c r="E75" s="29"/>
      <c r="F75" s="31"/>
    </row>
    <row r="76" spans="1:6" ht="15" customHeight="1">
      <c r="A76" s="28"/>
      <c r="B76" s="29"/>
      <c r="C76" s="27"/>
      <c r="D76" s="30"/>
      <c r="E76" s="29"/>
      <c r="F76" s="31"/>
    </row>
    <row r="77" spans="1:6" ht="15" customHeight="1">
      <c r="A77" s="28"/>
      <c r="B77" s="29"/>
      <c r="C77" s="27"/>
      <c r="D77" s="30"/>
      <c r="E77" s="29"/>
      <c r="F77" s="31"/>
    </row>
    <row r="78" spans="1:6" ht="15" customHeight="1">
      <c r="A78" s="28"/>
      <c r="B78" s="29"/>
      <c r="C78" s="27"/>
      <c r="D78" s="30"/>
      <c r="E78" s="29"/>
      <c r="F78" s="31"/>
    </row>
    <row r="79" spans="1:6" ht="15" customHeight="1">
      <c r="A79" s="28"/>
      <c r="B79" s="29"/>
      <c r="C79" s="27"/>
      <c r="D79" s="30"/>
      <c r="E79" s="29"/>
      <c r="F79" s="31"/>
    </row>
    <row r="80" spans="1:6" ht="15" customHeight="1">
      <c r="A80" s="28"/>
      <c r="B80" s="29"/>
      <c r="C80" s="27"/>
      <c r="D80" s="30"/>
      <c r="E80" s="29"/>
      <c r="F80" s="31"/>
    </row>
    <row r="81" spans="1:6" ht="15" customHeight="1">
      <c r="A81" s="28"/>
      <c r="B81" s="29"/>
      <c r="C81" s="27"/>
      <c r="D81" s="30"/>
      <c r="E81" s="29"/>
      <c r="F81" s="31"/>
    </row>
    <row r="82" spans="1:6" ht="15" customHeight="1">
      <c r="A82" s="28"/>
      <c r="B82" s="29"/>
      <c r="C82" s="27"/>
      <c r="D82" s="30"/>
      <c r="E82" s="29"/>
      <c r="F82" s="31"/>
    </row>
    <row r="83" spans="1:6" ht="15" customHeight="1">
      <c r="A83" s="28"/>
      <c r="B83" s="29"/>
      <c r="C83" s="27"/>
      <c r="D83" s="30"/>
      <c r="E83" s="29"/>
      <c r="F83" s="31"/>
    </row>
    <row r="84" spans="1:6" ht="15" customHeight="1">
      <c r="A84" s="28"/>
      <c r="B84" s="29"/>
      <c r="C84" s="27"/>
      <c r="D84" s="30"/>
      <c r="E84" s="29"/>
      <c r="F84" s="31"/>
    </row>
    <row r="85" spans="1:6" ht="15" customHeight="1">
      <c r="A85" s="28"/>
      <c r="B85" s="29"/>
      <c r="C85" s="27"/>
      <c r="D85" s="30"/>
      <c r="E85" s="29"/>
      <c r="F85" s="31"/>
    </row>
    <row r="86" spans="1:6" ht="15" customHeight="1">
      <c r="A86" s="28"/>
      <c r="B86" s="29"/>
      <c r="C86" s="27"/>
      <c r="D86" s="30"/>
      <c r="E86" s="29"/>
      <c r="F86" s="31"/>
    </row>
    <row r="87" spans="1:6" ht="15" customHeight="1">
      <c r="A87" s="28"/>
      <c r="B87" s="29"/>
      <c r="C87" s="27"/>
      <c r="D87" s="30"/>
      <c r="E87" s="29"/>
      <c r="F87" s="31"/>
    </row>
    <row r="88" spans="1:6" ht="15" customHeight="1">
      <c r="A88" s="28"/>
      <c r="B88" s="29"/>
      <c r="C88" s="27"/>
      <c r="D88" s="30"/>
      <c r="E88" s="29"/>
      <c r="F88" s="31"/>
    </row>
    <row r="89" spans="1:6" ht="15" customHeight="1">
      <c r="A89" s="28"/>
      <c r="B89" s="29"/>
      <c r="C89" s="27"/>
      <c r="D89" s="30"/>
      <c r="E89" s="29"/>
      <c r="F89" s="31"/>
    </row>
    <row r="90" spans="1:6" ht="15" customHeight="1">
      <c r="A90" s="28"/>
      <c r="B90" s="29"/>
      <c r="C90" s="27"/>
      <c r="D90" s="30"/>
      <c r="E90" s="29"/>
      <c r="F90" s="31"/>
    </row>
    <row r="91" spans="1:6" ht="15" customHeight="1">
      <c r="A91" s="28"/>
      <c r="B91" s="29"/>
      <c r="C91" s="27"/>
      <c r="D91" s="30"/>
      <c r="E91" s="29"/>
      <c r="F91" s="31"/>
    </row>
    <row r="92" spans="1:6" ht="15" customHeight="1">
      <c r="A92" s="28"/>
      <c r="B92" s="29"/>
      <c r="C92" s="27"/>
      <c r="D92" s="30"/>
      <c r="E92" s="29"/>
      <c r="F92" s="31"/>
    </row>
    <row r="93" spans="1:6" ht="15" customHeight="1">
      <c r="A93" s="28"/>
      <c r="B93" s="29"/>
      <c r="C93" s="27"/>
      <c r="D93" s="30"/>
      <c r="E93" s="29"/>
      <c r="F93" s="31"/>
    </row>
    <row r="94" spans="1:6" ht="15" customHeight="1">
      <c r="A94" s="28"/>
      <c r="B94" s="29"/>
      <c r="C94" s="27"/>
      <c r="D94" s="30"/>
      <c r="E94" s="29"/>
      <c r="F94" s="31"/>
    </row>
    <row r="95" spans="1:6" ht="15" customHeight="1">
      <c r="A95" s="28"/>
      <c r="B95" s="29"/>
      <c r="C95" s="27"/>
      <c r="D95" s="30"/>
      <c r="E95" s="29"/>
      <c r="F95" s="31"/>
    </row>
    <row r="96" spans="1:6" ht="15" customHeight="1">
      <c r="A96" s="28"/>
      <c r="B96" s="29"/>
      <c r="C96" s="27"/>
      <c r="D96" s="30"/>
      <c r="E96" s="29"/>
      <c r="F96" s="31"/>
    </row>
    <row r="97" spans="1:6" ht="15" customHeight="1">
      <c r="A97" s="28"/>
      <c r="B97" s="29"/>
      <c r="C97" s="27"/>
      <c r="D97" s="30"/>
      <c r="E97" s="29"/>
      <c r="F97" s="31"/>
    </row>
    <row r="98" spans="1:6" ht="15" customHeight="1">
      <c r="A98" s="28"/>
      <c r="B98" s="29"/>
      <c r="C98" s="27"/>
      <c r="D98" s="30"/>
      <c r="E98" s="29"/>
      <c r="F98" s="31"/>
    </row>
    <row r="99" spans="1:6" ht="15" customHeight="1">
      <c r="A99" s="28"/>
      <c r="B99" s="29"/>
      <c r="C99" s="27"/>
      <c r="D99" s="30"/>
      <c r="E99" s="29"/>
      <c r="F99" s="31"/>
    </row>
    <row r="100" spans="1:6" ht="15" customHeight="1">
      <c r="A100" s="28"/>
      <c r="B100" s="29"/>
      <c r="C100" s="27"/>
      <c r="D100" s="30"/>
      <c r="E100" s="29"/>
      <c r="F100" s="31"/>
    </row>
    <row r="101" spans="1:6" ht="15" customHeight="1">
      <c r="A101" s="28"/>
      <c r="B101" s="29"/>
      <c r="C101" s="27"/>
      <c r="D101" s="30"/>
      <c r="E101" s="29"/>
      <c r="F101" s="31"/>
    </row>
    <row r="102" spans="1:6" ht="15" customHeight="1">
      <c r="A102" s="28"/>
      <c r="B102" s="29"/>
      <c r="C102" s="27"/>
      <c r="D102" s="30"/>
      <c r="E102" s="29"/>
      <c r="F102" s="31"/>
    </row>
    <row r="103" spans="1:6" ht="15" customHeight="1">
      <c r="A103" s="28"/>
      <c r="B103" s="29"/>
      <c r="C103" s="27"/>
      <c r="D103" s="30"/>
      <c r="E103" s="29"/>
      <c r="F103" s="31"/>
    </row>
    <row r="105" spans="1:6" ht="15" customHeight="1">
      <c r="A105" s="83" t="s">
        <v>44</v>
      </c>
      <c r="B105" s="83"/>
      <c r="C105" s="83"/>
      <c r="D105" s="12">
        <f>SUM(D4:D103)</f>
        <v>0</v>
      </c>
      <c r="E105" s="32"/>
      <c r="F105" s="32"/>
    </row>
  </sheetData>
  <mergeCells count="3">
    <mergeCell ref="A1:F1"/>
    <mergeCell ref="A2:F2"/>
    <mergeCell ref="A105:C105"/>
  </mergeCells>
  <phoneticPr fontId="46"/>
  <dataValidations count="3">
    <dataValidation type="date" allowBlank="1" sqref="A4:A103" xr:uid="{00000000-0002-0000-0500-000000000000}">
      <formula1>0</formula1>
      <formula2>0</formula2>
    </dataValidation>
    <dataValidation type="list" allowBlank="1" prompt="資金繰り表項目を選択" sqref="C4:C103" xr:uid="{00000000-0002-0000-0500-000001000000}">
      <formula1>"現金売上,売掛金回収,手形入金,その他収入,借入金,設備売却"</formula1>
      <formula2>0</formula2>
    </dataValidation>
    <dataValidation type="list" allowBlank="1" sqref="F4:F103" xr:uid="{00000000-0002-0000-0500-000002000000}">
      <formula1>"確認済,未確認,予測"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5" sqref="M5"/>
    </sheetView>
  </sheetViews>
  <sheetFormatPr defaultColWidth="8.7109375" defaultRowHeight="15"/>
  <cols>
    <col min="1" max="1" width="10" customWidth="1"/>
    <col min="2" max="2" width="12" customWidth="1"/>
    <col min="3" max="3" width="28" customWidth="1"/>
    <col min="4" max="5" width="12" customWidth="1"/>
    <col min="6" max="6" width="14" customWidth="1"/>
    <col min="7" max="10" width="12" customWidth="1"/>
    <col min="11" max="11" width="14" customWidth="1"/>
    <col min="12" max="12" width="10" customWidth="1"/>
    <col min="13" max="14" width="14" customWidth="1"/>
    <col min="15" max="15" width="12" customWidth="1"/>
  </cols>
  <sheetData>
    <row r="1" spans="1:16" ht="27.75" customHeight="1">
      <c r="A1" s="84" t="s">
        <v>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ht="21.75" customHeight="1">
      <c r="A2" s="33" t="s">
        <v>89</v>
      </c>
      <c r="B2" s="34" t="s">
        <v>90</v>
      </c>
      <c r="C2" s="35" t="s">
        <v>91</v>
      </c>
      <c r="D2" s="36" t="s">
        <v>92</v>
      </c>
      <c r="E2" s="37" t="s">
        <v>93</v>
      </c>
      <c r="G2" s="85" t="s">
        <v>94</v>
      </c>
      <c r="H2" s="85"/>
      <c r="I2" s="85"/>
      <c r="J2" s="85"/>
      <c r="K2" s="85"/>
      <c r="L2" s="85"/>
      <c r="M2" s="85"/>
      <c r="N2" s="85"/>
      <c r="O2" s="85"/>
      <c r="P2" s="85"/>
    </row>
    <row r="3" spans="1:16" ht="30" customHeight="1">
      <c r="A3" s="6" t="s">
        <v>95</v>
      </c>
      <c r="B3" s="6" t="s">
        <v>96</v>
      </c>
      <c r="C3" s="6" t="s">
        <v>97</v>
      </c>
      <c r="D3" s="6" t="s">
        <v>57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106</v>
      </c>
      <c r="N3" s="6" t="s">
        <v>107</v>
      </c>
      <c r="O3" s="38" t="s">
        <v>108</v>
      </c>
      <c r="P3" s="6" t="s">
        <v>109</v>
      </c>
    </row>
    <row r="4" spans="1:16" ht="23.25" customHeight="1">
      <c r="A4" s="20" t="s">
        <v>110</v>
      </c>
      <c r="B4" s="20" t="s">
        <v>38</v>
      </c>
      <c r="C4" s="39" t="s">
        <v>111</v>
      </c>
      <c r="D4" s="20" t="s">
        <v>62</v>
      </c>
      <c r="E4" s="40">
        <v>46142</v>
      </c>
      <c r="F4" s="20" t="s">
        <v>38</v>
      </c>
      <c r="G4" s="8">
        <v>114589</v>
      </c>
      <c r="H4" s="8">
        <v>114589</v>
      </c>
      <c r="I4" s="8">
        <v>0</v>
      </c>
      <c r="J4" s="8">
        <v>0</v>
      </c>
      <c r="K4" s="41">
        <v>114589</v>
      </c>
      <c r="L4" s="42" t="s">
        <v>112</v>
      </c>
      <c r="M4" s="28" t="s">
        <v>306</v>
      </c>
      <c r="N4" s="30">
        <v>114589</v>
      </c>
      <c r="O4" s="43"/>
      <c r="P4" s="29"/>
    </row>
    <row r="5" spans="1:16" ht="15" customHeight="1">
      <c r="A5" s="20" t="s">
        <v>110</v>
      </c>
      <c r="B5" s="20" t="s">
        <v>38</v>
      </c>
      <c r="C5" s="39" t="s">
        <v>113</v>
      </c>
      <c r="D5" s="20" t="s">
        <v>66</v>
      </c>
      <c r="E5" s="40">
        <v>46142</v>
      </c>
      <c r="F5" s="20" t="s">
        <v>38</v>
      </c>
      <c r="G5" s="8">
        <v>33000</v>
      </c>
      <c r="H5" s="8">
        <v>33000</v>
      </c>
      <c r="I5" s="8">
        <v>33000</v>
      </c>
      <c r="J5" s="8">
        <v>33000</v>
      </c>
      <c r="K5" s="41">
        <v>99000</v>
      </c>
      <c r="L5" s="42" t="s">
        <v>114</v>
      </c>
      <c r="M5" s="28"/>
      <c r="N5" s="30">
        <v>99000</v>
      </c>
      <c r="O5" s="43"/>
      <c r="P5" s="29"/>
    </row>
    <row r="6" spans="1:16" ht="15" customHeight="1">
      <c r="A6" s="29"/>
      <c r="B6" s="29"/>
      <c r="C6" s="29"/>
      <c r="D6" s="29"/>
      <c r="E6" s="28"/>
      <c r="F6" s="29"/>
      <c r="G6" s="30"/>
      <c r="H6" s="30"/>
      <c r="I6" s="30"/>
      <c r="J6" s="30"/>
      <c r="K6" s="30"/>
      <c r="L6" s="42"/>
      <c r="M6" s="28"/>
      <c r="N6" s="30"/>
      <c r="O6" s="43"/>
      <c r="P6" s="29"/>
    </row>
    <row r="7" spans="1:16" ht="15" customHeight="1">
      <c r="A7" s="29"/>
      <c r="B7" s="29"/>
      <c r="C7" s="29"/>
      <c r="D7" s="29"/>
      <c r="E7" s="28"/>
      <c r="F7" s="29"/>
      <c r="G7" s="30"/>
      <c r="H7" s="30"/>
      <c r="I7" s="30"/>
      <c r="J7" s="30"/>
      <c r="K7" s="30"/>
      <c r="L7" s="42"/>
      <c r="M7" s="28"/>
      <c r="N7" s="30"/>
      <c r="O7" s="43"/>
      <c r="P7" s="29"/>
    </row>
    <row r="8" spans="1:16" ht="15" customHeight="1">
      <c r="A8" s="29"/>
      <c r="B8" s="29"/>
      <c r="C8" s="29"/>
      <c r="D8" s="29"/>
      <c r="E8" s="28"/>
      <c r="F8" s="29"/>
      <c r="G8" s="30"/>
      <c r="H8" s="30"/>
      <c r="I8" s="30"/>
      <c r="J8" s="30"/>
      <c r="K8" s="30"/>
      <c r="L8" s="42"/>
      <c r="M8" s="28"/>
      <c r="N8" s="30"/>
      <c r="O8" s="43"/>
      <c r="P8" s="29"/>
    </row>
    <row r="9" spans="1:16" ht="15" customHeight="1">
      <c r="A9" s="29"/>
      <c r="B9" s="29"/>
      <c r="C9" s="29"/>
      <c r="D9" s="29"/>
      <c r="E9" s="28"/>
      <c r="F9" s="29"/>
      <c r="G9" s="30"/>
      <c r="H9" s="30"/>
      <c r="I9" s="30"/>
      <c r="J9" s="30"/>
      <c r="K9" s="30"/>
      <c r="L9" s="42"/>
      <c r="M9" s="28"/>
      <c r="N9" s="30"/>
      <c r="O9" s="43"/>
      <c r="P9" s="29"/>
    </row>
    <row r="10" spans="1:16" ht="15" customHeight="1">
      <c r="A10" s="29"/>
      <c r="B10" s="29"/>
      <c r="C10" s="29"/>
      <c r="D10" s="29"/>
      <c r="E10" s="28"/>
      <c r="F10" s="29"/>
      <c r="G10" s="30"/>
      <c r="H10" s="30"/>
      <c r="I10" s="30"/>
      <c r="J10" s="30"/>
      <c r="K10" s="30"/>
      <c r="L10" s="42"/>
      <c r="M10" s="28"/>
      <c r="N10" s="30"/>
      <c r="O10" s="43"/>
      <c r="P10" s="29"/>
    </row>
    <row r="11" spans="1:16" ht="15" customHeight="1">
      <c r="A11" s="29"/>
      <c r="B11" s="29"/>
      <c r="C11" s="29"/>
      <c r="D11" s="29"/>
      <c r="E11" s="28"/>
      <c r="F11" s="29"/>
      <c r="G11" s="30"/>
      <c r="H11" s="30"/>
      <c r="I11" s="30"/>
      <c r="J11" s="30"/>
      <c r="K11" s="30"/>
      <c r="L11" s="42"/>
      <c r="M11" s="28"/>
      <c r="N11" s="30"/>
      <c r="O11" s="43"/>
      <c r="P11" s="29"/>
    </row>
    <row r="12" spans="1:16" ht="15" customHeight="1">
      <c r="A12" s="29"/>
      <c r="B12" s="29"/>
      <c r="C12" s="29"/>
      <c r="D12" s="29"/>
      <c r="E12" s="28"/>
      <c r="F12" s="29"/>
      <c r="G12" s="30"/>
      <c r="H12" s="30"/>
      <c r="I12" s="30"/>
      <c r="J12" s="30"/>
      <c r="K12" s="30"/>
      <c r="L12" s="42"/>
      <c r="M12" s="28"/>
      <c r="N12" s="30"/>
      <c r="O12" s="43"/>
      <c r="P12" s="29"/>
    </row>
    <row r="13" spans="1:16" ht="15" customHeight="1">
      <c r="A13" s="29"/>
      <c r="B13" s="29"/>
      <c r="C13" s="29"/>
      <c r="D13" s="29"/>
      <c r="E13" s="28"/>
      <c r="F13" s="29"/>
      <c r="G13" s="30"/>
      <c r="H13" s="30"/>
      <c r="I13" s="30"/>
      <c r="J13" s="30"/>
      <c r="K13" s="30"/>
      <c r="L13" s="42"/>
      <c r="M13" s="28"/>
      <c r="N13" s="30"/>
      <c r="O13" s="43"/>
      <c r="P13" s="29"/>
    </row>
    <row r="14" spans="1:16" ht="15" customHeight="1">
      <c r="A14" s="29"/>
      <c r="B14" s="29"/>
      <c r="C14" s="29"/>
      <c r="D14" s="29"/>
      <c r="E14" s="28"/>
      <c r="F14" s="29"/>
      <c r="G14" s="30"/>
      <c r="H14" s="30"/>
      <c r="I14" s="30"/>
      <c r="J14" s="30"/>
      <c r="K14" s="30"/>
      <c r="L14" s="42"/>
      <c r="M14" s="28"/>
      <c r="N14" s="30"/>
      <c r="O14" s="43"/>
      <c r="P14" s="29"/>
    </row>
    <row r="15" spans="1:16" ht="15" customHeight="1">
      <c r="A15" s="29"/>
      <c r="B15" s="29"/>
      <c r="C15" s="29"/>
      <c r="D15" s="29"/>
      <c r="E15" s="28"/>
      <c r="F15" s="29"/>
      <c r="G15" s="30"/>
      <c r="H15" s="30"/>
      <c r="I15" s="30"/>
      <c r="J15" s="30"/>
      <c r="K15" s="30"/>
      <c r="L15" s="42"/>
      <c r="M15" s="28"/>
      <c r="N15" s="30"/>
      <c r="O15" s="43"/>
      <c r="P15" s="29"/>
    </row>
    <row r="16" spans="1:16" ht="15" customHeight="1">
      <c r="A16" s="29"/>
      <c r="B16" s="29"/>
      <c r="C16" s="29"/>
      <c r="D16" s="29"/>
      <c r="E16" s="28"/>
      <c r="F16" s="29"/>
      <c r="G16" s="30"/>
      <c r="H16" s="30"/>
      <c r="I16" s="30"/>
      <c r="J16" s="30"/>
      <c r="K16" s="30"/>
      <c r="L16" s="42"/>
      <c r="M16" s="28"/>
      <c r="N16" s="30"/>
      <c r="O16" s="43"/>
      <c r="P16" s="29"/>
    </row>
    <row r="17" spans="1:16" ht="15" customHeight="1">
      <c r="A17" s="29"/>
      <c r="B17" s="29"/>
      <c r="C17" s="29"/>
      <c r="D17" s="29"/>
      <c r="E17" s="28"/>
      <c r="F17" s="29"/>
      <c r="G17" s="30"/>
      <c r="H17" s="30"/>
      <c r="I17" s="30"/>
      <c r="J17" s="30"/>
      <c r="K17" s="30"/>
      <c r="L17" s="42"/>
      <c r="M17" s="28"/>
      <c r="N17" s="30"/>
      <c r="O17" s="43"/>
      <c r="P17" s="29"/>
    </row>
    <row r="18" spans="1:16" ht="15" customHeight="1">
      <c r="A18" s="29"/>
      <c r="B18" s="29"/>
      <c r="C18" s="29"/>
      <c r="D18" s="29"/>
      <c r="E18" s="28"/>
      <c r="F18" s="29"/>
      <c r="G18" s="30"/>
      <c r="H18" s="30"/>
      <c r="I18" s="30"/>
      <c r="J18" s="30"/>
      <c r="K18" s="30"/>
      <c r="L18" s="42"/>
      <c r="M18" s="28"/>
      <c r="N18" s="30"/>
      <c r="O18" s="43"/>
      <c r="P18" s="29"/>
    </row>
    <row r="19" spans="1:16" ht="15" customHeight="1">
      <c r="A19" s="29"/>
      <c r="B19" s="29"/>
      <c r="C19" s="29"/>
      <c r="D19" s="29"/>
      <c r="E19" s="28"/>
      <c r="F19" s="29"/>
      <c r="G19" s="30"/>
      <c r="H19" s="30"/>
      <c r="I19" s="30"/>
      <c r="J19" s="30"/>
      <c r="K19" s="30"/>
      <c r="L19" s="42"/>
      <c r="M19" s="28"/>
      <c r="N19" s="30"/>
      <c r="O19" s="43"/>
      <c r="P19" s="29"/>
    </row>
    <row r="20" spans="1:16" ht="15" customHeight="1">
      <c r="A20" s="29"/>
      <c r="B20" s="29"/>
      <c r="C20" s="29"/>
      <c r="D20" s="29"/>
      <c r="E20" s="28"/>
      <c r="F20" s="29"/>
      <c r="G20" s="30"/>
      <c r="H20" s="30"/>
      <c r="I20" s="30"/>
      <c r="J20" s="30"/>
      <c r="K20" s="30"/>
      <c r="L20" s="42"/>
      <c r="M20" s="28"/>
      <c r="N20" s="30"/>
      <c r="O20" s="43"/>
      <c r="P20" s="29"/>
    </row>
    <row r="21" spans="1:16" ht="15" customHeight="1">
      <c r="A21" s="29"/>
      <c r="B21" s="29"/>
      <c r="C21" s="29"/>
      <c r="D21" s="29"/>
      <c r="E21" s="28"/>
      <c r="F21" s="29"/>
      <c r="G21" s="30"/>
      <c r="H21" s="30"/>
      <c r="I21" s="30"/>
      <c r="J21" s="30"/>
      <c r="K21" s="30"/>
      <c r="L21" s="42"/>
      <c r="M21" s="28"/>
      <c r="N21" s="30"/>
      <c r="O21" s="43"/>
      <c r="P21" s="29"/>
    </row>
    <row r="22" spans="1:16" ht="15" customHeight="1">
      <c r="A22" s="29"/>
      <c r="B22" s="29"/>
      <c r="C22" s="29"/>
      <c r="D22" s="29"/>
      <c r="E22" s="28"/>
      <c r="F22" s="29"/>
      <c r="G22" s="30"/>
      <c r="H22" s="30"/>
      <c r="I22" s="30"/>
      <c r="J22" s="30"/>
      <c r="K22" s="30"/>
      <c r="L22" s="42"/>
      <c r="M22" s="28"/>
      <c r="N22" s="30"/>
      <c r="O22" s="43"/>
      <c r="P22" s="29"/>
    </row>
    <row r="23" spans="1:16" ht="15" customHeight="1">
      <c r="A23" s="29"/>
      <c r="B23" s="29"/>
      <c r="C23" s="29"/>
      <c r="D23" s="29"/>
      <c r="E23" s="28"/>
      <c r="F23" s="29"/>
      <c r="G23" s="30"/>
      <c r="H23" s="30"/>
      <c r="I23" s="30"/>
      <c r="J23" s="30"/>
      <c r="K23" s="30"/>
      <c r="L23" s="42"/>
      <c r="M23" s="28"/>
      <c r="N23" s="30"/>
      <c r="O23" s="43"/>
      <c r="P23" s="29"/>
    </row>
    <row r="24" spans="1:16" ht="15" customHeight="1">
      <c r="A24" s="29"/>
      <c r="B24" s="29"/>
      <c r="C24" s="29"/>
      <c r="D24" s="29"/>
      <c r="E24" s="28"/>
      <c r="F24" s="29"/>
      <c r="G24" s="30"/>
      <c r="H24" s="30"/>
      <c r="I24" s="30"/>
      <c r="J24" s="30"/>
      <c r="K24" s="30"/>
      <c r="L24" s="42"/>
      <c r="M24" s="28"/>
      <c r="N24" s="30"/>
      <c r="O24" s="43"/>
      <c r="P24" s="29"/>
    </row>
    <row r="25" spans="1:16" ht="15" customHeight="1">
      <c r="A25" s="29"/>
      <c r="B25" s="29"/>
      <c r="C25" s="29"/>
      <c r="D25" s="29"/>
      <c r="E25" s="28"/>
      <c r="F25" s="29"/>
      <c r="G25" s="30"/>
      <c r="H25" s="30"/>
      <c r="I25" s="30"/>
      <c r="J25" s="30"/>
      <c r="K25" s="30"/>
      <c r="L25" s="42"/>
      <c r="M25" s="28"/>
      <c r="N25" s="30"/>
      <c r="O25" s="43"/>
      <c r="P25" s="29"/>
    </row>
    <row r="26" spans="1:16" ht="15" customHeight="1">
      <c r="A26" s="29"/>
      <c r="B26" s="29"/>
      <c r="C26" s="29"/>
      <c r="D26" s="29"/>
      <c r="E26" s="28"/>
      <c r="F26" s="29"/>
      <c r="G26" s="30"/>
      <c r="H26" s="30"/>
      <c r="I26" s="30"/>
      <c r="J26" s="30"/>
      <c r="K26" s="30"/>
      <c r="L26" s="42"/>
      <c r="M26" s="28"/>
      <c r="N26" s="30"/>
      <c r="O26" s="43"/>
      <c r="P26" s="29"/>
    </row>
    <row r="27" spans="1:16" ht="15" customHeight="1">
      <c r="A27" s="29"/>
      <c r="B27" s="29"/>
      <c r="C27" s="29"/>
      <c r="D27" s="29"/>
      <c r="E27" s="28"/>
      <c r="F27" s="29"/>
      <c r="G27" s="30"/>
      <c r="H27" s="30"/>
      <c r="I27" s="30"/>
      <c r="J27" s="30"/>
      <c r="K27" s="30"/>
      <c r="L27" s="42"/>
      <c r="M27" s="28"/>
      <c r="N27" s="30"/>
      <c r="O27" s="43"/>
      <c r="P27" s="29"/>
    </row>
    <row r="28" spans="1:16" ht="15" customHeight="1">
      <c r="A28" s="29"/>
      <c r="B28" s="29"/>
      <c r="C28" s="29"/>
      <c r="D28" s="29"/>
      <c r="E28" s="28"/>
      <c r="F28" s="29"/>
      <c r="G28" s="30"/>
      <c r="H28" s="30"/>
      <c r="I28" s="30"/>
      <c r="J28" s="30"/>
      <c r="K28" s="30"/>
      <c r="L28" s="42"/>
      <c r="M28" s="28"/>
      <c r="N28" s="30"/>
      <c r="O28" s="43"/>
      <c r="P28" s="29"/>
    </row>
    <row r="29" spans="1:16" ht="15" customHeight="1">
      <c r="A29" s="29"/>
      <c r="B29" s="29"/>
      <c r="C29" s="29"/>
      <c r="D29" s="29"/>
      <c r="E29" s="28"/>
      <c r="F29" s="29"/>
      <c r="G29" s="30"/>
      <c r="H29" s="30"/>
      <c r="I29" s="30"/>
      <c r="J29" s="30"/>
      <c r="K29" s="30"/>
      <c r="L29" s="42"/>
      <c r="M29" s="28"/>
      <c r="N29" s="30"/>
      <c r="O29" s="43"/>
      <c r="P29" s="29"/>
    </row>
    <row r="30" spans="1:16" ht="15" customHeight="1">
      <c r="A30" s="29"/>
      <c r="B30" s="29"/>
      <c r="C30" s="29"/>
      <c r="D30" s="29"/>
      <c r="E30" s="28"/>
      <c r="F30" s="29"/>
      <c r="G30" s="30"/>
      <c r="H30" s="30"/>
      <c r="I30" s="30"/>
      <c r="J30" s="30"/>
      <c r="K30" s="30"/>
      <c r="L30" s="42"/>
      <c r="M30" s="28"/>
      <c r="N30" s="30"/>
      <c r="O30" s="43"/>
      <c r="P30" s="29"/>
    </row>
    <row r="31" spans="1:16" ht="15" customHeight="1">
      <c r="A31" s="29"/>
      <c r="B31" s="29"/>
      <c r="C31" s="29"/>
      <c r="D31" s="29"/>
      <c r="E31" s="28"/>
      <c r="F31" s="29"/>
      <c r="G31" s="30"/>
      <c r="H31" s="30"/>
      <c r="I31" s="30"/>
      <c r="J31" s="30"/>
      <c r="K31" s="30"/>
      <c r="L31" s="42"/>
      <c r="M31" s="28"/>
      <c r="N31" s="30"/>
      <c r="O31" s="43"/>
      <c r="P31" s="29"/>
    </row>
    <row r="32" spans="1:16" ht="15" customHeight="1">
      <c r="A32" s="29"/>
      <c r="B32" s="29"/>
      <c r="C32" s="29"/>
      <c r="D32" s="29"/>
      <c r="E32" s="28"/>
      <c r="F32" s="29"/>
      <c r="G32" s="30"/>
      <c r="H32" s="30"/>
      <c r="I32" s="30"/>
      <c r="J32" s="30"/>
      <c r="K32" s="30"/>
      <c r="L32" s="42"/>
      <c r="M32" s="28"/>
      <c r="N32" s="30"/>
      <c r="O32" s="43"/>
      <c r="P32" s="29"/>
    </row>
    <row r="33" spans="1:16" ht="15" customHeight="1">
      <c r="A33" s="29"/>
      <c r="B33" s="29"/>
      <c r="C33" s="29"/>
      <c r="D33" s="29"/>
      <c r="E33" s="28"/>
      <c r="F33" s="29"/>
      <c r="G33" s="30"/>
      <c r="H33" s="30"/>
      <c r="I33" s="30"/>
      <c r="J33" s="30"/>
      <c r="K33" s="30"/>
      <c r="L33" s="42"/>
      <c r="M33" s="28"/>
      <c r="N33" s="30"/>
      <c r="O33" s="43"/>
      <c r="P33" s="29"/>
    </row>
    <row r="34" spans="1:16" ht="15" customHeight="1">
      <c r="A34" s="29"/>
      <c r="B34" s="29"/>
      <c r="C34" s="29"/>
      <c r="D34" s="29"/>
      <c r="E34" s="28"/>
      <c r="F34" s="29"/>
      <c r="G34" s="30"/>
      <c r="H34" s="30"/>
      <c r="I34" s="30"/>
      <c r="J34" s="30"/>
      <c r="K34" s="30"/>
      <c r="L34" s="42"/>
      <c r="M34" s="28"/>
      <c r="N34" s="30"/>
      <c r="O34" s="43"/>
      <c r="P34" s="29"/>
    </row>
    <row r="35" spans="1:16" ht="15" customHeight="1">
      <c r="A35" s="29"/>
      <c r="B35" s="29"/>
      <c r="C35" s="29"/>
      <c r="D35" s="29"/>
      <c r="E35" s="28"/>
      <c r="F35" s="29"/>
      <c r="G35" s="30"/>
      <c r="H35" s="30"/>
      <c r="I35" s="30"/>
      <c r="J35" s="30"/>
      <c r="K35" s="30"/>
      <c r="L35" s="42"/>
      <c r="M35" s="28"/>
      <c r="N35" s="30"/>
      <c r="O35" s="43"/>
      <c r="P35" s="29"/>
    </row>
    <row r="36" spans="1:16" ht="15" customHeight="1">
      <c r="A36" s="29"/>
      <c r="B36" s="29"/>
      <c r="C36" s="29"/>
      <c r="D36" s="29"/>
      <c r="E36" s="28"/>
      <c r="F36" s="29"/>
      <c r="G36" s="30"/>
      <c r="H36" s="30"/>
      <c r="I36" s="30"/>
      <c r="J36" s="30"/>
      <c r="K36" s="30"/>
      <c r="L36" s="42"/>
      <c r="M36" s="28"/>
      <c r="N36" s="30"/>
      <c r="O36" s="43"/>
      <c r="P36" s="29"/>
    </row>
    <row r="37" spans="1:16" ht="15" customHeight="1">
      <c r="A37" s="29"/>
      <c r="B37" s="29"/>
      <c r="C37" s="29"/>
      <c r="D37" s="29"/>
      <c r="E37" s="28"/>
      <c r="F37" s="29"/>
      <c r="G37" s="30"/>
      <c r="H37" s="30"/>
      <c r="I37" s="30"/>
      <c r="J37" s="30"/>
      <c r="K37" s="30"/>
      <c r="L37" s="42"/>
      <c r="M37" s="28"/>
      <c r="N37" s="30"/>
      <c r="O37" s="43"/>
      <c r="P37" s="29"/>
    </row>
    <row r="38" spans="1:16" ht="15" customHeight="1">
      <c r="A38" s="29"/>
      <c r="B38" s="29"/>
      <c r="C38" s="29"/>
      <c r="D38" s="29"/>
      <c r="E38" s="28"/>
      <c r="F38" s="29"/>
      <c r="G38" s="30"/>
      <c r="H38" s="30"/>
      <c r="I38" s="30"/>
      <c r="J38" s="30"/>
      <c r="K38" s="30"/>
      <c r="L38" s="42"/>
      <c r="M38" s="28"/>
      <c r="N38" s="30"/>
      <c r="O38" s="43"/>
      <c r="P38" s="29"/>
    </row>
    <row r="39" spans="1:16" ht="15" customHeight="1">
      <c r="A39" s="29"/>
      <c r="B39" s="29"/>
      <c r="C39" s="29"/>
      <c r="D39" s="29"/>
      <c r="E39" s="28"/>
      <c r="F39" s="29"/>
      <c r="G39" s="30"/>
      <c r="H39" s="30"/>
      <c r="I39" s="30"/>
      <c r="J39" s="30"/>
      <c r="K39" s="30"/>
      <c r="L39" s="42"/>
      <c r="M39" s="28"/>
      <c r="N39" s="30"/>
      <c r="O39" s="43"/>
      <c r="P39" s="29"/>
    </row>
    <row r="40" spans="1:16" ht="15" customHeight="1">
      <c r="A40" s="29"/>
      <c r="B40" s="29"/>
      <c r="C40" s="29"/>
      <c r="D40" s="29"/>
      <c r="E40" s="28"/>
      <c r="F40" s="29"/>
      <c r="G40" s="30"/>
      <c r="H40" s="30"/>
      <c r="I40" s="30"/>
      <c r="J40" s="30"/>
      <c r="K40" s="30"/>
      <c r="L40" s="42"/>
      <c r="M40" s="28"/>
      <c r="N40" s="30"/>
      <c r="O40" s="43"/>
      <c r="P40" s="29"/>
    </row>
    <row r="41" spans="1:16" ht="15" customHeight="1">
      <c r="A41" s="29"/>
      <c r="B41" s="29"/>
      <c r="C41" s="29"/>
      <c r="D41" s="29"/>
      <c r="E41" s="28"/>
      <c r="F41" s="29"/>
      <c r="G41" s="30"/>
      <c r="H41" s="30"/>
      <c r="I41" s="30"/>
      <c r="J41" s="30"/>
      <c r="K41" s="30"/>
      <c r="L41" s="42"/>
      <c r="M41" s="28"/>
      <c r="N41" s="30"/>
      <c r="O41" s="43"/>
      <c r="P41" s="29"/>
    </row>
    <row r="42" spans="1:16" ht="15" customHeight="1">
      <c r="A42" s="29"/>
      <c r="B42" s="29"/>
      <c r="C42" s="29"/>
      <c r="D42" s="29"/>
      <c r="E42" s="28"/>
      <c r="F42" s="29"/>
      <c r="G42" s="30"/>
      <c r="H42" s="30"/>
      <c r="I42" s="30"/>
      <c r="J42" s="30"/>
      <c r="K42" s="30"/>
      <c r="L42" s="42"/>
      <c r="M42" s="28"/>
      <c r="N42" s="30"/>
      <c r="O42" s="43"/>
      <c r="P42" s="29"/>
    </row>
    <row r="43" spans="1:16" ht="15" customHeight="1">
      <c r="A43" s="29"/>
      <c r="B43" s="29"/>
      <c r="C43" s="29"/>
      <c r="D43" s="29"/>
      <c r="E43" s="28"/>
      <c r="F43" s="29"/>
      <c r="G43" s="30"/>
      <c r="H43" s="30"/>
      <c r="I43" s="30"/>
      <c r="J43" s="30"/>
      <c r="K43" s="30"/>
      <c r="L43" s="42"/>
      <c r="M43" s="28"/>
      <c r="N43" s="30"/>
      <c r="O43" s="43"/>
      <c r="P43" s="29"/>
    </row>
    <row r="44" spans="1:16" ht="15" customHeight="1">
      <c r="A44" s="29"/>
      <c r="B44" s="29"/>
      <c r="C44" s="29"/>
      <c r="D44" s="29"/>
      <c r="E44" s="28"/>
      <c r="F44" s="29"/>
      <c r="G44" s="30"/>
      <c r="H44" s="30"/>
      <c r="I44" s="30"/>
      <c r="J44" s="30"/>
      <c r="K44" s="30"/>
      <c r="L44" s="42"/>
      <c r="M44" s="28"/>
      <c r="N44" s="30"/>
      <c r="O44" s="43"/>
      <c r="P44" s="29"/>
    </row>
    <row r="45" spans="1:16" ht="15" customHeight="1">
      <c r="A45" s="29"/>
      <c r="B45" s="29"/>
      <c r="C45" s="29"/>
      <c r="D45" s="29"/>
      <c r="E45" s="28"/>
      <c r="F45" s="29"/>
      <c r="G45" s="30"/>
      <c r="H45" s="30"/>
      <c r="I45" s="30"/>
      <c r="J45" s="30"/>
      <c r="K45" s="30"/>
      <c r="L45" s="42"/>
      <c r="M45" s="28"/>
      <c r="N45" s="30"/>
      <c r="O45" s="43"/>
      <c r="P45" s="29"/>
    </row>
    <row r="46" spans="1:16" ht="15" customHeight="1">
      <c r="A46" s="29"/>
      <c r="B46" s="29"/>
      <c r="C46" s="29"/>
      <c r="D46" s="29"/>
      <c r="E46" s="28"/>
      <c r="F46" s="29"/>
      <c r="G46" s="30"/>
      <c r="H46" s="30"/>
      <c r="I46" s="30"/>
      <c r="J46" s="30"/>
      <c r="K46" s="30"/>
      <c r="L46" s="42"/>
      <c r="M46" s="28"/>
      <c r="N46" s="30"/>
      <c r="O46" s="43"/>
      <c r="P46" s="29"/>
    </row>
    <row r="47" spans="1:16" ht="15" customHeight="1">
      <c r="A47" s="29"/>
      <c r="B47" s="29"/>
      <c r="C47" s="29"/>
      <c r="D47" s="29"/>
      <c r="E47" s="28"/>
      <c r="F47" s="29"/>
      <c r="G47" s="30"/>
      <c r="H47" s="30"/>
      <c r="I47" s="30"/>
      <c r="J47" s="30"/>
      <c r="K47" s="30"/>
      <c r="L47" s="42"/>
      <c r="M47" s="28"/>
      <c r="N47" s="30"/>
      <c r="O47" s="43"/>
      <c r="P47" s="29"/>
    </row>
    <row r="48" spans="1:16" ht="15" customHeight="1">
      <c r="A48" s="29"/>
      <c r="B48" s="29"/>
      <c r="C48" s="29"/>
      <c r="D48" s="29"/>
      <c r="E48" s="28"/>
      <c r="F48" s="29"/>
      <c r="G48" s="30"/>
      <c r="H48" s="30"/>
      <c r="I48" s="30"/>
      <c r="J48" s="30"/>
      <c r="K48" s="30"/>
      <c r="L48" s="42"/>
      <c r="M48" s="28"/>
      <c r="N48" s="30"/>
      <c r="O48" s="43"/>
      <c r="P48" s="29"/>
    </row>
    <row r="49" spans="1:16" ht="15" customHeight="1">
      <c r="A49" s="29"/>
      <c r="B49" s="29"/>
      <c r="C49" s="29"/>
      <c r="D49" s="29"/>
      <c r="E49" s="28"/>
      <c r="F49" s="29"/>
      <c r="G49" s="30"/>
      <c r="H49" s="30"/>
      <c r="I49" s="30"/>
      <c r="J49" s="30"/>
      <c r="K49" s="30"/>
      <c r="L49" s="42"/>
      <c r="M49" s="28"/>
      <c r="N49" s="30"/>
      <c r="O49" s="43"/>
      <c r="P49" s="29"/>
    </row>
    <row r="50" spans="1:16" ht="15" customHeight="1">
      <c r="A50" s="29"/>
      <c r="B50" s="29"/>
      <c r="C50" s="29"/>
      <c r="D50" s="29"/>
      <c r="E50" s="28"/>
      <c r="F50" s="29"/>
      <c r="G50" s="30"/>
      <c r="H50" s="30"/>
      <c r="I50" s="30"/>
      <c r="J50" s="30"/>
      <c r="K50" s="30"/>
      <c r="L50" s="42"/>
      <c r="M50" s="28"/>
      <c r="N50" s="30"/>
      <c r="O50" s="43"/>
      <c r="P50" s="29"/>
    </row>
    <row r="51" spans="1:16" ht="15" customHeight="1">
      <c r="A51" s="29"/>
      <c r="B51" s="29"/>
      <c r="C51" s="29"/>
      <c r="D51" s="29"/>
      <c r="E51" s="28"/>
      <c r="F51" s="29"/>
      <c r="G51" s="30"/>
      <c r="H51" s="30"/>
      <c r="I51" s="30"/>
      <c r="J51" s="30"/>
      <c r="K51" s="30"/>
      <c r="L51" s="42"/>
      <c r="M51" s="28"/>
      <c r="N51" s="30"/>
      <c r="O51" s="43"/>
      <c r="P51" s="29"/>
    </row>
    <row r="52" spans="1:16" ht="15" customHeight="1">
      <c r="A52" s="29"/>
      <c r="B52" s="29"/>
      <c r="C52" s="29"/>
      <c r="D52" s="29"/>
      <c r="E52" s="28"/>
      <c r="F52" s="29"/>
      <c r="G52" s="30"/>
      <c r="H52" s="30"/>
      <c r="I52" s="30"/>
      <c r="J52" s="30"/>
      <c r="K52" s="30"/>
      <c r="L52" s="42"/>
      <c r="M52" s="28"/>
      <c r="N52" s="30"/>
      <c r="O52" s="43"/>
      <c r="P52" s="29"/>
    </row>
    <row r="53" spans="1:16" ht="15" customHeight="1">
      <c r="A53" s="29"/>
      <c r="B53" s="29"/>
      <c r="C53" s="29"/>
      <c r="D53" s="29"/>
      <c r="E53" s="28"/>
      <c r="F53" s="29"/>
      <c r="G53" s="30"/>
      <c r="H53" s="30"/>
      <c r="I53" s="30"/>
      <c r="J53" s="30"/>
      <c r="K53" s="30"/>
      <c r="L53" s="42"/>
      <c r="M53" s="28"/>
      <c r="N53" s="30"/>
      <c r="O53" s="43"/>
      <c r="P53" s="29"/>
    </row>
    <row r="54" spans="1:16" ht="15" customHeight="1">
      <c r="A54" s="29"/>
      <c r="B54" s="29"/>
      <c r="C54" s="29"/>
      <c r="D54" s="29"/>
      <c r="E54" s="28"/>
      <c r="F54" s="29"/>
      <c r="G54" s="30"/>
      <c r="H54" s="30"/>
      <c r="I54" s="30"/>
      <c r="J54" s="30"/>
      <c r="K54" s="30"/>
      <c r="L54" s="42"/>
      <c r="M54" s="28"/>
      <c r="N54" s="30"/>
      <c r="O54" s="43"/>
      <c r="P54" s="29"/>
    </row>
    <row r="55" spans="1:16" ht="15" customHeight="1">
      <c r="A55" s="29"/>
      <c r="B55" s="29"/>
      <c r="C55" s="29"/>
      <c r="D55" s="29"/>
      <c r="E55" s="28"/>
      <c r="F55" s="29"/>
      <c r="G55" s="30"/>
      <c r="H55" s="30"/>
      <c r="I55" s="30"/>
      <c r="J55" s="30"/>
      <c r="K55" s="30"/>
      <c r="L55" s="42"/>
      <c r="M55" s="28"/>
      <c r="N55" s="30"/>
      <c r="O55" s="43"/>
      <c r="P55" s="29"/>
    </row>
    <row r="56" spans="1:16" ht="15" customHeight="1">
      <c r="A56" s="29"/>
      <c r="B56" s="29"/>
      <c r="C56" s="29"/>
      <c r="D56" s="29"/>
      <c r="E56" s="28"/>
      <c r="F56" s="29"/>
      <c r="G56" s="30"/>
      <c r="H56" s="30"/>
      <c r="I56" s="30"/>
      <c r="J56" s="30"/>
      <c r="K56" s="30"/>
      <c r="L56" s="42"/>
      <c r="M56" s="28"/>
      <c r="N56" s="30"/>
      <c r="O56" s="43"/>
      <c r="P56" s="29"/>
    </row>
    <row r="57" spans="1:16" ht="15" customHeight="1">
      <c r="A57" s="29"/>
      <c r="B57" s="29"/>
      <c r="C57" s="29"/>
      <c r="D57" s="29"/>
      <c r="E57" s="28"/>
      <c r="F57" s="29"/>
      <c r="G57" s="30"/>
      <c r="H57" s="30"/>
      <c r="I57" s="30"/>
      <c r="J57" s="30"/>
      <c r="K57" s="30"/>
      <c r="L57" s="42"/>
      <c r="M57" s="28"/>
      <c r="N57" s="30"/>
      <c r="O57" s="43"/>
      <c r="P57" s="29"/>
    </row>
    <row r="58" spans="1:16" ht="15" customHeight="1">
      <c r="A58" s="29"/>
      <c r="B58" s="29"/>
      <c r="C58" s="29"/>
      <c r="D58" s="29"/>
      <c r="E58" s="28"/>
      <c r="F58" s="29"/>
      <c r="G58" s="30"/>
      <c r="H58" s="30"/>
      <c r="I58" s="30"/>
      <c r="J58" s="30"/>
      <c r="K58" s="30"/>
      <c r="L58" s="42"/>
      <c r="M58" s="28"/>
      <c r="N58" s="30"/>
      <c r="O58" s="43"/>
      <c r="P58" s="29"/>
    </row>
    <row r="59" spans="1:16" ht="15" customHeight="1">
      <c r="A59" s="29"/>
      <c r="B59" s="29"/>
      <c r="C59" s="29"/>
      <c r="D59" s="29"/>
      <c r="E59" s="28"/>
      <c r="F59" s="29"/>
      <c r="G59" s="30"/>
      <c r="H59" s="30"/>
      <c r="I59" s="30"/>
      <c r="J59" s="30"/>
      <c r="K59" s="30"/>
      <c r="L59" s="42"/>
      <c r="M59" s="28"/>
      <c r="N59" s="30"/>
      <c r="O59" s="43"/>
      <c r="P59" s="29"/>
    </row>
    <row r="60" spans="1:16" ht="15" customHeight="1">
      <c r="A60" s="29"/>
      <c r="B60" s="29"/>
      <c r="C60" s="29"/>
      <c r="D60" s="29"/>
      <c r="E60" s="28"/>
      <c r="F60" s="29"/>
      <c r="G60" s="30"/>
      <c r="H60" s="30"/>
      <c r="I60" s="30"/>
      <c r="J60" s="30"/>
      <c r="K60" s="30"/>
      <c r="L60" s="42"/>
      <c r="M60" s="28"/>
      <c r="N60" s="30"/>
      <c r="O60" s="43"/>
      <c r="P60" s="29"/>
    </row>
    <row r="61" spans="1:16" ht="15" customHeight="1">
      <c r="A61" s="29"/>
      <c r="B61" s="29"/>
      <c r="C61" s="29"/>
      <c r="D61" s="29"/>
      <c r="E61" s="28"/>
      <c r="F61" s="29"/>
      <c r="G61" s="30"/>
      <c r="H61" s="30"/>
      <c r="I61" s="30"/>
      <c r="J61" s="30"/>
      <c r="K61" s="30"/>
      <c r="L61" s="42"/>
      <c r="M61" s="28"/>
      <c r="N61" s="30"/>
      <c r="O61" s="43"/>
      <c r="P61" s="29"/>
    </row>
    <row r="62" spans="1:16" ht="15" customHeight="1">
      <c r="A62" s="29"/>
      <c r="B62" s="29"/>
      <c r="C62" s="29"/>
      <c r="D62" s="29"/>
      <c r="E62" s="28"/>
      <c r="F62" s="29"/>
      <c r="G62" s="30"/>
      <c r="H62" s="30"/>
      <c r="I62" s="30"/>
      <c r="J62" s="30"/>
      <c r="K62" s="30"/>
      <c r="L62" s="42"/>
      <c r="M62" s="28"/>
      <c r="N62" s="30"/>
      <c r="O62" s="43"/>
      <c r="P62" s="29"/>
    </row>
    <row r="63" spans="1:16" ht="15" customHeight="1">
      <c r="A63" s="29"/>
      <c r="B63" s="29"/>
      <c r="C63" s="29"/>
      <c r="D63" s="29"/>
      <c r="E63" s="28"/>
      <c r="F63" s="29"/>
      <c r="G63" s="30"/>
      <c r="H63" s="30"/>
      <c r="I63" s="30"/>
      <c r="J63" s="30"/>
      <c r="K63" s="30"/>
      <c r="L63" s="42"/>
      <c r="M63" s="28"/>
      <c r="N63" s="30"/>
      <c r="O63" s="43"/>
      <c r="P63" s="29"/>
    </row>
    <row r="64" spans="1:16" ht="15" customHeight="1">
      <c r="A64" s="29"/>
      <c r="B64" s="29"/>
      <c r="C64" s="29"/>
      <c r="D64" s="29"/>
      <c r="E64" s="28"/>
      <c r="F64" s="29"/>
      <c r="G64" s="30"/>
      <c r="H64" s="30"/>
      <c r="I64" s="30"/>
      <c r="J64" s="30"/>
      <c r="K64" s="30"/>
      <c r="L64" s="42"/>
      <c r="M64" s="28"/>
      <c r="N64" s="30"/>
      <c r="O64" s="43"/>
      <c r="P64" s="29"/>
    </row>
    <row r="65" spans="1:16" ht="15" customHeight="1">
      <c r="A65" s="29"/>
      <c r="B65" s="29"/>
      <c r="C65" s="29"/>
      <c r="D65" s="29"/>
      <c r="E65" s="28"/>
      <c r="F65" s="29"/>
      <c r="G65" s="30"/>
      <c r="H65" s="30"/>
      <c r="I65" s="30"/>
      <c r="J65" s="30"/>
      <c r="K65" s="30"/>
      <c r="L65" s="42"/>
      <c r="M65" s="28"/>
      <c r="N65" s="30"/>
      <c r="O65" s="43"/>
      <c r="P65" s="29"/>
    </row>
    <row r="66" spans="1:16" ht="15" customHeight="1">
      <c r="A66" s="29"/>
      <c r="B66" s="29"/>
      <c r="C66" s="29"/>
      <c r="D66" s="29"/>
      <c r="E66" s="28"/>
      <c r="F66" s="29"/>
      <c r="G66" s="30"/>
      <c r="H66" s="30"/>
      <c r="I66" s="30"/>
      <c r="J66" s="30"/>
      <c r="K66" s="30"/>
      <c r="L66" s="42"/>
      <c r="M66" s="28"/>
      <c r="N66" s="30"/>
      <c r="O66" s="43"/>
      <c r="P66" s="29"/>
    </row>
    <row r="67" spans="1:16" ht="15" customHeight="1">
      <c r="A67" s="29"/>
      <c r="B67" s="29"/>
      <c r="C67" s="29"/>
      <c r="D67" s="29"/>
      <c r="E67" s="28"/>
      <c r="F67" s="29"/>
      <c r="G67" s="30"/>
      <c r="H67" s="30"/>
      <c r="I67" s="30"/>
      <c r="J67" s="30"/>
      <c r="K67" s="30"/>
      <c r="L67" s="42"/>
      <c r="M67" s="28"/>
      <c r="N67" s="30"/>
      <c r="O67" s="43"/>
      <c r="P67" s="29"/>
    </row>
    <row r="68" spans="1:16" ht="15" customHeight="1">
      <c r="A68" s="29"/>
      <c r="B68" s="29"/>
      <c r="C68" s="29"/>
      <c r="D68" s="29"/>
      <c r="E68" s="28"/>
      <c r="F68" s="29"/>
      <c r="G68" s="30"/>
      <c r="H68" s="30"/>
      <c r="I68" s="30"/>
      <c r="J68" s="30"/>
      <c r="K68" s="30"/>
      <c r="L68" s="42"/>
      <c r="M68" s="28"/>
      <c r="N68" s="30"/>
      <c r="O68" s="43"/>
      <c r="P68" s="29"/>
    </row>
    <row r="69" spans="1:16" ht="15" customHeight="1">
      <c r="A69" s="29"/>
      <c r="B69" s="29"/>
      <c r="C69" s="29"/>
      <c r="D69" s="29"/>
      <c r="E69" s="28"/>
      <c r="F69" s="29"/>
      <c r="G69" s="30"/>
      <c r="H69" s="30"/>
      <c r="I69" s="30"/>
      <c r="J69" s="30"/>
      <c r="K69" s="30"/>
      <c r="L69" s="42"/>
      <c r="M69" s="28"/>
      <c r="N69" s="30"/>
      <c r="O69" s="43"/>
      <c r="P69" s="29"/>
    </row>
    <row r="70" spans="1:16" ht="15" customHeight="1">
      <c r="A70" s="29"/>
      <c r="B70" s="29"/>
      <c r="C70" s="29"/>
      <c r="D70" s="29"/>
      <c r="E70" s="28"/>
      <c r="F70" s="29"/>
      <c r="G70" s="30"/>
      <c r="H70" s="30"/>
      <c r="I70" s="30"/>
      <c r="J70" s="30"/>
      <c r="K70" s="30"/>
      <c r="L70" s="42"/>
      <c r="M70" s="28"/>
      <c r="N70" s="30"/>
      <c r="O70" s="43"/>
      <c r="P70" s="29"/>
    </row>
    <row r="71" spans="1:16" ht="15" customHeight="1">
      <c r="A71" s="29"/>
      <c r="B71" s="29"/>
      <c r="C71" s="29"/>
      <c r="D71" s="29"/>
      <c r="E71" s="28"/>
      <c r="F71" s="29"/>
      <c r="G71" s="30"/>
      <c r="H71" s="30"/>
      <c r="I71" s="30"/>
      <c r="J71" s="30"/>
      <c r="K71" s="30"/>
      <c r="L71" s="42"/>
      <c r="M71" s="28"/>
      <c r="N71" s="30"/>
      <c r="O71" s="43"/>
      <c r="P71" s="29"/>
    </row>
    <row r="72" spans="1:16" ht="15" customHeight="1">
      <c r="A72" s="29"/>
      <c r="B72" s="29"/>
      <c r="C72" s="29"/>
      <c r="D72" s="29"/>
      <c r="E72" s="28"/>
      <c r="F72" s="29"/>
      <c r="G72" s="30"/>
      <c r="H72" s="30"/>
      <c r="I72" s="30"/>
      <c r="J72" s="30"/>
      <c r="K72" s="30"/>
      <c r="L72" s="42"/>
      <c r="M72" s="28"/>
      <c r="N72" s="30"/>
      <c r="O72" s="43"/>
      <c r="P72" s="29"/>
    </row>
    <row r="73" spans="1:16" ht="15" customHeight="1">
      <c r="A73" s="29"/>
      <c r="B73" s="29"/>
      <c r="C73" s="29"/>
      <c r="D73" s="29"/>
      <c r="E73" s="28"/>
      <c r="F73" s="29"/>
      <c r="G73" s="30"/>
      <c r="H73" s="30"/>
      <c r="I73" s="30"/>
      <c r="J73" s="30"/>
      <c r="K73" s="30"/>
      <c r="L73" s="42"/>
      <c r="M73" s="28"/>
      <c r="N73" s="30"/>
      <c r="O73" s="43"/>
      <c r="P73" s="29"/>
    </row>
    <row r="74" spans="1:16" ht="15" customHeight="1">
      <c r="A74" s="29"/>
      <c r="B74" s="29"/>
      <c r="C74" s="29"/>
      <c r="D74" s="29"/>
      <c r="E74" s="28"/>
      <c r="F74" s="29"/>
      <c r="G74" s="30"/>
      <c r="H74" s="30"/>
      <c r="I74" s="30"/>
      <c r="J74" s="30"/>
      <c r="K74" s="30"/>
      <c r="L74" s="42"/>
      <c r="M74" s="28"/>
      <c r="N74" s="30"/>
      <c r="O74" s="43"/>
      <c r="P74" s="29"/>
    </row>
    <row r="75" spans="1:16" ht="15" customHeight="1">
      <c r="A75" s="29"/>
      <c r="B75" s="29"/>
      <c r="C75" s="29"/>
      <c r="D75" s="29"/>
      <c r="E75" s="28"/>
      <c r="F75" s="29"/>
      <c r="G75" s="30"/>
      <c r="H75" s="30"/>
      <c r="I75" s="30"/>
      <c r="J75" s="30"/>
      <c r="K75" s="30"/>
      <c r="L75" s="42"/>
      <c r="M75" s="28"/>
      <c r="N75" s="30"/>
      <c r="O75" s="43"/>
      <c r="P75" s="29"/>
    </row>
    <row r="76" spans="1:16" ht="15" customHeight="1">
      <c r="A76" s="29"/>
      <c r="B76" s="29"/>
      <c r="C76" s="29"/>
      <c r="D76" s="29"/>
      <c r="E76" s="28"/>
      <c r="F76" s="29"/>
      <c r="G76" s="30"/>
      <c r="H76" s="30"/>
      <c r="I76" s="30"/>
      <c r="J76" s="30"/>
      <c r="K76" s="30"/>
      <c r="L76" s="42"/>
      <c r="M76" s="28"/>
      <c r="N76" s="30"/>
      <c r="O76" s="43"/>
      <c r="P76" s="29"/>
    </row>
    <row r="77" spans="1:16" ht="15" customHeight="1">
      <c r="A77" s="29"/>
      <c r="B77" s="29"/>
      <c r="C77" s="29"/>
      <c r="D77" s="29"/>
      <c r="E77" s="28"/>
      <c r="F77" s="29"/>
      <c r="G77" s="30"/>
      <c r="H77" s="30"/>
      <c r="I77" s="30"/>
      <c r="J77" s="30"/>
      <c r="K77" s="30"/>
      <c r="L77" s="42"/>
      <c r="M77" s="28"/>
      <c r="N77" s="30"/>
      <c r="O77" s="43"/>
      <c r="P77" s="29"/>
    </row>
    <row r="78" spans="1:16" ht="15" customHeight="1">
      <c r="A78" s="29"/>
      <c r="B78" s="29"/>
      <c r="C78" s="29"/>
      <c r="D78" s="29"/>
      <c r="E78" s="28"/>
      <c r="F78" s="29"/>
      <c r="G78" s="30"/>
      <c r="H78" s="30"/>
      <c r="I78" s="30"/>
      <c r="J78" s="30"/>
      <c r="K78" s="30"/>
      <c r="L78" s="42"/>
      <c r="M78" s="28"/>
      <c r="N78" s="30"/>
      <c r="O78" s="43"/>
      <c r="P78" s="29"/>
    </row>
    <row r="79" spans="1:16" ht="15" customHeight="1">
      <c r="A79" s="29"/>
      <c r="B79" s="29"/>
      <c r="C79" s="29"/>
      <c r="D79" s="29"/>
      <c r="E79" s="28"/>
      <c r="F79" s="29"/>
      <c r="G79" s="30"/>
      <c r="H79" s="30"/>
      <c r="I79" s="30"/>
      <c r="J79" s="30"/>
      <c r="K79" s="30"/>
      <c r="L79" s="42"/>
      <c r="M79" s="28"/>
      <c r="N79" s="30"/>
      <c r="O79" s="43"/>
      <c r="P79" s="29"/>
    </row>
    <row r="80" spans="1:16" ht="15" customHeight="1">
      <c r="A80" s="29"/>
      <c r="B80" s="29"/>
      <c r="C80" s="29"/>
      <c r="D80" s="29"/>
      <c r="E80" s="28"/>
      <c r="F80" s="29"/>
      <c r="G80" s="30"/>
      <c r="H80" s="30"/>
      <c r="I80" s="30"/>
      <c r="J80" s="30"/>
      <c r="K80" s="30"/>
      <c r="L80" s="42"/>
      <c r="M80" s="28"/>
      <c r="N80" s="30"/>
      <c r="O80" s="43"/>
      <c r="P80" s="29"/>
    </row>
    <row r="81" spans="1:16" ht="15" customHeight="1">
      <c r="A81" s="29"/>
      <c r="B81" s="29"/>
      <c r="C81" s="29"/>
      <c r="D81" s="29"/>
      <c r="E81" s="28"/>
      <c r="F81" s="29"/>
      <c r="G81" s="30"/>
      <c r="H81" s="30"/>
      <c r="I81" s="30"/>
      <c r="J81" s="30"/>
      <c r="K81" s="30"/>
      <c r="L81" s="42"/>
      <c r="M81" s="28"/>
      <c r="N81" s="30"/>
      <c r="O81" s="43"/>
      <c r="P81" s="29"/>
    </row>
    <row r="82" spans="1:16" ht="15" customHeight="1">
      <c r="A82" s="29"/>
      <c r="B82" s="29"/>
      <c r="C82" s="29"/>
      <c r="D82" s="29"/>
      <c r="E82" s="28"/>
      <c r="F82" s="29"/>
      <c r="G82" s="30"/>
      <c r="H82" s="30"/>
      <c r="I82" s="30"/>
      <c r="J82" s="30"/>
      <c r="K82" s="30"/>
      <c r="L82" s="42"/>
      <c r="M82" s="28"/>
      <c r="N82" s="30"/>
      <c r="O82" s="43"/>
      <c r="P82" s="29"/>
    </row>
    <row r="83" spans="1:16" ht="15" customHeight="1">
      <c r="A83" s="29"/>
      <c r="B83" s="29"/>
      <c r="C83" s="29"/>
      <c r="D83" s="29"/>
      <c r="E83" s="28"/>
      <c r="F83" s="29"/>
      <c r="G83" s="30"/>
      <c r="H83" s="30"/>
      <c r="I83" s="30"/>
      <c r="J83" s="30"/>
      <c r="K83" s="30"/>
      <c r="L83" s="42"/>
      <c r="M83" s="28"/>
      <c r="N83" s="30"/>
      <c r="O83" s="43"/>
      <c r="P83" s="29"/>
    </row>
    <row r="84" spans="1:16" ht="15" customHeight="1">
      <c r="A84" s="29"/>
      <c r="B84" s="29"/>
      <c r="C84" s="29"/>
      <c r="D84" s="29"/>
      <c r="E84" s="28"/>
      <c r="F84" s="29"/>
      <c r="G84" s="30"/>
      <c r="H84" s="30"/>
      <c r="I84" s="30"/>
      <c r="J84" s="30"/>
      <c r="K84" s="30"/>
      <c r="L84" s="42"/>
      <c r="M84" s="28"/>
      <c r="N84" s="30"/>
      <c r="O84" s="43"/>
      <c r="P84" s="29"/>
    </row>
    <row r="85" spans="1:16" ht="15" customHeight="1">
      <c r="A85" s="29"/>
      <c r="B85" s="29"/>
      <c r="C85" s="29"/>
      <c r="D85" s="29"/>
      <c r="E85" s="28"/>
      <c r="F85" s="29"/>
      <c r="G85" s="30"/>
      <c r="H85" s="30"/>
      <c r="I85" s="30"/>
      <c r="J85" s="30"/>
      <c r="K85" s="30"/>
      <c r="L85" s="42"/>
      <c r="M85" s="28"/>
      <c r="N85" s="30"/>
      <c r="O85" s="43"/>
      <c r="P85" s="29"/>
    </row>
    <row r="86" spans="1:16" ht="15" customHeight="1">
      <c r="A86" s="29"/>
      <c r="B86" s="29"/>
      <c r="C86" s="29"/>
      <c r="D86" s="29"/>
      <c r="E86" s="28"/>
      <c r="F86" s="29"/>
      <c r="G86" s="30"/>
      <c r="H86" s="30"/>
      <c r="I86" s="30"/>
      <c r="J86" s="30"/>
      <c r="K86" s="30"/>
      <c r="L86" s="42"/>
      <c r="M86" s="28"/>
      <c r="N86" s="30"/>
      <c r="O86" s="43"/>
      <c r="P86" s="29"/>
    </row>
    <row r="87" spans="1:16" ht="15" customHeight="1">
      <c r="A87" s="29"/>
      <c r="B87" s="29"/>
      <c r="C87" s="29"/>
      <c r="D87" s="29"/>
      <c r="E87" s="28"/>
      <c r="F87" s="29"/>
      <c r="G87" s="30"/>
      <c r="H87" s="30"/>
      <c r="I87" s="30"/>
      <c r="J87" s="30"/>
      <c r="K87" s="30"/>
      <c r="L87" s="42"/>
      <c r="M87" s="28"/>
      <c r="N87" s="30"/>
      <c r="O87" s="43"/>
      <c r="P87" s="29"/>
    </row>
    <row r="88" spans="1:16" ht="15" customHeight="1">
      <c r="A88" s="29"/>
      <c r="B88" s="29"/>
      <c r="C88" s="29"/>
      <c r="D88" s="29"/>
      <c r="E88" s="28"/>
      <c r="F88" s="29"/>
      <c r="G88" s="30"/>
      <c r="H88" s="30"/>
      <c r="I88" s="30"/>
      <c r="J88" s="30"/>
      <c r="K88" s="30"/>
      <c r="L88" s="42"/>
      <c r="M88" s="28"/>
      <c r="N88" s="30"/>
      <c r="O88" s="43"/>
      <c r="P88" s="29"/>
    </row>
    <row r="89" spans="1:16" ht="15" customHeight="1">
      <c r="A89" s="29"/>
      <c r="B89" s="29"/>
      <c r="C89" s="29"/>
      <c r="D89" s="29"/>
      <c r="E89" s="28"/>
      <c r="F89" s="29"/>
      <c r="G89" s="30"/>
      <c r="H89" s="30"/>
      <c r="I89" s="30"/>
      <c r="J89" s="30"/>
      <c r="K89" s="30"/>
      <c r="L89" s="42"/>
      <c r="M89" s="28"/>
      <c r="N89" s="30"/>
      <c r="O89" s="43"/>
      <c r="P89" s="29"/>
    </row>
    <row r="90" spans="1:16" ht="15" customHeight="1">
      <c r="A90" s="29"/>
      <c r="B90" s="29"/>
      <c r="C90" s="29"/>
      <c r="D90" s="29"/>
      <c r="E90" s="28"/>
      <c r="F90" s="29"/>
      <c r="G90" s="30"/>
      <c r="H90" s="30"/>
      <c r="I90" s="30"/>
      <c r="J90" s="30"/>
      <c r="K90" s="30"/>
      <c r="L90" s="42"/>
      <c r="M90" s="28"/>
      <c r="N90" s="30"/>
      <c r="O90" s="43"/>
      <c r="P90" s="29"/>
    </row>
    <row r="91" spans="1:16" ht="15" customHeight="1">
      <c r="A91" s="29"/>
      <c r="B91" s="29"/>
      <c r="C91" s="29"/>
      <c r="D91" s="29"/>
      <c r="E91" s="28"/>
      <c r="F91" s="29"/>
      <c r="G91" s="30"/>
      <c r="H91" s="30"/>
      <c r="I91" s="30"/>
      <c r="J91" s="30"/>
      <c r="K91" s="30"/>
      <c r="L91" s="42"/>
      <c r="M91" s="28"/>
      <c r="N91" s="30"/>
      <c r="O91" s="43"/>
      <c r="P91" s="29"/>
    </row>
    <row r="92" spans="1:16" ht="15" customHeight="1">
      <c r="A92" s="29"/>
      <c r="B92" s="29"/>
      <c r="C92" s="29"/>
      <c r="D92" s="29"/>
      <c r="E92" s="28"/>
      <c r="F92" s="29"/>
      <c r="G92" s="30"/>
      <c r="H92" s="30"/>
      <c r="I92" s="30"/>
      <c r="J92" s="30"/>
      <c r="K92" s="30"/>
      <c r="L92" s="42"/>
      <c r="M92" s="28"/>
      <c r="N92" s="30"/>
      <c r="O92" s="43"/>
      <c r="P92" s="29"/>
    </row>
    <row r="93" spans="1:16" ht="15" customHeight="1">
      <c r="A93" s="29"/>
      <c r="B93" s="29"/>
      <c r="C93" s="29"/>
      <c r="D93" s="29"/>
      <c r="E93" s="28"/>
      <c r="F93" s="29"/>
      <c r="G93" s="30"/>
      <c r="H93" s="30"/>
      <c r="I93" s="30"/>
      <c r="J93" s="30"/>
      <c r="K93" s="30"/>
      <c r="L93" s="42"/>
      <c r="M93" s="28"/>
      <c r="N93" s="30"/>
      <c r="O93" s="43"/>
      <c r="P93" s="29"/>
    </row>
    <row r="94" spans="1:16" ht="15" customHeight="1">
      <c r="A94" s="29"/>
      <c r="B94" s="29"/>
      <c r="C94" s="29"/>
      <c r="D94" s="29"/>
      <c r="E94" s="28"/>
      <c r="F94" s="29"/>
      <c r="G94" s="30"/>
      <c r="H94" s="30"/>
      <c r="I94" s="30"/>
      <c r="J94" s="30"/>
      <c r="K94" s="30"/>
      <c r="L94" s="42"/>
      <c r="M94" s="28"/>
      <c r="N94" s="30"/>
      <c r="O94" s="43"/>
      <c r="P94" s="29"/>
    </row>
    <row r="95" spans="1:16" ht="15" customHeight="1">
      <c r="A95" s="29"/>
      <c r="B95" s="29"/>
      <c r="C95" s="29"/>
      <c r="D95" s="29"/>
      <c r="E95" s="28"/>
      <c r="F95" s="29"/>
      <c r="G95" s="30"/>
      <c r="H95" s="30"/>
      <c r="I95" s="30"/>
      <c r="J95" s="30"/>
      <c r="K95" s="30"/>
      <c r="L95" s="42"/>
      <c r="M95" s="28"/>
      <c r="N95" s="30"/>
      <c r="O95" s="43"/>
      <c r="P95" s="29"/>
    </row>
    <row r="96" spans="1:16" ht="15" customHeight="1">
      <c r="A96" s="29"/>
      <c r="B96" s="29"/>
      <c r="C96" s="29"/>
      <c r="D96" s="29"/>
      <c r="E96" s="28"/>
      <c r="F96" s="29"/>
      <c r="G96" s="30"/>
      <c r="H96" s="30"/>
      <c r="I96" s="30"/>
      <c r="J96" s="30"/>
      <c r="K96" s="30"/>
      <c r="L96" s="42"/>
      <c r="M96" s="28"/>
      <c r="N96" s="30"/>
      <c r="O96" s="43"/>
      <c r="P96" s="29"/>
    </row>
    <row r="97" spans="1:16" ht="15" customHeight="1">
      <c r="A97" s="29"/>
      <c r="B97" s="29"/>
      <c r="C97" s="29"/>
      <c r="D97" s="29"/>
      <c r="E97" s="28"/>
      <c r="F97" s="29"/>
      <c r="G97" s="30"/>
      <c r="H97" s="30"/>
      <c r="I97" s="30"/>
      <c r="J97" s="30"/>
      <c r="K97" s="30"/>
      <c r="L97" s="42"/>
      <c r="M97" s="28"/>
      <c r="N97" s="30"/>
      <c r="O97" s="43"/>
      <c r="P97" s="29"/>
    </row>
    <row r="98" spans="1:16" ht="15" customHeight="1">
      <c r="A98" s="29"/>
      <c r="B98" s="29"/>
      <c r="C98" s="29"/>
      <c r="D98" s="29"/>
      <c r="E98" s="28"/>
      <c r="F98" s="29"/>
      <c r="G98" s="30"/>
      <c r="H98" s="30"/>
      <c r="I98" s="30"/>
      <c r="J98" s="30"/>
      <c r="K98" s="30"/>
      <c r="L98" s="42"/>
      <c r="M98" s="28"/>
      <c r="N98" s="30"/>
      <c r="O98" s="43"/>
      <c r="P98" s="29"/>
    </row>
    <row r="99" spans="1:16" ht="15" customHeight="1">
      <c r="A99" s="29"/>
      <c r="B99" s="29"/>
      <c r="C99" s="29"/>
      <c r="D99" s="29"/>
      <c r="E99" s="28"/>
      <c r="F99" s="29"/>
      <c r="G99" s="30"/>
      <c r="H99" s="30"/>
      <c r="I99" s="30"/>
      <c r="J99" s="30"/>
      <c r="K99" s="30"/>
      <c r="L99" s="42"/>
      <c r="M99" s="28"/>
      <c r="N99" s="30"/>
      <c r="O99" s="43"/>
      <c r="P99" s="29"/>
    </row>
    <row r="100" spans="1:16" ht="15" customHeight="1">
      <c r="A100" s="29"/>
      <c r="B100" s="29"/>
      <c r="C100" s="29"/>
      <c r="D100" s="29"/>
      <c r="E100" s="28"/>
      <c r="F100" s="29"/>
      <c r="G100" s="30"/>
      <c r="H100" s="30"/>
      <c r="I100" s="30"/>
      <c r="J100" s="30"/>
      <c r="K100" s="30"/>
      <c r="L100" s="42"/>
      <c r="M100" s="28"/>
      <c r="N100" s="30"/>
      <c r="O100" s="43"/>
      <c r="P100" s="29"/>
    </row>
    <row r="101" spans="1:16" ht="15" customHeight="1">
      <c r="A101" s="29"/>
      <c r="B101" s="29"/>
      <c r="C101" s="29"/>
      <c r="D101" s="29"/>
      <c r="E101" s="28"/>
      <c r="F101" s="29"/>
      <c r="G101" s="30"/>
      <c r="H101" s="30"/>
      <c r="I101" s="30"/>
      <c r="J101" s="30"/>
      <c r="K101" s="30"/>
      <c r="L101" s="42"/>
      <c r="M101" s="28"/>
      <c r="N101" s="30"/>
      <c r="O101" s="43"/>
      <c r="P101" s="29"/>
    </row>
    <row r="102" spans="1:16" ht="15" customHeight="1">
      <c r="A102" s="29"/>
      <c r="B102" s="29"/>
      <c r="C102" s="29"/>
      <c r="D102" s="29"/>
      <c r="E102" s="28"/>
      <c r="F102" s="29"/>
      <c r="G102" s="30"/>
      <c r="H102" s="30"/>
      <c r="I102" s="30"/>
      <c r="J102" s="30"/>
      <c r="K102" s="30"/>
      <c r="L102" s="42"/>
      <c r="M102" s="28"/>
      <c r="N102" s="30"/>
      <c r="O102" s="43"/>
      <c r="P102" s="29"/>
    </row>
    <row r="103" spans="1:16" ht="15" customHeight="1">
      <c r="A103" s="29"/>
      <c r="B103" s="29"/>
      <c r="C103" s="29"/>
      <c r="D103" s="29"/>
      <c r="E103" s="28"/>
      <c r="F103" s="29"/>
      <c r="G103" s="30"/>
      <c r="H103" s="30"/>
      <c r="I103" s="30"/>
      <c r="J103" s="30"/>
      <c r="K103" s="30"/>
      <c r="L103" s="42"/>
      <c r="M103" s="28"/>
      <c r="N103" s="30"/>
      <c r="O103" s="43"/>
      <c r="P103" s="29"/>
    </row>
    <row r="104" spans="1:16" ht="15" customHeight="1">
      <c r="A104" s="83" t="s">
        <v>44</v>
      </c>
      <c r="B104" s="83"/>
      <c r="C104" s="83"/>
      <c r="D104" s="83"/>
      <c r="E104" s="83"/>
      <c r="F104" s="83"/>
      <c r="G104" s="12">
        <f>SUM(G4:G103)</f>
        <v>147589</v>
      </c>
      <c r="H104" s="12">
        <f>SUM(H4:H103)</f>
        <v>147589</v>
      </c>
      <c r="I104" s="12">
        <f>SUM(I4:I103)</f>
        <v>33000</v>
      </c>
      <c r="J104" s="12">
        <f>SUM(J4:J103)</f>
        <v>33000</v>
      </c>
      <c r="K104" s="12">
        <f>SUM(K4:K103)</f>
        <v>213589</v>
      </c>
      <c r="L104" s="32" t="str">
        <f>COUNTA(L4:L103)&amp;"件"</f>
        <v>2件</v>
      </c>
      <c r="M104" s="32" t="str">
        <f>COUNTA(M4:M103)&amp;"件予定"</f>
        <v>1件予定</v>
      </c>
      <c r="N104" s="12">
        <f>SUM(N4:N103)</f>
        <v>213589</v>
      </c>
      <c r="P104" s="32"/>
    </row>
    <row r="106" spans="1:16">
      <c r="A106" s="87" t="s">
        <v>115</v>
      </c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44" t="str">
        <f>COUNTIF(O4:O103,"済")&amp;"件"</f>
        <v>0件</v>
      </c>
      <c r="N106" s="45">
        <f>SUMIF(O4:O103,"済",N4:N103)</f>
        <v>0</v>
      </c>
      <c r="O106" s="46"/>
      <c r="P106" s="46"/>
    </row>
    <row r="107" spans="1:16">
      <c r="A107" s="88" t="s">
        <v>116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47" t="str">
        <f>COUNTIFS(N4:N103,"&gt;0",O4:O103,"")&amp;"件"</f>
        <v>2件</v>
      </c>
      <c r="N107" s="48">
        <f>SUMIFS(N4:N103,O4:O103,"")</f>
        <v>213589</v>
      </c>
      <c r="O107" s="49"/>
      <c r="P107" s="49"/>
    </row>
    <row r="108" spans="1:16">
      <c r="A108" s="86" t="s">
        <v>117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50" t="str">
        <f>COUNTIF(O4:O103,"取消")&amp;"件"</f>
        <v>0件</v>
      </c>
      <c r="N108" s="51">
        <f>SUMIF(O4:O103,"取消",N4:N103)</f>
        <v>0</v>
      </c>
      <c r="O108" s="52"/>
      <c r="P108" s="52"/>
    </row>
  </sheetData>
  <mergeCells count="6">
    <mergeCell ref="A108:L108"/>
    <mergeCell ref="A1:P1"/>
    <mergeCell ref="G2:P2"/>
    <mergeCell ref="A104:F104"/>
    <mergeCell ref="A106:L106"/>
    <mergeCell ref="A107:L107"/>
  </mergeCells>
  <phoneticPr fontId="46"/>
  <conditionalFormatting sqref="A4:O103">
    <cfRule type="expression" dxfId="59" priority="2">
      <formula>$L4="高"</formula>
    </cfRule>
    <cfRule type="expression" dxfId="58" priority="3">
      <formula>$L4="中"</formula>
    </cfRule>
    <cfRule type="expression" dxfId="57" priority="4">
      <formula>$L4="低"</formula>
    </cfRule>
    <cfRule type="expression" dxfId="56" priority="5">
      <formula>$L4="月次"</formula>
    </cfRule>
  </conditionalFormatting>
  <conditionalFormatting sqref="A4:P103">
    <cfRule type="expression" dxfId="55" priority="10">
      <formula>$O4="済"</formula>
    </cfRule>
    <cfRule type="expression" dxfId="54" priority="11">
      <formula>$O4="取消"</formula>
    </cfRule>
  </conditionalFormatting>
  <conditionalFormatting sqref="L4:L103">
    <cfRule type="cellIs" dxfId="53" priority="6" operator="equal">
      <formula>"高"</formula>
    </cfRule>
    <cfRule type="cellIs" dxfId="52" priority="7" operator="equal">
      <formula>"中"</formula>
    </cfRule>
    <cfRule type="cellIs" dxfId="51" priority="8" operator="equal">
      <formula>"低"</formula>
    </cfRule>
    <cfRule type="cellIs" dxfId="50" priority="9" operator="equal">
      <formula>"月次"</formula>
    </cfRule>
  </conditionalFormatting>
  <dataValidations count="3">
    <dataValidation type="list" allowBlank="1" sqref="L4:L103" xr:uid="{00000000-0002-0000-0600-000000000000}">
      <formula1>"高,中,低,月次"</formula1>
      <formula2>0</formula2>
    </dataValidation>
    <dataValidation type="date" allowBlank="1" sqref="M4:M103" xr:uid="{00000000-0002-0000-0600-000001000000}">
      <formula1>0</formula1>
      <formula2>0</formula2>
    </dataValidation>
    <dataValidation type="list" allowBlank="1" prompt="支払状況を選択（済/取消）" sqref="O4:O103" xr:uid="{00000000-0002-0000-0600-000002000000}">
      <formula1>"済,取消"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5"/>
  <sheetViews>
    <sheetView zoomScaleNormal="100" workbookViewId="0">
      <pane ySplit="3" topLeftCell="A4" activePane="bottomLeft" state="frozen"/>
      <selection pane="bottomLeft" sqref="A1:E1"/>
    </sheetView>
  </sheetViews>
  <sheetFormatPr defaultColWidth="8.7109375" defaultRowHeight="15"/>
  <cols>
    <col min="1" max="1" width="14" customWidth="1"/>
    <col min="2" max="2" width="24" customWidth="1"/>
    <col min="3" max="3" width="16" customWidth="1"/>
    <col min="4" max="4" width="12" customWidth="1"/>
    <col min="5" max="5" width="24" customWidth="1"/>
  </cols>
  <sheetData>
    <row r="1" spans="1:5" ht="27.75" customHeight="1">
      <c r="A1" s="84" t="s">
        <v>118</v>
      </c>
      <c r="B1" s="84"/>
      <c r="C1" s="84"/>
      <c r="D1" s="84"/>
      <c r="E1" s="84"/>
    </row>
    <row r="2" spans="1:5" ht="15" customHeight="1">
      <c r="A2" s="85" t="s">
        <v>119</v>
      </c>
      <c r="B2" s="85"/>
      <c r="C2" s="85"/>
      <c r="D2" s="85"/>
      <c r="E2" s="85"/>
    </row>
    <row r="3" spans="1:5" ht="15" customHeight="1">
      <c r="A3" s="6" t="s">
        <v>120</v>
      </c>
      <c r="B3" s="6" t="s">
        <v>121</v>
      </c>
      <c r="C3" s="6" t="s">
        <v>122</v>
      </c>
      <c r="D3" s="6" t="s">
        <v>85</v>
      </c>
      <c r="E3" s="6" t="s">
        <v>50</v>
      </c>
    </row>
    <row r="4" spans="1:5" ht="15" customHeight="1">
      <c r="A4" s="28"/>
      <c r="B4" s="29"/>
      <c r="C4" s="30"/>
      <c r="D4" s="31"/>
      <c r="E4" s="29"/>
    </row>
    <row r="5" spans="1:5" ht="15" customHeight="1">
      <c r="A5" s="28"/>
      <c r="B5" s="29"/>
      <c r="C5" s="30"/>
      <c r="D5" s="31"/>
      <c r="E5" s="29"/>
    </row>
    <row r="6" spans="1:5" ht="15" customHeight="1">
      <c r="A6" s="28"/>
      <c r="B6" s="29"/>
      <c r="C6" s="30"/>
      <c r="D6" s="31"/>
      <c r="E6" s="29"/>
    </row>
    <row r="7" spans="1:5" ht="15" customHeight="1">
      <c r="A7" s="28"/>
      <c r="B7" s="29"/>
      <c r="C7" s="30"/>
      <c r="D7" s="31"/>
      <c r="E7" s="29"/>
    </row>
    <row r="8" spans="1:5" ht="15" customHeight="1">
      <c r="A8" s="28"/>
      <c r="B8" s="29"/>
      <c r="C8" s="30"/>
      <c r="D8" s="31"/>
      <c r="E8" s="29"/>
    </row>
    <row r="9" spans="1:5" ht="15" customHeight="1">
      <c r="A9" s="28"/>
      <c r="B9" s="29"/>
      <c r="C9" s="30"/>
      <c r="D9" s="31"/>
      <c r="E9" s="29"/>
    </row>
    <row r="10" spans="1:5" ht="15" customHeight="1">
      <c r="A10" s="28"/>
      <c r="B10" s="29"/>
      <c r="C10" s="30"/>
      <c r="D10" s="31"/>
      <c r="E10" s="29"/>
    </row>
    <row r="11" spans="1:5" ht="15" customHeight="1">
      <c r="A11" s="28"/>
      <c r="B11" s="29"/>
      <c r="C11" s="30"/>
      <c r="D11" s="31"/>
      <c r="E11" s="29"/>
    </row>
    <row r="12" spans="1:5" ht="15" customHeight="1">
      <c r="A12" s="28"/>
      <c r="B12" s="29"/>
      <c r="C12" s="30"/>
      <c r="D12" s="31"/>
      <c r="E12" s="29"/>
    </row>
    <row r="13" spans="1:5" ht="15" customHeight="1">
      <c r="A13" s="28"/>
      <c r="B13" s="29"/>
      <c r="C13" s="30"/>
      <c r="D13" s="31"/>
      <c r="E13" s="29"/>
    </row>
    <row r="14" spans="1:5" ht="15" customHeight="1">
      <c r="A14" s="28"/>
      <c r="B14" s="29"/>
      <c r="C14" s="30"/>
      <c r="D14" s="31"/>
      <c r="E14" s="29"/>
    </row>
    <row r="15" spans="1:5" ht="15" customHeight="1">
      <c r="A15" s="28"/>
      <c r="B15" s="29"/>
      <c r="C15" s="30"/>
      <c r="D15" s="31"/>
      <c r="E15" s="29"/>
    </row>
    <row r="16" spans="1:5" ht="15" customHeight="1">
      <c r="A16" s="28"/>
      <c r="B16" s="29"/>
      <c r="C16" s="30"/>
      <c r="D16" s="31"/>
      <c r="E16" s="29"/>
    </row>
    <row r="17" spans="1:5" ht="15" customHeight="1">
      <c r="A17" s="28"/>
      <c r="B17" s="29"/>
      <c r="C17" s="30"/>
      <c r="D17" s="31"/>
      <c r="E17" s="29"/>
    </row>
    <row r="18" spans="1:5" ht="15" customHeight="1">
      <c r="A18" s="28"/>
      <c r="B18" s="29"/>
      <c r="C18" s="30"/>
      <c r="D18" s="31"/>
      <c r="E18" s="29"/>
    </row>
    <row r="19" spans="1:5" ht="15" customHeight="1">
      <c r="A19" s="28"/>
      <c r="B19" s="29"/>
      <c r="C19" s="30"/>
      <c r="D19" s="31"/>
      <c r="E19" s="29"/>
    </row>
    <row r="20" spans="1:5" ht="15" customHeight="1">
      <c r="A20" s="28"/>
      <c r="B20" s="29"/>
      <c r="C20" s="30"/>
      <c r="D20" s="31"/>
      <c r="E20" s="29"/>
    </row>
    <row r="21" spans="1:5" ht="15" customHeight="1">
      <c r="A21" s="28"/>
      <c r="B21" s="29"/>
      <c r="C21" s="30"/>
      <c r="D21" s="31"/>
      <c r="E21" s="29"/>
    </row>
    <row r="22" spans="1:5" ht="15" customHeight="1">
      <c r="A22" s="28"/>
      <c r="B22" s="29"/>
      <c r="C22" s="30"/>
      <c r="D22" s="31"/>
      <c r="E22" s="29"/>
    </row>
    <row r="23" spans="1:5" ht="15" customHeight="1">
      <c r="A23" s="28"/>
      <c r="B23" s="29"/>
      <c r="C23" s="30"/>
      <c r="D23" s="31"/>
      <c r="E23" s="29"/>
    </row>
    <row r="24" spans="1:5" ht="15" customHeight="1">
      <c r="A24" s="28"/>
      <c r="B24" s="29"/>
      <c r="C24" s="30"/>
      <c r="D24" s="31"/>
      <c r="E24" s="29"/>
    </row>
    <row r="25" spans="1:5" ht="15" customHeight="1">
      <c r="A25" s="28"/>
      <c r="B25" s="29"/>
      <c r="C25" s="30"/>
      <c r="D25" s="31"/>
      <c r="E25" s="29"/>
    </row>
    <row r="26" spans="1:5" ht="15" customHeight="1">
      <c r="A26" s="28"/>
      <c r="B26" s="29"/>
      <c r="C26" s="30"/>
      <c r="D26" s="31"/>
      <c r="E26" s="29"/>
    </row>
    <row r="27" spans="1:5" ht="15" customHeight="1">
      <c r="A27" s="28"/>
      <c r="B27" s="29"/>
      <c r="C27" s="30"/>
      <c r="D27" s="31"/>
      <c r="E27" s="29"/>
    </row>
    <row r="28" spans="1:5" ht="15" customHeight="1">
      <c r="A28" s="28"/>
      <c r="B28" s="29"/>
      <c r="C28" s="30"/>
      <c r="D28" s="31"/>
      <c r="E28" s="29"/>
    </row>
    <row r="29" spans="1:5" ht="15" customHeight="1">
      <c r="A29" s="28"/>
      <c r="B29" s="29"/>
      <c r="C29" s="30"/>
      <c r="D29" s="31"/>
      <c r="E29" s="29"/>
    </row>
    <row r="30" spans="1:5" ht="15" customHeight="1">
      <c r="A30" s="28"/>
      <c r="B30" s="29"/>
      <c r="C30" s="30"/>
      <c r="D30" s="31"/>
      <c r="E30" s="29"/>
    </row>
    <row r="31" spans="1:5" ht="15" customHeight="1">
      <c r="A31" s="28"/>
      <c r="B31" s="29"/>
      <c r="C31" s="30"/>
      <c r="D31" s="31"/>
      <c r="E31" s="29"/>
    </row>
    <row r="32" spans="1:5" ht="15" customHeight="1">
      <c r="A32" s="28"/>
      <c r="B32" s="29"/>
      <c r="C32" s="30"/>
      <c r="D32" s="31"/>
      <c r="E32" s="29"/>
    </row>
    <row r="33" spans="1:5" ht="15" customHeight="1">
      <c r="A33" s="28"/>
      <c r="B33" s="29"/>
      <c r="C33" s="30"/>
      <c r="D33" s="31"/>
      <c r="E33" s="29"/>
    </row>
    <row r="34" spans="1:5" ht="15" customHeight="1">
      <c r="A34" s="28"/>
      <c r="B34" s="29"/>
      <c r="C34" s="30"/>
      <c r="D34" s="31"/>
      <c r="E34" s="29"/>
    </row>
    <row r="35" spans="1:5" ht="15" customHeight="1">
      <c r="A35" s="28"/>
      <c r="B35" s="29"/>
      <c r="C35" s="30"/>
      <c r="D35" s="31"/>
      <c r="E35" s="29"/>
    </row>
    <row r="36" spans="1:5" ht="15" customHeight="1">
      <c r="A36" s="28"/>
      <c r="B36" s="29"/>
      <c r="C36" s="30"/>
      <c r="D36" s="31"/>
      <c r="E36" s="29"/>
    </row>
    <row r="37" spans="1:5" ht="15" customHeight="1">
      <c r="A37" s="28"/>
      <c r="B37" s="29"/>
      <c r="C37" s="30"/>
      <c r="D37" s="31"/>
      <c r="E37" s="29"/>
    </row>
    <row r="38" spans="1:5" ht="15" customHeight="1">
      <c r="A38" s="28"/>
      <c r="B38" s="29"/>
      <c r="C38" s="30"/>
      <c r="D38" s="31"/>
      <c r="E38" s="29"/>
    </row>
    <row r="39" spans="1:5" ht="15" customHeight="1">
      <c r="A39" s="28"/>
      <c r="B39" s="29"/>
      <c r="C39" s="30"/>
      <c r="D39" s="31"/>
      <c r="E39" s="29"/>
    </row>
    <row r="40" spans="1:5" ht="15" customHeight="1">
      <c r="A40" s="28"/>
      <c r="B40" s="29"/>
      <c r="C40" s="30"/>
      <c r="D40" s="31"/>
      <c r="E40" s="29"/>
    </row>
    <row r="41" spans="1:5" ht="15" customHeight="1">
      <c r="A41" s="28"/>
      <c r="B41" s="29"/>
      <c r="C41" s="30"/>
      <c r="D41" s="31"/>
      <c r="E41" s="29"/>
    </row>
    <row r="42" spans="1:5" ht="15" customHeight="1">
      <c r="A42" s="28"/>
      <c r="B42" s="29"/>
      <c r="C42" s="30"/>
      <c r="D42" s="31"/>
      <c r="E42" s="29"/>
    </row>
    <row r="43" spans="1:5" ht="15" customHeight="1">
      <c r="A43" s="28"/>
      <c r="B43" s="29"/>
      <c r="C43" s="30"/>
      <c r="D43" s="31"/>
      <c r="E43" s="29"/>
    </row>
    <row r="44" spans="1:5" ht="15" customHeight="1">
      <c r="A44" s="28"/>
      <c r="B44" s="29"/>
      <c r="C44" s="30"/>
      <c r="D44" s="31"/>
      <c r="E44" s="29"/>
    </row>
    <row r="45" spans="1:5" ht="15" customHeight="1">
      <c r="A45" s="28"/>
      <c r="B45" s="29"/>
      <c r="C45" s="30"/>
      <c r="D45" s="31"/>
      <c r="E45" s="29"/>
    </row>
    <row r="46" spans="1:5" ht="15" customHeight="1">
      <c r="A46" s="28"/>
      <c r="B46" s="29"/>
      <c r="C46" s="30"/>
      <c r="D46" s="31"/>
      <c r="E46" s="29"/>
    </row>
    <row r="47" spans="1:5" ht="15" customHeight="1">
      <c r="A47" s="28"/>
      <c r="B47" s="29"/>
      <c r="C47" s="30"/>
      <c r="D47" s="31"/>
      <c r="E47" s="29"/>
    </row>
    <row r="48" spans="1:5" ht="15" customHeight="1">
      <c r="A48" s="28"/>
      <c r="B48" s="29"/>
      <c r="C48" s="30"/>
      <c r="D48" s="31"/>
      <c r="E48" s="29"/>
    </row>
    <row r="49" spans="1:5" ht="15" customHeight="1">
      <c r="A49" s="28"/>
      <c r="B49" s="29"/>
      <c r="C49" s="30"/>
      <c r="D49" s="31"/>
      <c r="E49" s="29"/>
    </row>
    <row r="50" spans="1:5" ht="15" customHeight="1">
      <c r="A50" s="28"/>
      <c r="B50" s="29"/>
      <c r="C50" s="30"/>
      <c r="D50" s="31"/>
      <c r="E50" s="29"/>
    </row>
    <row r="51" spans="1:5" ht="15" customHeight="1">
      <c r="A51" s="28"/>
      <c r="B51" s="29"/>
      <c r="C51" s="30"/>
      <c r="D51" s="31"/>
      <c r="E51" s="29"/>
    </row>
    <row r="52" spans="1:5" ht="15" customHeight="1">
      <c r="A52" s="28"/>
      <c r="B52" s="29"/>
      <c r="C52" s="30"/>
      <c r="D52" s="31"/>
      <c r="E52" s="29"/>
    </row>
    <row r="53" spans="1:5" ht="15" customHeight="1">
      <c r="A53" s="28"/>
      <c r="B53" s="29"/>
      <c r="C53" s="30"/>
      <c r="D53" s="31"/>
      <c r="E53" s="29"/>
    </row>
    <row r="55" spans="1:5" ht="15" customHeight="1">
      <c r="A55" s="83" t="s">
        <v>44</v>
      </c>
      <c r="B55" s="83"/>
      <c r="C55" s="12">
        <f>SUM(C4:C53)</f>
        <v>0</v>
      </c>
      <c r="D55" s="1"/>
      <c r="E55" s="1"/>
    </row>
  </sheetData>
  <mergeCells count="3">
    <mergeCell ref="A1:E1"/>
    <mergeCell ref="A2:E2"/>
    <mergeCell ref="A55:B55"/>
  </mergeCells>
  <phoneticPr fontId="46"/>
  <dataValidations count="2">
    <dataValidation type="date" allowBlank="1" sqref="A4:A53" xr:uid="{00000000-0002-0000-0700-000000000000}">
      <formula1>0</formula1>
      <formula2>0</formula2>
    </dataValidation>
    <dataValidation type="list" allowBlank="1" sqref="D4:D53" xr:uid="{00000000-0002-0000-0700-000001000000}">
      <formula1>"通常,リボ,分割,その他"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5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/>
  <cols>
    <col min="1" max="1" width="14" customWidth="1"/>
    <col min="2" max="2" width="24" customWidth="1"/>
    <col min="3" max="3" width="14" customWidth="1"/>
    <col min="4" max="4" width="16" customWidth="1"/>
    <col min="5" max="5" width="24" customWidth="1"/>
    <col min="6" max="6" width="12" customWidth="1"/>
  </cols>
  <sheetData>
    <row r="1" spans="1:6" ht="27.75" customHeight="1">
      <c r="A1" s="89" t="s">
        <v>123</v>
      </c>
      <c r="B1" s="89"/>
      <c r="C1" s="89"/>
      <c r="D1" s="89"/>
      <c r="E1" s="89"/>
      <c r="F1" s="89"/>
    </row>
    <row r="2" spans="1:6" ht="15" customHeight="1">
      <c r="A2" s="85" t="s">
        <v>82</v>
      </c>
      <c r="B2" s="85"/>
      <c r="C2" s="85"/>
      <c r="D2" s="85"/>
      <c r="E2" s="85"/>
      <c r="F2" s="85"/>
    </row>
    <row r="3" spans="1:6" ht="15" customHeight="1">
      <c r="A3" s="6" t="s">
        <v>83</v>
      </c>
      <c r="B3" s="6" t="s">
        <v>84</v>
      </c>
      <c r="C3" s="6" t="s">
        <v>85</v>
      </c>
      <c r="D3" s="6" t="s">
        <v>86</v>
      </c>
      <c r="E3" s="6" t="s">
        <v>50</v>
      </c>
      <c r="F3" s="6" t="s">
        <v>87</v>
      </c>
    </row>
    <row r="4" spans="1:6" ht="15" customHeight="1">
      <c r="A4" s="28">
        <v>46149</v>
      </c>
      <c r="B4" s="29" t="s">
        <v>124</v>
      </c>
      <c r="C4" s="26" t="s">
        <v>125</v>
      </c>
      <c r="D4" s="30">
        <v>3000000</v>
      </c>
      <c r="E4" s="53" t="s">
        <v>126</v>
      </c>
      <c r="F4" s="31"/>
    </row>
    <row r="5" spans="1:6" ht="15" customHeight="1">
      <c r="A5" s="28">
        <v>46149</v>
      </c>
      <c r="B5" s="29" t="s">
        <v>127</v>
      </c>
      <c r="C5" s="26" t="s">
        <v>125</v>
      </c>
      <c r="D5" s="30">
        <v>150000</v>
      </c>
      <c r="E5" s="53" t="s">
        <v>126</v>
      </c>
      <c r="F5" s="31"/>
    </row>
    <row r="6" spans="1:6" ht="15" customHeight="1">
      <c r="A6" s="28">
        <v>46149</v>
      </c>
      <c r="B6" s="53" t="s">
        <v>128</v>
      </c>
      <c r="C6" s="26" t="s">
        <v>125</v>
      </c>
      <c r="D6" s="30">
        <v>2200000</v>
      </c>
      <c r="E6" s="53" t="s">
        <v>126</v>
      </c>
      <c r="F6" s="31"/>
    </row>
    <row r="7" spans="1:6" ht="15" customHeight="1">
      <c r="A7" s="28">
        <v>46153</v>
      </c>
      <c r="B7" s="53" t="s">
        <v>129</v>
      </c>
      <c r="C7" s="26" t="s">
        <v>125</v>
      </c>
      <c r="D7" s="30">
        <v>3500000</v>
      </c>
      <c r="E7" s="53" t="s">
        <v>126</v>
      </c>
      <c r="F7" s="31"/>
    </row>
    <row r="8" spans="1:6" ht="15" customHeight="1">
      <c r="A8" s="28">
        <v>46157</v>
      </c>
      <c r="B8" s="29" t="s">
        <v>130</v>
      </c>
      <c r="C8" s="26" t="s">
        <v>125</v>
      </c>
      <c r="D8" s="30">
        <v>200000</v>
      </c>
      <c r="E8" s="53" t="s">
        <v>126</v>
      </c>
      <c r="F8" s="31"/>
    </row>
    <row r="9" spans="1:6" ht="15" customHeight="1">
      <c r="A9" s="28">
        <v>46157</v>
      </c>
      <c r="B9" s="29" t="s">
        <v>131</v>
      </c>
      <c r="C9" s="26" t="s">
        <v>125</v>
      </c>
      <c r="D9" s="30">
        <v>1200000</v>
      </c>
      <c r="E9" s="53" t="s">
        <v>126</v>
      </c>
      <c r="F9" s="31"/>
    </row>
    <row r="10" spans="1:6" ht="15" customHeight="1">
      <c r="A10" s="28">
        <v>46157</v>
      </c>
      <c r="B10" s="29" t="s">
        <v>132</v>
      </c>
      <c r="C10" s="26" t="s">
        <v>125</v>
      </c>
      <c r="D10" s="30">
        <v>400000</v>
      </c>
      <c r="E10" s="53" t="s">
        <v>126</v>
      </c>
      <c r="F10" s="31"/>
    </row>
    <row r="11" spans="1:6" ht="15" customHeight="1">
      <c r="A11" s="28">
        <v>46157</v>
      </c>
      <c r="B11" s="53" t="s">
        <v>133</v>
      </c>
      <c r="C11" s="26" t="s">
        <v>125</v>
      </c>
      <c r="D11" s="30">
        <v>1200000</v>
      </c>
      <c r="E11" s="53" t="s">
        <v>126</v>
      </c>
      <c r="F11" s="31"/>
    </row>
    <row r="12" spans="1:6" ht="15" customHeight="1">
      <c r="A12" s="28">
        <v>46162</v>
      </c>
      <c r="B12" s="53" t="s">
        <v>134</v>
      </c>
      <c r="C12" s="26" t="s">
        <v>125</v>
      </c>
      <c r="D12" s="30">
        <v>1000000</v>
      </c>
      <c r="E12" s="53" t="s">
        <v>126</v>
      </c>
      <c r="F12" s="31"/>
    </row>
    <row r="13" spans="1:6" ht="15" customHeight="1">
      <c r="A13" s="28">
        <v>46167</v>
      </c>
      <c r="B13" s="53" t="s">
        <v>129</v>
      </c>
      <c r="C13" s="26" t="s">
        <v>125</v>
      </c>
      <c r="D13" s="30">
        <v>1000000</v>
      </c>
      <c r="E13" s="53" t="s">
        <v>126</v>
      </c>
      <c r="F13" s="31"/>
    </row>
    <row r="14" spans="1:6" ht="15" customHeight="1">
      <c r="A14" s="28">
        <v>46167</v>
      </c>
      <c r="B14" s="53" t="s">
        <v>135</v>
      </c>
      <c r="C14" s="26" t="s">
        <v>125</v>
      </c>
      <c r="D14" s="30">
        <v>800000</v>
      </c>
      <c r="E14" s="53" t="s">
        <v>126</v>
      </c>
      <c r="F14" s="31"/>
    </row>
    <row r="15" spans="1:6" ht="15" customHeight="1">
      <c r="A15" s="28">
        <v>46171</v>
      </c>
      <c r="B15" s="53" t="s">
        <v>136</v>
      </c>
      <c r="C15" s="26" t="s">
        <v>125</v>
      </c>
      <c r="D15" s="30">
        <v>1500000</v>
      </c>
      <c r="E15" s="53" t="s">
        <v>126</v>
      </c>
      <c r="F15" s="31"/>
    </row>
    <row r="16" spans="1:6" ht="15" customHeight="1">
      <c r="A16" s="28">
        <v>46171</v>
      </c>
      <c r="B16" s="53" t="s">
        <v>137</v>
      </c>
      <c r="C16" s="26" t="s">
        <v>125</v>
      </c>
      <c r="D16" s="30">
        <v>1000000</v>
      </c>
      <c r="E16" s="53" t="s">
        <v>126</v>
      </c>
      <c r="F16" s="31"/>
    </row>
    <row r="17" spans="1:6" ht="15" customHeight="1">
      <c r="A17" s="28">
        <v>46171</v>
      </c>
      <c r="B17" s="53" t="s">
        <v>133</v>
      </c>
      <c r="C17" s="26" t="s">
        <v>125</v>
      </c>
      <c r="D17" s="30">
        <v>1800000</v>
      </c>
      <c r="E17" s="53" t="s">
        <v>126</v>
      </c>
      <c r="F17" s="31"/>
    </row>
    <row r="18" spans="1:6" ht="15" customHeight="1">
      <c r="A18" s="28">
        <v>46171</v>
      </c>
      <c r="B18" s="53" t="s">
        <v>138</v>
      </c>
      <c r="C18" s="26" t="s">
        <v>125</v>
      </c>
      <c r="D18" s="30">
        <v>650000</v>
      </c>
      <c r="E18" s="53" t="s">
        <v>126</v>
      </c>
      <c r="F18" s="31"/>
    </row>
    <row r="19" spans="1:6" ht="15" customHeight="1">
      <c r="A19" s="28">
        <v>46171</v>
      </c>
      <c r="B19" s="53" t="s">
        <v>134</v>
      </c>
      <c r="C19" s="26" t="s">
        <v>125</v>
      </c>
      <c r="D19" s="30">
        <v>1500000</v>
      </c>
      <c r="E19" s="53" t="s">
        <v>126</v>
      </c>
      <c r="F19" s="31"/>
    </row>
    <row r="20" spans="1:6" ht="15" customHeight="1">
      <c r="A20" s="28"/>
      <c r="B20" s="53"/>
      <c r="C20" s="26"/>
      <c r="D20" s="30"/>
      <c r="E20" s="53"/>
      <c r="F20" s="31"/>
    </row>
    <row r="21" spans="1:6" ht="15" customHeight="1">
      <c r="A21" s="28"/>
      <c r="B21" s="53"/>
      <c r="C21" s="26"/>
      <c r="D21" s="30"/>
      <c r="E21" s="53"/>
      <c r="F21" s="31"/>
    </row>
    <row r="22" spans="1:6" ht="15" customHeight="1">
      <c r="A22" s="28"/>
      <c r="B22" s="53"/>
      <c r="C22" s="26"/>
      <c r="D22" s="30"/>
      <c r="E22" s="53"/>
      <c r="F22" s="31"/>
    </row>
    <row r="23" spans="1:6" ht="15" customHeight="1">
      <c r="A23" s="28"/>
      <c r="B23" s="53"/>
      <c r="C23" s="26"/>
      <c r="D23" s="30"/>
      <c r="E23" s="53"/>
      <c r="F23" s="31"/>
    </row>
    <row r="24" spans="1:6" ht="15" customHeight="1">
      <c r="A24" s="28"/>
      <c r="B24" s="53"/>
      <c r="C24" s="26"/>
      <c r="D24" s="30"/>
      <c r="E24" s="53"/>
      <c r="F24" s="31"/>
    </row>
    <row r="25" spans="1:6" ht="15" customHeight="1">
      <c r="A25" s="28"/>
      <c r="B25" s="53"/>
      <c r="C25" s="26"/>
      <c r="D25" s="30"/>
      <c r="E25" s="53"/>
      <c r="F25" s="31"/>
    </row>
    <row r="26" spans="1:6" ht="15" customHeight="1">
      <c r="A26" s="28"/>
      <c r="B26" s="53"/>
      <c r="C26" s="26"/>
      <c r="D26" s="30"/>
      <c r="E26" s="53"/>
      <c r="F26" s="31"/>
    </row>
    <row r="27" spans="1:6" ht="15" customHeight="1">
      <c r="A27" s="28"/>
      <c r="B27" s="53"/>
      <c r="C27" s="26"/>
      <c r="D27" s="30"/>
      <c r="E27" s="53"/>
      <c r="F27" s="31"/>
    </row>
    <row r="28" spans="1:6" ht="15" customHeight="1">
      <c r="A28" s="28"/>
      <c r="B28" s="53"/>
      <c r="C28" s="26"/>
      <c r="D28" s="30"/>
      <c r="E28" s="53"/>
      <c r="F28" s="31"/>
    </row>
    <row r="29" spans="1:6" ht="15" customHeight="1">
      <c r="A29" s="28"/>
      <c r="B29" s="53"/>
      <c r="C29" s="26"/>
      <c r="D29" s="30"/>
      <c r="E29" s="53"/>
      <c r="F29" s="31"/>
    </row>
    <row r="30" spans="1:6" ht="15" customHeight="1">
      <c r="A30" s="28"/>
      <c r="B30" s="53"/>
      <c r="C30" s="26"/>
      <c r="D30" s="30"/>
      <c r="E30" s="53"/>
      <c r="F30" s="31"/>
    </row>
    <row r="31" spans="1:6" ht="15" customHeight="1">
      <c r="A31" s="28"/>
      <c r="B31" s="53"/>
      <c r="C31" s="26"/>
      <c r="D31" s="30"/>
      <c r="E31" s="53"/>
      <c r="F31" s="31"/>
    </row>
    <row r="32" spans="1:6" ht="15" customHeight="1">
      <c r="A32" s="28"/>
      <c r="B32" s="53"/>
      <c r="C32" s="26"/>
      <c r="D32" s="30"/>
      <c r="E32" s="53"/>
      <c r="F32" s="31"/>
    </row>
    <row r="33" spans="1:6" ht="15" customHeight="1">
      <c r="A33" s="28"/>
      <c r="B33" s="53"/>
      <c r="C33" s="26"/>
      <c r="D33" s="30"/>
      <c r="E33" s="53"/>
      <c r="F33" s="31"/>
    </row>
    <row r="34" spans="1:6" ht="15" customHeight="1">
      <c r="A34" s="28"/>
      <c r="B34" s="53"/>
      <c r="C34" s="26"/>
      <c r="D34" s="30"/>
      <c r="E34" s="53"/>
      <c r="F34" s="31"/>
    </row>
    <row r="35" spans="1:6" ht="15" customHeight="1">
      <c r="A35" s="28"/>
      <c r="B35" s="53"/>
      <c r="C35" s="26"/>
      <c r="D35" s="30"/>
      <c r="E35" s="53"/>
      <c r="F35" s="31"/>
    </row>
    <row r="36" spans="1:6" ht="15" customHeight="1">
      <c r="A36" s="28"/>
      <c r="B36" s="53"/>
      <c r="C36" s="26"/>
      <c r="D36" s="30"/>
      <c r="E36" s="53"/>
      <c r="F36" s="31"/>
    </row>
    <row r="37" spans="1:6" ht="15" customHeight="1">
      <c r="A37" s="28"/>
      <c r="B37" s="53"/>
      <c r="C37" s="26"/>
      <c r="D37" s="30"/>
      <c r="E37" s="53"/>
      <c r="F37" s="31"/>
    </row>
    <row r="38" spans="1:6" ht="15" customHeight="1">
      <c r="A38" s="28"/>
      <c r="B38" s="53"/>
      <c r="C38" s="26"/>
      <c r="D38" s="30"/>
      <c r="E38" s="53"/>
      <c r="F38" s="31"/>
    </row>
    <row r="39" spans="1:6" ht="15" customHeight="1">
      <c r="A39" s="28"/>
      <c r="B39" s="53"/>
      <c r="C39" s="26"/>
      <c r="D39" s="30"/>
      <c r="E39" s="53"/>
      <c r="F39" s="31"/>
    </row>
    <row r="40" spans="1:6" ht="15" customHeight="1">
      <c r="A40" s="28"/>
      <c r="B40" s="53"/>
      <c r="C40" s="26"/>
      <c r="D40" s="30"/>
      <c r="E40" s="53"/>
      <c r="F40" s="31"/>
    </row>
    <row r="41" spans="1:6" ht="15" customHeight="1">
      <c r="A41" s="28"/>
      <c r="B41" s="53"/>
      <c r="C41" s="26"/>
      <c r="D41" s="30"/>
      <c r="E41" s="53"/>
      <c r="F41" s="31"/>
    </row>
    <row r="42" spans="1:6" ht="15" customHeight="1">
      <c r="A42" s="28"/>
      <c r="B42" s="53"/>
      <c r="C42" s="26"/>
      <c r="D42" s="30"/>
      <c r="E42" s="53"/>
      <c r="F42" s="31"/>
    </row>
    <row r="43" spans="1:6" ht="15" customHeight="1">
      <c r="A43" s="28"/>
      <c r="B43" s="53"/>
      <c r="C43" s="26"/>
      <c r="D43" s="30"/>
      <c r="E43" s="53"/>
      <c r="F43" s="31"/>
    </row>
    <row r="44" spans="1:6" ht="15" customHeight="1">
      <c r="A44" s="28"/>
      <c r="B44" s="53"/>
      <c r="C44" s="26"/>
      <c r="D44" s="30"/>
      <c r="E44" s="53"/>
      <c r="F44" s="31"/>
    </row>
    <row r="45" spans="1:6" ht="15" customHeight="1">
      <c r="A45" s="28"/>
      <c r="B45" s="53"/>
      <c r="C45" s="26"/>
      <c r="D45" s="30"/>
      <c r="E45" s="53"/>
      <c r="F45" s="31"/>
    </row>
    <row r="46" spans="1:6" ht="15" customHeight="1">
      <c r="A46" s="28"/>
      <c r="B46" s="53"/>
      <c r="C46" s="26"/>
      <c r="D46" s="30"/>
      <c r="E46" s="53"/>
      <c r="F46" s="31"/>
    </row>
    <row r="47" spans="1:6" ht="15" customHeight="1">
      <c r="A47" s="28"/>
      <c r="B47" s="53"/>
      <c r="C47" s="26"/>
      <c r="D47" s="30"/>
      <c r="E47" s="53"/>
      <c r="F47" s="31"/>
    </row>
    <row r="48" spans="1:6" ht="15" customHeight="1">
      <c r="A48" s="28"/>
      <c r="B48" s="53"/>
      <c r="C48" s="26"/>
      <c r="D48" s="30"/>
      <c r="E48" s="53"/>
      <c r="F48" s="31"/>
    </row>
    <row r="49" spans="1:6" ht="15" customHeight="1">
      <c r="A49" s="28"/>
      <c r="B49" s="53"/>
      <c r="C49" s="26"/>
      <c r="D49" s="30"/>
      <c r="E49" s="53"/>
      <c r="F49" s="31"/>
    </row>
    <row r="50" spans="1:6" ht="15" customHeight="1">
      <c r="A50" s="28"/>
      <c r="B50" s="53"/>
      <c r="C50" s="26"/>
      <c r="D50" s="30"/>
      <c r="E50" s="53"/>
      <c r="F50" s="31"/>
    </row>
    <row r="51" spans="1:6" ht="15" customHeight="1">
      <c r="A51" s="28"/>
      <c r="B51" s="53"/>
      <c r="C51" s="26"/>
      <c r="D51" s="30"/>
      <c r="E51" s="53"/>
      <c r="F51" s="31"/>
    </row>
    <row r="52" spans="1:6" ht="15" customHeight="1">
      <c r="A52" s="28"/>
      <c r="B52" s="53"/>
      <c r="C52" s="26"/>
      <c r="D52" s="30"/>
      <c r="E52" s="53"/>
      <c r="F52" s="31"/>
    </row>
    <row r="53" spans="1:6" ht="15" customHeight="1">
      <c r="A53" s="28"/>
      <c r="B53" s="53"/>
      <c r="C53" s="26"/>
      <c r="D53" s="30"/>
      <c r="E53" s="53"/>
      <c r="F53" s="31"/>
    </row>
    <row r="54" spans="1:6" ht="15" customHeight="1">
      <c r="A54" s="28"/>
      <c r="B54" s="53"/>
      <c r="C54" s="26"/>
      <c r="D54" s="30"/>
      <c r="E54" s="53"/>
      <c r="F54" s="31"/>
    </row>
    <row r="55" spans="1:6" ht="15" customHeight="1">
      <c r="A55" s="28"/>
      <c r="B55" s="53"/>
      <c r="C55" s="26"/>
      <c r="D55" s="30"/>
      <c r="E55" s="53"/>
      <c r="F55" s="31"/>
    </row>
    <row r="56" spans="1:6" ht="15" customHeight="1">
      <c r="A56" s="28"/>
      <c r="B56" s="53"/>
      <c r="C56" s="26"/>
      <c r="D56" s="30"/>
      <c r="E56" s="53"/>
      <c r="F56" s="31"/>
    </row>
    <row r="57" spans="1:6" ht="15" customHeight="1">
      <c r="A57" s="28"/>
      <c r="B57" s="53"/>
      <c r="C57" s="26"/>
      <c r="D57" s="30"/>
      <c r="E57" s="53"/>
      <c r="F57" s="31"/>
    </row>
    <row r="58" spans="1:6" ht="15" customHeight="1">
      <c r="A58" s="28"/>
      <c r="B58" s="53"/>
      <c r="C58" s="26"/>
      <c r="D58" s="30"/>
      <c r="E58" s="53"/>
      <c r="F58" s="31"/>
    </row>
    <row r="59" spans="1:6" ht="15" customHeight="1">
      <c r="A59" s="28"/>
      <c r="B59" s="53"/>
      <c r="C59" s="26"/>
      <c r="D59" s="30"/>
      <c r="E59" s="53"/>
      <c r="F59" s="31"/>
    </row>
    <row r="60" spans="1:6" ht="15" customHeight="1">
      <c r="A60" s="28"/>
      <c r="B60" s="53"/>
      <c r="C60" s="26"/>
      <c r="D60" s="30"/>
      <c r="E60" s="53"/>
      <c r="F60" s="31"/>
    </row>
    <row r="61" spans="1:6" ht="15" customHeight="1">
      <c r="A61" s="28"/>
      <c r="B61" s="53"/>
      <c r="C61" s="26"/>
      <c r="D61" s="30"/>
      <c r="E61" s="53"/>
      <c r="F61" s="31"/>
    </row>
    <row r="62" spans="1:6" ht="15" customHeight="1">
      <c r="A62" s="28"/>
      <c r="B62" s="53"/>
      <c r="C62" s="26"/>
      <c r="D62" s="30"/>
      <c r="E62" s="53"/>
      <c r="F62" s="31"/>
    </row>
    <row r="63" spans="1:6" ht="15" customHeight="1">
      <c r="A63" s="28"/>
      <c r="B63" s="53"/>
      <c r="C63" s="26"/>
      <c r="D63" s="30"/>
      <c r="E63" s="53"/>
      <c r="F63" s="31"/>
    </row>
    <row r="64" spans="1:6" ht="15" customHeight="1">
      <c r="A64" s="28"/>
      <c r="B64" s="53"/>
      <c r="C64" s="26"/>
      <c r="D64" s="30"/>
      <c r="E64" s="53"/>
      <c r="F64" s="31"/>
    </row>
    <row r="65" spans="1:6" ht="15" customHeight="1">
      <c r="A65" s="28"/>
      <c r="B65" s="53"/>
      <c r="C65" s="26"/>
      <c r="D65" s="30"/>
      <c r="E65" s="53"/>
      <c r="F65" s="31"/>
    </row>
    <row r="66" spans="1:6" ht="15" customHeight="1">
      <c r="A66" s="28"/>
      <c r="B66" s="53"/>
      <c r="C66" s="26"/>
      <c r="D66" s="30"/>
      <c r="E66" s="53"/>
      <c r="F66" s="31"/>
    </row>
    <row r="67" spans="1:6" ht="15" customHeight="1">
      <c r="A67" s="28"/>
      <c r="B67" s="53"/>
      <c r="C67" s="26"/>
      <c r="D67" s="30"/>
      <c r="E67" s="53"/>
      <c r="F67" s="31"/>
    </row>
    <row r="68" spans="1:6" ht="15" customHeight="1">
      <c r="A68" s="28"/>
      <c r="B68" s="53"/>
      <c r="C68" s="26"/>
      <c r="D68" s="30"/>
      <c r="E68" s="53"/>
      <c r="F68" s="31"/>
    </row>
    <row r="69" spans="1:6" ht="15" customHeight="1">
      <c r="A69" s="28"/>
      <c r="B69" s="53"/>
      <c r="C69" s="26"/>
      <c r="D69" s="30"/>
      <c r="E69" s="53"/>
      <c r="F69" s="31"/>
    </row>
    <row r="70" spans="1:6" ht="15" customHeight="1">
      <c r="A70" s="28"/>
      <c r="B70" s="53"/>
      <c r="C70" s="26"/>
      <c r="D70" s="30"/>
      <c r="E70" s="53"/>
      <c r="F70" s="31"/>
    </row>
    <row r="71" spans="1:6" ht="15" customHeight="1">
      <c r="A71" s="28"/>
      <c r="B71" s="53"/>
      <c r="C71" s="26"/>
      <c r="D71" s="30"/>
      <c r="E71" s="53"/>
      <c r="F71" s="31"/>
    </row>
    <row r="72" spans="1:6" ht="15" customHeight="1">
      <c r="A72" s="28"/>
      <c r="B72" s="53"/>
      <c r="C72" s="26"/>
      <c r="D72" s="30"/>
      <c r="E72" s="53"/>
      <c r="F72" s="31"/>
    </row>
    <row r="73" spans="1:6" ht="15" customHeight="1">
      <c r="A73" s="28"/>
      <c r="B73" s="53"/>
      <c r="C73" s="26"/>
      <c r="D73" s="30"/>
      <c r="E73" s="53"/>
      <c r="F73" s="31"/>
    </row>
    <row r="74" spans="1:6" ht="15" customHeight="1">
      <c r="A74" s="28"/>
      <c r="B74" s="53"/>
      <c r="C74" s="26"/>
      <c r="D74" s="30"/>
      <c r="E74" s="53"/>
      <c r="F74" s="31"/>
    </row>
    <row r="75" spans="1:6" ht="15" customHeight="1">
      <c r="A75" s="28"/>
      <c r="B75" s="53"/>
      <c r="C75" s="26"/>
      <c r="D75" s="30"/>
      <c r="E75" s="53"/>
      <c r="F75" s="31"/>
    </row>
    <row r="76" spans="1:6" ht="15" customHeight="1">
      <c r="A76" s="28"/>
      <c r="B76" s="53"/>
      <c r="C76" s="26"/>
      <c r="D76" s="30"/>
      <c r="E76" s="53"/>
      <c r="F76" s="31"/>
    </row>
    <row r="77" spans="1:6" ht="15" customHeight="1">
      <c r="A77" s="28"/>
      <c r="B77" s="53"/>
      <c r="C77" s="26"/>
      <c r="D77" s="30"/>
      <c r="E77" s="53"/>
      <c r="F77" s="31"/>
    </row>
    <row r="78" spans="1:6" ht="15" customHeight="1">
      <c r="A78" s="28"/>
      <c r="B78" s="53"/>
      <c r="C78" s="26"/>
      <c r="D78" s="30"/>
      <c r="E78" s="53"/>
      <c r="F78" s="31"/>
    </row>
    <row r="79" spans="1:6" ht="15" customHeight="1">
      <c r="A79" s="28"/>
      <c r="B79" s="53"/>
      <c r="C79" s="26"/>
      <c r="D79" s="30"/>
      <c r="E79" s="53"/>
      <c r="F79" s="31"/>
    </row>
    <row r="80" spans="1:6" ht="15" customHeight="1">
      <c r="A80" s="28"/>
      <c r="B80" s="53"/>
      <c r="C80" s="26"/>
      <c r="D80" s="30"/>
      <c r="E80" s="53"/>
      <c r="F80" s="31"/>
    </row>
    <row r="81" spans="1:6" ht="15" customHeight="1">
      <c r="A81" s="28"/>
      <c r="B81" s="53"/>
      <c r="C81" s="26"/>
      <c r="D81" s="30"/>
      <c r="E81" s="53"/>
      <c r="F81" s="31"/>
    </row>
    <row r="82" spans="1:6" ht="15" customHeight="1">
      <c r="A82" s="28"/>
      <c r="B82" s="53"/>
      <c r="C82" s="26"/>
      <c r="D82" s="30"/>
      <c r="E82" s="53"/>
      <c r="F82" s="31"/>
    </row>
    <row r="83" spans="1:6" ht="15" customHeight="1">
      <c r="A83" s="28"/>
      <c r="B83" s="53"/>
      <c r="C83" s="26"/>
      <c r="D83" s="30"/>
      <c r="E83" s="53"/>
      <c r="F83" s="31"/>
    </row>
    <row r="84" spans="1:6" ht="15" customHeight="1">
      <c r="A84" s="28"/>
      <c r="B84" s="53"/>
      <c r="C84" s="26"/>
      <c r="D84" s="30"/>
      <c r="E84" s="53"/>
      <c r="F84" s="31"/>
    </row>
    <row r="85" spans="1:6" ht="15" customHeight="1">
      <c r="A85" s="28"/>
      <c r="B85" s="53"/>
      <c r="C85" s="26"/>
      <c r="D85" s="30"/>
      <c r="E85" s="53"/>
      <c r="F85" s="31"/>
    </row>
    <row r="86" spans="1:6" ht="15" customHeight="1">
      <c r="A86" s="28"/>
      <c r="B86" s="53"/>
      <c r="C86" s="26"/>
      <c r="D86" s="30"/>
      <c r="E86" s="53"/>
      <c r="F86" s="31"/>
    </row>
    <row r="87" spans="1:6" ht="15" customHeight="1">
      <c r="A87" s="28"/>
      <c r="B87" s="53"/>
      <c r="C87" s="26"/>
      <c r="D87" s="30"/>
      <c r="E87" s="53"/>
      <c r="F87" s="31"/>
    </row>
    <row r="88" spans="1:6" ht="15" customHeight="1">
      <c r="A88" s="28"/>
      <c r="B88" s="53"/>
      <c r="C88" s="26"/>
      <c r="D88" s="30"/>
      <c r="E88" s="53"/>
      <c r="F88" s="31"/>
    </row>
    <row r="89" spans="1:6" ht="15" customHeight="1">
      <c r="A89" s="28"/>
      <c r="B89" s="53"/>
      <c r="C89" s="26"/>
      <c r="D89" s="30"/>
      <c r="E89" s="53"/>
      <c r="F89" s="31"/>
    </row>
    <row r="90" spans="1:6" ht="15" customHeight="1">
      <c r="A90" s="28"/>
      <c r="B90" s="53"/>
      <c r="C90" s="26"/>
      <c r="D90" s="30"/>
      <c r="E90" s="53"/>
      <c r="F90" s="31"/>
    </row>
    <row r="91" spans="1:6" ht="15" customHeight="1">
      <c r="A91" s="28"/>
      <c r="B91" s="53"/>
      <c r="C91" s="26"/>
      <c r="D91" s="30"/>
      <c r="E91" s="53"/>
      <c r="F91" s="31"/>
    </row>
    <row r="92" spans="1:6" ht="15" customHeight="1">
      <c r="A92" s="28"/>
      <c r="B92" s="53"/>
      <c r="C92" s="26"/>
      <c r="D92" s="30"/>
      <c r="E92" s="53"/>
      <c r="F92" s="31"/>
    </row>
    <row r="93" spans="1:6" ht="15" customHeight="1">
      <c r="A93" s="28"/>
      <c r="B93" s="53"/>
      <c r="C93" s="26"/>
      <c r="D93" s="30"/>
      <c r="E93" s="53"/>
      <c r="F93" s="31"/>
    </row>
    <row r="94" spans="1:6" ht="15" customHeight="1">
      <c r="A94" s="28"/>
      <c r="B94" s="53"/>
      <c r="C94" s="26"/>
      <c r="D94" s="30"/>
      <c r="E94" s="53"/>
      <c r="F94" s="31"/>
    </row>
    <row r="95" spans="1:6" ht="15" customHeight="1">
      <c r="A95" s="28"/>
      <c r="B95" s="53"/>
      <c r="C95" s="26"/>
      <c r="D95" s="30"/>
      <c r="E95" s="53"/>
      <c r="F95" s="31"/>
    </row>
    <row r="96" spans="1:6" ht="15" customHeight="1">
      <c r="A96" s="28"/>
      <c r="B96" s="53"/>
      <c r="C96" s="26"/>
      <c r="D96" s="30"/>
      <c r="E96" s="53"/>
      <c r="F96" s="31"/>
    </row>
    <row r="97" spans="1:6" ht="15" customHeight="1">
      <c r="A97" s="28"/>
      <c r="B97" s="53"/>
      <c r="C97" s="26"/>
      <c r="D97" s="30"/>
      <c r="E97" s="53"/>
      <c r="F97" s="31"/>
    </row>
    <row r="98" spans="1:6" ht="15" customHeight="1">
      <c r="A98" s="28"/>
      <c r="B98" s="53"/>
      <c r="C98" s="26"/>
      <c r="D98" s="30"/>
      <c r="E98" s="53"/>
      <c r="F98" s="31"/>
    </row>
    <row r="99" spans="1:6" ht="15" customHeight="1">
      <c r="A99" s="28"/>
      <c r="B99" s="53"/>
      <c r="C99" s="26"/>
      <c r="D99" s="30"/>
      <c r="E99" s="53"/>
      <c r="F99" s="31"/>
    </row>
    <row r="100" spans="1:6" ht="15" customHeight="1">
      <c r="A100" s="28"/>
      <c r="B100" s="53"/>
      <c r="C100" s="26"/>
      <c r="D100" s="30"/>
      <c r="E100" s="53"/>
      <c r="F100" s="31"/>
    </row>
    <row r="101" spans="1:6" ht="15" customHeight="1">
      <c r="A101" s="28"/>
      <c r="B101" s="53"/>
      <c r="C101" s="26"/>
      <c r="D101" s="30"/>
      <c r="E101" s="53"/>
      <c r="F101" s="31"/>
    </row>
    <row r="102" spans="1:6" ht="15" customHeight="1">
      <c r="A102" s="28"/>
      <c r="B102" s="53"/>
      <c r="C102" s="26"/>
      <c r="D102" s="30"/>
      <c r="E102" s="53"/>
      <c r="F102" s="31"/>
    </row>
    <row r="103" spans="1:6" ht="15" customHeight="1">
      <c r="A103" s="28"/>
      <c r="B103" s="53"/>
      <c r="C103" s="26"/>
      <c r="D103" s="30"/>
      <c r="E103" s="53"/>
      <c r="F103" s="31"/>
    </row>
    <row r="105" spans="1:6" ht="15" customHeight="1">
      <c r="A105" s="83" t="s">
        <v>44</v>
      </c>
      <c r="B105" s="83"/>
      <c r="C105" s="83"/>
      <c r="D105" s="12">
        <f>SUM(D4:D103)</f>
        <v>21100000</v>
      </c>
      <c r="E105" s="32"/>
      <c r="F105" s="32"/>
    </row>
  </sheetData>
  <mergeCells count="3">
    <mergeCell ref="A1:F1"/>
    <mergeCell ref="A2:F2"/>
    <mergeCell ref="A105:C105"/>
  </mergeCells>
  <phoneticPr fontId="46"/>
  <dataValidations count="3">
    <dataValidation type="date" allowBlank="1" sqref="A4:A103" xr:uid="{00000000-0002-0000-0800-000000000000}">
      <formula1>0</formula1>
      <formula2>0</formula2>
    </dataValidation>
    <dataValidation type="list" allowBlank="1" prompt="資金繰り表項目を選択" sqref="C4:C103" xr:uid="{00000000-0002-0000-0800-000001000000}">
      <formula1>"現金売上,売掛金回収,手形入金,その他収入,借入金,設備売却"</formula1>
      <formula2>0</formula2>
    </dataValidation>
    <dataValidation type="list" allowBlank="1" sqref="F4:F103" xr:uid="{00000000-0002-0000-0800-000002000000}">
      <formula1>"確認済,未確認,予測"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7"/>
  <sheetViews>
    <sheetView zoomScaleNormal="100" workbookViewId="0">
      <pane xSplit="3" ySplit="3" topLeftCell="D79" activePane="bottomRight" state="frozen"/>
      <selection pane="topRight" activeCell="D1" sqref="D1"/>
      <selection pane="bottomLeft" activeCell="A4" sqref="A4"/>
      <selection pane="bottomRight" activeCell="A43" sqref="A43:XFD43"/>
    </sheetView>
  </sheetViews>
  <sheetFormatPr defaultColWidth="8.7109375" defaultRowHeight="15"/>
  <cols>
    <col min="1" max="1" width="10" customWidth="1"/>
    <col min="2" max="2" width="12" customWidth="1"/>
    <col min="3" max="3" width="28" customWidth="1"/>
    <col min="4" max="5" width="12" customWidth="1"/>
    <col min="6" max="6" width="14" customWidth="1"/>
    <col min="7" max="10" width="12" customWidth="1"/>
    <col min="11" max="11" width="14" customWidth="1"/>
    <col min="12" max="12" width="10" customWidth="1"/>
    <col min="13" max="14" width="14" customWidth="1"/>
    <col min="15" max="15" width="12" customWidth="1"/>
  </cols>
  <sheetData>
    <row r="1" spans="1:16" ht="27.75" customHeight="1">
      <c r="A1" s="89" t="s">
        <v>139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6" ht="21.75" customHeight="1">
      <c r="A2" s="33" t="s">
        <v>89</v>
      </c>
      <c r="B2" s="34" t="s">
        <v>90</v>
      </c>
      <c r="C2" s="35" t="s">
        <v>91</v>
      </c>
      <c r="D2" s="36" t="s">
        <v>92</v>
      </c>
      <c r="E2" s="37" t="s">
        <v>93</v>
      </c>
      <c r="G2" s="85" t="s">
        <v>94</v>
      </c>
      <c r="H2" s="85"/>
      <c r="I2" s="85"/>
      <c r="J2" s="85"/>
      <c r="K2" s="85"/>
      <c r="L2" s="85"/>
      <c r="M2" s="85"/>
      <c r="N2" s="85"/>
      <c r="O2" s="85"/>
      <c r="P2" s="85"/>
    </row>
    <row r="3" spans="1:16" ht="30" customHeight="1">
      <c r="A3" s="6" t="s">
        <v>95</v>
      </c>
      <c r="B3" s="6" t="s">
        <v>96</v>
      </c>
      <c r="C3" s="6" t="s">
        <v>97</v>
      </c>
      <c r="D3" s="6" t="s">
        <v>57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106</v>
      </c>
      <c r="N3" s="6" t="s">
        <v>107</v>
      </c>
      <c r="O3" s="38" t="s">
        <v>108</v>
      </c>
      <c r="P3" s="6" t="s">
        <v>109</v>
      </c>
    </row>
    <row r="4" spans="1:16" ht="15" customHeight="1">
      <c r="A4" s="20" t="s">
        <v>110</v>
      </c>
      <c r="B4" s="20" t="s">
        <v>39</v>
      </c>
      <c r="C4" s="39" t="s">
        <v>140</v>
      </c>
      <c r="D4" s="20" t="s">
        <v>62</v>
      </c>
      <c r="E4" s="40">
        <v>46120</v>
      </c>
      <c r="F4" s="20" t="s">
        <v>141</v>
      </c>
      <c r="G4" s="8">
        <v>0</v>
      </c>
      <c r="H4" s="8">
        <v>22000</v>
      </c>
      <c r="I4" s="8">
        <v>22000</v>
      </c>
      <c r="J4" s="8">
        <v>22000</v>
      </c>
      <c r="K4" s="41">
        <v>66000</v>
      </c>
      <c r="L4" s="42" t="s">
        <v>114</v>
      </c>
      <c r="M4" s="28"/>
      <c r="N4" s="30">
        <v>66000</v>
      </c>
      <c r="O4" s="43"/>
      <c r="P4" s="29"/>
    </row>
    <row r="5" spans="1:16" ht="15" customHeight="1">
      <c r="A5" s="20" t="s">
        <v>110</v>
      </c>
      <c r="B5" s="20" t="s">
        <v>39</v>
      </c>
      <c r="C5" s="39" t="s">
        <v>142</v>
      </c>
      <c r="D5" s="20" t="s">
        <v>67</v>
      </c>
      <c r="E5" s="40">
        <v>46135</v>
      </c>
      <c r="F5" s="20" t="s">
        <v>143</v>
      </c>
      <c r="G5" s="8">
        <v>7893</v>
      </c>
      <c r="H5" s="8">
        <v>15809</v>
      </c>
      <c r="I5" s="8">
        <v>0</v>
      </c>
      <c r="J5" s="8">
        <v>0</v>
      </c>
      <c r="K5" s="41">
        <v>15809</v>
      </c>
      <c r="L5" s="42" t="s">
        <v>112</v>
      </c>
      <c r="M5" s="28"/>
      <c r="N5" s="30">
        <v>15809</v>
      </c>
      <c r="O5" s="43"/>
      <c r="P5" s="29"/>
    </row>
    <row r="6" spans="1:16" ht="15" customHeight="1">
      <c r="A6" s="20" t="s">
        <v>110</v>
      </c>
      <c r="B6" s="20" t="s">
        <v>39</v>
      </c>
      <c r="C6" s="39" t="s">
        <v>144</v>
      </c>
      <c r="D6" s="20" t="s">
        <v>68</v>
      </c>
      <c r="E6" s="40">
        <v>46142</v>
      </c>
      <c r="F6" s="20" t="s">
        <v>143</v>
      </c>
      <c r="G6" s="8">
        <v>27500</v>
      </c>
      <c r="H6" s="8">
        <v>27500</v>
      </c>
      <c r="I6" s="8">
        <v>27500</v>
      </c>
      <c r="J6" s="8">
        <v>27500</v>
      </c>
      <c r="K6" s="41">
        <v>82500</v>
      </c>
      <c r="L6" s="42" t="s">
        <v>114</v>
      </c>
      <c r="M6" s="28"/>
      <c r="N6" s="30">
        <v>82500</v>
      </c>
      <c r="O6" s="43"/>
      <c r="P6" s="29"/>
    </row>
    <row r="7" spans="1:16" ht="15" customHeight="1">
      <c r="A7" s="20" t="s">
        <v>110</v>
      </c>
      <c r="B7" s="20" t="s">
        <v>39</v>
      </c>
      <c r="C7" s="39" t="s">
        <v>145</v>
      </c>
      <c r="D7" s="20" t="s">
        <v>74</v>
      </c>
      <c r="E7" s="40">
        <v>46142</v>
      </c>
      <c r="F7" s="20" t="s">
        <v>146</v>
      </c>
      <c r="G7" s="8">
        <v>17600</v>
      </c>
      <c r="H7" s="8">
        <v>17600</v>
      </c>
      <c r="I7" s="8">
        <v>17600</v>
      </c>
      <c r="J7" s="8">
        <v>17600</v>
      </c>
      <c r="K7" s="41">
        <v>52800</v>
      </c>
      <c r="L7" s="42" t="s">
        <v>114</v>
      </c>
      <c r="M7" s="28"/>
      <c r="N7" s="30">
        <v>52800</v>
      </c>
      <c r="O7" s="43"/>
      <c r="P7" s="29"/>
    </row>
    <row r="8" spans="1:16" ht="15" customHeight="1">
      <c r="A8" s="20" t="s">
        <v>110</v>
      </c>
      <c r="B8" s="20" t="s">
        <v>39</v>
      </c>
      <c r="C8" s="54" t="s">
        <v>147</v>
      </c>
      <c r="D8" s="20" t="s">
        <v>148</v>
      </c>
      <c r="E8" s="40">
        <v>46142</v>
      </c>
      <c r="F8" s="20" t="s">
        <v>146</v>
      </c>
      <c r="G8" s="8">
        <v>140800</v>
      </c>
      <c r="H8" s="8">
        <v>43200</v>
      </c>
      <c r="I8" s="8">
        <v>95600</v>
      </c>
      <c r="J8" s="8">
        <v>110800</v>
      </c>
      <c r="K8" s="41">
        <v>249600</v>
      </c>
      <c r="L8" s="42" t="s">
        <v>114</v>
      </c>
      <c r="M8" s="28"/>
      <c r="N8" s="30">
        <v>249600</v>
      </c>
      <c r="O8" s="43"/>
      <c r="P8" s="29"/>
    </row>
    <row r="9" spans="1:16" ht="15" customHeight="1">
      <c r="A9" s="20" t="s">
        <v>110</v>
      </c>
      <c r="B9" s="20" t="s">
        <v>39</v>
      </c>
      <c r="C9" s="39" t="s">
        <v>149</v>
      </c>
      <c r="D9" s="20" t="s">
        <v>63</v>
      </c>
      <c r="E9" s="40">
        <v>46142</v>
      </c>
      <c r="F9" s="20" t="s">
        <v>150</v>
      </c>
      <c r="G9" s="8">
        <v>173800</v>
      </c>
      <c r="H9" s="8">
        <v>194040</v>
      </c>
      <c r="I9" s="8">
        <v>121000</v>
      </c>
      <c r="J9" s="8">
        <v>0</v>
      </c>
      <c r="K9" s="41">
        <v>315040</v>
      </c>
      <c r="L9" s="42" t="s">
        <v>151</v>
      </c>
      <c r="M9" s="28"/>
      <c r="N9" s="30">
        <v>315040</v>
      </c>
      <c r="O9" s="43"/>
      <c r="P9" s="29"/>
    </row>
    <row r="10" spans="1:16" ht="15" customHeight="1">
      <c r="A10" s="20" t="s">
        <v>110</v>
      </c>
      <c r="B10" s="20" t="s">
        <v>39</v>
      </c>
      <c r="C10" s="39" t="s">
        <v>152</v>
      </c>
      <c r="D10" s="20" t="s">
        <v>67</v>
      </c>
      <c r="E10" s="40">
        <v>46142</v>
      </c>
      <c r="F10" s="20" t="s">
        <v>150</v>
      </c>
      <c r="G10" s="8">
        <v>0</v>
      </c>
      <c r="H10" s="8">
        <v>19051</v>
      </c>
      <c r="I10" s="8">
        <v>76449</v>
      </c>
      <c r="J10" s="8">
        <v>142269</v>
      </c>
      <c r="K10" s="41">
        <v>237769</v>
      </c>
      <c r="L10" s="42" t="s">
        <v>114</v>
      </c>
      <c r="M10" s="28"/>
      <c r="N10" s="30">
        <v>237769</v>
      </c>
      <c r="O10" s="43"/>
      <c r="P10" s="29"/>
    </row>
    <row r="11" spans="1:16" ht="15" customHeight="1">
      <c r="A11" s="20" t="s">
        <v>110</v>
      </c>
      <c r="B11" s="20" t="s">
        <v>39</v>
      </c>
      <c r="C11" s="39" t="s">
        <v>153</v>
      </c>
      <c r="D11" s="20" t="s">
        <v>64</v>
      </c>
      <c r="E11" s="40">
        <v>46142</v>
      </c>
      <c r="F11" s="20" t="s">
        <v>150</v>
      </c>
      <c r="G11" s="8">
        <v>0</v>
      </c>
      <c r="H11" s="8">
        <v>16500</v>
      </c>
      <c r="I11" s="8">
        <v>0</v>
      </c>
      <c r="J11" s="8">
        <v>0</v>
      </c>
      <c r="K11" s="41">
        <v>16500</v>
      </c>
      <c r="L11" s="42" t="s">
        <v>112</v>
      </c>
      <c r="M11" s="28"/>
      <c r="N11" s="30">
        <v>16500</v>
      </c>
      <c r="O11" s="43"/>
      <c r="P11" s="29"/>
    </row>
    <row r="12" spans="1:16" ht="15" customHeight="1">
      <c r="A12" s="20" t="s">
        <v>110</v>
      </c>
      <c r="B12" s="20" t="s">
        <v>39</v>
      </c>
      <c r="C12" s="39" t="s">
        <v>154</v>
      </c>
      <c r="D12" s="20" t="s">
        <v>67</v>
      </c>
      <c r="E12" s="40">
        <v>46142</v>
      </c>
      <c r="F12" s="20" t="s">
        <v>150</v>
      </c>
      <c r="G12" s="8">
        <v>56055</v>
      </c>
      <c r="H12" s="8">
        <v>36440</v>
      </c>
      <c r="I12" s="8">
        <v>0</v>
      </c>
      <c r="J12" s="8">
        <v>0</v>
      </c>
      <c r="K12" s="41">
        <v>36440</v>
      </c>
      <c r="L12" s="42" t="s">
        <v>112</v>
      </c>
      <c r="M12" s="28"/>
      <c r="N12" s="30">
        <v>36440</v>
      </c>
      <c r="O12" s="43"/>
      <c r="P12" s="29"/>
    </row>
    <row r="13" spans="1:16" ht="15" customHeight="1">
      <c r="A13" s="20" t="s">
        <v>110</v>
      </c>
      <c r="B13" s="20" t="s">
        <v>39</v>
      </c>
      <c r="C13" s="39" t="s">
        <v>155</v>
      </c>
      <c r="D13" s="20" t="s">
        <v>63</v>
      </c>
      <c r="E13" s="40">
        <v>46142</v>
      </c>
      <c r="F13" s="20" t="s">
        <v>150</v>
      </c>
      <c r="G13" s="8">
        <v>30800</v>
      </c>
      <c r="H13" s="8">
        <v>30800</v>
      </c>
      <c r="I13" s="8">
        <v>30800</v>
      </c>
      <c r="J13" s="8">
        <v>30800</v>
      </c>
      <c r="K13" s="41">
        <v>92400</v>
      </c>
      <c r="L13" s="42" t="s">
        <v>114</v>
      </c>
      <c r="M13" s="28"/>
      <c r="N13" s="30">
        <v>92400</v>
      </c>
      <c r="O13" s="43"/>
      <c r="P13" s="29"/>
    </row>
    <row r="14" spans="1:16" ht="15" customHeight="1">
      <c r="A14" s="20" t="s">
        <v>110</v>
      </c>
      <c r="B14" s="20" t="s">
        <v>39</v>
      </c>
      <c r="C14" s="39" t="s">
        <v>156</v>
      </c>
      <c r="D14" s="20" t="s">
        <v>59</v>
      </c>
      <c r="E14" s="40">
        <v>46142</v>
      </c>
      <c r="F14" s="20" t="s">
        <v>157</v>
      </c>
      <c r="G14" s="8">
        <v>27583</v>
      </c>
      <c r="H14" s="8">
        <v>21972</v>
      </c>
      <c r="I14" s="8">
        <v>0</v>
      </c>
      <c r="J14" s="8">
        <v>0</v>
      </c>
      <c r="K14" s="41">
        <v>21972</v>
      </c>
      <c r="L14" s="42" t="s">
        <v>112</v>
      </c>
      <c r="M14" s="28"/>
      <c r="N14" s="30">
        <v>21972</v>
      </c>
      <c r="O14" s="43"/>
      <c r="P14" s="29"/>
    </row>
    <row r="15" spans="1:16" ht="15" customHeight="1">
      <c r="A15" s="20" t="s">
        <v>110</v>
      </c>
      <c r="B15" s="20" t="s">
        <v>39</v>
      </c>
      <c r="C15" s="39" t="s">
        <v>158</v>
      </c>
      <c r="D15" s="20" t="s">
        <v>67</v>
      </c>
      <c r="E15" s="40">
        <v>46142</v>
      </c>
      <c r="F15" s="20" t="s">
        <v>157</v>
      </c>
      <c r="G15" s="8">
        <v>372405</v>
      </c>
      <c r="H15" s="8">
        <v>114015</v>
      </c>
      <c r="I15" s="8">
        <v>0</v>
      </c>
      <c r="J15" s="8">
        <v>0</v>
      </c>
      <c r="K15" s="41">
        <v>114015</v>
      </c>
      <c r="L15" s="42" t="s">
        <v>112</v>
      </c>
      <c r="M15" s="28"/>
      <c r="N15" s="30">
        <v>114015</v>
      </c>
      <c r="O15" s="43"/>
      <c r="P15" s="29"/>
    </row>
    <row r="16" spans="1:16" ht="15" customHeight="1">
      <c r="A16" s="20" t="s">
        <v>110</v>
      </c>
      <c r="B16" s="20" t="s">
        <v>39</v>
      </c>
      <c r="C16" s="39" t="s">
        <v>152</v>
      </c>
      <c r="D16" s="20" t="s">
        <v>67</v>
      </c>
      <c r="E16" s="40">
        <v>46142</v>
      </c>
      <c r="F16" s="20" t="s">
        <v>157</v>
      </c>
      <c r="G16" s="8">
        <v>0</v>
      </c>
      <c r="H16" s="8">
        <v>44660</v>
      </c>
      <c r="I16" s="8">
        <v>50600</v>
      </c>
      <c r="J16" s="8">
        <v>31680</v>
      </c>
      <c r="K16" s="41">
        <v>126940</v>
      </c>
      <c r="L16" s="42" t="s">
        <v>114</v>
      </c>
      <c r="M16" s="28"/>
      <c r="N16" s="30">
        <v>126940</v>
      </c>
      <c r="O16" s="43"/>
      <c r="P16" s="29"/>
    </row>
    <row r="17" spans="1:16" ht="15" customHeight="1">
      <c r="A17" s="20" t="s">
        <v>110</v>
      </c>
      <c r="B17" s="20" t="s">
        <v>39</v>
      </c>
      <c r="C17" s="39" t="s">
        <v>159</v>
      </c>
      <c r="D17" s="20" t="s">
        <v>62</v>
      </c>
      <c r="E17" s="40">
        <v>46142</v>
      </c>
      <c r="F17" s="20" t="s">
        <v>157</v>
      </c>
      <c r="G17" s="8">
        <v>46750</v>
      </c>
      <c r="H17" s="8">
        <v>46750</v>
      </c>
      <c r="I17" s="8">
        <v>46750</v>
      </c>
      <c r="J17" s="8">
        <v>46750</v>
      </c>
      <c r="K17" s="41">
        <v>140250</v>
      </c>
      <c r="L17" s="42" t="s">
        <v>114</v>
      </c>
      <c r="M17" s="28"/>
      <c r="N17" s="30">
        <v>140250</v>
      </c>
      <c r="O17" s="43"/>
      <c r="P17" s="29"/>
    </row>
    <row r="18" spans="1:16" ht="15" customHeight="1">
      <c r="A18" s="20" t="s">
        <v>110</v>
      </c>
      <c r="B18" s="20" t="s">
        <v>39</v>
      </c>
      <c r="C18" s="39" t="s">
        <v>160</v>
      </c>
      <c r="D18" s="20" t="s">
        <v>64</v>
      </c>
      <c r="E18" s="40">
        <v>46142</v>
      </c>
      <c r="F18" s="20" t="s">
        <v>157</v>
      </c>
      <c r="G18" s="8">
        <v>82500</v>
      </c>
      <c r="H18" s="8">
        <v>60500</v>
      </c>
      <c r="I18" s="8">
        <v>44000</v>
      </c>
      <c r="J18" s="8">
        <v>0</v>
      </c>
      <c r="K18" s="41">
        <v>104500</v>
      </c>
      <c r="L18" s="42" t="s">
        <v>151</v>
      </c>
      <c r="M18" s="28"/>
      <c r="N18" s="30">
        <v>104500</v>
      </c>
      <c r="O18" s="43"/>
      <c r="P18" s="29"/>
    </row>
    <row r="19" spans="1:16" ht="15" customHeight="1">
      <c r="A19" s="20" t="s">
        <v>110</v>
      </c>
      <c r="B19" s="20" t="s">
        <v>39</v>
      </c>
      <c r="C19" s="39" t="s">
        <v>161</v>
      </c>
      <c r="D19" s="20" t="s">
        <v>61</v>
      </c>
      <c r="E19" s="40">
        <v>46142</v>
      </c>
      <c r="F19" s="20" t="s">
        <v>157</v>
      </c>
      <c r="G19" s="8">
        <v>0</v>
      </c>
      <c r="H19" s="8">
        <v>0</v>
      </c>
      <c r="I19" s="8">
        <v>58630</v>
      </c>
      <c r="J19" s="8">
        <v>0</v>
      </c>
      <c r="K19" s="41">
        <v>58630</v>
      </c>
      <c r="L19" s="42" t="s">
        <v>151</v>
      </c>
      <c r="M19" s="28"/>
      <c r="N19" s="30">
        <v>58630</v>
      </c>
      <c r="O19" s="43"/>
      <c r="P19" s="29"/>
    </row>
    <row r="20" spans="1:16" ht="15" customHeight="1">
      <c r="A20" s="20" t="s">
        <v>110</v>
      </c>
      <c r="B20" s="20" t="s">
        <v>39</v>
      </c>
      <c r="C20" s="39" t="s">
        <v>162</v>
      </c>
      <c r="D20" s="20" t="s">
        <v>67</v>
      </c>
      <c r="E20" s="40">
        <v>46142</v>
      </c>
      <c r="F20" s="20" t="s">
        <v>141</v>
      </c>
      <c r="G20" s="8">
        <v>13860</v>
      </c>
      <c r="H20" s="8">
        <v>10626</v>
      </c>
      <c r="I20" s="8">
        <v>0</v>
      </c>
      <c r="J20" s="8">
        <v>0</v>
      </c>
      <c r="K20" s="41">
        <v>10626</v>
      </c>
      <c r="L20" s="42" t="s">
        <v>112</v>
      </c>
      <c r="M20" s="28"/>
      <c r="N20" s="30">
        <v>10626</v>
      </c>
      <c r="O20" s="43"/>
      <c r="P20" s="29"/>
    </row>
    <row r="21" spans="1:16" ht="15" customHeight="1">
      <c r="A21" s="20" t="s">
        <v>110</v>
      </c>
      <c r="B21" s="20" t="s">
        <v>39</v>
      </c>
      <c r="C21" s="39" t="s">
        <v>163</v>
      </c>
      <c r="D21" s="20" t="s">
        <v>61</v>
      </c>
      <c r="E21" s="40">
        <v>46142</v>
      </c>
      <c r="F21" s="20" t="s">
        <v>141</v>
      </c>
      <c r="G21" s="8">
        <v>136389</v>
      </c>
      <c r="H21" s="8">
        <v>246301</v>
      </c>
      <c r="I21" s="8">
        <v>0</v>
      </c>
      <c r="J21" s="8">
        <v>0</v>
      </c>
      <c r="K21" s="41">
        <v>246301</v>
      </c>
      <c r="L21" s="42" t="s">
        <v>112</v>
      </c>
      <c r="M21" s="28"/>
      <c r="N21" s="30">
        <v>246301</v>
      </c>
      <c r="O21" s="43"/>
      <c r="P21" s="29"/>
    </row>
    <row r="22" spans="1:16" ht="15" customHeight="1">
      <c r="A22" s="20" t="s">
        <v>110</v>
      </c>
      <c r="B22" s="20" t="s">
        <v>39</v>
      </c>
      <c r="C22" s="39" t="s">
        <v>163</v>
      </c>
      <c r="D22" s="20" t="s">
        <v>61</v>
      </c>
      <c r="E22" s="40">
        <v>46142</v>
      </c>
      <c r="F22" s="20" t="s">
        <v>141</v>
      </c>
      <c r="G22" s="8">
        <v>15400</v>
      </c>
      <c r="H22" s="8">
        <v>15400</v>
      </c>
      <c r="I22" s="8">
        <v>0</v>
      </c>
      <c r="J22" s="8">
        <v>0</v>
      </c>
      <c r="K22" s="41">
        <v>15400</v>
      </c>
      <c r="L22" s="42" t="s">
        <v>112</v>
      </c>
      <c r="M22" s="28"/>
      <c r="N22" s="30">
        <v>15400</v>
      </c>
      <c r="O22" s="43"/>
      <c r="P22" s="29"/>
    </row>
    <row r="23" spans="1:16" ht="15" customHeight="1">
      <c r="A23" s="20" t="s">
        <v>110</v>
      </c>
      <c r="B23" s="20" t="s">
        <v>39</v>
      </c>
      <c r="C23" s="39" t="s">
        <v>164</v>
      </c>
      <c r="D23" s="20" t="s">
        <v>64</v>
      </c>
      <c r="E23" s="40">
        <v>46142</v>
      </c>
      <c r="F23" s="20" t="s">
        <v>165</v>
      </c>
      <c r="G23" s="8">
        <v>62150</v>
      </c>
      <c r="H23" s="8">
        <v>0</v>
      </c>
      <c r="I23" s="8">
        <v>62150</v>
      </c>
      <c r="J23" s="8">
        <v>0</v>
      </c>
      <c r="K23" s="41">
        <v>62150</v>
      </c>
      <c r="L23" s="42" t="s">
        <v>151</v>
      </c>
      <c r="M23" s="28"/>
      <c r="N23" s="30">
        <v>62150</v>
      </c>
      <c r="O23" s="43"/>
      <c r="P23" s="29"/>
    </row>
    <row r="24" spans="1:16" ht="15" customHeight="1">
      <c r="A24" s="20" t="s">
        <v>110</v>
      </c>
      <c r="B24" s="20" t="s">
        <v>39</v>
      </c>
      <c r="C24" s="39" t="s">
        <v>166</v>
      </c>
      <c r="D24" s="20" t="s">
        <v>63</v>
      </c>
      <c r="E24" s="40">
        <v>46142</v>
      </c>
      <c r="F24" s="20" t="s">
        <v>141</v>
      </c>
      <c r="G24" s="8">
        <v>22000</v>
      </c>
      <c r="H24" s="8">
        <v>22000</v>
      </c>
      <c r="I24" s="8">
        <v>22000</v>
      </c>
      <c r="J24" s="8">
        <v>22000</v>
      </c>
      <c r="K24" s="41">
        <v>66000</v>
      </c>
      <c r="L24" s="42" t="s">
        <v>114</v>
      </c>
      <c r="M24" s="28"/>
      <c r="N24" s="30">
        <v>66000</v>
      </c>
      <c r="O24" s="43"/>
      <c r="P24" s="29"/>
    </row>
    <row r="25" spans="1:16" ht="23.25" customHeight="1">
      <c r="A25" s="20" t="s">
        <v>110</v>
      </c>
      <c r="B25" s="20" t="s">
        <v>39</v>
      </c>
      <c r="C25" s="39" t="s">
        <v>167</v>
      </c>
      <c r="D25" s="20" t="s">
        <v>62</v>
      </c>
      <c r="E25" s="40">
        <v>46142</v>
      </c>
      <c r="F25" s="20"/>
      <c r="G25" s="8">
        <v>56250</v>
      </c>
      <c r="H25" s="8">
        <v>56250</v>
      </c>
      <c r="I25" s="8">
        <v>0</v>
      </c>
      <c r="J25" s="8">
        <v>0</v>
      </c>
      <c r="K25" s="41">
        <v>56250</v>
      </c>
      <c r="L25" s="42" t="s">
        <v>112</v>
      </c>
      <c r="M25" s="28"/>
      <c r="N25" s="30">
        <v>56250</v>
      </c>
      <c r="O25" s="43"/>
      <c r="P25" s="29"/>
    </row>
    <row r="26" spans="1:16" ht="23.25" customHeight="1">
      <c r="A26" s="20" t="s">
        <v>110</v>
      </c>
      <c r="B26" s="20" t="s">
        <v>39</v>
      </c>
      <c r="C26" s="39" t="s">
        <v>168</v>
      </c>
      <c r="D26" s="20" t="s">
        <v>65</v>
      </c>
      <c r="E26" s="40">
        <v>46142</v>
      </c>
      <c r="F26" s="20"/>
      <c r="G26" s="8">
        <v>193050</v>
      </c>
      <c r="H26" s="8">
        <v>303050</v>
      </c>
      <c r="I26" s="8">
        <v>152900</v>
      </c>
      <c r="J26" s="8">
        <v>152900</v>
      </c>
      <c r="K26" s="41">
        <v>608850</v>
      </c>
      <c r="L26" s="42" t="s">
        <v>114</v>
      </c>
      <c r="M26" s="28"/>
      <c r="N26" s="30">
        <v>608850</v>
      </c>
      <c r="O26" s="43"/>
      <c r="P26" s="29"/>
    </row>
    <row r="27" spans="1:16" ht="15" customHeight="1">
      <c r="A27" s="20" t="s">
        <v>110</v>
      </c>
      <c r="B27" s="20" t="s">
        <v>39</v>
      </c>
      <c r="C27" s="39" t="s">
        <v>169</v>
      </c>
      <c r="D27" s="20" t="s">
        <v>148</v>
      </c>
      <c r="E27" s="40">
        <v>46142</v>
      </c>
      <c r="F27" s="20"/>
      <c r="G27" s="8">
        <v>132000</v>
      </c>
      <c r="H27" s="8">
        <v>132000</v>
      </c>
      <c r="I27" s="8">
        <v>0</v>
      </c>
      <c r="J27" s="8">
        <v>0</v>
      </c>
      <c r="K27" s="41">
        <v>132000</v>
      </c>
      <c r="L27" s="42" t="s">
        <v>112</v>
      </c>
      <c r="M27" s="28"/>
      <c r="N27" s="30">
        <v>132000</v>
      </c>
      <c r="O27" s="43"/>
      <c r="P27" s="29"/>
    </row>
    <row r="28" spans="1:16" ht="15" customHeight="1">
      <c r="A28" s="20" t="s">
        <v>110</v>
      </c>
      <c r="B28" s="20" t="s">
        <v>39</v>
      </c>
      <c r="C28" s="39" t="s">
        <v>170</v>
      </c>
      <c r="D28" s="20" t="s">
        <v>148</v>
      </c>
      <c r="E28" s="40">
        <v>46142</v>
      </c>
      <c r="F28" s="20"/>
      <c r="G28" s="8">
        <v>100000</v>
      </c>
      <c r="H28" s="8">
        <v>100000</v>
      </c>
      <c r="I28" s="8">
        <v>0</v>
      </c>
      <c r="J28" s="8">
        <v>0</v>
      </c>
      <c r="K28" s="41">
        <v>100000</v>
      </c>
      <c r="L28" s="42" t="s">
        <v>112</v>
      </c>
      <c r="M28" s="28"/>
      <c r="N28" s="30">
        <v>100000</v>
      </c>
      <c r="O28" s="43"/>
      <c r="P28" s="29"/>
    </row>
    <row r="29" spans="1:16" ht="15" customHeight="1">
      <c r="A29" s="20" t="s">
        <v>110</v>
      </c>
      <c r="B29" s="20" t="s">
        <v>39</v>
      </c>
      <c r="C29" s="39" t="s">
        <v>154</v>
      </c>
      <c r="D29" s="20" t="s">
        <v>67</v>
      </c>
      <c r="E29" s="40">
        <v>46142</v>
      </c>
      <c r="F29" s="20" t="s">
        <v>141</v>
      </c>
      <c r="G29" s="8">
        <v>35340</v>
      </c>
      <c r="H29" s="8">
        <v>13200</v>
      </c>
      <c r="I29" s="8">
        <v>0</v>
      </c>
      <c r="J29" s="8">
        <v>0</v>
      </c>
      <c r="K29" s="41">
        <v>13200</v>
      </c>
      <c r="L29" s="42" t="s">
        <v>112</v>
      </c>
      <c r="M29" s="28"/>
      <c r="N29" s="30">
        <v>13200</v>
      </c>
      <c r="O29" s="43"/>
      <c r="P29" s="29"/>
    </row>
    <row r="30" spans="1:16" ht="23.25" customHeight="1">
      <c r="A30" s="20" t="s">
        <v>110</v>
      </c>
      <c r="B30" s="20" t="s">
        <v>39</v>
      </c>
      <c r="C30" s="39" t="s">
        <v>171</v>
      </c>
      <c r="D30" s="20" t="s">
        <v>64</v>
      </c>
      <c r="E30" s="40">
        <v>46142</v>
      </c>
      <c r="F30" s="20" t="s">
        <v>157</v>
      </c>
      <c r="G30" s="8">
        <v>11650</v>
      </c>
      <c r="H30" s="8">
        <v>34341</v>
      </c>
      <c r="I30" s="8">
        <v>21151</v>
      </c>
      <c r="J30" s="8">
        <v>24854</v>
      </c>
      <c r="K30" s="41">
        <v>80346</v>
      </c>
      <c r="L30" s="42" t="s">
        <v>114</v>
      </c>
      <c r="M30" s="28"/>
      <c r="N30" s="30">
        <v>80346</v>
      </c>
      <c r="O30" s="43"/>
      <c r="P30" s="29"/>
    </row>
    <row r="31" spans="1:16" ht="15" customHeight="1">
      <c r="A31" s="20" t="s">
        <v>110</v>
      </c>
      <c r="B31" s="20" t="s">
        <v>39</v>
      </c>
      <c r="C31" s="39" t="s">
        <v>172</v>
      </c>
      <c r="D31" s="20" t="s">
        <v>64</v>
      </c>
      <c r="E31" s="40">
        <v>46142</v>
      </c>
      <c r="F31" s="20" t="s">
        <v>157</v>
      </c>
      <c r="G31" s="8">
        <v>19302</v>
      </c>
      <c r="H31" s="8">
        <v>33035</v>
      </c>
      <c r="I31" s="8">
        <v>8775</v>
      </c>
      <c r="J31" s="8">
        <v>24970</v>
      </c>
      <c r="K31" s="41">
        <v>66780</v>
      </c>
      <c r="L31" s="42" t="s">
        <v>114</v>
      </c>
      <c r="M31" s="28"/>
      <c r="N31" s="30">
        <v>66780</v>
      </c>
      <c r="O31" s="43"/>
      <c r="P31" s="29"/>
    </row>
    <row r="32" spans="1:16" ht="15" customHeight="1">
      <c r="A32" s="20" t="s">
        <v>110</v>
      </c>
      <c r="B32" s="20" t="s">
        <v>39</v>
      </c>
      <c r="C32" s="39" t="s">
        <v>173</v>
      </c>
      <c r="D32" s="20" t="s">
        <v>63</v>
      </c>
      <c r="E32" s="40">
        <v>46142</v>
      </c>
      <c r="F32" s="20" t="s">
        <v>150</v>
      </c>
      <c r="G32" s="8">
        <v>255233</v>
      </c>
      <c r="H32" s="8">
        <v>409035</v>
      </c>
      <c r="I32" s="8">
        <v>387063</v>
      </c>
      <c r="J32" s="8">
        <v>108644</v>
      </c>
      <c r="K32" s="41">
        <v>904742</v>
      </c>
      <c r="L32" s="42" t="s">
        <v>114</v>
      </c>
      <c r="M32" s="28"/>
      <c r="N32" s="30">
        <v>904742</v>
      </c>
      <c r="O32" s="43"/>
      <c r="P32" s="29"/>
    </row>
    <row r="33" spans="1:16" ht="15" customHeight="1">
      <c r="A33" s="20" t="s">
        <v>110</v>
      </c>
      <c r="B33" s="20" t="s">
        <v>39</v>
      </c>
      <c r="C33" s="39" t="s">
        <v>174</v>
      </c>
      <c r="D33" s="20" t="s">
        <v>67</v>
      </c>
      <c r="E33" s="40">
        <v>46142</v>
      </c>
      <c r="F33" s="20" t="s">
        <v>157</v>
      </c>
      <c r="G33" s="8">
        <v>7670</v>
      </c>
      <c r="H33" s="8">
        <v>0</v>
      </c>
      <c r="I33" s="8">
        <v>55764</v>
      </c>
      <c r="J33" s="8">
        <v>188088</v>
      </c>
      <c r="K33" s="41">
        <v>243852</v>
      </c>
      <c r="L33" s="42" t="s">
        <v>114</v>
      </c>
      <c r="M33" s="28"/>
      <c r="N33" s="30">
        <v>243852</v>
      </c>
      <c r="O33" s="43"/>
      <c r="P33" s="29"/>
    </row>
    <row r="34" spans="1:16" ht="15" customHeight="1">
      <c r="A34" s="20" t="s">
        <v>110</v>
      </c>
      <c r="B34" s="20" t="s">
        <v>39</v>
      </c>
      <c r="C34" s="39" t="s">
        <v>175</v>
      </c>
      <c r="D34" s="20" t="s">
        <v>176</v>
      </c>
      <c r="E34" s="40">
        <v>46142</v>
      </c>
      <c r="F34" s="20" t="s">
        <v>157</v>
      </c>
      <c r="G34" s="8">
        <v>35596</v>
      </c>
      <c r="H34" s="8">
        <v>44528</v>
      </c>
      <c r="I34" s="8">
        <v>44088</v>
      </c>
      <c r="J34" s="8">
        <v>0</v>
      </c>
      <c r="K34" s="41">
        <v>88616</v>
      </c>
      <c r="L34" s="42" t="s">
        <v>151</v>
      </c>
      <c r="M34" s="28"/>
      <c r="N34" s="30">
        <v>88616</v>
      </c>
      <c r="O34" s="43"/>
      <c r="P34" s="29"/>
    </row>
    <row r="35" spans="1:16" ht="15" customHeight="1">
      <c r="A35" s="20" t="s">
        <v>110</v>
      </c>
      <c r="B35" s="20" t="s">
        <v>39</v>
      </c>
      <c r="C35" s="54" t="s">
        <v>177</v>
      </c>
      <c r="D35" s="20" t="s">
        <v>148</v>
      </c>
      <c r="E35" s="40">
        <v>46157</v>
      </c>
      <c r="F35" s="20"/>
      <c r="G35" s="8">
        <v>0</v>
      </c>
      <c r="H35" s="8">
        <v>262500</v>
      </c>
      <c r="I35" s="8">
        <v>262500</v>
      </c>
      <c r="J35" s="8">
        <v>262500</v>
      </c>
      <c r="K35" s="41">
        <v>787500</v>
      </c>
      <c r="L35" s="42" t="s">
        <v>114</v>
      </c>
      <c r="M35" s="28"/>
      <c r="N35" s="30">
        <v>787500</v>
      </c>
      <c r="O35" s="43"/>
      <c r="P35" s="29"/>
    </row>
    <row r="36" spans="1:16" ht="15" customHeight="1">
      <c r="A36" s="20" t="s">
        <v>110</v>
      </c>
      <c r="B36" s="20" t="s">
        <v>39</v>
      </c>
      <c r="C36" s="39" t="s">
        <v>178</v>
      </c>
      <c r="D36" s="20" t="s">
        <v>69</v>
      </c>
      <c r="E36" s="40"/>
      <c r="F36" s="20"/>
      <c r="G36" s="8">
        <v>56200</v>
      </c>
      <c r="H36" s="8">
        <v>56200</v>
      </c>
      <c r="I36" s="8">
        <v>0</v>
      </c>
      <c r="J36" s="8">
        <v>0</v>
      </c>
      <c r="K36" s="41">
        <v>56200</v>
      </c>
      <c r="L36" s="42" t="s">
        <v>112</v>
      </c>
      <c r="M36" s="28"/>
      <c r="N36" s="30">
        <v>56200</v>
      </c>
      <c r="O36" s="43"/>
      <c r="P36" s="29"/>
    </row>
    <row r="37" spans="1:16" ht="23.25" customHeight="1">
      <c r="A37" s="20" t="s">
        <v>110</v>
      </c>
      <c r="B37" s="20" t="s">
        <v>52</v>
      </c>
      <c r="C37" s="39" t="s">
        <v>179</v>
      </c>
      <c r="D37" s="20" t="s">
        <v>61</v>
      </c>
      <c r="E37" s="40">
        <v>46142</v>
      </c>
      <c r="F37" s="20" t="s">
        <v>180</v>
      </c>
      <c r="G37" s="8">
        <v>19140</v>
      </c>
      <c r="H37" s="8">
        <v>19140</v>
      </c>
      <c r="I37" s="8">
        <v>19140</v>
      </c>
      <c r="J37" s="8">
        <v>19140</v>
      </c>
      <c r="K37" s="41">
        <v>57420</v>
      </c>
      <c r="L37" s="42" t="s">
        <v>114</v>
      </c>
      <c r="M37" s="28"/>
      <c r="N37" s="30">
        <v>57420</v>
      </c>
      <c r="O37" s="43"/>
      <c r="P37" s="29"/>
    </row>
    <row r="38" spans="1:16" ht="23.25" customHeight="1">
      <c r="A38" s="20" t="s">
        <v>110</v>
      </c>
      <c r="B38" s="20" t="s">
        <v>52</v>
      </c>
      <c r="C38" s="39" t="s">
        <v>181</v>
      </c>
      <c r="D38" s="20" t="s">
        <v>61</v>
      </c>
      <c r="E38" s="40">
        <v>46142</v>
      </c>
      <c r="F38" s="20" t="s">
        <v>180</v>
      </c>
      <c r="G38" s="8">
        <v>77000</v>
      </c>
      <c r="H38" s="8">
        <v>77000</v>
      </c>
      <c r="I38" s="8">
        <v>77000</v>
      </c>
      <c r="J38" s="8">
        <v>77000</v>
      </c>
      <c r="K38" s="41">
        <v>231000</v>
      </c>
      <c r="L38" s="42" t="s">
        <v>114</v>
      </c>
      <c r="M38" s="28"/>
      <c r="N38" s="30">
        <v>231000</v>
      </c>
      <c r="O38" s="43"/>
      <c r="P38" s="29"/>
    </row>
    <row r="39" spans="1:16" ht="23.25" customHeight="1">
      <c r="A39" s="20" t="s">
        <v>110</v>
      </c>
      <c r="B39" s="20" t="s">
        <v>52</v>
      </c>
      <c r="C39" s="39" t="s">
        <v>182</v>
      </c>
      <c r="D39" s="20" t="s">
        <v>66</v>
      </c>
      <c r="E39" s="40">
        <v>46142</v>
      </c>
      <c r="F39" s="20" t="s">
        <v>180</v>
      </c>
      <c r="G39" s="8">
        <v>1155000</v>
      </c>
      <c r="H39" s="8">
        <v>1155000</v>
      </c>
      <c r="I39" s="8">
        <v>1155000</v>
      </c>
      <c r="J39" s="8">
        <v>1155000</v>
      </c>
      <c r="K39" s="41">
        <v>3465000</v>
      </c>
      <c r="L39" s="42" t="s">
        <v>114</v>
      </c>
      <c r="M39" s="28"/>
      <c r="N39" s="30">
        <v>3465000</v>
      </c>
      <c r="O39" s="43"/>
      <c r="P39" s="29"/>
    </row>
    <row r="40" spans="1:16" ht="23.25" customHeight="1">
      <c r="A40" s="20" t="s">
        <v>110</v>
      </c>
      <c r="B40" s="20" t="s">
        <v>52</v>
      </c>
      <c r="C40" s="39" t="s">
        <v>183</v>
      </c>
      <c r="D40" s="20" t="s">
        <v>184</v>
      </c>
      <c r="E40" s="40">
        <v>46142</v>
      </c>
      <c r="F40" s="20" t="s">
        <v>180</v>
      </c>
      <c r="G40" s="8">
        <v>52800</v>
      </c>
      <c r="H40" s="8">
        <v>52800</v>
      </c>
      <c r="I40" s="8">
        <v>52800</v>
      </c>
      <c r="J40" s="8">
        <v>52800</v>
      </c>
      <c r="K40" s="41">
        <v>158400</v>
      </c>
      <c r="L40" s="42" t="s">
        <v>114</v>
      </c>
      <c r="M40" s="28"/>
      <c r="N40" s="30">
        <v>158400</v>
      </c>
      <c r="O40" s="43"/>
      <c r="P40" s="29"/>
    </row>
    <row r="41" spans="1:16" ht="15" customHeight="1">
      <c r="A41" s="20" t="s">
        <v>110</v>
      </c>
      <c r="B41" s="20" t="s">
        <v>54</v>
      </c>
      <c r="C41" s="39" t="s">
        <v>185</v>
      </c>
      <c r="D41" s="20" t="s">
        <v>59</v>
      </c>
      <c r="E41" s="40">
        <v>46132</v>
      </c>
      <c r="F41" s="20" t="s">
        <v>54</v>
      </c>
      <c r="G41" s="8">
        <v>37272</v>
      </c>
      <c r="H41" s="8">
        <v>31964</v>
      </c>
      <c r="I41" s="8">
        <v>0</v>
      </c>
      <c r="J41" s="8">
        <v>0</v>
      </c>
      <c r="K41" s="41">
        <v>31964</v>
      </c>
      <c r="L41" s="42" t="s">
        <v>112</v>
      </c>
      <c r="M41" s="28"/>
      <c r="N41" s="30">
        <v>31964</v>
      </c>
      <c r="O41" s="43"/>
      <c r="P41" s="29"/>
    </row>
    <row r="42" spans="1:16" ht="15" customHeight="1">
      <c r="A42" s="20"/>
      <c r="B42" s="20" t="s">
        <v>39</v>
      </c>
      <c r="C42" s="39" t="s">
        <v>186</v>
      </c>
      <c r="D42" s="20"/>
      <c r="E42" s="40"/>
      <c r="F42" s="20"/>
      <c r="G42" s="8">
        <v>0</v>
      </c>
      <c r="H42" s="8">
        <v>0</v>
      </c>
      <c r="I42" s="8">
        <v>0</v>
      </c>
      <c r="J42" s="8">
        <v>0</v>
      </c>
      <c r="K42" s="41">
        <v>0</v>
      </c>
      <c r="L42" s="42" t="s">
        <v>112</v>
      </c>
      <c r="M42" s="28">
        <v>46153</v>
      </c>
      <c r="N42" s="30">
        <v>0</v>
      </c>
      <c r="O42" s="43"/>
      <c r="P42" s="29"/>
    </row>
    <row r="43" spans="1:16" ht="15" customHeight="1">
      <c r="A43" s="20" t="s">
        <v>188</v>
      </c>
      <c r="B43" s="20"/>
      <c r="C43" s="39" t="s">
        <v>189</v>
      </c>
      <c r="D43" s="20"/>
      <c r="E43" s="40"/>
      <c r="F43" s="20"/>
      <c r="G43" s="8">
        <v>200000</v>
      </c>
      <c r="H43" s="8">
        <v>0</v>
      </c>
      <c r="I43" s="8">
        <v>0</v>
      </c>
      <c r="J43" s="8">
        <v>0</v>
      </c>
      <c r="K43" s="41">
        <v>200000</v>
      </c>
      <c r="L43" s="42" t="s">
        <v>187</v>
      </c>
      <c r="M43" s="28">
        <v>46142</v>
      </c>
      <c r="N43" s="30">
        <v>200000</v>
      </c>
      <c r="O43" s="43"/>
      <c r="P43" s="29"/>
    </row>
    <row r="44" spans="1:16" ht="15" customHeight="1">
      <c r="A44" s="20" t="s">
        <v>188</v>
      </c>
      <c r="B44" s="20"/>
      <c r="C44" s="39" t="s">
        <v>190</v>
      </c>
      <c r="D44" s="20"/>
      <c r="E44" s="40"/>
      <c r="F44" s="20"/>
      <c r="G44" s="8">
        <v>44088</v>
      </c>
      <c r="H44" s="8">
        <v>0</v>
      </c>
      <c r="I44" s="8">
        <v>0</v>
      </c>
      <c r="J44" s="8">
        <v>0</v>
      </c>
      <c r="K44" s="41">
        <v>44088</v>
      </c>
      <c r="L44" s="42" t="s">
        <v>187</v>
      </c>
      <c r="M44" s="28">
        <v>46149</v>
      </c>
      <c r="N44" s="30">
        <v>44088</v>
      </c>
      <c r="O44" s="43"/>
      <c r="P44" s="29"/>
    </row>
    <row r="45" spans="1:16" ht="15" customHeight="1">
      <c r="A45" s="20" t="s">
        <v>188</v>
      </c>
      <c r="B45" s="20"/>
      <c r="C45" s="39" t="s">
        <v>191</v>
      </c>
      <c r="D45" s="20"/>
      <c r="E45" s="40"/>
      <c r="F45" s="20"/>
      <c r="G45" s="8">
        <v>660000</v>
      </c>
      <c r="H45" s="8">
        <v>0</v>
      </c>
      <c r="I45" s="8">
        <v>0</v>
      </c>
      <c r="J45" s="8">
        <v>0</v>
      </c>
      <c r="K45" s="41">
        <v>660000</v>
      </c>
      <c r="L45" s="42" t="s">
        <v>187</v>
      </c>
      <c r="M45" s="28">
        <v>46149</v>
      </c>
      <c r="N45" s="30">
        <v>660000</v>
      </c>
      <c r="O45" s="43"/>
      <c r="P45" s="29"/>
    </row>
    <row r="46" spans="1:16" ht="15" customHeight="1">
      <c r="A46" s="20" t="s">
        <v>188</v>
      </c>
      <c r="B46" s="20"/>
      <c r="C46" s="39" t="s">
        <v>192</v>
      </c>
      <c r="D46" s="20"/>
      <c r="E46" s="40"/>
      <c r="F46" s="20"/>
      <c r="G46" s="8">
        <v>260000</v>
      </c>
      <c r="H46" s="8">
        <v>0</v>
      </c>
      <c r="I46" s="8">
        <v>0</v>
      </c>
      <c r="J46" s="8">
        <v>0</v>
      </c>
      <c r="K46" s="41">
        <v>260000</v>
      </c>
      <c r="L46" s="42" t="s">
        <v>187</v>
      </c>
      <c r="M46" s="28">
        <v>46149</v>
      </c>
      <c r="N46" s="30">
        <v>260000</v>
      </c>
      <c r="O46" s="43"/>
      <c r="P46" s="29"/>
    </row>
    <row r="47" spans="1:16" ht="15" customHeight="1">
      <c r="A47" s="20" t="s">
        <v>188</v>
      </c>
      <c r="B47" s="20"/>
      <c r="C47" s="39" t="s">
        <v>193</v>
      </c>
      <c r="D47" s="20"/>
      <c r="E47" s="40"/>
      <c r="F47" s="20"/>
      <c r="G47" s="8">
        <v>100000</v>
      </c>
      <c r="H47" s="8">
        <v>0</v>
      </c>
      <c r="I47" s="8">
        <v>0</v>
      </c>
      <c r="J47" s="8">
        <v>0</v>
      </c>
      <c r="K47" s="41">
        <v>100000</v>
      </c>
      <c r="L47" s="42" t="s">
        <v>187</v>
      </c>
      <c r="M47" s="28">
        <v>46149</v>
      </c>
      <c r="N47" s="30">
        <v>100000</v>
      </c>
      <c r="O47" s="43"/>
      <c r="P47" s="29"/>
    </row>
    <row r="48" spans="1:16" ht="15" customHeight="1">
      <c r="A48" s="20" t="s">
        <v>188</v>
      </c>
      <c r="B48" s="20"/>
      <c r="C48" s="39" t="s">
        <v>194</v>
      </c>
      <c r="D48" s="20"/>
      <c r="E48" s="40"/>
      <c r="F48" s="20"/>
      <c r="G48" s="8">
        <v>80000</v>
      </c>
      <c r="H48" s="8">
        <v>0</v>
      </c>
      <c r="I48" s="8">
        <v>0</v>
      </c>
      <c r="J48" s="8">
        <v>0</v>
      </c>
      <c r="K48" s="41">
        <v>80000</v>
      </c>
      <c r="L48" s="42" t="s">
        <v>187</v>
      </c>
      <c r="M48" s="28">
        <v>46149</v>
      </c>
      <c r="N48" s="30">
        <v>80000</v>
      </c>
      <c r="O48" s="43"/>
      <c r="P48" s="29"/>
    </row>
    <row r="49" spans="1:16" ht="15" customHeight="1">
      <c r="A49" s="20" t="s">
        <v>188</v>
      </c>
      <c r="B49" s="20"/>
      <c r="C49" s="39" t="s">
        <v>195</v>
      </c>
      <c r="D49" s="20"/>
      <c r="E49" s="40"/>
      <c r="F49" s="20"/>
      <c r="G49" s="8">
        <v>400000</v>
      </c>
      <c r="H49" s="8">
        <v>0</v>
      </c>
      <c r="I49" s="8">
        <v>0</v>
      </c>
      <c r="J49" s="8">
        <v>0</v>
      </c>
      <c r="K49" s="41">
        <v>400000</v>
      </c>
      <c r="L49" s="42" t="s">
        <v>187</v>
      </c>
      <c r="M49" s="28">
        <v>46149</v>
      </c>
      <c r="N49" s="30">
        <v>400000</v>
      </c>
      <c r="O49" s="43"/>
      <c r="P49" s="29"/>
    </row>
    <row r="50" spans="1:16" ht="15" customHeight="1">
      <c r="A50" s="20" t="s">
        <v>188</v>
      </c>
      <c r="B50" s="20"/>
      <c r="C50" s="39" t="s">
        <v>196</v>
      </c>
      <c r="D50" s="20"/>
      <c r="E50" s="40"/>
      <c r="F50" s="20"/>
      <c r="G50" s="8">
        <v>300000</v>
      </c>
      <c r="H50" s="8">
        <v>0</v>
      </c>
      <c r="I50" s="8">
        <v>0</v>
      </c>
      <c r="J50" s="8">
        <v>0</v>
      </c>
      <c r="K50" s="41">
        <v>300000</v>
      </c>
      <c r="L50" s="42" t="s">
        <v>187</v>
      </c>
      <c r="M50" s="28">
        <v>46149</v>
      </c>
      <c r="N50" s="30">
        <v>300000</v>
      </c>
      <c r="O50" s="43"/>
      <c r="P50" s="29"/>
    </row>
    <row r="51" spans="1:16" ht="15" customHeight="1">
      <c r="A51" s="20" t="s">
        <v>188</v>
      </c>
      <c r="B51" s="20"/>
      <c r="C51" s="39" t="s">
        <v>197</v>
      </c>
      <c r="D51" s="20"/>
      <c r="E51" s="40"/>
      <c r="F51" s="20"/>
      <c r="G51" s="8">
        <v>200000</v>
      </c>
      <c r="H51" s="8">
        <v>0</v>
      </c>
      <c r="I51" s="8">
        <v>0</v>
      </c>
      <c r="J51" s="8">
        <v>0</v>
      </c>
      <c r="K51" s="41">
        <v>200000</v>
      </c>
      <c r="L51" s="42" t="s">
        <v>187</v>
      </c>
      <c r="M51" s="28">
        <v>46149</v>
      </c>
      <c r="N51" s="30">
        <v>200000</v>
      </c>
      <c r="O51" s="43"/>
      <c r="P51" s="29"/>
    </row>
    <row r="52" spans="1:16" ht="15" customHeight="1">
      <c r="A52" s="20" t="s">
        <v>188</v>
      </c>
      <c r="B52" s="20"/>
      <c r="C52" s="39" t="s">
        <v>198</v>
      </c>
      <c r="D52" s="20"/>
      <c r="E52" s="40"/>
      <c r="F52" s="20"/>
      <c r="G52" s="8">
        <v>3000000</v>
      </c>
      <c r="H52" s="8">
        <v>0</v>
      </c>
      <c r="I52" s="8">
        <v>0</v>
      </c>
      <c r="J52" s="8">
        <v>0</v>
      </c>
      <c r="K52" s="41">
        <v>3000000</v>
      </c>
      <c r="L52" s="42" t="s">
        <v>187</v>
      </c>
      <c r="M52" s="28">
        <v>46149</v>
      </c>
      <c r="N52" s="30">
        <v>3000000</v>
      </c>
      <c r="O52" s="43"/>
      <c r="P52" s="29"/>
    </row>
    <row r="53" spans="1:16" ht="15" customHeight="1">
      <c r="A53" s="20" t="s">
        <v>188</v>
      </c>
      <c r="B53" s="20"/>
      <c r="C53" s="39" t="s">
        <v>199</v>
      </c>
      <c r="D53" s="20"/>
      <c r="E53" s="40"/>
      <c r="F53" s="20"/>
      <c r="G53" s="8">
        <v>141891</v>
      </c>
      <c r="H53" s="8">
        <v>0</v>
      </c>
      <c r="I53" s="8">
        <v>0</v>
      </c>
      <c r="J53" s="8">
        <v>0</v>
      </c>
      <c r="K53" s="41">
        <v>141891</v>
      </c>
      <c r="L53" s="42" t="s">
        <v>187</v>
      </c>
      <c r="M53" s="28">
        <v>46149</v>
      </c>
      <c r="N53" s="30">
        <v>141891</v>
      </c>
      <c r="O53" s="43"/>
      <c r="P53" s="29"/>
    </row>
    <row r="54" spans="1:16" ht="15" customHeight="1">
      <c r="A54" s="20" t="s">
        <v>188</v>
      </c>
      <c r="B54" s="20"/>
      <c r="C54" s="39" t="s">
        <v>200</v>
      </c>
      <c r="D54" s="20"/>
      <c r="E54" s="40"/>
      <c r="F54" s="20"/>
      <c r="G54" s="8">
        <v>300000</v>
      </c>
      <c r="H54" s="8">
        <v>0</v>
      </c>
      <c r="I54" s="8">
        <v>0</v>
      </c>
      <c r="J54" s="8">
        <v>0</v>
      </c>
      <c r="K54" s="41">
        <v>300000</v>
      </c>
      <c r="L54" s="42" t="s">
        <v>187</v>
      </c>
      <c r="M54" s="28">
        <v>46149</v>
      </c>
      <c r="N54" s="30">
        <v>300000</v>
      </c>
      <c r="O54" s="43"/>
      <c r="P54" s="29"/>
    </row>
    <row r="55" spans="1:16" ht="15" customHeight="1">
      <c r="A55" s="20" t="s">
        <v>188</v>
      </c>
      <c r="B55" s="20"/>
      <c r="C55" s="39" t="s">
        <v>201</v>
      </c>
      <c r="D55" s="20"/>
      <c r="E55" s="40"/>
      <c r="F55" s="20"/>
      <c r="G55" s="8">
        <v>700000</v>
      </c>
      <c r="H55" s="8">
        <v>0</v>
      </c>
      <c r="I55" s="8">
        <v>0</v>
      </c>
      <c r="J55" s="8">
        <v>0</v>
      </c>
      <c r="K55" s="41">
        <v>700000</v>
      </c>
      <c r="L55" s="42" t="s">
        <v>187</v>
      </c>
      <c r="M55" s="28">
        <v>46149</v>
      </c>
      <c r="N55" s="30">
        <v>700000</v>
      </c>
      <c r="O55" s="43"/>
      <c r="P55" s="29"/>
    </row>
    <row r="56" spans="1:16" ht="15" customHeight="1">
      <c r="A56" s="20" t="s">
        <v>188</v>
      </c>
      <c r="B56" s="20"/>
      <c r="C56" s="39" t="s">
        <v>202</v>
      </c>
      <c r="D56" s="20"/>
      <c r="E56" s="40"/>
      <c r="F56" s="20"/>
      <c r="G56" s="8">
        <v>43896</v>
      </c>
      <c r="H56" s="8">
        <v>0</v>
      </c>
      <c r="I56" s="8">
        <v>0</v>
      </c>
      <c r="J56" s="8">
        <v>0</v>
      </c>
      <c r="K56" s="41">
        <v>43896</v>
      </c>
      <c r="L56" s="42" t="s">
        <v>187</v>
      </c>
      <c r="M56" s="28">
        <v>46150</v>
      </c>
      <c r="N56" s="30">
        <v>43896</v>
      </c>
      <c r="O56" s="43"/>
      <c r="P56" s="29"/>
    </row>
    <row r="57" spans="1:16" ht="15" customHeight="1">
      <c r="A57" s="20" t="s">
        <v>188</v>
      </c>
      <c r="B57" s="20"/>
      <c r="C57" s="39" t="s">
        <v>190</v>
      </c>
      <c r="D57" s="20"/>
      <c r="E57" s="40"/>
      <c r="F57" s="20"/>
      <c r="G57" s="8">
        <v>44528</v>
      </c>
      <c r="H57" s="8">
        <v>0</v>
      </c>
      <c r="I57" s="8">
        <v>0</v>
      </c>
      <c r="J57" s="8">
        <v>0</v>
      </c>
      <c r="K57" s="41">
        <v>44528</v>
      </c>
      <c r="L57" s="42" t="s">
        <v>187</v>
      </c>
      <c r="M57" s="28">
        <v>46152</v>
      </c>
      <c r="N57" s="30">
        <v>44528</v>
      </c>
      <c r="O57" s="43"/>
      <c r="P57" s="29"/>
    </row>
    <row r="58" spans="1:16" ht="15" customHeight="1">
      <c r="A58" s="20" t="s">
        <v>188</v>
      </c>
      <c r="B58" s="20"/>
      <c r="C58" s="39" t="s">
        <v>203</v>
      </c>
      <c r="D58" s="20"/>
      <c r="E58" s="40"/>
      <c r="F58" s="20"/>
      <c r="G58" s="8">
        <v>30800</v>
      </c>
      <c r="H58" s="8">
        <v>0</v>
      </c>
      <c r="I58" s="8">
        <v>0</v>
      </c>
      <c r="J58" s="8">
        <v>0</v>
      </c>
      <c r="K58" s="41">
        <v>30800</v>
      </c>
      <c r="L58" s="42" t="s">
        <v>187</v>
      </c>
      <c r="M58" s="28">
        <v>46152</v>
      </c>
      <c r="N58" s="30">
        <v>30800</v>
      </c>
      <c r="O58" s="43"/>
      <c r="P58" s="29"/>
    </row>
    <row r="59" spans="1:16" ht="15" customHeight="1">
      <c r="A59" s="20" t="s">
        <v>188</v>
      </c>
      <c r="B59" s="20"/>
      <c r="C59" s="39" t="s">
        <v>204</v>
      </c>
      <c r="D59" s="20"/>
      <c r="E59" s="40"/>
      <c r="F59" s="20"/>
      <c r="G59" s="8">
        <v>89800</v>
      </c>
      <c r="H59" s="8">
        <v>0</v>
      </c>
      <c r="I59" s="8">
        <v>0</v>
      </c>
      <c r="J59" s="8">
        <v>0</v>
      </c>
      <c r="K59" s="41">
        <v>89800</v>
      </c>
      <c r="L59" s="42" t="s">
        <v>187</v>
      </c>
      <c r="M59" s="28">
        <v>46153</v>
      </c>
      <c r="N59" s="30">
        <v>89800</v>
      </c>
      <c r="O59" s="43"/>
      <c r="P59" s="29"/>
    </row>
    <row r="60" spans="1:16" ht="15" customHeight="1">
      <c r="A60" s="20" t="s">
        <v>188</v>
      </c>
      <c r="B60" s="20"/>
      <c r="C60" s="39" t="s">
        <v>191</v>
      </c>
      <c r="D60" s="20"/>
      <c r="E60" s="40"/>
      <c r="F60" s="20"/>
      <c r="G60" s="8">
        <v>660000</v>
      </c>
      <c r="H60" s="8">
        <v>0</v>
      </c>
      <c r="I60" s="8">
        <v>0</v>
      </c>
      <c r="J60" s="8">
        <v>0</v>
      </c>
      <c r="K60" s="41">
        <v>660000</v>
      </c>
      <c r="L60" s="42" t="s">
        <v>187</v>
      </c>
      <c r="M60" s="28">
        <v>46153</v>
      </c>
      <c r="N60" s="30">
        <v>660000</v>
      </c>
      <c r="O60" s="43"/>
      <c r="P60" s="29"/>
    </row>
    <row r="61" spans="1:16" ht="15" customHeight="1">
      <c r="A61" s="20" t="s">
        <v>188</v>
      </c>
      <c r="B61" s="20"/>
      <c r="C61" s="39" t="s">
        <v>189</v>
      </c>
      <c r="D61" s="20"/>
      <c r="E61" s="40"/>
      <c r="F61" s="20"/>
      <c r="G61" s="8">
        <v>200000</v>
      </c>
      <c r="H61" s="8">
        <v>0</v>
      </c>
      <c r="I61" s="8">
        <v>0</v>
      </c>
      <c r="J61" s="8">
        <v>0</v>
      </c>
      <c r="K61" s="41">
        <v>200000</v>
      </c>
      <c r="L61" s="42" t="s">
        <v>187</v>
      </c>
      <c r="M61" s="28">
        <v>46153</v>
      </c>
      <c r="N61" s="30">
        <v>200000</v>
      </c>
      <c r="O61" s="43"/>
      <c r="P61" s="29"/>
    </row>
    <row r="62" spans="1:16" ht="15" customHeight="1">
      <c r="A62" s="20" t="s">
        <v>188</v>
      </c>
      <c r="B62" s="20"/>
      <c r="C62" s="39" t="s">
        <v>202</v>
      </c>
      <c r="D62" s="20"/>
      <c r="E62" s="40"/>
      <c r="F62" s="20"/>
      <c r="G62" s="8">
        <v>43896</v>
      </c>
      <c r="H62" s="8">
        <v>0</v>
      </c>
      <c r="I62" s="8">
        <v>0</v>
      </c>
      <c r="J62" s="8">
        <v>0</v>
      </c>
      <c r="K62" s="41">
        <v>43896</v>
      </c>
      <c r="L62" s="42" t="s">
        <v>187</v>
      </c>
      <c r="M62" s="28">
        <v>46153</v>
      </c>
      <c r="N62" s="30">
        <v>43896</v>
      </c>
      <c r="O62" s="43"/>
      <c r="P62" s="29"/>
    </row>
    <row r="63" spans="1:16" ht="15" customHeight="1">
      <c r="A63" s="20" t="s">
        <v>188</v>
      </c>
      <c r="B63" s="20"/>
      <c r="C63" s="39" t="s">
        <v>205</v>
      </c>
      <c r="D63" s="20"/>
      <c r="E63" s="40"/>
      <c r="F63" s="20"/>
      <c r="G63" s="8">
        <v>400000</v>
      </c>
      <c r="H63" s="8">
        <v>0</v>
      </c>
      <c r="I63" s="8">
        <v>0</v>
      </c>
      <c r="J63" s="8">
        <v>0</v>
      </c>
      <c r="K63" s="41">
        <v>400000</v>
      </c>
      <c r="L63" s="42" t="s">
        <v>187</v>
      </c>
      <c r="M63" s="28">
        <v>46153</v>
      </c>
      <c r="N63" s="30">
        <v>400000</v>
      </c>
      <c r="O63" s="43"/>
      <c r="P63" s="29"/>
    </row>
    <row r="64" spans="1:16" ht="15" customHeight="1">
      <c r="A64" s="20" t="s">
        <v>188</v>
      </c>
      <c r="B64" s="20"/>
      <c r="C64" s="39" t="s">
        <v>206</v>
      </c>
      <c r="D64" s="20"/>
      <c r="E64" s="40"/>
      <c r="F64" s="20"/>
      <c r="G64" s="8">
        <v>254000</v>
      </c>
      <c r="H64" s="8">
        <v>0</v>
      </c>
      <c r="I64" s="8">
        <v>0</v>
      </c>
      <c r="J64" s="8">
        <v>0</v>
      </c>
      <c r="K64" s="41">
        <v>254000</v>
      </c>
      <c r="L64" s="42" t="s">
        <v>187</v>
      </c>
      <c r="M64" s="28">
        <v>46155</v>
      </c>
      <c r="N64" s="30">
        <v>254000</v>
      </c>
      <c r="O64" s="43"/>
      <c r="P64" s="29"/>
    </row>
    <row r="65" spans="1:16" ht="15" customHeight="1">
      <c r="A65" s="20" t="s">
        <v>188</v>
      </c>
      <c r="B65" s="20"/>
      <c r="C65" s="39" t="s">
        <v>206</v>
      </c>
      <c r="D65" s="20"/>
      <c r="E65" s="40"/>
      <c r="F65" s="20"/>
      <c r="G65" s="8">
        <v>254000</v>
      </c>
      <c r="H65" s="8">
        <v>0</v>
      </c>
      <c r="I65" s="8">
        <v>0</v>
      </c>
      <c r="J65" s="8">
        <v>0</v>
      </c>
      <c r="K65" s="41">
        <v>254000</v>
      </c>
      <c r="L65" s="42" t="s">
        <v>187</v>
      </c>
      <c r="M65" s="28">
        <v>46157</v>
      </c>
      <c r="N65" s="30">
        <v>254000</v>
      </c>
      <c r="O65" s="43"/>
      <c r="P65" s="29"/>
    </row>
    <row r="66" spans="1:16" ht="15" customHeight="1">
      <c r="A66" s="20" t="s">
        <v>188</v>
      </c>
      <c r="B66" s="20"/>
      <c r="C66" s="39" t="s">
        <v>190</v>
      </c>
      <c r="D66" s="20"/>
      <c r="E66" s="40"/>
      <c r="F66" s="20"/>
      <c r="G66" s="8">
        <v>35596</v>
      </c>
      <c r="H66" s="8">
        <v>0</v>
      </c>
      <c r="I66" s="8">
        <v>0</v>
      </c>
      <c r="J66" s="8">
        <v>0</v>
      </c>
      <c r="K66" s="41">
        <v>35596</v>
      </c>
      <c r="L66" s="42" t="s">
        <v>187</v>
      </c>
      <c r="M66" s="28">
        <v>46158</v>
      </c>
      <c r="N66" s="30">
        <v>35596</v>
      </c>
      <c r="O66" s="43"/>
      <c r="P66" s="29"/>
    </row>
    <row r="67" spans="1:16" ht="15" customHeight="1">
      <c r="A67" s="20" t="s">
        <v>188</v>
      </c>
      <c r="B67" s="20"/>
      <c r="C67" s="39" t="s">
        <v>202</v>
      </c>
      <c r="D67" s="20"/>
      <c r="E67" s="40"/>
      <c r="F67" s="20"/>
      <c r="G67" s="8">
        <v>43896</v>
      </c>
      <c r="H67" s="8">
        <v>0</v>
      </c>
      <c r="I67" s="8">
        <v>0</v>
      </c>
      <c r="J67" s="8">
        <v>0</v>
      </c>
      <c r="K67" s="41">
        <v>43896</v>
      </c>
      <c r="L67" s="42" t="s">
        <v>187</v>
      </c>
      <c r="M67" s="28">
        <v>46158</v>
      </c>
      <c r="N67" s="30">
        <v>43896</v>
      </c>
      <c r="O67" s="43"/>
      <c r="P67" s="29"/>
    </row>
    <row r="68" spans="1:16" ht="15" customHeight="1">
      <c r="A68" s="20" t="s">
        <v>188</v>
      </c>
      <c r="B68" s="20"/>
      <c r="C68" s="39" t="s">
        <v>204</v>
      </c>
      <c r="D68" s="20"/>
      <c r="E68" s="40"/>
      <c r="F68" s="20"/>
      <c r="G68" s="8">
        <v>89800</v>
      </c>
      <c r="H68" s="8">
        <v>0</v>
      </c>
      <c r="I68" s="8">
        <v>0</v>
      </c>
      <c r="J68" s="8">
        <v>0</v>
      </c>
      <c r="K68" s="41">
        <v>89800</v>
      </c>
      <c r="L68" s="42" t="s">
        <v>187</v>
      </c>
      <c r="M68" s="28">
        <v>46160</v>
      </c>
      <c r="N68" s="30">
        <v>89800</v>
      </c>
      <c r="O68" s="43"/>
      <c r="P68" s="29"/>
    </row>
    <row r="69" spans="1:16" ht="15" customHeight="1">
      <c r="A69" s="20" t="s">
        <v>188</v>
      </c>
      <c r="B69" s="20"/>
      <c r="C69" s="39" t="s">
        <v>191</v>
      </c>
      <c r="D69" s="20"/>
      <c r="E69" s="40"/>
      <c r="F69" s="20"/>
      <c r="G69" s="8">
        <v>660000</v>
      </c>
      <c r="H69" s="8">
        <v>0</v>
      </c>
      <c r="I69" s="8">
        <v>0</v>
      </c>
      <c r="J69" s="8">
        <v>0</v>
      </c>
      <c r="K69" s="41">
        <v>660000</v>
      </c>
      <c r="L69" s="42" t="s">
        <v>187</v>
      </c>
      <c r="M69" s="28">
        <v>46160</v>
      </c>
      <c r="N69" s="30">
        <v>660000</v>
      </c>
      <c r="O69" s="43"/>
      <c r="P69" s="29"/>
    </row>
    <row r="70" spans="1:16" ht="15" customHeight="1">
      <c r="A70" s="20" t="s">
        <v>188</v>
      </c>
      <c r="B70" s="20"/>
      <c r="C70" s="39" t="s">
        <v>189</v>
      </c>
      <c r="D70" s="20"/>
      <c r="E70" s="40"/>
      <c r="F70" s="20"/>
      <c r="G70" s="8">
        <v>200000</v>
      </c>
      <c r="H70" s="8">
        <v>0</v>
      </c>
      <c r="I70" s="8">
        <v>0</v>
      </c>
      <c r="J70" s="8">
        <v>0</v>
      </c>
      <c r="K70" s="41">
        <v>200000</v>
      </c>
      <c r="L70" s="42" t="s">
        <v>187</v>
      </c>
      <c r="M70" s="28">
        <v>46160</v>
      </c>
      <c r="N70" s="30">
        <v>200000</v>
      </c>
      <c r="O70" s="43"/>
      <c r="P70" s="29"/>
    </row>
    <row r="71" spans="1:16" ht="15" customHeight="1">
      <c r="A71" s="20" t="s">
        <v>188</v>
      </c>
      <c r="B71" s="20"/>
      <c r="C71" s="39" t="s">
        <v>203</v>
      </c>
      <c r="D71" s="20"/>
      <c r="E71" s="40"/>
      <c r="F71" s="20"/>
      <c r="G71" s="8">
        <v>92400</v>
      </c>
      <c r="H71" s="8">
        <v>0</v>
      </c>
      <c r="I71" s="8">
        <v>0</v>
      </c>
      <c r="J71" s="8">
        <v>0</v>
      </c>
      <c r="K71" s="41">
        <v>92400</v>
      </c>
      <c r="L71" s="42" t="s">
        <v>187</v>
      </c>
      <c r="M71" s="28">
        <v>46172</v>
      </c>
      <c r="N71" s="30">
        <v>92400</v>
      </c>
      <c r="O71" s="43"/>
      <c r="P71" s="29"/>
    </row>
    <row r="72" spans="1:16" ht="15" customHeight="1">
      <c r="A72" s="20" t="s">
        <v>188</v>
      </c>
      <c r="B72" s="20"/>
      <c r="C72" s="39" t="s">
        <v>204</v>
      </c>
      <c r="D72" s="20"/>
      <c r="E72" s="40"/>
      <c r="F72" s="20"/>
      <c r="G72" s="8">
        <v>89800</v>
      </c>
      <c r="H72" s="8">
        <v>0</v>
      </c>
      <c r="I72" s="8">
        <v>0</v>
      </c>
      <c r="J72" s="8">
        <v>0</v>
      </c>
      <c r="K72" s="41">
        <v>89800</v>
      </c>
      <c r="L72" s="42" t="s">
        <v>187</v>
      </c>
      <c r="M72" s="28">
        <v>46172</v>
      </c>
      <c r="N72" s="30">
        <v>89800</v>
      </c>
      <c r="O72" s="43"/>
      <c r="P72" s="29"/>
    </row>
    <row r="73" spans="1:16" ht="15" customHeight="1">
      <c r="A73" s="20" t="s">
        <v>188</v>
      </c>
      <c r="B73" s="20"/>
      <c r="C73" s="39" t="s">
        <v>191</v>
      </c>
      <c r="D73" s="20"/>
      <c r="E73" s="40"/>
      <c r="F73" s="20"/>
      <c r="G73" s="8">
        <v>660000</v>
      </c>
      <c r="H73" s="8">
        <v>0</v>
      </c>
      <c r="I73" s="8">
        <v>0</v>
      </c>
      <c r="J73" s="8">
        <v>0</v>
      </c>
      <c r="K73" s="41">
        <v>660000</v>
      </c>
      <c r="L73" s="42" t="s">
        <v>187</v>
      </c>
      <c r="M73" s="28">
        <v>46172</v>
      </c>
      <c r="N73" s="30">
        <v>660000</v>
      </c>
      <c r="O73" s="43"/>
      <c r="P73" s="29"/>
    </row>
    <row r="74" spans="1:16" ht="15" customHeight="1">
      <c r="A74" s="20" t="s">
        <v>188</v>
      </c>
      <c r="B74" s="20"/>
      <c r="C74" s="39" t="s">
        <v>189</v>
      </c>
      <c r="D74" s="20"/>
      <c r="E74" s="40"/>
      <c r="F74" s="20"/>
      <c r="G74" s="8">
        <v>200000</v>
      </c>
      <c r="H74" s="8">
        <v>0</v>
      </c>
      <c r="I74" s="8">
        <v>0</v>
      </c>
      <c r="J74" s="8">
        <v>0</v>
      </c>
      <c r="K74" s="41">
        <v>200000</v>
      </c>
      <c r="L74" s="42" t="s">
        <v>187</v>
      </c>
      <c r="M74" s="28">
        <v>46172</v>
      </c>
      <c r="N74" s="30">
        <v>200000</v>
      </c>
      <c r="O74" s="43"/>
      <c r="P74" s="29"/>
    </row>
    <row r="75" spans="1:16" ht="15" customHeight="1">
      <c r="A75" s="20" t="s">
        <v>188</v>
      </c>
      <c r="B75" s="20"/>
      <c r="C75" s="39" t="s">
        <v>207</v>
      </c>
      <c r="D75" s="20"/>
      <c r="E75" s="40"/>
      <c r="F75" s="20"/>
      <c r="G75" s="8">
        <v>315905</v>
      </c>
      <c r="H75" s="8">
        <v>0</v>
      </c>
      <c r="I75" s="8">
        <v>0</v>
      </c>
      <c r="J75" s="8">
        <v>0</v>
      </c>
      <c r="K75" s="41">
        <v>315905</v>
      </c>
      <c r="L75" s="42" t="s">
        <v>187</v>
      </c>
      <c r="M75" s="28"/>
      <c r="N75" s="30">
        <v>315905</v>
      </c>
      <c r="O75" s="43"/>
      <c r="P75" s="29"/>
    </row>
    <row r="76" spans="1:16" ht="15" customHeight="1">
      <c r="A76" s="20" t="s">
        <v>188</v>
      </c>
      <c r="B76" s="20"/>
      <c r="C76" s="39" t="s">
        <v>208</v>
      </c>
      <c r="D76" s="20"/>
      <c r="E76" s="40"/>
      <c r="F76" s="20"/>
      <c r="G76" s="8">
        <v>194912</v>
      </c>
      <c r="H76" s="8">
        <v>0</v>
      </c>
      <c r="I76" s="8">
        <v>0</v>
      </c>
      <c r="J76" s="8">
        <v>0</v>
      </c>
      <c r="K76" s="41">
        <v>194912</v>
      </c>
      <c r="L76" s="42" t="s">
        <v>187</v>
      </c>
      <c r="M76" s="28"/>
      <c r="N76" s="30">
        <v>194912</v>
      </c>
      <c r="O76" s="43"/>
      <c r="P76" s="29"/>
    </row>
    <row r="77" spans="1:16" ht="15" customHeight="1">
      <c r="A77" s="20" t="s">
        <v>188</v>
      </c>
      <c r="B77" s="20"/>
      <c r="C77" s="39" t="s">
        <v>209</v>
      </c>
      <c r="D77" s="20"/>
      <c r="E77" s="40"/>
      <c r="F77" s="20"/>
      <c r="G77" s="8">
        <v>214896</v>
      </c>
      <c r="H77" s="8">
        <v>0</v>
      </c>
      <c r="I77" s="8">
        <v>0</v>
      </c>
      <c r="J77" s="8">
        <v>0</v>
      </c>
      <c r="K77" s="41">
        <v>214896</v>
      </c>
      <c r="L77" s="42" t="s">
        <v>187</v>
      </c>
      <c r="M77" s="28"/>
      <c r="N77" s="30">
        <v>214896</v>
      </c>
      <c r="O77" s="43"/>
      <c r="P77" s="29"/>
    </row>
    <row r="78" spans="1:16" ht="15" customHeight="1">
      <c r="A78" s="29"/>
      <c r="B78" s="29"/>
      <c r="C78" s="29"/>
      <c r="D78" s="29"/>
      <c r="E78" s="28"/>
      <c r="F78" s="29"/>
      <c r="G78" s="30"/>
      <c r="H78" s="30"/>
      <c r="I78" s="30"/>
      <c r="J78" s="30"/>
      <c r="K78" s="30"/>
      <c r="L78" s="42"/>
      <c r="M78" s="28"/>
      <c r="N78" s="30"/>
      <c r="O78" s="43"/>
      <c r="P78" s="29"/>
    </row>
    <row r="79" spans="1:16" ht="15" customHeight="1">
      <c r="A79" s="29"/>
      <c r="B79" s="29"/>
      <c r="C79" s="29"/>
      <c r="D79" s="29"/>
      <c r="E79" s="28"/>
      <c r="F79" s="29"/>
      <c r="G79" s="30"/>
      <c r="H79" s="30"/>
      <c r="I79" s="30"/>
      <c r="J79" s="30"/>
      <c r="K79" s="30"/>
      <c r="L79" s="42"/>
      <c r="M79" s="28"/>
      <c r="N79" s="30"/>
      <c r="O79" s="43"/>
      <c r="P79" s="29"/>
    </row>
    <row r="80" spans="1:16" ht="15" customHeight="1">
      <c r="A80" s="29"/>
      <c r="B80" s="29"/>
      <c r="C80" s="29"/>
      <c r="D80" s="29"/>
      <c r="E80" s="28"/>
      <c r="F80" s="29"/>
      <c r="G80" s="30"/>
      <c r="H80" s="30"/>
      <c r="I80" s="30"/>
      <c r="J80" s="30"/>
      <c r="K80" s="30"/>
      <c r="L80" s="42"/>
      <c r="M80" s="28"/>
      <c r="N80" s="30"/>
      <c r="O80" s="43"/>
      <c r="P80" s="29"/>
    </row>
    <row r="81" spans="1:16" ht="15" customHeight="1">
      <c r="A81" s="29"/>
      <c r="B81" s="29"/>
      <c r="C81" s="29"/>
      <c r="D81" s="29"/>
      <c r="E81" s="28"/>
      <c r="F81" s="29"/>
      <c r="G81" s="30"/>
      <c r="H81" s="30"/>
      <c r="I81" s="30"/>
      <c r="J81" s="30"/>
      <c r="K81" s="30"/>
      <c r="L81" s="42"/>
      <c r="M81" s="28"/>
      <c r="N81" s="30"/>
      <c r="O81" s="43"/>
      <c r="P81" s="29"/>
    </row>
    <row r="82" spans="1:16" ht="15" customHeight="1">
      <c r="A82" s="29"/>
      <c r="B82" s="29"/>
      <c r="C82" s="29"/>
      <c r="D82" s="29"/>
      <c r="E82" s="28"/>
      <c r="F82" s="29"/>
      <c r="G82" s="30"/>
      <c r="H82" s="30"/>
      <c r="I82" s="30"/>
      <c r="J82" s="30"/>
      <c r="K82" s="30"/>
      <c r="L82" s="42"/>
      <c r="M82" s="28"/>
      <c r="N82" s="30"/>
      <c r="O82" s="43"/>
      <c r="P82" s="29"/>
    </row>
    <row r="83" spans="1:16" ht="15" customHeight="1">
      <c r="A83" s="29"/>
      <c r="B83" s="29"/>
      <c r="C83" s="29"/>
      <c r="D83" s="29"/>
      <c r="E83" s="28"/>
      <c r="F83" s="29"/>
      <c r="G83" s="30"/>
      <c r="H83" s="30"/>
      <c r="I83" s="30"/>
      <c r="J83" s="30"/>
      <c r="K83" s="30"/>
      <c r="L83" s="42"/>
      <c r="M83" s="28"/>
      <c r="N83" s="30"/>
      <c r="O83" s="43"/>
      <c r="P83" s="29"/>
    </row>
    <row r="84" spans="1:16" ht="15" customHeight="1">
      <c r="A84" s="29"/>
      <c r="B84" s="29"/>
      <c r="C84" s="29"/>
      <c r="D84" s="29"/>
      <c r="E84" s="28"/>
      <c r="F84" s="29"/>
      <c r="G84" s="30"/>
      <c r="H84" s="30"/>
      <c r="I84" s="30"/>
      <c r="J84" s="30"/>
      <c r="K84" s="30"/>
      <c r="L84" s="42"/>
      <c r="M84" s="28"/>
      <c r="N84" s="30"/>
      <c r="O84" s="43"/>
      <c r="P84" s="29"/>
    </row>
    <row r="85" spans="1:16" ht="15" customHeight="1">
      <c r="A85" s="29"/>
      <c r="B85" s="29"/>
      <c r="C85" s="29"/>
      <c r="D85" s="29"/>
      <c r="E85" s="28"/>
      <c r="F85" s="29"/>
      <c r="G85" s="30"/>
      <c r="H85" s="30"/>
      <c r="I85" s="30"/>
      <c r="J85" s="30"/>
      <c r="K85" s="30"/>
      <c r="L85" s="42"/>
      <c r="M85" s="28"/>
      <c r="N85" s="30"/>
      <c r="O85" s="43"/>
      <c r="P85" s="29"/>
    </row>
    <row r="86" spans="1:16" ht="15" customHeight="1">
      <c r="A86" s="29"/>
      <c r="B86" s="29"/>
      <c r="C86" s="29"/>
      <c r="D86" s="29"/>
      <c r="E86" s="28"/>
      <c r="F86" s="29"/>
      <c r="G86" s="30"/>
      <c r="H86" s="30"/>
      <c r="I86" s="30"/>
      <c r="J86" s="30"/>
      <c r="K86" s="30"/>
      <c r="L86" s="42"/>
      <c r="M86" s="28"/>
      <c r="N86" s="30"/>
      <c r="O86" s="43"/>
      <c r="P86" s="29"/>
    </row>
    <row r="87" spans="1:16" ht="15" customHeight="1">
      <c r="A87" s="29"/>
      <c r="B87" s="29"/>
      <c r="C87" s="29"/>
      <c r="D87" s="29"/>
      <c r="E87" s="28"/>
      <c r="F87" s="29"/>
      <c r="G87" s="30"/>
      <c r="H87" s="30"/>
      <c r="I87" s="30"/>
      <c r="J87" s="30"/>
      <c r="K87" s="30"/>
      <c r="L87" s="42"/>
      <c r="M87" s="28"/>
      <c r="N87" s="30"/>
      <c r="O87" s="43"/>
      <c r="P87" s="29"/>
    </row>
    <row r="88" spans="1:16" ht="15" customHeight="1">
      <c r="A88" s="29"/>
      <c r="B88" s="29"/>
      <c r="C88" s="29"/>
      <c r="D88" s="29"/>
      <c r="E88" s="28"/>
      <c r="F88" s="29"/>
      <c r="G88" s="30"/>
      <c r="H88" s="30"/>
      <c r="I88" s="30"/>
      <c r="J88" s="30"/>
      <c r="K88" s="30"/>
      <c r="L88" s="42"/>
      <c r="M88" s="28"/>
      <c r="N88" s="30"/>
      <c r="O88" s="43"/>
      <c r="P88" s="29"/>
    </row>
    <row r="89" spans="1:16" ht="15" customHeight="1">
      <c r="A89" s="29"/>
      <c r="B89" s="29"/>
      <c r="C89" s="29"/>
      <c r="D89" s="29"/>
      <c r="E89" s="28"/>
      <c r="F89" s="29"/>
      <c r="G89" s="30"/>
      <c r="H89" s="30"/>
      <c r="I89" s="30"/>
      <c r="J89" s="30"/>
      <c r="K89" s="30"/>
      <c r="L89" s="42"/>
      <c r="M89" s="28"/>
      <c r="N89" s="30"/>
      <c r="O89" s="43"/>
      <c r="P89" s="29"/>
    </row>
    <row r="90" spans="1:16" ht="15" customHeight="1">
      <c r="A90" s="29"/>
      <c r="B90" s="29"/>
      <c r="C90" s="29"/>
      <c r="D90" s="29"/>
      <c r="E90" s="28"/>
      <c r="F90" s="29"/>
      <c r="G90" s="30"/>
      <c r="H90" s="30"/>
      <c r="I90" s="30"/>
      <c r="J90" s="30"/>
      <c r="K90" s="30"/>
      <c r="L90" s="42"/>
      <c r="M90" s="28"/>
      <c r="N90" s="30"/>
      <c r="O90" s="43"/>
      <c r="P90" s="29"/>
    </row>
    <row r="91" spans="1:16" ht="15" customHeight="1">
      <c r="A91" s="29"/>
      <c r="B91" s="29"/>
      <c r="C91" s="29"/>
      <c r="D91" s="29"/>
      <c r="E91" s="28"/>
      <c r="F91" s="29"/>
      <c r="G91" s="30"/>
      <c r="H91" s="30"/>
      <c r="I91" s="30"/>
      <c r="J91" s="30"/>
      <c r="K91" s="30"/>
      <c r="L91" s="42"/>
      <c r="M91" s="28"/>
      <c r="N91" s="30"/>
      <c r="O91" s="43"/>
      <c r="P91" s="29"/>
    </row>
    <row r="92" spans="1:16" ht="15" customHeight="1">
      <c r="A92" s="29"/>
      <c r="B92" s="29"/>
      <c r="C92" s="29"/>
      <c r="D92" s="29"/>
      <c r="E92" s="28"/>
      <c r="F92" s="29"/>
      <c r="G92" s="30"/>
      <c r="H92" s="30"/>
      <c r="I92" s="30"/>
      <c r="J92" s="30"/>
      <c r="K92" s="30"/>
      <c r="L92" s="42"/>
      <c r="M92" s="28"/>
      <c r="N92" s="30"/>
      <c r="O92" s="43"/>
      <c r="P92" s="29"/>
    </row>
    <row r="93" spans="1:16" ht="15" customHeight="1">
      <c r="A93" s="29"/>
      <c r="B93" s="29"/>
      <c r="C93" s="29"/>
      <c r="D93" s="29"/>
      <c r="E93" s="28"/>
      <c r="F93" s="29"/>
      <c r="G93" s="30"/>
      <c r="H93" s="30"/>
      <c r="I93" s="30"/>
      <c r="J93" s="30"/>
      <c r="K93" s="30"/>
      <c r="L93" s="42"/>
      <c r="M93" s="28"/>
      <c r="N93" s="30"/>
      <c r="O93" s="43"/>
      <c r="P93" s="29"/>
    </row>
    <row r="94" spans="1:16" ht="15" customHeight="1">
      <c r="A94" s="29"/>
      <c r="B94" s="29"/>
      <c r="C94" s="29"/>
      <c r="D94" s="29"/>
      <c r="E94" s="28"/>
      <c r="F94" s="29"/>
      <c r="G94" s="30"/>
      <c r="H94" s="30"/>
      <c r="I94" s="30"/>
      <c r="J94" s="30"/>
      <c r="K94" s="30"/>
      <c r="L94" s="42"/>
      <c r="M94" s="28"/>
      <c r="N94" s="30"/>
      <c r="O94" s="43"/>
      <c r="P94" s="29"/>
    </row>
    <row r="95" spans="1:16" ht="15" customHeight="1">
      <c r="A95" s="29"/>
      <c r="B95" s="29"/>
      <c r="C95" s="29"/>
      <c r="D95" s="29"/>
      <c r="E95" s="28"/>
      <c r="F95" s="29"/>
      <c r="G95" s="30"/>
      <c r="H95" s="30"/>
      <c r="I95" s="30"/>
      <c r="J95" s="30"/>
      <c r="K95" s="30"/>
      <c r="L95" s="42"/>
      <c r="M95" s="28"/>
      <c r="N95" s="30"/>
      <c r="O95" s="43"/>
      <c r="P95" s="29"/>
    </row>
    <row r="96" spans="1:16" ht="15" customHeight="1">
      <c r="A96" s="29"/>
      <c r="B96" s="29"/>
      <c r="C96" s="29"/>
      <c r="D96" s="29"/>
      <c r="E96" s="28"/>
      <c r="F96" s="29"/>
      <c r="G96" s="30"/>
      <c r="H96" s="30"/>
      <c r="I96" s="30"/>
      <c r="J96" s="30"/>
      <c r="K96" s="30"/>
      <c r="L96" s="42"/>
      <c r="M96" s="28"/>
      <c r="N96" s="30"/>
      <c r="O96" s="43"/>
      <c r="P96" s="29"/>
    </row>
    <row r="97" spans="1:16" ht="15" customHeight="1">
      <c r="A97" s="29"/>
      <c r="B97" s="29"/>
      <c r="C97" s="29"/>
      <c r="D97" s="29"/>
      <c r="E97" s="28"/>
      <c r="F97" s="29"/>
      <c r="G97" s="30"/>
      <c r="H97" s="30"/>
      <c r="I97" s="30"/>
      <c r="J97" s="30"/>
      <c r="K97" s="30"/>
      <c r="L97" s="42"/>
      <c r="M97" s="28"/>
      <c r="N97" s="30"/>
      <c r="O97" s="43"/>
      <c r="P97" s="29"/>
    </row>
    <row r="98" spans="1:16" ht="15" customHeight="1">
      <c r="A98" s="29"/>
      <c r="B98" s="29"/>
      <c r="C98" s="29"/>
      <c r="D98" s="29"/>
      <c r="E98" s="28"/>
      <c r="F98" s="29"/>
      <c r="G98" s="30"/>
      <c r="H98" s="30"/>
      <c r="I98" s="30"/>
      <c r="J98" s="30"/>
      <c r="K98" s="30"/>
      <c r="L98" s="42"/>
      <c r="M98" s="28"/>
      <c r="N98" s="30"/>
      <c r="O98" s="43"/>
      <c r="P98" s="29"/>
    </row>
    <row r="99" spans="1:16" ht="15" customHeight="1">
      <c r="A99" s="29"/>
      <c r="B99" s="29"/>
      <c r="C99" s="29"/>
      <c r="D99" s="29"/>
      <c r="E99" s="28"/>
      <c r="F99" s="29"/>
      <c r="G99" s="30"/>
      <c r="H99" s="30"/>
      <c r="I99" s="30"/>
      <c r="J99" s="30"/>
      <c r="K99" s="30"/>
      <c r="L99" s="42"/>
      <c r="M99" s="28"/>
      <c r="N99" s="30"/>
      <c r="O99" s="43"/>
      <c r="P99" s="29"/>
    </row>
    <row r="100" spans="1:16" ht="15" customHeight="1">
      <c r="A100" s="29"/>
      <c r="B100" s="29"/>
      <c r="C100" s="29"/>
      <c r="D100" s="29"/>
      <c r="E100" s="28"/>
      <c r="F100" s="29"/>
      <c r="G100" s="30"/>
      <c r="H100" s="30"/>
      <c r="I100" s="30"/>
      <c r="J100" s="30"/>
      <c r="K100" s="30"/>
      <c r="L100" s="42"/>
      <c r="M100" s="28"/>
      <c r="N100" s="30"/>
      <c r="O100" s="43"/>
      <c r="P100" s="29"/>
    </row>
    <row r="101" spans="1:16" ht="15" customHeight="1">
      <c r="A101" s="29"/>
      <c r="B101" s="29"/>
      <c r="C101" s="29"/>
      <c r="D101" s="29"/>
      <c r="E101" s="28"/>
      <c r="F101" s="29"/>
      <c r="G101" s="30"/>
      <c r="H101" s="30"/>
      <c r="I101" s="30"/>
      <c r="J101" s="30"/>
      <c r="K101" s="30"/>
      <c r="L101" s="42"/>
      <c r="M101" s="28"/>
      <c r="N101" s="30"/>
      <c r="O101" s="43"/>
      <c r="P101" s="29"/>
    </row>
    <row r="102" spans="1:16" ht="15" customHeight="1">
      <c r="A102" s="29"/>
      <c r="B102" s="29"/>
      <c r="C102" s="29"/>
      <c r="D102" s="29"/>
      <c r="E102" s="28"/>
      <c r="F102" s="29"/>
      <c r="G102" s="30"/>
      <c r="H102" s="30"/>
      <c r="I102" s="30"/>
      <c r="J102" s="30"/>
      <c r="K102" s="30"/>
      <c r="L102" s="42"/>
      <c r="M102" s="28"/>
      <c r="N102" s="30"/>
      <c r="O102" s="43"/>
      <c r="P102" s="29"/>
    </row>
    <row r="103" spans="1:16" ht="15" customHeight="1">
      <c r="A103" s="83" t="s">
        <v>44</v>
      </c>
      <c r="B103" s="83"/>
      <c r="C103" s="83"/>
      <c r="D103" s="83"/>
      <c r="E103" s="83"/>
      <c r="F103" s="83"/>
      <c r="G103" s="12">
        <f>SUM(G4:G102)</f>
        <v>14681092</v>
      </c>
      <c r="H103" s="12">
        <f>SUM(H4:H102)</f>
        <v>3785207</v>
      </c>
      <c r="I103" s="12">
        <f>SUM(I4:I102)</f>
        <v>2911260</v>
      </c>
      <c r="J103" s="12">
        <f>SUM(J4:J102)</f>
        <v>2517295</v>
      </c>
      <c r="K103" s="12">
        <f>SUM(K4:K102)</f>
        <v>20417866</v>
      </c>
      <c r="L103" s="32" t="str">
        <f>COUNTA(L4:L102)&amp;"件"</f>
        <v>74件</v>
      </c>
      <c r="M103" s="32" t="str">
        <f>COUNTA(M4:M102)&amp;"件予定"</f>
        <v>33件予定</v>
      </c>
      <c r="N103" s="12">
        <f>SUM(N4:N102)</f>
        <v>20417866</v>
      </c>
      <c r="P103" s="32"/>
    </row>
    <row r="105" spans="1:16">
      <c r="A105" s="87" t="s">
        <v>115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44" t="str">
        <f>COUNTIF(O4:O102,"済")&amp;"件"</f>
        <v>0件</v>
      </c>
      <c r="N105" s="45">
        <f>SUMIF(O4:O102,"済",N4:N102)</f>
        <v>0</v>
      </c>
      <c r="O105" s="46"/>
      <c r="P105" s="46"/>
    </row>
    <row r="106" spans="1:16">
      <c r="A106" s="88" t="s">
        <v>116</v>
      </c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47" t="str">
        <f>COUNTIFS(N4:N102,"&gt;0",O4:O102,"")&amp;"件"</f>
        <v>73件</v>
      </c>
      <c r="N106" s="48">
        <f>SUMIFS(N4:N102,O4:O102,"")</f>
        <v>20417866</v>
      </c>
      <c r="O106" s="49"/>
      <c r="P106" s="49"/>
    </row>
    <row r="107" spans="1:16">
      <c r="A107" s="86" t="s">
        <v>117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50" t="str">
        <f>COUNTIF(O4:O102,"取消")&amp;"件"</f>
        <v>0件</v>
      </c>
      <c r="N107" s="51">
        <f>SUMIF(O4:O102,"取消",N4:N102)</f>
        <v>0</v>
      </c>
      <c r="O107" s="52"/>
      <c r="P107" s="52"/>
    </row>
  </sheetData>
  <mergeCells count="6">
    <mergeCell ref="A107:L107"/>
    <mergeCell ref="A1:P1"/>
    <mergeCell ref="G2:P2"/>
    <mergeCell ref="A103:F103"/>
    <mergeCell ref="A105:L105"/>
    <mergeCell ref="A106:L106"/>
  </mergeCells>
  <phoneticPr fontId="46"/>
  <conditionalFormatting sqref="A4:O102">
    <cfRule type="expression" dxfId="49" priority="2">
      <formula>$L4="高"</formula>
    </cfRule>
    <cfRule type="expression" dxfId="48" priority="3">
      <formula>$L4="中"</formula>
    </cfRule>
    <cfRule type="expression" dxfId="47" priority="4">
      <formula>$L4="低"</formula>
    </cfRule>
    <cfRule type="expression" dxfId="46" priority="5">
      <formula>$L4="月次"</formula>
    </cfRule>
  </conditionalFormatting>
  <conditionalFormatting sqref="A4:P102">
    <cfRule type="expression" dxfId="45" priority="10">
      <formula>$O4="済"</formula>
    </cfRule>
    <cfRule type="expression" dxfId="44" priority="11">
      <formula>$O4="取消"</formula>
    </cfRule>
  </conditionalFormatting>
  <conditionalFormatting sqref="L4:L102">
    <cfRule type="cellIs" dxfId="43" priority="6" operator="equal">
      <formula>"高"</formula>
    </cfRule>
    <cfRule type="cellIs" dxfId="42" priority="7" operator="equal">
      <formula>"中"</formula>
    </cfRule>
    <cfRule type="cellIs" dxfId="41" priority="8" operator="equal">
      <formula>"低"</formula>
    </cfRule>
    <cfRule type="cellIs" dxfId="40" priority="9" operator="equal">
      <formula>"月次"</formula>
    </cfRule>
  </conditionalFormatting>
  <dataValidations count="3">
    <dataValidation type="list" allowBlank="1" sqref="L4:L102" xr:uid="{00000000-0002-0000-0900-000000000000}">
      <formula1>"高,中,低,月次"</formula1>
      <formula2>0</formula2>
    </dataValidation>
    <dataValidation type="date" allowBlank="1" sqref="M4:M102" xr:uid="{00000000-0002-0000-0900-000001000000}">
      <formula1>0</formula1>
      <formula2>0</formula2>
    </dataValidation>
    <dataValidation type="list" allowBlank="1" prompt="支払状況を選択（済/取消）" sqref="O4:O102" xr:uid="{00000000-0002-0000-0900-000002000000}">
      <formula1>"済,取消"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5"/>
  <sheetViews>
    <sheetView zoomScaleNormal="100" workbookViewId="0">
      <pane ySplit="3" topLeftCell="A4" activePane="bottomLeft" state="frozen"/>
      <selection pane="bottomLeft" sqref="A1:E1"/>
    </sheetView>
  </sheetViews>
  <sheetFormatPr defaultColWidth="8.7109375" defaultRowHeight="15"/>
  <cols>
    <col min="1" max="1" width="14" customWidth="1"/>
    <col min="2" max="2" width="24" customWidth="1"/>
    <col min="3" max="3" width="16" customWidth="1"/>
    <col min="4" max="4" width="12" customWidth="1"/>
    <col min="5" max="5" width="24" customWidth="1"/>
  </cols>
  <sheetData>
    <row r="1" spans="1:5" ht="27.75" customHeight="1">
      <c r="A1" s="89" t="s">
        <v>210</v>
      </c>
      <c r="B1" s="89"/>
      <c r="C1" s="89"/>
      <c r="D1" s="89"/>
      <c r="E1" s="89"/>
    </row>
    <row r="2" spans="1:5" ht="15" customHeight="1">
      <c r="A2" s="85" t="s">
        <v>119</v>
      </c>
      <c r="B2" s="85"/>
      <c r="C2" s="85"/>
      <c r="D2" s="85"/>
      <c r="E2" s="85"/>
    </row>
    <row r="3" spans="1:5" ht="15" customHeight="1">
      <c r="A3" s="6" t="s">
        <v>120</v>
      </c>
      <c r="B3" s="6" t="s">
        <v>121</v>
      </c>
      <c r="C3" s="6" t="s">
        <v>122</v>
      </c>
      <c r="D3" s="6" t="s">
        <v>85</v>
      </c>
      <c r="E3" s="6" t="s">
        <v>50</v>
      </c>
    </row>
    <row r="4" spans="1:5" ht="15" customHeight="1">
      <c r="A4" s="28">
        <v>46149</v>
      </c>
      <c r="B4" s="53" t="s">
        <v>211</v>
      </c>
      <c r="C4" s="30">
        <v>2600000</v>
      </c>
      <c r="D4" s="31"/>
      <c r="E4" s="53"/>
    </row>
    <row r="5" spans="1:5" ht="15" customHeight="1">
      <c r="A5" s="28">
        <v>46149</v>
      </c>
      <c r="B5" s="53" t="s">
        <v>212</v>
      </c>
      <c r="C5" s="30">
        <v>1700000</v>
      </c>
      <c r="D5" s="31"/>
      <c r="E5" s="53"/>
    </row>
    <row r="6" spans="1:5" ht="15" customHeight="1">
      <c r="A6" s="28">
        <v>46153</v>
      </c>
      <c r="B6" s="29" t="s">
        <v>130</v>
      </c>
      <c r="C6" s="30">
        <v>970000</v>
      </c>
      <c r="D6" s="31"/>
      <c r="E6" s="53"/>
    </row>
    <row r="7" spans="1:5" ht="15" customHeight="1">
      <c r="A7" s="28"/>
      <c r="B7" s="53"/>
      <c r="C7" s="30"/>
      <c r="D7" s="31"/>
      <c r="E7" s="53"/>
    </row>
    <row r="8" spans="1:5" ht="15" customHeight="1">
      <c r="A8" s="28"/>
      <c r="B8" s="53"/>
      <c r="C8" s="30"/>
      <c r="D8" s="31"/>
      <c r="E8" s="53"/>
    </row>
    <row r="9" spans="1:5" ht="15" customHeight="1">
      <c r="A9" s="28"/>
      <c r="B9" s="53"/>
      <c r="C9" s="30"/>
      <c r="D9" s="31"/>
      <c r="E9" s="53"/>
    </row>
    <row r="10" spans="1:5" ht="15" customHeight="1">
      <c r="A10" s="28"/>
      <c r="B10" s="53"/>
      <c r="C10" s="30"/>
      <c r="D10" s="31"/>
      <c r="E10" s="53"/>
    </row>
    <row r="11" spans="1:5" ht="15" customHeight="1">
      <c r="A11" s="28"/>
      <c r="B11" s="53"/>
      <c r="C11" s="30"/>
      <c r="D11" s="31"/>
      <c r="E11" s="53"/>
    </row>
    <row r="12" spans="1:5" ht="15" customHeight="1">
      <c r="A12" s="28"/>
      <c r="B12" s="53"/>
      <c r="C12" s="30"/>
      <c r="D12" s="31"/>
      <c r="E12" s="53"/>
    </row>
    <row r="13" spans="1:5" ht="15" customHeight="1">
      <c r="A13" s="28"/>
      <c r="B13" s="53"/>
      <c r="C13" s="30"/>
      <c r="D13" s="31"/>
      <c r="E13" s="53"/>
    </row>
    <row r="14" spans="1:5" ht="15" customHeight="1">
      <c r="A14" s="28"/>
      <c r="B14" s="53"/>
      <c r="C14" s="30"/>
      <c r="D14" s="31"/>
      <c r="E14" s="53"/>
    </row>
    <row r="15" spans="1:5" ht="15" customHeight="1">
      <c r="A15" s="28"/>
      <c r="B15" s="53"/>
      <c r="C15" s="30"/>
      <c r="D15" s="31"/>
      <c r="E15" s="53"/>
    </row>
    <row r="16" spans="1:5" ht="15" customHeight="1">
      <c r="A16" s="28"/>
      <c r="B16" s="53"/>
      <c r="C16" s="30"/>
      <c r="D16" s="31"/>
      <c r="E16" s="53"/>
    </row>
    <row r="17" spans="1:5" ht="15" customHeight="1">
      <c r="A17" s="28"/>
      <c r="B17" s="53"/>
      <c r="C17" s="30"/>
      <c r="D17" s="31"/>
      <c r="E17" s="53"/>
    </row>
    <row r="18" spans="1:5" ht="15" customHeight="1">
      <c r="A18" s="28"/>
      <c r="B18" s="53"/>
      <c r="C18" s="30"/>
      <c r="D18" s="31"/>
      <c r="E18" s="53"/>
    </row>
    <row r="19" spans="1:5" ht="15" customHeight="1">
      <c r="A19" s="28"/>
      <c r="B19" s="53"/>
      <c r="C19" s="30"/>
      <c r="D19" s="31"/>
      <c r="E19" s="53"/>
    </row>
    <row r="20" spans="1:5" ht="15" customHeight="1">
      <c r="A20" s="28"/>
      <c r="B20" s="53"/>
      <c r="C20" s="30"/>
      <c r="D20" s="31"/>
      <c r="E20" s="53"/>
    </row>
    <row r="21" spans="1:5" ht="15" customHeight="1">
      <c r="A21" s="28"/>
      <c r="B21" s="53"/>
      <c r="C21" s="30"/>
      <c r="D21" s="31"/>
      <c r="E21" s="53"/>
    </row>
    <row r="22" spans="1:5" ht="15" customHeight="1">
      <c r="A22" s="28"/>
      <c r="B22" s="53"/>
      <c r="C22" s="30"/>
      <c r="D22" s="31"/>
      <c r="E22" s="53"/>
    </row>
    <row r="23" spans="1:5" ht="15" customHeight="1">
      <c r="A23" s="28"/>
      <c r="B23" s="53"/>
      <c r="C23" s="30"/>
      <c r="D23" s="31"/>
      <c r="E23" s="53"/>
    </row>
    <row r="24" spans="1:5" ht="15" customHeight="1">
      <c r="A24" s="28"/>
      <c r="B24" s="53"/>
      <c r="C24" s="30"/>
      <c r="D24" s="31"/>
      <c r="E24" s="53"/>
    </row>
    <row r="25" spans="1:5" ht="15" customHeight="1">
      <c r="A25" s="28"/>
      <c r="B25" s="53"/>
      <c r="C25" s="30"/>
      <c r="D25" s="31"/>
      <c r="E25" s="53"/>
    </row>
    <row r="26" spans="1:5" ht="15" customHeight="1">
      <c r="A26" s="28"/>
      <c r="B26" s="53"/>
      <c r="C26" s="30"/>
      <c r="D26" s="31"/>
      <c r="E26" s="53"/>
    </row>
    <row r="27" spans="1:5" ht="15" customHeight="1">
      <c r="A27" s="28"/>
      <c r="B27" s="53"/>
      <c r="C27" s="30"/>
      <c r="D27" s="31"/>
      <c r="E27" s="53"/>
    </row>
    <row r="28" spans="1:5" ht="15" customHeight="1">
      <c r="A28" s="28"/>
      <c r="B28" s="53"/>
      <c r="C28" s="30"/>
      <c r="D28" s="31"/>
      <c r="E28" s="53"/>
    </row>
    <row r="29" spans="1:5" ht="15" customHeight="1">
      <c r="A29" s="28"/>
      <c r="B29" s="53"/>
      <c r="C29" s="30"/>
      <c r="D29" s="31"/>
      <c r="E29" s="53"/>
    </row>
    <row r="30" spans="1:5" ht="15" customHeight="1">
      <c r="A30" s="28"/>
      <c r="B30" s="53"/>
      <c r="C30" s="30"/>
      <c r="D30" s="31"/>
      <c r="E30" s="53"/>
    </row>
    <row r="31" spans="1:5" ht="15" customHeight="1">
      <c r="A31" s="28"/>
      <c r="B31" s="53"/>
      <c r="C31" s="30"/>
      <c r="D31" s="31"/>
      <c r="E31" s="53"/>
    </row>
    <row r="32" spans="1:5" ht="15" customHeight="1">
      <c r="A32" s="28"/>
      <c r="B32" s="53"/>
      <c r="C32" s="30"/>
      <c r="D32" s="31"/>
      <c r="E32" s="53"/>
    </row>
    <row r="33" spans="1:5" ht="15" customHeight="1">
      <c r="A33" s="28"/>
      <c r="B33" s="53"/>
      <c r="C33" s="30"/>
      <c r="D33" s="31"/>
      <c r="E33" s="53"/>
    </row>
    <row r="34" spans="1:5" ht="15" customHeight="1">
      <c r="A34" s="28"/>
      <c r="B34" s="53"/>
      <c r="C34" s="30"/>
      <c r="D34" s="31"/>
      <c r="E34" s="53"/>
    </row>
    <row r="35" spans="1:5" ht="15" customHeight="1">
      <c r="A35" s="28"/>
      <c r="B35" s="53"/>
      <c r="C35" s="30"/>
      <c r="D35" s="31"/>
      <c r="E35" s="53"/>
    </row>
    <row r="36" spans="1:5" ht="15" customHeight="1">
      <c r="A36" s="28"/>
      <c r="B36" s="53"/>
      <c r="C36" s="30"/>
      <c r="D36" s="31"/>
      <c r="E36" s="53"/>
    </row>
    <row r="37" spans="1:5" ht="15" customHeight="1">
      <c r="A37" s="28"/>
      <c r="B37" s="53"/>
      <c r="C37" s="30"/>
      <c r="D37" s="31"/>
      <c r="E37" s="53"/>
    </row>
    <row r="38" spans="1:5" ht="15" customHeight="1">
      <c r="A38" s="28"/>
      <c r="B38" s="53"/>
      <c r="C38" s="30"/>
      <c r="D38" s="31"/>
      <c r="E38" s="53"/>
    </row>
    <row r="39" spans="1:5" ht="15" customHeight="1">
      <c r="A39" s="28"/>
      <c r="B39" s="53"/>
      <c r="C39" s="30"/>
      <c r="D39" s="31"/>
      <c r="E39" s="53"/>
    </row>
    <row r="40" spans="1:5" ht="15" customHeight="1">
      <c r="A40" s="28"/>
      <c r="B40" s="53"/>
      <c r="C40" s="30"/>
      <c r="D40" s="31"/>
      <c r="E40" s="53"/>
    </row>
    <row r="41" spans="1:5" ht="15" customHeight="1">
      <c r="A41" s="28"/>
      <c r="B41" s="53"/>
      <c r="C41" s="30"/>
      <c r="D41" s="31"/>
      <c r="E41" s="53"/>
    </row>
    <row r="42" spans="1:5" ht="15" customHeight="1">
      <c r="A42" s="28"/>
      <c r="B42" s="53"/>
      <c r="C42" s="30"/>
      <c r="D42" s="31"/>
      <c r="E42" s="53"/>
    </row>
    <row r="43" spans="1:5" ht="15" customHeight="1">
      <c r="A43" s="28"/>
      <c r="B43" s="53"/>
      <c r="C43" s="30"/>
      <c r="D43" s="31"/>
      <c r="E43" s="53"/>
    </row>
    <row r="44" spans="1:5" ht="15" customHeight="1">
      <c r="A44" s="28"/>
      <c r="B44" s="53"/>
      <c r="C44" s="30"/>
      <c r="D44" s="31"/>
      <c r="E44" s="53"/>
    </row>
    <row r="45" spans="1:5" ht="15" customHeight="1">
      <c r="A45" s="28"/>
      <c r="B45" s="53"/>
      <c r="C45" s="30"/>
      <c r="D45" s="31"/>
      <c r="E45" s="53"/>
    </row>
    <row r="46" spans="1:5" ht="15" customHeight="1">
      <c r="A46" s="28"/>
      <c r="B46" s="53"/>
      <c r="C46" s="30"/>
      <c r="D46" s="31"/>
      <c r="E46" s="53"/>
    </row>
    <row r="47" spans="1:5" ht="15" customHeight="1">
      <c r="A47" s="28"/>
      <c r="B47" s="53"/>
      <c r="C47" s="30"/>
      <c r="D47" s="31"/>
      <c r="E47" s="53"/>
    </row>
    <row r="48" spans="1:5" ht="15" customHeight="1">
      <c r="A48" s="28"/>
      <c r="B48" s="53"/>
      <c r="C48" s="30"/>
      <c r="D48" s="31"/>
      <c r="E48" s="53"/>
    </row>
    <row r="49" spans="1:5" ht="15" customHeight="1">
      <c r="A49" s="28"/>
      <c r="B49" s="53"/>
      <c r="C49" s="30"/>
      <c r="D49" s="31"/>
      <c r="E49" s="53"/>
    </row>
    <row r="50" spans="1:5" ht="15" customHeight="1">
      <c r="A50" s="28"/>
      <c r="B50" s="53"/>
      <c r="C50" s="30"/>
      <c r="D50" s="31"/>
      <c r="E50" s="53"/>
    </row>
    <row r="51" spans="1:5" ht="15" customHeight="1">
      <c r="A51" s="28"/>
      <c r="B51" s="53"/>
      <c r="C51" s="30"/>
      <c r="D51" s="31"/>
      <c r="E51" s="53"/>
    </row>
    <row r="52" spans="1:5" ht="15" customHeight="1">
      <c r="A52" s="28"/>
      <c r="B52" s="53"/>
      <c r="C52" s="30"/>
      <c r="D52" s="31"/>
      <c r="E52" s="53"/>
    </row>
    <row r="53" spans="1:5" ht="15" customHeight="1">
      <c r="A53" s="28"/>
      <c r="B53" s="53"/>
      <c r="C53" s="30"/>
      <c r="D53" s="31"/>
      <c r="E53" s="53"/>
    </row>
    <row r="55" spans="1:5" ht="15" customHeight="1">
      <c r="A55" s="83" t="s">
        <v>44</v>
      </c>
      <c r="B55" s="83"/>
      <c r="C55" s="12">
        <f>SUM(C4:C53)</f>
        <v>5270000</v>
      </c>
      <c r="D55" s="1"/>
      <c r="E55" s="1"/>
    </row>
  </sheetData>
  <mergeCells count="3">
    <mergeCell ref="A1:E1"/>
    <mergeCell ref="A2:E2"/>
    <mergeCell ref="A55:B55"/>
  </mergeCells>
  <phoneticPr fontId="46"/>
  <dataValidations count="2">
    <dataValidation type="date" allowBlank="1" sqref="A4:A53" xr:uid="{00000000-0002-0000-0A00-000000000000}">
      <formula1>0</formula1>
      <formula2>0</formula2>
    </dataValidation>
    <dataValidation type="list" allowBlank="1" sqref="D4:D53" xr:uid="{00000000-0002-0000-0A00-000001000000}">
      <formula1>"通常,リボ,分割,その他"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5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/>
  <cols>
    <col min="1" max="1" width="14" customWidth="1"/>
    <col min="2" max="2" width="24" customWidth="1"/>
    <col min="3" max="3" width="14" customWidth="1"/>
    <col min="4" max="4" width="16" customWidth="1"/>
    <col min="5" max="5" width="24" customWidth="1"/>
    <col min="6" max="6" width="12" customWidth="1"/>
  </cols>
  <sheetData>
    <row r="1" spans="1:6" ht="27.75" customHeight="1">
      <c r="A1" s="90" t="s">
        <v>213</v>
      </c>
      <c r="B1" s="90"/>
      <c r="C1" s="90"/>
      <c r="D1" s="90"/>
      <c r="E1" s="90"/>
      <c r="F1" s="90"/>
    </row>
    <row r="2" spans="1:6" ht="15" customHeight="1">
      <c r="A2" s="85" t="s">
        <v>82</v>
      </c>
      <c r="B2" s="85"/>
      <c r="C2" s="85"/>
      <c r="D2" s="85"/>
      <c r="E2" s="85"/>
      <c r="F2" s="85"/>
    </row>
    <row r="3" spans="1:6" ht="15" customHeight="1">
      <c r="A3" s="6" t="s">
        <v>83</v>
      </c>
      <c r="B3" s="6" t="s">
        <v>84</v>
      </c>
      <c r="C3" s="6" t="s">
        <v>85</v>
      </c>
      <c r="D3" s="6" t="s">
        <v>86</v>
      </c>
      <c r="E3" s="6" t="s">
        <v>50</v>
      </c>
      <c r="F3" s="6" t="s">
        <v>87</v>
      </c>
    </row>
    <row r="4" spans="1:6" ht="15" customHeight="1">
      <c r="A4" s="28"/>
      <c r="B4" s="53"/>
      <c r="C4" s="27"/>
      <c r="D4" s="30"/>
      <c r="E4" s="53"/>
      <c r="F4" s="31"/>
    </row>
    <row r="5" spans="1:6" ht="15" customHeight="1">
      <c r="A5" s="28"/>
      <c r="B5" s="53"/>
      <c r="C5" s="27"/>
      <c r="D5" s="30"/>
      <c r="E5" s="53"/>
      <c r="F5" s="31"/>
    </row>
    <row r="6" spans="1:6" ht="15" customHeight="1">
      <c r="A6" s="28"/>
      <c r="B6" s="53"/>
      <c r="C6" s="27"/>
      <c r="D6" s="30"/>
      <c r="E6" s="53"/>
      <c r="F6" s="31"/>
    </row>
    <row r="7" spans="1:6" ht="15" customHeight="1">
      <c r="A7" s="28"/>
      <c r="B7" s="53"/>
      <c r="C7" s="27"/>
      <c r="D7" s="30"/>
      <c r="E7" s="53"/>
      <c r="F7" s="31"/>
    </row>
    <row r="8" spans="1:6" ht="15" customHeight="1">
      <c r="A8" s="28"/>
      <c r="B8" s="53"/>
      <c r="C8" s="27"/>
      <c r="D8" s="30"/>
      <c r="E8" s="53"/>
      <c r="F8" s="31"/>
    </row>
    <row r="9" spans="1:6" ht="15" customHeight="1">
      <c r="A9" s="28"/>
      <c r="B9" s="53"/>
      <c r="C9" s="27"/>
      <c r="D9" s="30"/>
      <c r="E9" s="53"/>
      <c r="F9" s="31"/>
    </row>
    <row r="10" spans="1:6" ht="15" customHeight="1">
      <c r="A10" s="28"/>
      <c r="B10" s="53"/>
      <c r="C10" s="27"/>
      <c r="D10" s="30"/>
      <c r="E10" s="53"/>
      <c r="F10" s="31"/>
    </row>
    <row r="11" spans="1:6" ht="15" customHeight="1">
      <c r="A11" s="28"/>
      <c r="B11" s="53"/>
      <c r="C11" s="27"/>
      <c r="D11" s="30"/>
      <c r="E11" s="53"/>
      <c r="F11" s="31"/>
    </row>
    <row r="12" spans="1:6" ht="15" customHeight="1">
      <c r="A12" s="28"/>
      <c r="B12" s="53"/>
      <c r="C12" s="27"/>
      <c r="D12" s="30"/>
      <c r="E12" s="53"/>
      <c r="F12" s="31"/>
    </row>
    <row r="13" spans="1:6" ht="15" customHeight="1">
      <c r="A13" s="28"/>
      <c r="B13" s="53"/>
      <c r="C13" s="27"/>
      <c r="D13" s="30"/>
      <c r="E13" s="53"/>
      <c r="F13" s="31"/>
    </row>
    <row r="14" spans="1:6" ht="15" customHeight="1">
      <c r="A14" s="28"/>
      <c r="B14" s="53"/>
      <c r="C14" s="27"/>
      <c r="D14" s="30"/>
      <c r="E14" s="53"/>
      <c r="F14" s="31"/>
    </row>
    <row r="15" spans="1:6" ht="15" customHeight="1">
      <c r="A15" s="28"/>
      <c r="B15" s="53"/>
      <c r="C15" s="27"/>
      <c r="D15" s="30"/>
      <c r="E15" s="53"/>
      <c r="F15" s="31"/>
    </row>
    <row r="16" spans="1:6" ht="15" customHeight="1">
      <c r="A16" s="28"/>
      <c r="B16" s="53"/>
      <c r="C16" s="27"/>
      <c r="D16" s="30"/>
      <c r="E16" s="53"/>
      <c r="F16" s="31"/>
    </row>
    <row r="17" spans="1:6" ht="15" customHeight="1">
      <c r="A17" s="28"/>
      <c r="B17" s="53"/>
      <c r="C17" s="27"/>
      <c r="D17" s="30"/>
      <c r="E17" s="53"/>
      <c r="F17" s="31"/>
    </row>
    <row r="18" spans="1:6" ht="15" customHeight="1">
      <c r="A18" s="28"/>
      <c r="B18" s="53"/>
      <c r="C18" s="27"/>
      <c r="D18" s="30"/>
      <c r="E18" s="53"/>
      <c r="F18" s="31"/>
    </row>
    <row r="19" spans="1:6" ht="15" customHeight="1">
      <c r="A19" s="28"/>
      <c r="B19" s="53"/>
      <c r="C19" s="27"/>
      <c r="D19" s="30"/>
      <c r="E19" s="53"/>
      <c r="F19" s="31"/>
    </row>
    <row r="20" spans="1:6" ht="15" customHeight="1">
      <c r="A20" s="28"/>
      <c r="B20" s="53"/>
      <c r="C20" s="27"/>
      <c r="D20" s="30"/>
      <c r="E20" s="53"/>
      <c r="F20" s="31"/>
    </row>
    <row r="21" spans="1:6" ht="15" customHeight="1">
      <c r="A21" s="28"/>
      <c r="B21" s="53"/>
      <c r="C21" s="27"/>
      <c r="D21" s="30"/>
      <c r="E21" s="53"/>
      <c r="F21" s="31"/>
    </row>
    <row r="22" spans="1:6" ht="15" customHeight="1">
      <c r="A22" s="28"/>
      <c r="B22" s="53"/>
      <c r="C22" s="27"/>
      <c r="D22" s="30"/>
      <c r="E22" s="53"/>
      <c r="F22" s="31"/>
    </row>
    <row r="23" spans="1:6" ht="15" customHeight="1">
      <c r="A23" s="28"/>
      <c r="B23" s="53"/>
      <c r="C23" s="27"/>
      <c r="D23" s="30"/>
      <c r="E23" s="53"/>
      <c r="F23" s="31"/>
    </row>
    <row r="24" spans="1:6" ht="15" customHeight="1">
      <c r="A24" s="28"/>
      <c r="B24" s="53"/>
      <c r="C24" s="27"/>
      <c r="D24" s="30"/>
      <c r="E24" s="53"/>
      <c r="F24" s="31"/>
    </row>
    <row r="25" spans="1:6" ht="15" customHeight="1">
      <c r="A25" s="28"/>
      <c r="B25" s="53"/>
      <c r="C25" s="27"/>
      <c r="D25" s="30"/>
      <c r="E25" s="53"/>
      <c r="F25" s="31"/>
    </row>
    <row r="26" spans="1:6" ht="15" customHeight="1">
      <c r="A26" s="28"/>
      <c r="B26" s="53"/>
      <c r="C26" s="27"/>
      <c r="D26" s="30"/>
      <c r="E26" s="53"/>
      <c r="F26" s="31"/>
    </row>
    <row r="27" spans="1:6" ht="15" customHeight="1">
      <c r="A27" s="28"/>
      <c r="B27" s="53"/>
      <c r="C27" s="27"/>
      <c r="D27" s="30"/>
      <c r="E27" s="53"/>
      <c r="F27" s="31"/>
    </row>
    <row r="28" spans="1:6" ht="15" customHeight="1">
      <c r="A28" s="28"/>
      <c r="B28" s="53"/>
      <c r="C28" s="27"/>
      <c r="D28" s="30"/>
      <c r="E28" s="53"/>
      <c r="F28" s="31"/>
    </row>
    <row r="29" spans="1:6" ht="15" customHeight="1">
      <c r="A29" s="28"/>
      <c r="B29" s="53"/>
      <c r="C29" s="27"/>
      <c r="D29" s="30"/>
      <c r="E29" s="53"/>
      <c r="F29" s="31"/>
    </row>
    <row r="30" spans="1:6" ht="15" customHeight="1">
      <c r="A30" s="28"/>
      <c r="B30" s="53"/>
      <c r="C30" s="27"/>
      <c r="D30" s="30"/>
      <c r="E30" s="53"/>
      <c r="F30" s="31"/>
    </row>
    <row r="31" spans="1:6" ht="15" customHeight="1">
      <c r="A31" s="28"/>
      <c r="B31" s="53"/>
      <c r="C31" s="27"/>
      <c r="D31" s="30"/>
      <c r="E31" s="53"/>
      <c r="F31" s="31"/>
    </row>
    <row r="32" spans="1:6" ht="15" customHeight="1">
      <c r="A32" s="28"/>
      <c r="B32" s="53"/>
      <c r="C32" s="27"/>
      <c r="D32" s="30"/>
      <c r="E32" s="53"/>
      <c r="F32" s="31"/>
    </row>
    <row r="33" spans="1:6" ht="15" customHeight="1">
      <c r="A33" s="28"/>
      <c r="B33" s="53"/>
      <c r="C33" s="27"/>
      <c r="D33" s="30"/>
      <c r="E33" s="53"/>
      <c r="F33" s="31"/>
    </row>
    <row r="34" spans="1:6" ht="15" customHeight="1">
      <c r="A34" s="28"/>
      <c r="B34" s="53"/>
      <c r="C34" s="27"/>
      <c r="D34" s="30"/>
      <c r="E34" s="53"/>
      <c r="F34" s="31"/>
    </row>
    <row r="35" spans="1:6" ht="15" customHeight="1">
      <c r="A35" s="28"/>
      <c r="B35" s="53"/>
      <c r="C35" s="27"/>
      <c r="D35" s="30"/>
      <c r="E35" s="53"/>
      <c r="F35" s="31"/>
    </row>
    <row r="36" spans="1:6" ht="15" customHeight="1">
      <c r="A36" s="28"/>
      <c r="B36" s="53"/>
      <c r="C36" s="27"/>
      <c r="D36" s="30"/>
      <c r="E36" s="53"/>
      <c r="F36" s="31"/>
    </row>
    <row r="37" spans="1:6" ht="15" customHeight="1">
      <c r="A37" s="28"/>
      <c r="B37" s="53"/>
      <c r="C37" s="27"/>
      <c r="D37" s="30"/>
      <c r="E37" s="53"/>
      <c r="F37" s="31"/>
    </row>
    <row r="38" spans="1:6" ht="15" customHeight="1">
      <c r="A38" s="28"/>
      <c r="B38" s="53"/>
      <c r="C38" s="27"/>
      <c r="D38" s="30"/>
      <c r="E38" s="53"/>
      <c r="F38" s="31"/>
    </row>
    <row r="39" spans="1:6" ht="15" customHeight="1">
      <c r="A39" s="28"/>
      <c r="B39" s="53"/>
      <c r="C39" s="27"/>
      <c r="D39" s="30"/>
      <c r="E39" s="53"/>
      <c r="F39" s="31"/>
    </row>
    <row r="40" spans="1:6" ht="15" customHeight="1">
      <c r="A40" s="28"/>
      <c r="B40" s="53"/>
      <c r="C40" s="27"/>
      <c r="D40" s="30"/>
      <c r="E40" s="53"/>
      <c r="F40" s="31"/>
    </row>
    <row r="41" spans="1:6" ht="15" customHeight="1">
      <c r="A41" s="28"/>
      <c r="B41" s="53"/>
      <c r="C41" s="27"/>
      <c r="D41" s="30"/>
      <c r="E41" s="53"/>
      <c r="F41" s="31"/>
    </row>
    <row r="42" spans="1:6" ht="15" customHeight="1">
      <c r="A42" s="28"/>
      <c r="B42" s="53"/>
      <c r="C42" s="27"/>
      <c r="D42" s="30"/>
      <c r="E42" s="53"/>
      <c r="F42" s="31"/>
    </row>
    <row r="43" spans="1:6" ht="15" customHeight="1">
      <c r="A43" s="28"/>
      <c r="B43" s="53"/>
      <c r="C43" s="27"/>
      <c r="D43" s="30"/>
      <c r="E43" s="53"/>
      <c r="F43" s="31"/>
    </row>
    <row r="44" spans="1:6" ht="15" customHeight="1">
      <c r="A44" s="28"/>
      <c r="B44" s="53"/>
      <c r="C44" s="27"/>
      <c r="D44" s="30"/>
      <c r="E44" s="53"/>
      <c r="F44" s="31"/>
    </row>
    <row r="45" spans="1:6" ht="15" customHeight="1">
      <c r="A45" s="28"/>
      <c r="B45" s="53"/>
      <c r="C45" s="27"/>
      <c r="D45" s="30"/>
      <c r="E45" s="53"/>
      <c r="F45" s="31"/>
    </row>
    <row r="46" spans="1:6" ht="15" customHeight="1">
      <c r="A46" s="28"/>
      <c r="B46" s="53"/>
      <c r="C46" s="27"/>
      <c r="D46" s="30"/>
      <c r="E46" s="53"/>
      <c r="F46" s="31"/>
    </row>
    <row r="47" spans="1:6" ht="15" customHeight="1">
      <c r="A47" s="28"/>
      <c r="B47" s="53"/>
      <c r="C47" s="27"/>
      <c r="D47" s="30"/>
      <c r="E47" s="53"/>
      <c r="F47" s="31"/>
    </row>
    <row r="48" spans="1:6" ht="15" customHeight="1">
      <c r="A48" s="28"/>
      <c r="B48" s="53"/>
      <c r="C48" s="27"/>
      <c r="D48" s="30"/>
      <c r="E48" s="53"/>
      <c r="F48" s="31"/>
    </row>
    <row r="49" spans="1:6" ht="15" customHeight="1">
      <c r="A49" s="28"/>
      <c r="B49" s="53"/>
      <c r="C49" s="27"/>
      <c r="D49" s="30"/>
      <c r="E49" s="53"/>
      <c r="F49" s="31"/>
    </row>
    <row r="50" spans="1:6" ht="15" customHeight="1">
      <c r="A50" s="28"/>
      <c r="B50" s="53"/>
      <c r="C50" s="27"/>
      <c r="D50" s="30"/>
      <c r="E50" s="53"/>
      <c r="F50" s="31"/>
    </row>
    <row r="51" spans="1:6" ht="15" customHeight="1">
      <c r="A51" s="28"/>
      <c r="B51" s="53"/>
      <c r="C51" s="27"/>
      <c r="D51" s="30"/>
      <c r="E51" s="53"/>
      <c r="F51" s="31"/>
    </row>
    <row r="52" spans="1:6" ht="15" customHeight="1">
      <c r="A52" s="28"/>
      <c r="B52" s="53"/>
      <c r="C52" s="27"/>
      <c r="D52" s="30"/>
      <c r="E52" s="53"/>
      <c r="F52" s="31"/>
    </row>
    <row r="53" spans="1:6" ht="15" customHeight="1">
      <c r="A53" s="28"/>
      <c r="B53" s="53"/>
      <c r="C53" s="27"/>
      <c r="D53" s="30"/>
      <c r="E53" s="53"/>
      <c r="F53" s="31"/>
    </row>
    <row r="54" spans="1:6" ht="15" customHeight="1">
      <c r="A54" s="28"/>
      <c r="B54" s="53"/>
      <c r="C54" s="27"/>
      <c r="D54" s="30"/>
      <c r="E54" s="53"/>
      <c r="F54" s="31"/>
    </row>
    <row r="55" spans="1:6" ht="15" customHeight="1">
      <c r="A55" s="28"/>
      <c r="B55" s="53"/>
      <c r="C55" s="27"/>
      <c r="D55" s="30"/>
      <c r="E55" s="53"/>
      <c r="F55" s="31"/>
    </row>
    <row r="56" spans="1:6" ht="15" customHeight="1">
      <c r="A56" s="28"/>
      <c r="B56" s="53"/>
      <c r="C56" s="27"/>
      <c r="D56" s="30"/>
      <c r="E56" s="53"/>
      <c r="F56" s="31"/>
    </row>
    <row r="57" spans="1:6" ht="15" customHeight="1">
      <c r="A57" s="28"/>
      <c r="B57" s="53"/>
      <c r="C57" s="27"/>
      <c r="D57" s="30"/>
      <c r="E57" s="53"/>
      <c r="F57" s="31"/>
    </row>
    <row r="58" spans="1:6" ht="15" customHeight="1">
      <c r="A58" s="28"/>
      <c r="B58" s="53"/>
      <c r="C58" s="27"/>
      <c r="D58" s="30"/>
      <c r="E58" s="53"/>
      <c r="F58" s="31"/>
    </row>
    <row r="59" spans="1:6" ht="15" customHeight="1">
      <c r="A59" s="28"/>
      <c r="B59" s="53"/>
      <c r="C59" s="27"/>
      <c r="D59" s="30"/>
      <c r="E59" s="53"/>
      <c r="F59" s="31"/>
    </row>
    <row r="60" spans="1:6" ht="15" customHeight="1">
      <c r="A60" s="28"/>
      <c r="B60" s="53"/>
      <c r="C60" s="27"/>
      <c r="D60" s="30"/>
      <c r="E60" s="53"/>
      <c r="F60" s="31"/>
    </row>
    <row r="61" spans="1:6" ht="15" customHeight="1">
      <c r="A61" s="28"/>
      <c r="B61" s="53"/>
      <c r="C61" s="27"/>
      <c r="D61" s="30"/>
      <c r="E61" s="53"/>
      <c r="F61" s="31"/>
    </row>
    <row r="62" spans="1:6" ht="15" customHeight="1">
      <c r="A62" s="28"/>
      <c r="B62" s="53"/>
      <c r="C62" s="27"/>
      <c r="D62" s="30"/>
      <c r="E62" s="53"/>
      <c r="F62" s="31"/>
    </row>
    <row r="63" spans="1:6" ht="15" customHeight="1">
      <c r="A63" s="28"/>
      <c r="B63" s="53"/>
      <c r="C63" s="27"/>
      <c r="D63" s="30"/>
      <c r="E63" s="53"/>
      <c r="F63" s="31"/>
    </row>
    <row r="64" spans="1:6" ht="15" customHeight="1">
      <c r="A64" s="28"/>
      <c r="B64" s="53"/>
      <c r="C64" s="27"/>
      <c r="D64" s="30"/>
      <c r="E64" s="53"/>
      <c r="F64" s="31"/>
    </row>
    <row r="65" spans="1:6" ht="15" customHeight="1">
      <c r="A65" s="28"/>
      <c r="B65" s="53"/>
      <c r="C65" s="27"/>
      <c r="D65" s="30"/>
      <c r="E65" s="53"/>
      <c r="F65" s="31"/>
    </row>
    <row r="66" spans="1:6" ht="15" customHeight="1">
      <c r="A66" s="28"/>
      <c r="B66" s="53"/>
      <c r="C66" s="27"/>
      <c r="D66" s="30"/>
      <c r="E66" s="53"/>
      <c r="F66" s="31"/>
    </row>
    <row r="67" spans="1:6" ht="15" customHeight="1">
      <c r="A67" s="28"/>
      <c r="B67" s="53"/>
      <c r="C67" s="27"/>
      <c r="D67" s="30"/>
      <c r="E67" s="53"/>
      <c r="F67" s="31"/>
    </row>
    <row r="68" spans="1:6" ht="15" customHeight="1">
      <c r="A68" s="28"/>
      <c r="B68" s="53"/>
      <c r="C68" s="27"/>
      <c r="D68" s="30"/>
      <c r="E68" s="53"/>
      <c r="F68" s="31"/>
    </row>
    <row r="69" spans="1:6" ht="15" customHeight="1">
      <c r="A69" s="28"/>
      <c r="B69" s="53"/>
      <c r="C69" s="27"/>
      <c r="D69" s="30"/>
      <c r="E69" s="53"/>
      <c r="F69" s="31"/>
    </row>
    <row r="70" spans="1:6" ht="15" customHeight="1">
      <c r="A70" s="28"/>
      <c r="B70" s="53"/>
      <c r="C70" s="27"/>
      <c r="D70" s="30"/>
      <c r="E70" s="53"/>
      <c r="F70" s="31"/>
    </row>
    <row r="71" spans="1:6" ht="15" customHeight="1">
      <c r="A71" s="28"/>
      <c r="B71" s="53"/>
      <c r="C71" s="27"/>
      <c r="D71" s="30"/>
      <c r="E71" s="53"/>
      <c r="F71" s="31"/>
    </row>
    <row r="72" spans="1:6" ht="15" customHeight="1">
      <c r="A72" s="28"/>
      <c r="B72" s="53"/>
      <c r="C72" s="27"/>
      <c r="D72" s="30"/>
      <c r="E72" s="53"/>
      <c r="F72" s="31"/>
    </row>
    <row r="73" spans="1:6" ht="15" customHeight="1">
      <c r="A73" s="28"/>
      <c r="B73" s="53"/>
      <c r="C73" s="27"/>
      <c r="D73" s="30"/>
      <c r="E73" s="53"/>
      <c r="F73" s="31"/>
    </row>
    <row r="74" spans="1:6" ht="15" customHeight="1">
      <c r="A74" s="28"/>
      <c r="B74" s="53"/>
      <c r="C74" s="27"/>
      <c r="D74" s="30"/>
      <c r="E74" s="53"/>
      <c r="F74" s="31"/>
    </row>
    <row r="75" spans="1:6" ht="15" customHeight="1">
      <c r="A75" s="28"/>
      <c r="B75" s="53"/>
      <c r="C75" s="27"/>
      <c r="D75" s="30"/>
      <c r="E75" s="53"/>
      <c r="F75" s="31"/>
    </row>
    <row r="76" spans="1:6" ht="15" customHeight="1">
      <c r="A76" s="28"/>
      <c r="B76" s="53"/>
      <c r="C76" s="27"/>
      <c r="D76" s="30"/>
      <c r="E76" s="53"/>
      <c r="F76" s="31"/>
    </row>
    <row r="77" spans="1:6" ht="15" customHeight="1">
      <c r="A77" s="28"/>
      <c r="B77" s="53"/>
      <c r="C77" s="27"/>
      <c r="D77" s="30"/>
      <c r="E77" s="53"/>
      <c r="F77" s="31"/>
    </row>
    <row r="78" spans="1:6" ht="15" customHeight="1">
      <c r="A78" s="28"/>
      <c r="B78" s="53"/>
      <c r="C78" s="27"/>
      <c r="D78" s="30"/>
      <c r="E78" s="53"/>
      <c r="F78" s="31"/>
    </row>
    <row r="79" spans="1:6" ht="15" customHeight="1">
      <c r="A79" s="28"/>
      <c r="B79" s="53"/>
      <c r="C79" s="27"/>
      <c r="D79" s="30"/>
      <c r="E79" s="53"/>
      <c r="F79" s="31"/>
    </row>
    <row r="80" spans="1:6" ht="15" customHeight="1">
      <c r="A80" s="28"/>
      <c r="B80" s="53"/>
      <c r="C80" s="27"/>
      <c r="D80" s="30"/>
      <c r="E80" s="53"/>
      <c r="F80" s="31"/>
    </row>
    <row r="81" spans="1:6" ht="15" customHeight="1">
      <c r="A81" s="28"/>
      <c r="B81" s="53"/>
      <c r="C81" s="27"/>
      <c r="D81" s="30"/>
      <c r="E81" s="53"/>
      <c r="F81" s="31"/>
    </row>
    <row r="82" spans="1:6" ht="15" customHeight="1">
      <c r="A82" s="28"/>
      <c r="B82" s="53"/>
      <c r="C82" s="27"/>
      <c r="D82" s="30"/>
      <c r="E82" s="53"/>
      <c r="F82" s="31"/>
    </row>
    <row r="83" spans="1:6" ht="15" customHeight="1">
      <c r="A83" s="28"/>
      <c r="B83" s="53"/>
      <c r="C83" s="27"/>
      <c r="D83" s="30"/>
      <c r="E83" s="53"/>
      <c r="F83" s="31"/>
    </row>
    <row r="84" spans="1:6" ht="15" customHeight="1">
      <c r="A84" s="28"/>
      <c r="B84" s="53"/>
      <c r="C84" s="27"/>
      <c r="D84" s="30"/>
      <c r="E84" s="53"/>
      <c r="F84" s="31"/>
    </row>
    <row r="85" spans="1:6" ht="15" customHeight="1">
      <c r="A85" s="28"/>
      <c r="B85" s="53"/>
      <c r="C85" s="27"/>
      <c r="D85" s="30"/>
      <c r="E85" s="53"/>
      <c r="F85" s="31"/>
    </row>
    <row r="86" spans="1:6" ht="15" customHeight="1">
      <c r="A86" s="28"/>
      <c r="B86" s="53"/>
      <c r="C86" s="27"/>
      <c r="D86" s="30"/>
      <c r="E86" s="53"/>
      <c r="F86" s="31"/>
    </row>
    <row r="87" spans="1:6" ht="15" customHeight="1">
      <c r="A87" s="28"/>
      <c r="B87" s="53"/>
      <c r="C87" s="27"/>
      <c r="D87" s="30"/>
      <c r="E87" s="53"/>
      <c r="F87" s="31"/>
    </row>
    <row r="88" spans="1:6" ht="15" customHeight="1">
      <c r="A88" s="28"/>
      <c r="B88" s="53"/>
      <c r="C88" s="27"/>
      <c r="D88" s="30"/>
      <c r="E88" s="53"/>
      <c r="F88" s="31"/>
    </row>
    <row r="89" spans="1:6" ht="15" customHeight="1">
      <c r="A89" s="28"/>
      <c r="B89" s="53"/>
      <c r="C89" s="27"/>
      <c r="D89" s="30"/>
      <c r="E89" s="53"/>
      <c r="F89" s="31"/>
    </row>
    <row r="90" spans="1:6" ht="15" customHeight="1">
      <c r="A90" s="28"/>
      <c r="B90" s="53"/>
      <c r="C90" s="27"/>
      <c r="D90" s="30"/>
      <c r="E90" s="53"/>
      <c r="F90" s="31"/>
    </row>
    <row r="91" spans="1:6" ht="15" customHeight="1">
      <c r="A91" s="28"/>
      <c r="B91" s="53"/>
      <c r="C91" s="27"/>
      <c r="D91" s="30"/>
      <c r="E91" s="53"/>
      <c r="F91" s="31"/>
    </row>
    <row r="92" spans="1:6" ht="15" customHeight="1">
      <c r="A92" s="28"/>
      <c r="B92" s="53"/>
      <c r="C92" s="27"/>
      <c r="D92" s="30"/>
      <c r="E92" s="53"/>
      <c r="F92" s="31"/>
    </row>
    <row r="93" spans="1:6" ht="15" customHeight="1">
      <c r="A93" s="28"/>
      <c r="B93" s="53"/>
      <c r="C93" s="27"/>
      <c r="D93" s="30"/>
      <c r="E93" s="53"/>
      <c r="F93" s="31"/>
    </row>
    <row r="94" spans="1:6" ht="15" customHeight="1">
      <c r="A94" s="28"/>
      <c r="B94" s="53"/>
      <c r="C94" s="27"/>
      <c r="D94" s="30"/>
      <c r="E94" s="53"/>
      <c r="F94" s="31"/>
    </row>
    <row r="95" spans="1:6" ht="15" customHeight="1">
      <c r="A95" s="28"/>
      <c r="B95" s="53"/>
      <c r="C95" s="27"/>
      <c r="D95" s="30"/>
      <c r="E95" s="53"/>
      <c r="F95" s="31"/>
    </row>
    <row r="96" spans="1:6" ht="15" customHeight="1">
      <c r="A96" s="28"/>
      <c r="B96" s="53"/>
      <c r="C96" s="27"/>
      <c r="D96" s="30"/>
      <c r="E96" s="53"/>
      <c r="F96" s="31"/>
    </row>
    <row r="97" spans="1:6" ht="15" customHeight="1">
      <c r="A97" s="28"/>
      <c r="B97" s="53"/>
      <c r="C97" s="27"/>
      <c r="D97" s="30"/>
      <c r="E97" s="53"/>
      <c r="F97" s="31"/>
    </row>
    <row r="98" spans="1:6" ht="15" customHeight="1">
      <c r="A98" s="28"/>
      <c r="B98" s="53"/>
      <c r="C98" s="27"/>
      <c r="D98" s="30"/>
      <c r="E98" s="53"/>
      <c r="F98" s="31"/>
    </row>
    <row r="99" spans="1:6" ht="15" customHeight="1">
      <c r="A99" s="28"/>
      <c r="B99" s="53"/>
      <c r="C99" s="27"/>
      <c r="D99" s="30"/>
      <c r="E99" s="53"/>
      <c r="F99" s="31"/>
    </row>
    <row r="100" spans="1:6" ht="15" customHeight="1">
      <c r="A100" s="28"/>
      <c r="B100" s="53"/>
      <c r="C100" s="27"/>
      <c r="D100" s="30"/>
      <c r="E100" s="53"/>
      <c r="F100" s="31"/>
    </row>
    <row r="101" spans="1:6" ht="15" customHeight="1">
      <c r="A101" s="28"/>
      <c r="B101" s="53"/>
      <c r="C101" s="27"/>
      <c r="D101" s="30"/>
      <c r="E101" s="53"/>
      <c r="F101" s="31"/>
    </row>
    <row r="102" spans="1:6" ht="15" customHeight="1">
      <c r="A102" s="28"/>
      <c r="B102" s="53"/>
      <c r="C102" s="27"/>
      <c r="D102" s="30"/>
      <c r="E102" s="53"/>
      <c r="F102" s="31"/>
    </row>
    <row r="103" spans="1:6" ht="15" customHeight="1">
      <c r="A103" s="28"/>
      <c r="B103" s="53"/>
      <c r="C103" s="27"/>
      <c r="D103" s="30"/>
      <c r="E103" s="53"/>
      <c r="F103" s="31"/>
    </row>
    <row r="105" spans="1:6" ht="15" customHeight="1">
      <c r="A105" s="83" t="s">
        <v>44</v>
      </c>
      <c r="B105" s="83"/>
      <c r="C105" s="83"/>
      <c r="D105" s="12">
        <f>SUM(D4:D103)</f>
        <v>0</v>
      </c>
      <c r="E105" s="32"/>
      <c r="F105" s="32"/>
    </row>
  </sheetData>
  <mergeCells count="3">
    <mergeCell ref="A1:F1"/>
    <mergeCell ref="A2:F2"/>
    <mergeCell ref="A105:C105"/>
  </mergeCells>
  <phoneticPr fontId="46"/>
  <dataValidations count="3">
    <dataValidation type="date" allowBlank="1" sqref="A4:A103" xr:uid="{00000000-0002-0000-0B00-000000000000}">
      <formula1>0</formula1>
      <formula2>0</formula2>
    </dataValidation>
    <dataValidation type="list" allowBlank="1" prompt="資金繰り表項目を選択" sqref="C4:C103" xr:uid="{00000000-0002-0000-0B00-000001000000}">
      <formula1>"現金売上,売掛金回収,手形入金,その他収入,借入金,設備売却"</formula1>
      <formula2>0</formula2>
    </dataValidation>
    <dataValidation type="list" allowBlank="1" sqref="F4:F103" xr:uid="{00000000-0002-0000-0B00-000002000000}">
      <formula1>"確認済,未確認,予測"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P1"/>
    </sheetView>
  </sheetViews>
  <sheetFormatPr defaultColWidth="8.7109375" defaultRowHeight="15"/>
  <cols>
    <col min="1" max="1" width="10" customWidth="1"/>
    <col min="2" max="2" width="12" customWidth="1"/>
    <col min="3" max="3" width="28" customWidth="1"/>
    <col min="4" max="5" width="12" customWidth="1"/>
    <col min="6" max="6" width="14" customWidth="1"/>
    <col min="7" max="10" width="12" customWidth="1"/>
    <col min="11" max="11" width="14" customWidth="1"/>
    <col min="12" max="12" width="10" customWidth="1"/>
    <col min="13" max="14" width="14" customWidth="1"/>
    <col min="15" max="15" width="12" customWidth="1"/>
  </cols>
  <sheetData>
    <row r="1" spans="1:16" ht="27.75" customHeight="1">
      <c r="A1" s="90" t="s">
        <v>214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21.75" customHeight="1">
      <c r="A2" s="33" t="s">
        <v>89</v>
      </c>
      <c r="B2" s="34" t="s">
        <v>90</v>
      </c>
      <c r="C2" s="35" t="s">
        <v>91</v>
      </c>
      <c r="D2" s="36" t="s">
        <v>92</v>
      </c>
      <c r="E2" s="37" t="s">
        <v>93</v>
      </c>
      <c r="G2" s="85" t="s">
        <v>94</v>
      </c>
      <c r="H2" s="85"/>
      <c r="I2" s="85"/>
      <c r="J2" s="85"/>
      <c r="K2" s="85"/>
      <c r="L2" s="85"/>
      <c r="M2" s="85"/>
      <c r="N2" s="85"/>
      <c r="O2" s="85"/>
      <c r="P2" s="85"/>
    </row>
    <row r="3" spans="1:16" ht="30" customHeight="1">
      <c r="A3" s="6" t="s">
        <v>95</v>
      </c>
      <c r="B3" s="6" t="s">
        <v>96</v>
      </c>
      <c r="C3" s="6" t="s">
        <v>97</v>
      </c>
      <c r="D3" s="6" t="s">
        <v>57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106</v>
      </c>
      <c r="N3" s="6" t="s">
        <v>107</v>
      </c>
      <c r="O3" s="38" t="s">
        <v>108</v>
      </c>
      <c r="P3" s="6" t="s">
        <v>109</v>
      </c>
    </row>
    <row r="4" spans="1:16" ht="15" customHeight="1">
      <c r="A4" s="20" t="s">
        <v>110</v>
      </c>
      <c r="B4" s="20" t="s">
        <v>40</v>
      </c>
      <c r="C4" s="54" t="s">
        <v>215</v>
      </c>
      <c r="D4" s="20" t="s">
        <v>64</v>
      </c>
      <c r="E4" s="40">
        <v>46127</v>
      </c>
      <c r="F4" s="20" t="s">
        <v>165</v>
      </c>
      <c r="G4" s="8">
        <v>85142</v>
      </c>
      <c r="H4" s="8">
        <v>121954</v>
      </c>
      <c r="I4" s="8">
        <v>0</v>
      </c>
      <c r="J4" s="8">
        <v>0</v>
      </c>
      <c r="K4" s="41">
        <v>121954</v>
      </c>
      <c r="L4" s="42" t="s">
        <v>112</v>
      </c>
      <c r="M4" s="28"/>
      <c r="N4" s="30">
        <v>121954</v>
      </c>
      <c r="O4" s="43"/>
      <c r="P4" s="29"/>
    </row>
    <row r="5" spans="1:16" ht="15" customHeight="1">
      <c r="A5" s="20" t="s">
        <v>110</v>
      </c>
      <c r="B5" s="20" t="s">
        <v>40</v>
      </c>
      <c r="C5" s="39" t="s">
        <v>216</v>
      </c>
      <c r="D5" s="20" t="s">
        <v>63</v>
      </c>
      <c r="E5" s="40">
        <v>46142</v>
      </c>
      <c r="F5" s="20" t="s">
        <v>165</v>
      </c>
      <c r="G5" s="8">
        <v>44000</v>
      </c>
      <c r="H5" s="8">
        <v>44000</v>
      </c>
      <c r="I5" s="8">
        <v>44000</v>
      </c>
      <c r="J5" s="8">
        <v>0</v>
      </c>
      <c r="K5" s="41">
        <v>88000</v>
      </c>
      <c r="L5" s="42" t="s">
        <v>151</v>
      </c>
      <c r="M5" s="28"/>
      <c r="N5" s="30">
        <v>88000</v>
      </c>
      <c r="O5" s="43"/>
      <c r="P5" s="29"/>
    </row>
    <row r="6" spans="1:16" ht="23.25" customHeight="1">
      <c r="A6" s="20" t="s">
        <v>110</v>
      </c>
      <c r="B6" s="20" t="s">
        <v>40</v>
      </c>
      <c r="C6" s="39" t="s">
        <v>167</v>
      </c>
      <c r="D6" s="20" t="s">
        <v>62</v>
      </c>
      <c r="E6" s="40">
        <v>46142</v>
      </c>
      <c r="F6" s="20" t="s">
        <v>165</v>
      </c>
      <c r="G6" s="8">
        <v>5000</v>
      </c>
      <c r="H6" s="8">
        <v>5000</v>
      </c>
      <c r="I6" s="8">
        <v>0</v>
      </c>
      <c r="J6" s="8">
        <v>0</v>
      </c>
      <c r="K6" s="41">
        <v>5000</v>
      </c>
      <c r="L6" s="42" t="s">
        <v>112</v>
      </c>
      <c r="M6" s="28"/>
      <c r="N6" s="30">
        <v>5000</v>
      </c>
      <c r="O6" s="43"/>
      <c r="P6" s="29"/>
    </row>
    <row r="7" spans="1:16" ht="15" customHeight="1">
      <c r="A7" s="20" t="s">
        <v>110</v>
      </c>
      <c r="B7" s="20" t="s">
        <v>40</v>
      </c>
      <c r="C7" s="39" t="s">
        <v>217</v>
      </c>
      <c r="D7" s="20" t="s">
        <v>66</v>
      </c>
      <c r="E7" s="40">
        <v>46142</v>
      </c>
      <c r="F7" s="20" t="s">
        <v>165</v>
      </c>
      <c r="G7" s="8">
        <v>11000</v>
      </c>
      <c r="H7" s="8">
        <v>11000</v>
      </c>
      <c r="I7" s="8">
        <v>11000</v>
      </c>
      <c r="J7" s="8">
        <v>11000</v>
      </c>
      <c r="K7" s="41">
        <v>33000</v>
      </c>
      <c r="L7" s="42" t="s">
        <v>114</v>
      </c>
      <c r="M7" s="28"/>
      <c r="N7" s="30">
        <v>33000</v>
      </c>
      <c r="O7" s="43"/>
      <c r="P7" s="29"/>
    </row>
    <row r="8" spans="1:16" ht="15" customHeight="1">
      <c r="A8" s="20" t="s">
        <v>110</v>
      </c>
      <c r="B8" s="20" t="s">
        <v>40</v>
      </c>
      <c r="C8" s="39" t="s">
        <v>218</v>
      </c>
      <c r="D8" s="20" t="s">
        <v>64</v>
      </c>
      <c r="E8" s="40">
        <v>46142</v>
      </c>
      <c r="F8" s="20" t="s">
        <v>165</v>
      </c>
      <c r="G8" s="8">
        <v>12741</v>
      </c>
      <c r="H8" s="8">
        <v>12910</v>
      </c>
      <c r="I8" s="8">
        <v>0</v>
      </c>
      <c r="J8" s="8">
        <v>0</v>
      </c>
      <c r="K8" s="41">
        <v>12910</v>
      </c>
      <c r="L8" s="42" t="s">
        <v>112</v>
      </c>
      <c r="M8" s="28"/>
      <c r="N8" s="30">
        <v>12910</v>
      </c>
      <c r="O8" s="43"/>
      <c r="P8" s="29"/>
    </row>
    <row r="9" spans="1:16" ht="15" customHeight="1">
      <c r="A9" s="29"/>
      <c r="B9" s="29"/>
      <c r="C9" s="29"/>
      <c r="D9" s="29"/>
      <c r="E9" s="28"/>
      <c r="F9" s="29"/>
      <c r="G9" s="30"/>
      <c r="H9" s="30"/>
      <c r="I9" s="30"/>
      <c r="J9" s="30"/>
      <c r="K9" s="30"/>
      <c r="L9" s="42"/>
      <c r="M9" s="28"/>
      <c r="N9" s="30"/>
      <c r="O9" s="43"/>
      <c r="P9" s="29"/>
    </row>
    <row r="10" spans="1:16" ht="15" customHeight="1">
      <c r="A10" s="29"/>
      <c r="B10" s="29"/>
      <c r="C10" s="29"/>
      <c r="D10" s="29"/>
      <c r="E10" s="28"/>
      <c r="F10" s="29"/>
      <c r="G10" s="30"/>
      <c r="H10" s="30"/>
      <c r="I10" s="30"/>
      <c r="J10" s="30"/>
      <c r="K10" s="30"/>
      <c r="L10" s="42"/>
      <c r="M10" s="28"/>
      <c r="N10" s="30"/>
      <c r="O10" s="43"/>
      <c r="P10" s="29"/>
    </row>
    <row r="11" spans="1:16" ht="15" customHeight="1">
      <c r="A11" s="29"/>
      <c r="B11" s="29"/>
      <c r="C11" s="29"/>
      <c r="D11" s="29"/>
      <c r="E11" s="28"/>
      <c r="F11" s="29"/>
      <c r="G11" s="30"/>
      <c r="H11" s="30"/>
      <c r="I11" s="30"/>
      <c r="J11" s="30"/>
      <c r="K11" s="30"/>
      <c r="L11" s="42"/>
      <c r="M11" s="28"/>
      <c r="N11" s="30"/>
      <c r="O11" s="43"/>
      <c r="P11" s="29"/>
    </row>
    <row r="12" spans="1:16" ht="15" customHeight="1">
      <c r="A12" s="29"/>
      <c r="B12" s="29"/>
      <c r="C12" s="29"/>
      <c r="D12" s="29"/>
      <c r="E12" s="28"/>
      <c r="F12" s="29"/>
      <c r="G12" s="30"/>
      <c r="H12" s="30"/>
      <c r="I12" s="30"/>
      <c r="J12" s="30"/>
      <c r="K12" s="30"/>
      <c r="L12" s="42"/>
      <c r="M12" s="28"/>
      <c r="N12" s="30"/>
      <c r="O12" s="43"/>
      <c r="P12" s="29"/>
    </row>
    <row r="13" spans="1:16" ht="15" customHeight="1">
      <c r="A13" s="29"/>
      <c r="B13" s="29"/>
      <c r="C13" s="29"/>
      <c r="D13" s="29"/>
      <c r="E13" s="28"/>
      <c r="F13" s="29"/>
      <c r="G13" s="30"/>
      <c r="H13" s="30"/>
      <c r="I13" s="30"/>
      <c r="J13" s="30"/>
      <c r="K13" s="30"/>
      <c r="L13" s="42"/>
      <c r="M13" s="28"/>
      <c r="N13" s="30"/>
      <c r="O13" s="43"/>
      <c r="P13" s="29"/>
    </row>
    <row r="14" spans="1:16" ht="15" customHeight="1">
      <c r="A14" s="29"/>
      <c r="B14" s="29"/>
      <c r="C14" s="29"/>
      <c r="D14" s="29"/>
      <c r="E14" s="28"/>
      <c r="F14" s="29"/>
      <c r="G14" s="30"/>
      <c r="H14" s="30"/>
      <c r="I14" s="30"/>
      <c r="J14" s="30"/>
      <c r="K14" s="30"/>
      <c r="L14" s="42"/>
      <c r="M14" s="28"/>
      <c r="N14" s="30"/>
      <c r="O14" s="43"/>
      <c r="P14" s="29"/>
    </row>
    <row r="15" spans="1:16" ht="15" customHeight="1">
      <c r="A15" s="29"/>
      <c r="B15" s="29"/>
      <c r="C15" s="29"/>
      <c r="D15" s="29"/>
      <c r="E15" s="28"/>
      <c r="F15" s="29"/>
      <c r="G15" s="30"/>
      <c r="H15" s="30"/>
      <c r="I15" s="30"/>
      <c r="J15" s="30"/>
      <c r="K15" s="30"/>
      <c r="L15" s="42"/>
      <c r="M15" s="28"/>
      <c r="N15" s="30"/>
      <c r="O15" s="43"/>
      <c r="P15" s="29"/>
    </row>
    <row r="16" spans="1:16" ht="15" customHeight="1">
      <c r="A16" s="29"/>
      <c r="B16" s="29"/>
      <c r="C16" s="29"/>
      <c r="D16" s="29"/>
      <c r="E16" s="28"/>
      <c r="F16" s="29"/>
      <c r="G16" s="30"/>
      <c r="H16" s="30"/>
      <c r="I16" s="30"/>
      <c r="J16" s="30"/>
      <c r="K16" s="30"/>
      <c r="L16" s="42"/>
      <c r="M16" s="28"/>
      <c r="N16" s="30"/>
      <c r="O16" s="43"/>
      <c r="P16" s="29"/>
    </row>
    <row r="17" spans="1:16" ht="15" customHeight="1">
      <c r="A17" s="29"/>
      <c r="B17" s="29"/>
      <c r="C17" s="29"/>
      <c r="D17" s="29"/>
      <c r="E17" s="28"/>
      <c r="F17" s="29"/>
      <c r="G17" s="30"/>
      <c r="H17" s="30"/>
      <c r="I17" s="30"/>
      <c r="J17" s="30"/>
      <c r="K17" s="30"/>
      <c r="L17" s="42"/>
      <c r="M17" s="28"/>
      <c r="N17" s="30"/>
      <c r="O17" s="43"/>
      <c r="P17" s="29"/>
    </row>
    <row r="18" spans="1:16" ht="15" customHeight="1">
      <c r="A18" s="29"/>
      <c r="B18" s="29"/>
      <c r="C18" s="29"/>
      <c r="D18" s="29"/>
      <c r="E18" s="28"/>
      <c r="F18" s="29"/>
      <c r="G18" s="30"/>
      <c r="H18" s="30"/>
      <c r="I18" s="30"/>
      <c r="J18" s="30"/>
      <c r="K18" s="30"/>
      <c r="L18" s="42"/>
      <c r="M18" s="28"/>
      <c r="N18" s="30"/>
      <c r="O18" s="43"/>
      <c r="P18" s="29"/>
    </row>
    <row r="19" spans="1:16" ht="15" customHeight="1">
      <c r="A19" s="29"/>
      <c r="B19" s="29"/>
      <c r="C19" s="29"/>
      <c r="D19" s="29"/>
      <c r="E19" s="28"/>
      <c r="F19" s="29"/>
      <c r="G19" s="30"/>
      <c r="H19" s="30"/>
      <c r="I19" s="30"/>
      <c r="J19" s="30"/>
      <c r="K19" s="30"/>
      <c r="L19" s="42"/>
      <c r="M19" s="28"/>
      <c r="N19" s="30"/>
      <c r="O19" s="43"/>
      <c r="P19" s="29"/>
    </row>
    <row r="20" spans="1:16" ht="15" customHeight="1">
      <c r="A20" s="29"/>
      <c r="B20" s="29"/>
      <c r="C20" s="29"/>
      <c r="D20" s="29"/>
      <c r="E20" s="28"/>
      <c r="F20" s="29"/>
      <c r="G20" s="30"/>
      <c r="H20" s="30"/>
      <c r="I20" s="30"/>
      <c r="J20" s="30"/>
      <c r="K20" s="30"/>
      <c r="L20" s="42"/>
      <c r="M20" s="28"/>
      <c r="N20" s="30"/>
      <c r="O20" s="43"/>
      <c r="P20" s="29"/>
    </row>
    <row r="21" spans="1:16" ht="15" customHeight="1">
      <c r="A21" s="29"/>
      <c r="B21" s="29"/>
      <c r="C21" s="29"/>
      <c r="D21" s="29"/>
      <c r="E21" s="28"/>
      <c r="F21" s="29"/>
      <c r="G21" s="30"/>
      <c r="H21" s="30"/>
      <c r="I21" s="30"/>
      <c r="J21" s="30"/>
      <c r="K21" s="30"/>
      <c r="L21" s="42"/>
      <c r="M21" s="28"/>
      <c r="N21" s="30"/>
      <c r="O21" s="43"/>
      <c r="P21" s="29"/>
    </row>
    <row r="22" spans="1:16" ht="15" customHeight="1">
      <c r="A22" s="29"/>
      <c r="B22" s="29"/>
      <c r="C22" s="29"/>
      <c r="D22" s="29"/>
      <c r="E22" s="28"/>
      <c r="F22" s="29"/>
      <c r="G22" s="30"/>
      <c r="H22" s="30"/>
      <c r="I22" s="30"/>
      <c r="J22" s="30"/>
      <c r="K22" s="30"/>
      <c r="L22" s="42"/>
      <c r="M22" s="28"/>
      <c r="N22" s="30"/>
      <c r="O22" s="43"/>
      <c r="P22" s="29"/>
    </row>
    <row r="23" spans="1:16" ht="15" customHeight="1">
      <c r="A23" s="29"/>
      <c r="B23" s="29"/>
      <c r="C23" s="29"/>
      <c r="D23" s="29"/>
      <c r="E23" s="28"/>
      <c r="F23" s="29"/>
      <c r="G23" s="30"/>
      <c r="H23" s="30"/>
      <c r="I23" s="30"/>
      <c r="J23" s="30"/>
      <c r="K23" s="30"/>
      <c r="L23" s="42"/>
      <c r="M23" s="28"/>
      <c r="N23" s="30"/>
      <c r="O23" s="43"/>
      <c r="P23" s="29"/>
    </row>
    <row r="24" spans="1:16" ht="15" customHeight="1">
      <c r="A24" s="29"/>
      <c r="B24" s="29"/>
      <c r="C24" s="29"/>
      <c r="D24" s="29"/>
      <c r="E24" s="28"/>
      <c r="F24" s="29"/>
      <c r="G24" s="30"/>
      <c r="H24" s="30"/>
      <c r="I24" s="30"/>
      <c r="J24" s="30"/>
      <c r="K24" s="30"/>
      <c r="L24" s="42"/>
      <c r="M24" s="28"/>
      <c r="N24" s="30"/>
      <c r="O24" s="43"/>
      <c r="P24" s="29"/>
    </row>
    <row r="25" spans="1:16" ht="15" customHeight="1">
      <c r="A25" s="29"/>
      <c r="B25" s="29"/>
      <c r="C25" s="29"/>
      <c r="D25" s="29"/>
      <c r="E25" s="28"/>
      <c r="F25" s="29"/>
      <c r="G25" s="30"/>
      <c r="H25" s="30"/>
      <c r="I25" s="30"/>
      <c r="J25" s="30"/>
      <c r="K25" s="30"/>
      <c r="L25" s="42"/>
      <c r="M25" s="28"/>
      <c r="N25" s="30"/>
      <c r="O25" s="43"/>
      <c r="P25" s="29"/>
    </row>
    <row r="26" spans="1:16" ht="15" customHeight="1">
      <c r="A26" s="29"/>
      <c r="B26" s="29"/>
      <c r="C26" s="29"/>
      <c r="D26" s="29"/>
      <c r="E26" s="28"/>
      <c r="F26" s="29"/>
      <c r="G26" s="30"/>
      <c r="H26" s="30"/>
      <c r="I26" s="30"/>
      <c r="J26" s="30"/>
      <c r="K26" s="30"/>
      <c r="L26" s="42"/>
      <c r="M26" s="28"/>
      <c r="N26" s="30"/>
      <c r="O26" s="43"/>
      <c r="P26" s="29"/>
    </row>
    <row r="27" spans="1:16" ht="15" customHeight="1">
      <c r="A27" s="29"/>
      <c r="B27" s="29"/>
      <c r="C27" s="29"/>
      <c r="D27" s="29"/>
      <c r="E27" s="28"/>
      <c r="F27" s="29"/>
      <c r="G27" s="30"/>
      <c r="H27" s="30"/>
      <c r="I27" s="30"/>
      <c r="J27" s="30"/>
      <c r="K27" s="30"/>
      <c r="L27" s="42"/>
      <c r="M27" s="28"/>
      <c r="N27" s="30"/>
      <c r="O27" s="43"/>
      <c r="P27" s="29"/>
    </row>
    <row r="28" spans="1:16" ht="15" customHeight="1">
      <c r="A28" s="29"/>
      <c r="B28" s="29"/>
      <c r="C28" s="29"/>
      <c r="D28" s="29"/>
      <c r="E28" s="28"/>
      <c r="F28" s="29"/>
      <c r="G28" s="30"/>
      <c r="H28" s="30"/>
      <c r="I28" s="30"/>
      <c r="J28" s="30"/>
      <c r="K28" s="30"/>
      <c r="L28" s="42"/>
      <c r="M28" s="28"/>
      <c r="N28" s="30"/>
      <c r="O28" s="43"/>
      <c r="P28" s="29"/>
    </row>
    <row r="29" spans="1:16" ht="15" customHeight="1">
      <c r="A29" s="29"/>
      <c r="B29" s="29"/>
      <c r="C29" s="29"/>
      <c r="D29" s="29"/>
      <c r="E29" s="28"/>
      <c r="F29" s="29"/>
      <c r="G29" s="30"/>
      <c r="H29" s="30"/>
      <c r="I29" s="30"/>
      <c r="J29" s="30"/>
      <c r="K29" s="30"/>
      <c r="L29" s="42"/>
      <c r="M29" s="28"/>
      <c r="N29" s="30"/>
      <c r="O29" s="43"/>
      <c r="P29" s="29"/>
    </row>
    <row r="30" spans="1:16" ht="15" customHeight="1">
      <c r="A30" s="29"/>
      <c r="B30" s="29"/>
      <c r="C30" s="29"/>
      <c r="D30" s="29"/>
      <c r="E30" s="28"/>
      <c r="F30" s="29"/>
      <c r="G30" s="30"/>
      <c r="H30" s="30"/>
      <c r="I30" s="30"/>
      <c r="J30" s="30"/>
      <c r="K30" s="30"/>
      <c r="L30" s="42"/>
      <c r="M30" s="28"/>
      <c r="N30" s="30"/>
      <c r="O30" s="43"/>
      <c r="P30" s="29"/>
    </row>
    <row r="31" spans="1:16" ht="15" customHeight="1">
      <c r="A31" s="29"/>
      <c r="B31" s="29"/>
      <c r="C31" s="29"/>
      <c r="D31" s="29"/>
      <c r="E31" s="28"/>
      <c r="F31" s="29"/>
      <c r="G31" s="30"/>
      <c r="H31" s="30"/>
      <c r="I31" s="30"/>
      <c r="J31" s="30"/>
      <c r="K31" s="30"/>
      <c r="L31" s="42"/>
      <c r="M31" s="28"/>
      <c r="N31" s="30"/>
      <c r="O31" s="43"/>
      <c r="P31" s="29"/>
    </row>
    <row r="32" spans="1:16" ht="15" customHeight="1">
      <c r="A32" s="29"/>
      <c r="B32" s="29"/>
      <c r="C32" s="29"/>
      <c r="D32" s="29"/>
      <c r="E32" s="28"/>
      <c r="F32" s="29"/>
      <c r="G32" s="30"/>
      <c r="H32" s="30"/>
      <c r="I32" s="30"/>
      <c r="J32" s="30"/>
      <c r="K32" s="30"/>
      <c r="L32" s="42"/>
      <c r="M32" s="28"/>
      <c r="N32" s="30"/>
      <c r="O32" s="43"/>
      <c r="P32" s="29"/>
    </row>
    <row r="33" spans="1:16" ht="15" customHeight="1">
      <c r="A33" s="29"/>
      <c r="B33" s="29"/>
      <c r="C33" s="29"/>
      <c r="D33" s="29"/>
      <c r="E33" s="28"/>
      <c r="F33" s="29"/>
      <c r="G33" s="30"/>
      <c r="H33" s="30"/>
      <c r="I33" s="30"/>
      <c r="J33" s="30"/>
      <c r="K33" s="30"/>
      <c r="L33" s="42"/>
      <c r="M33" s="28"/>
      <c r="N33" s="30"/>
      <c r="O33" s="43"/>
      <c r="P33" s="29"/>
    </row>
    <row r="34" spans="1:16" ht="15" customHeight="1">
      <c r="A34" s="29"/>
      <c r="B34" s="29"/>
      <c r="C34" s="29"/>
      <c r="D34" s="29"/>
      <c r="E34" s="28"/>
      <c r="F34" s="29"/>
      <c r="G34" s="30"/>
      <c r="H34" s="30"/>
      <c r="I34" s="30"/>
      <c r="J34" s="30"/>
      <c r="K34" s="30"/>
      <c r="L34" s="42"/>
      <c r="M34" s="28"/>
      <c r="N34" s="30"/>
      <c r="O34" s="43"/>
      <c r="P34" s="29"/>
    </row>
    <row r="35" spans="1:16" ht="15" customHeight="1">
      <c r="A35" s="29"/>
      <c r="B35" s="29"/>
      <c r="C35" s="29"/>
      <c r="D35" s="29"/>
      <c r="E35" s="28"/>
      <c r="F35" s="29"/>
      <c r="G35" s="30"/>
      <c r="H35" s="30"/>
      <c r="I35" s="30"/>
      <c r="J35" s="30"/>
      <c r="K35" s="30"/>
      <c r="L35" s="42"/>
      <c r="M35" s="28"/>
      <c r="N35" s="30"/>
      <c r="O35" s="43"/>
      <c r="P35" s="29"/>
    </row>
    <row r="36" spans="1:16" ht="15" customHeight="1">
      <c r="A36" s="29"/>
      <c r="B36" s="29"/>
      <c r="C36" s="29"/>
      <c r="D36" s="29"/>
      <c r="E36" s="28"/>
      <c r="F36" s="29"/>
      <c r="G36" s="30"/>
      <c r="H36" s="30"/>
      <c r="I36" s="30"/>
      <c r="J36" s="30"/>
      <c r="K36" s="30"/>
      <c r="L36" s="42"/>
      <c r="M36" s="28"/>
      <c r="N36" s="30"/>
      <c r="O36" s="43"/>
      <c r="P36" s="29"/>
    </row>
    <row r="37" spans="1:16" ht="15" customHeight="1">
      <c r="A37" s="29"/>
      <c r="B37" s="29"/>
      <c r="C37" s="29"/>
      <c r="D37" s="29"/>
      <c r="E37" s="28"/>
      <c r="F37" s="29"/>
      <c r="G37" s="30"/>
      <c r="H37" s="30"/>
      <c r="I37" s="30"/>
      <c r="J37" s="30"/>
      <c r="K37" s="30"/>
      <c r="L37" s="42"/>
      <c r="M37" s="28"/>
      <c r="N37" s="30"/>
      <c r="O37" s="43"/>
      <c r="P37" s="29"/>
    </row>
    <row r="38" spans="1:16" ht="15" customHeight="1">
      <c r="A38" s="29"/>
      <c r="B38" s="29"/>
      <c r="C38" s="29"/>
      <c r="D38" s="29"/>
      <c r="E38" s="28"/>
      <c r="F38" s="29"/>
      <c r="G38" s="30"/>
      <c r="H38" s="30"/>
      <c r="I38" s="30"/>
      <c r="J38" s="30"/>
      <c r="K38" s="30"/>
      <c r="L38" s="42"/>
      <c r="M38" s="28"/>
      <c r="N38" s="30"/>
      <c r="O38" s="43"/>
      <c r="P38" s="29"/>
    </row>
    <row r="39" spans="1:16" ht="15" customHeight="1">
      <c r="A39" s="29"/>
      <c r="B39" s="29"/>
      <c r="C39" s="29"/>
      <c r="D39" s="29"/>
      <c r="E39" s="28"/>
      <c r="F39" s="29"/>
      <c r="G39" s="30"/>
      <c r="H39" s="30"/>
      <c r="I39" s="30"/>
      <c r="J39" s="30"/>
      <c r="K39" s="30"/>
      <c r="L39" s="42"/>
      <c r="M39" s="28"/>
      <c r="N39" s="30"/>
      <c r="O39" s="43"/>
      <c r="P39" s="29"/>
    </row>
    <row r="40" spans="1:16" ht="15" customHeight="1">
      <c r="A40" s="29"/>
      <c r="B40" s="29"/>
      <c r="C40" s="29"/>
      <c r="D40" s="29"/>
      <c r="E40" s="28"/>
      <c r="F40" s="29"/>
      <c r="G40" s="30"/>
      <c r="H40" s="30"/>
      <c r="I40" s="30"/>
      <c r="J40" s="30"/>
      <c r="K40" s="30"/>
      <c r="L40" s="42"/>
      <c r="M40" s="28"/>
      <c r="N40" s="30"/>
      <c r="O40" s="43"/>
      <c r="P40" s="29"/>
    </row>
    <row r="41" spans="1:16" ht="15" customHeight="1">
      <c r="A41" s="29"/>
      <c r="B41" s="29"/>
      <c r="C41" s="29"/>
      <c r="D41" s="29"/>
      <c r="E41" s="28"/>
      <c r="F41" s="29"/>
      <c r="G41" s="30"/>
      <c r="H41" s="30"/>
      <c r="I41" s="30"/>
      <c r="J41" s="30"/>
      <c r="K41" s="30"/>
      <c r="L41" s="42"/>
      <c r="M41" s="28"/>
      <c r="N41" s="30"/>
      <c r="O41" s="43"/>
      <c r="P41" s="29"/>
    </row>
    <row r="42" spans="1:16" ht="15" customHeight="1">
      <c r="A42" s="29"/>
      <c r="B42" s="29"/>
      <c r="C42" s="29"/>
      <c r="D42" s="29"/>
      <c r="E42" s="28"/>
      <c r="F42" s="29"/>
      <c r="G42" s="30"/>
      <c r="H42" s="30"/>
      <c r="I42" s="30"/>
      <c r="J42" s="30"/>
      <c r="K42" s="30"/>
      <c r="L42" s="42"/>
      <c r="M42" s="28"/>
      <c r="N42" s="30"/>
      <c r="O42" s="43"/>
      <c r="P42" s="29"/>
    </row>
    <row r="43" spans="1:16" ht="15" customHeight="1">
      <c r="A43" s="29"/>
      <c r="B43" s="29"/>
      <c r="C43" s="29"/>
      <c r="D43" s="29"/>
      <c r="E43" s="28"/>
      <c r="F43" s="29"/>
      <c r="G43" s="30"/>
      <c r="H43" s="30"/>
      <c r="I43" s="30"/>
      <c r="J43" s="30"/>
      <c r="K43" s="30"/>
      <c r="L43" s="42"/>
      <c r="M43" s="28"/>
      <c r="N43" s="30"/>
      <c r="O43" s="43"/>
      <c r="P43" s="29"/>
    </row>
    <row r="44" spans="1:16" ht="15" customHeight="1">
      <c r="A44" s="29"/>
      <c r="B44" s="29"/>
      <c r="C44" s="29"/>
      <c r="D44" s="29"/>
      <c r="E44" s="28"/>
      <c r="F44" s="29"/>
      <c r="G44" s="30"/>
      <c r="H44" s="30"/>
      <c r="I44" s="30"/>
      <c r="J44" s="30"/>
      <c r="K44" s="30"/>
      <c r="L44" s="42"/>
      <c r="M44" s="28"/>
      <c r="N44" s="30"/>
      <c r="O44" s="43"/>
      <c r="P44" s="29"/>
    </row>
    <row r="45" spans="1:16" ht="15" customHeight="1">
      <c r="A45" s="29"/>
      <c r="B45" s="29"/>
      <c r="C45" s="29"/>
      <c r="D45" s="29"/>
      <c r="E45" s="28"/>
      <c r="F45" s="29"/>
      <c r="G45" s="30"/>
      <c r="H45" s="30"/>
      <c r="I45" s="30"/>
      <c r="J45" s="30"/>
      <c r="K45" s="30"/>
      <c r="L45" s="42"/>
      <c r="M45" s="28"/>
      <c r="N45" s="30"/>
      <c r="O45" s="43"/>
      <c r="P45" s="29"/>
    </row>
    <row r="46" spans="1:16" ht="15" customHeight="1">
      <c r="A46" s="29"/>
      <c r="B46" s="29"/>
      <c r="C46" s="29"/>
      <c r="D46" s="29"/>
      <c r="E46" s="28"/>
      <c r="F46" s="29"/>
      <c r="G46" s="30"/>
      <c r="H46" s="30"/>
      <c r="I46" s="30"/>
      <c r="J46" s="30"/>
      <c r="K46" s="30"/>
      <c r="L46" s="42"/>
      <c r="M46" s="28"/>
      <c r="N46" s="30"/>
      <c r="O46" s="43"/>
      <c r="P46" s="29"/>
    </row>
    <row r="47" spans="1:16" ht="15" customHeight="1">
      <c r="A47" s="29"/>
      <c r="B47" s="29"/>
      <c r="C47" s="29"/>
      <c r="D47" s="29"/>
      <c r="E47" s="28"/>
      <c r="F47" s="29"/>
      <c r="G47" s="30"/>
      <c r="H47" s="30"/>
      <c r="I47" s="30"/>
      <c r="J47" s="30"/>
      <c r="K47" s="30"/>
      <c r="L47" s="42"/>
      <c r="M47" s="28"/>
      <c r="N47" s="30"/>
      <c r="O47" s="43"/>
      <c r="P47" s="29"/>
    </row>
    <row r="48" spans="1:16" ht="15" customHeight="1">
      <c r="A48" s="29"/>
      <c r="B48" s="29"/>
      <c r="C48" s="29"/>
      <c r="D48" s="29"/>
      <c r="E48" s="28"/>
      <c r="F48" s="29"/>
      <c r="G48" s="30"/>
      <c r="H48" s="30"/>
      <c r="I48" s="30"/>
      <c r="J48" s="30"/>
      <c r="K48" s="30"/>
      <c r="L48" s="42"/>
      <c r="M48" s="28"/>
      <c r="N48" s="30"/>
      <c r="O48" s="43"/>
      <c r="P48" s="29"/>
    </row>
    <row r="49" spans="1:16" ht="15" customHeight="1">
      <c r="A49" s="29"/>
      <c r="B49" s="29"/>
      <c r="C49" s="29"/>
      <c r="D49" s="29"/>
      <c r="E49" s="28"/>
      <c r="F49" s="29"/>
      <c r="G49" s="30"/>
      <c r="H49" s="30"/>
      <c r="I49" s="30"/>
      <c r="J49" s="30"/>
      <c r="K49" s="30"/>
      <c r="L49" s="42"/>
      <c r="M49" s="28"/>
      <c r="N49" s="30"/>
      <c r="O49" s="43"/>
      <c r="P49" s="29"/>
    </row>
    <row r="50" spans="1:16" ht="15" customHeight="1">
      <c r="A50" s="29"/>
      <c r="B50" s="29"/>
      <c r="C50" s="29"/>
      <c r="D50" s="29"/>
      <c r="E50" s="28"/>
      <c r="F50" s="29"/>
      <c r="G50" s="30"/>
      <c r="H50" s="30"/>
      <c r="I50" s="30"/>
      <c r="J50" s="30"/>
      <c r="K50" s="30"/>
      <c r="L50" s="42"/>
      <c r="M50" s="28"/>
      <c r="N50" s="30"/>
      <c r="O50" s="43"/>
      <c r="P50" s="29"/>
    </row>
    <row r="51" spans="1:16" ht="15" customHeight="1">
      <c r="A51" s="29"/>
      <c r="B51" s="29"/>
      <c r="C51" s="29"/>
      <c r="D51" s="29"/>
      <c r="E51" s="28"/>
      <c r="F51" s="29"/>
      <c r="G51" s="30"/>
      <c r="H51" s="30"/>
      <c r="I51" s="30"/>
      <c r="J51" s="30"/>
      <c r="K51" s="30"/>
      <c r="L51" s="42"/>
      <c r="M51" s="28"/>
      <c r="N51" s="30"/>
      <c r="O51" s="43"/>
      <c r="P51" s="29"/>
    </row>
    <row r="52" spans="1:16" ht="15" customHeight="1">
      <c r="A52" s="29"/>
      <c r="B52" s="29"/>
      <c r="C52" s="29"/>
      <c r="D52" s="29"/>
      <c r="E52" s="28"/>
      <c r="F52" s="29"/>
      <c r="G52" s="30"/>
      <c r="H52" s="30"/>
      <c r="I52" s="30"/>
      <c r="J52" s="30"/>
      <c r="K52" s="30"/>
      <c r="L52" s="42"/>
      <c r="M52" s="28"/>
      <c r="N52" s="30"/>
      <c r="O52" s="43"/>
      <c r="P52" s="29"/>
    </row>
    <row r="53" spans="1:16" ht="15" customHeight="1">
      <c r="A53" s="29"/>
      <c r="B53" s="29"/>
      <c r="C53" s="29"/>
      <c r="D53" s="29"/>
      <c r="E53" s="28"/>
      <c r="F53" s="29"/>
      <c r="G53" s="30"/>
      <c r="H53" s="30"/>
      <c r="I53" s="30"/>
      <c r="J53" s="30"/>
      <c r="K53" s="30"/>
      <c r="L53" s="42"/>
      <c r="M53" s="28"/>
      <c r="N53" s="30"/>
      <c r="O53" s="43"/>
      <c r="P53" s="29"/>
    </row>
    <row r="54" spans="1:16" ht="15" customHeight="1">
      <c r="A54" s="29"/>
      <c r="B54" s="29"/>
      <c r="C54" s="29"/>
      <c r="D54" s="29"/>
      <c r="E54" s="28"/>
      <c r="F54" s="29"/>
      <c r="G54" s="30"/>
      <c r="H54" s="30"/>
      <c r="I54" s="30"/>
      <c r="J54" s="30"/>
      <c r="K54" s="30"/>
      <c r="L54" s="42"/>
      <c r="M54" s="28"/>
      <c r="N54" s="30"/>
      <c r="O54" s="43"/>
      <c r="P54" s="29"/>
    </row>
    <row r="55" spans="1:16" ht="15" customHeight="1">
      <c r="A55" s="29"/>
      <c r="B55" s="29"/>
      <c r="C55" s="29"/>
      <c r="D55" s="29"/>
      <c r="E55" s="28"/>
      <c r="F55" s="29"/>
      <c r="G55" s="30"/>
      <c r="H55" s="30"/>
      <c r="I55" s="30"/>
      <c r="J55" s="30"/>
      <c r="K55" s="30"/>
      <c r="L55" s="42"/>
      <c r="M55" s="28"/>
      <c r="N55" s="30"/>
      <c r="O55" s="43"/>
      <c r="P55" s="29"/>
    </row>
    <row r="56" spans="1:16" ht="15" customHeight="1">
      <c r="A56" s="29"/>
      <c r="B56" s="29"/>
      <c r="C56" s="29"/>
      <c r="D56" s="29"/>
      <c r="E56" s="28"/>
      <c r="F56" s="29"/>
      <c r="G56" s="30"/>
      <c r="H56" s="30"/>
      <c r="I56" s="30"/>
      <c r="J56" s="30"/>
      <c r="K56" s="30"/>
      <c r="L56" s="42"/>
      <c r="M56" s="28"/>
      <c r="N56" s="30"/>
      <c r="O56" s="43"/>
      <c r="P56" s="29"/>
    </row>
    <row r="57" spans="1:16" ht="15" customHeight="1">
      <c r="A57" s="29"/>
      <c r="B57" s="29"/>
      <c r="C57" s="29"/>
      <c r="D57" s="29"/>
      <c r="E57" s="28"/>
      <c r="F57" s="29"/>
      <c r="G57" s="30"/>
      <c r="H57" s="30"/>
      <c r="I57" s="30"/>
      <c r="J57" s="30"/>
      <c r="K57" s="30"/>
      <c r="L57" s="42"/>
      <c r="M57" s="28"/>
      <c r="N57" s="30"/>
      <c r="O57" s="43"/>
      <c r="P57" s="29"/>
    </row>
    <row r="58" spans="1:16" ht="15" customHeight="1">
      <c r="A58" s="29"/>
      <c r="B58" s="29"/>
      <c r="C58" s="29"/>
      <c r="D58" s="29"/>
      <c r="E58" s="28"/>
      <c r="F58" s="29"/>
      <c r="G58" s="30"/>
      <c r="H58" s="30"/>
      <c r="I58" s="30"/>
      <c r="J58" s="30"/>
      <c r="K58" s="30"/>
      <c r="L58" s="42"/>
      <c r="M58" s="28"/>
      <c r="N58" s="30"/>
      <c r="O58" s="43"/>
      <c r="P58" s="29"/>
    </row>
    <row r="59" spans="1:16" ht="15" customHeight="1">
      <c r="A59" s="29"/>
      <c r="B59" s="29"/>
      <c r="C59" s="29"/>
      <c r="D59" s="29"/>
      <c r="E59" s="28"/>
      <c r="F59" s="29"/>
      <c r="G59" s="30"/>
      <c r="H59" s="30"/>
      <c r="I59" s="30"/>
      <c r="J59" s="30"/>
      <c r="K59" s="30"/>
      <c r="L59" s="42"/>
      <c r="M59" s="28"/>
      <c r="N59" s="30"/>
      <c r="O59" s="43"/>
      <c r="P59" s="29"/>
    </row>
    <row r="60" spans="1:16" ht="15" customHeight="1">
      <c r="A60" s="29"/>
      <c r="B60" s="29"/>
      <c r="C60" s="29"/>
      <c r="D60" s="29"/>
      <c r="E60" s="28"/>
      <c r="F60" s="29"/>
      <c r="G60" s="30"/>
      <c r="H60" s="30"/>
      <c r="I60" s="30"/>
      <c r="J60" s="30"/>
      <c r="K60" s="30"/>
      <c r="L60" s="42"/>
      <c r="M60" s="28"/>
      <c r="N60" s="30"/>
      <c r="O60" s="43"/>
      <c r="P60" s="29"/>
    </row>
    <row r="61" spans="1:16" ht="15" customHeight="1">
      <c r="A61" s="29"/>
      <c r="B61" s="29"/>
      <c r="C61" s="29"/>
      <c r="D61" s="29"/>
      <c r="E61" s="28"/>
      <c r="F61" s="29"/>
      <c r="G61" s="30"/>
      <c r="H61" s="30"/>
      <c r="I61" s="30"/>
      <c r="J61" s="30"/>
      <c r="K61" s="30"/>
      <c r="L61" s="42"/>
      <c r="M61" s="28"/>
      <c r="N61" s="30"/>
      <c r="O61" s="43"/>
      <c r="P61" s="29"/>
    </row>
    <row r="62" spans="1:16" ht="15" customHeight="1">
      <c r="A62" s="29"/>
      <c r="B62" s="29"/>
      <c r="C62" s="29"/>
      <c r="D62" s="29"/>
      <c r="E62" s="28"/>
      <c r="F62" s="29"/>
      <c r="G62" s="30"/>
      <c r="H62" s="30"/>
      <c r="I62" s="30"/>
      <c r="J62" s="30"/>
      <c r="K62" s="30"/>
      <c r="L62" s="42"/>
      <c r="M62" s="28"/>
      <c r="N62" s="30"/>
      <c r="O62" s="43"/>
      <c r="P62" s="29"/>
    </row>
    <row r="63" spans="1:16" ht="15" customHeight="1">
      <c r="A63" s="29"/>
      <c r="B63" s="29"/>
      <c r="C63" s="29"/>
      <c r="D63" s="29"/>
      <c r="E63" s="28"/>
      <c r="F63" s="29"/>
      <c r="G63" s="30"/>
      <c r="H63" s="30"/>
      <c r="I63" s="30"/>
      <c r="J63" s="30"/>
      <c r="K63" s="30"/>
      <c r="L63" s="42"/>
      <c r="M63" s="28"/>
      <c r="N63" s="30"/>
      <c r="O63" s="43"/>
      <c r="P63" s="29"/>
    </row>
    <row r="64" spans="1:16" ht="15" customHeight="1">
      <c r="A64" s="29"/>
      <c r="B64" s="29"/>
      <c r="C64" s="29"/>
      <c r="D64" s="29"/>
      <c r="E64" s="28"/>
      <c r="F64" s="29"/>
      <c r="G64" s="30"/>
      <c r="H64" s="30"/>
      <c r="I64" s="30"/>
      <c r="J64" s="30"/>
      <c r="K64" s="30"/>
      <c r="L64" s="42"/>
      <c r="M64" s="28"/>
      <c r="N64" s="30"/>
      <c r="O64" s="43"/>
      <c r="P64" s="29"/>
    </row>
    <row r="65" spans="1:16" ht="15" customHeight="1">
      <c r="A65" s="29"/>
      <c r="B65" s="29"/>
      <c r="C65" s="29"/>
      <c r="D65" s="29"/>
      <c r="E65" s="28"/>
      <c r="F65" s="29"/>
      <c r="G65" s="30"/>
      <c r="H65" s="30"/>
      <c r="I65" s="30"/>
      <c r="J65" s="30"/>
      <c r="K65" s="30"/>
      <c r="L65" s="42"/>
      <c r="M65" s="28"/>
      <c r="N65" s="30"/>
      <c r="O65" s="43"/>
      <c r="P65" s="29"/>
    </row>
    <row r="66" spans="1:16" ht="15" customHeight="1">
      <c r="A66" s="29"/>
      <c r="B66" s="29"/>
      <c r="C66" s="29"/>
      <c r="D66" s="29"/>
      <c r="E66" s="28"/>
      <c r="F66" s="29"/>
      <c r="G66" s="30"/>
      <c r="H66" s="30"/>
      <c r="I66" s="30"/>
      <c r="J66" s="30"/>
      <c r="K66" s="30"/>
      <c r="L66" s="42"/>
      <c r="M66" s="28"/>
      <c r="N66" s="30"/>
      <c r="O66" s="43"/>
      <c r="P66" s="29"/>
    </row>
    <row r="67" spans="1:16" ht="15" customHeight="1">
      <c r="A67" s="29"/>
      <c r="B67" s="29"/>
      <c r="C67" s="29"/>
      <c r="D67" s="29"/>
      <c r="E67" s="28"/>
      <c r="F67" s="29"/>
      <c r="G67" s="30"/>
      <c r="H67" s="30"/>
      <c r="I67" s="30"/>
      <c r="J67" s="30"/>
      <c r="K67" s="30"/>
      <c r="L67" s="42"/>
      <c r="M67" s="28"/>
      <c r="N67" s="30"/>
      <c r="O67" s="43"/>
      <c r="P67" s="29"/>
    </row>
    <row r="68" spans="1:16" ht="15" customHeight="1">
      <c r="A68" s="29"/>
      <c r="B68" s="29"/>
      <c r="C68" s="29"/>
      <c r="D68" s="29"/>
      <c r="E68" s="28"/>
      <c r="F68" s="29"/>
      <c r="G68" s="30"/>
      <c r="H68" s="30"/>
      <c r="I68" s="30"/>
      <c r="J68" s="30"/>
      <c r="K68" s="30"/>
      <c r="L68" s="42"/>
      <c r="M68" s="28"/>
      <c r="N68" s="30"/>
      <c r="O68" s="43"/>
      <c r="P68" s="29"/>
    </row>
    <row r="69" spans="1:16" ht="15" customHeight="1">
      <c r="A69" s="29"/>
      <c r="B69" s="29"/>
      <c r="C69" s="29"/>
      <c r="D69" s="29"/>
      <c r="E69" s="28"/>
      <c r="F69" s="29"/>
      <c r="G69" s="30"/>
      <c r="H69" s="30"/>
      <c r="I69" s="30"/>
      <c r="J69" s="30"/>
      <c r="K69" s="30"/>
      <c r="L69" s="42"/>
      <c r="M69" s="28"/>
      <c r="N69" s="30"/>
      <c r="O69" s="43"/>
      <c r="P69" s="29"/>
    </row>
    <row r="70" spans="1:16" ht="15" customHeight="1">
      <c r="A70" s="29"/>
      <c r="B70" s="29"/>
      <c r="C70" s="29"/>
      <c r="D70" s="29"/>
      <c r="E70" s="28"/>
      <c r="F70" s="29"/>
      <c r="G70" s="30"/>
      <c r="H70" s="30"/>
      <c r="I70" s="30"/>
      <c r="J70" s="30"/>
      <c r="K70" s="30"/>
      <c r="L70" s="42"/>
      <c r="M70" s="28"/>
      <c r="N70" s="30"/>
      <c r="O70" s="43"/>
      <c r="P70" s="29"/>
    </row>
    <row r="71" spans="1:16" ht="15" customHeight="1">
      <c r="A71" s="29"/>
      <c r="B71" s="29"/>
      <c r="C71" s="29"/>
      <c r="D71" s="29"/>
      <c r="E71" s="28"/>
      <c r="F71" s="29"/>
      <c r="G71" s="30"/>
      <c r="H71" s="30"/>
      <c r="I71" s="30"/>
      <c r="J71" s="30"/>
      <c r="K71" s="30"/>
      <c r="L71" s="42"/>
      <c r="M71" s="28"/>
      <c r="N71" s="30"/>
      <c r="O71" s="43"/>
      <c r="P71" s="29"/>
    </row>
    <row r="72" spans="1:16" ht="15" customHeight="1">
      <c r="A72" s="29"/>
      <c r="B72" s="29"/>
      <c r="C72" s="29"/>
      <c r="D72" s="29"/>
      <c r="E72" s="28"/>
      <c r="F72" s="29"/>
      <c r="G72" s="30"/>
      <c r="H72" s="30"/>
      <c r="I72" s="30"/>
      <c r="J72" s="30"/>
      <c r="K72" s="30"/>
      <c r="L72" s="42"/>
      <c r="M72" s="28"/>
      <c r="N72" s="30"/>
      <c r="O72" s="43"/>
      <c r="P72" s="29"/>
    </row>
    <row r="73" spans="1:16" ht="15" customHeight="1">
      <c r="A73" s="29"/>
      <c r="B73" s="29"/>
      <c r="C73" s="29"/>
      <c r="D73" s="29"/>
      <c r="E73" s="28"/>
      <c r="F73" s="29"/>
      <c r="G73" s="30"/>
      <c r="H73" s="30"/>
      <c r="I73" s="30"/>
      <c r="J73" s="30"/>
      <c r="K73" s="30"/>
      <c r="L73" s="42"/>
      <c r="M73" s="28"/>
      <c r="N73" s="30"/>
      <c r="O73" s="43"/>
      <c r="P73" s="29"/>
    </row>
    <row r="74" spans="1:16" ht="15" customHeight="1">
      <c r="A74" s="29"/>
      <c r="B74" s="29"/>
      <c r="C74" s="29"/>
      <c r="D74" s="29"/>
      <c r="E74" s="28"/>
      <c r="F74" s="29"/>
      <c r="G74" s="30"/>
      <c r="H74" s="30"/>
      <c r="I74" s="30"/>
      <c r="J74" s="30"/>
      <c r="K74" s="30"/>
      <c r="L74" s="42"/>
      <c r="M74" s="28"/>
      <c r="N74" s="30"/>
      <c r="O74" s="43"/>
      <c r="P74" s="29"/>
    </row>
    <row r="75" spans="1:16" ht="15" customHeight="1">
      <c r="A75" s="29"/>
      <c r="B75" s="29"/>
      <c r="C75" s="29"/>
      <c r="D75" s="29"/>
      <c r="E75" s="28"/>
      <c r="F75" s="29"/>
      <c r="G75" s="30"/>
      <c r="H75" s="30"/>
      <c r="I75" s="30"/>
      <c r="J75" s="30"/>
      <c r="K75" s="30"/>
      <c r="L75" s="42"/>
      <c r="M75" s="28"/>
      <c r="N75" s="30"/>
      <c r="O75" s="43"/>
      <c r="P75" s="29"/>
    </row>
    <row r="76" spans="1:16" ht="15" customHeight="1">
      <c r="A76" s="29"/>
      <c r="B76" s="29"/>
      <c r="C76" s="29"/>
      <c r="D76" s="29"/>
      <c r="E76" s="28"/>
      <c r="F76" s="29"/>
      <c r="G76" s="30"/>
      <c r="H76" s="30"/>
      <c r="I76" s="30"/>
      <c r="J76" s="30"/>
      <c r="K76" s="30"/>
      <c r="L76" s="42"/>
      <c r="M76" s="28"/>
      <c r="N76" s="30"/>
      <c r="O76" s="43"/>
      <c r="P76" s="29"/>
    </row>
    <row r="77" spans="1:16" ht="15" customHeight="1">
      <c r="A77" s="29"/>
      <c r="B77" s="29"/>
      <c r="C77" s="29"/>
      <c r="D77" s="29"/>
      <c r="E77" s="28"/>
      <c r="F77" s="29"/>
      <c r="G77" s="30"/>
      <c r="H77" s="30"/>
      <c r="I77" s="30"/>
      <c r="J77" s="30"/>
      <c r="K77" s="30"/>
      <c r="L77" s="42"/>
      <c r="M77" s="28"/>
      <c r="N77" s="30"/>
      <c r="O77" s="43"/>
      <c r="P77" s="29"/>
    </row>
    <row r="78" spans="1:16" ht="15" customHeight="1">
      <c r="A78" s="29"/>
      <c r="B78" s="29"/>
      <c r="C78" s="29"/>
      <c r="D78" s="29"/>
      <c r="E78" s="28"/>
      <c r="F78" s="29"/>
      <c r="G78" s="30"/>
      <c r="H78" s="30"/>
      <c r="I78" s="30"/>
      <c r="J78" s="30"/>
      <c r="K78" s="30"/>
      <c r="L78" s="42"/>
      <c r="M78" s="28"/>
      <c r="N78" s="30"/>
      <c r="O78" s="43"/>
      <c r="P78" s="29"/>
    </row>
    <row r="79" spans="1:16" ht="15" customHeight="1">
      <c r="A79" s="29"/>
      <c r="B79" s="29"/>
      <c r="C79" s="29"/>
      <c r="D79" s="29"/>
      <c r="E79" s="28"/>
      <c r="F79" s="29"/>
      <c r="G79" s="30"/>
      <c r="H79" s="30"/>
      <c r="I79" s="30"/>
      <c r="J79" s="30"/>
      <c r="K79" s="30"/>
      <c r="L79" s="42"/>
      <c r="M79" s="28"/>
      <c r="N79" s="30"/>
      <c r="O79" s="43"/>
      <c r="P79" s="29"/>
    </row>
    <row r="80" spans="1:16" ht="15" customHeight="1">
      <c r="A80" s="29"/>
      <c r="B80" s="29"/>
      <c r="C80" s="29"/>
      <c r="D80" s="29"/>
      <c r="E80" s="28"/>
      <c r="F80" s="29"/>
      <c r="G80" s="30"/>
      <c r="H80" s="30"/>
      <c r="I80" s="30"/>
      <c r="J80" s="30"/>
      <c r="K80" s="30"/>
      <c r="L80" s="42"/>
      <c r="M80" s="28"/>
      <c r="N80" s="30"/>
      <c r="O80" s="43"/>
      <c r="P80" s="29"/>
    </row>
    <row r="81" spans="1:16" ht="15" customHeight="1">
      <c r="A81" s="29"/>
      <c r="B81" s="29"/>
      <c r="C81" s="29"/>
      <c r="D81" s="29"/>
      <c r="E81" s="28"/>
      <c r="F81" s="29"/>
      <c r="G81" s="30"/>
      <c r="H81" s="30"/>
      <c r="I81" s="30"/>
      <c r="J81" s="30"/>
      <c r="K81" s="30"/>
      <c r="L81" s="42"/>
      <c r="M81" s="28"/>
      <c r="N81" s="30"/>
      <c r="O81" s="43"/>
      <c r="P81" s="29"/>
    </row>
    <row r="82" spans="1:16" ht="15" customHeight="1">
      <c r="A82" s="29"/>
      <c r="B82" s="29"/>
      <c r="C82" s="29"/>
      <c r="D82" s="29"/>
      <c r="E82" s="28"/>
      <c r="F82" s="29"/>
      <c r="G82" s="30"/>
      <c r="H82" s="30"/>
      <c r="I82" s="30"/>
      <c r="J82" s="30"/>
      <c r="K82" s="30"/>
      <c r="L82" s="42"/>
      <c r="M82" s="28"/>
      <c r="N82" s="30"/>
      <c r="O82" s="43"/>
      <c r="P82" s="29"/>
    </row>
    <row r="83" spans="1:16" ht="15" customHeight="1">
      <c r="A83" s="29"/>
      <c r="B83" s="29"/>
      <c r="C83" s="29"/>
      <c r="D83" s="29"/>
      <c r="E83" s="28"/>
      <c r="F83" s="29"/>
      <c r="G83" s="30"/>
      <c r="H83" s="30"/>
      <c r="I83" s="30"/>
      <c r="J83" s="30"/>
      <c r="K83" s="30"/>
      <c r="L83" s="42"/>
      <c r="M83" s="28"/>
      <c r="N83" s="30"/>
      <c r="O83" s="43"/>
      <c r="P83" s="29"/>
    </row>
    <row r="84" spans="1:16" ht="15" customHeight="1">
      <c r="A84" s="29"/>
      <c r="B84" s="29"/>
      <c r="C84" s="29"/>
      <c r="D84" s="29"/>
      <c r="E84" s="28"/>
      <c r="F84" s="29"/>
      <c r="G84" s="30"/>
      <c r="H84" s="30"/>
      <c r="I84" s="30"/>
      <c r="J84" s="30"/>
      <c r="K84" s="30"/>
      <c r="L84" s="42"/>
      <c r="M84" s="28"/>
      <c r="N84" s="30"/>
      <c r="O84" s="43"/>
      <c r="P84" s="29"/>
    </row>
    <row r="85" spans="1:16" ht="15" customHeight="1">
      <c r="A85" s="29"/>
      <c r="B85" s="29"/>
      <c r="C85" s="29"/>
      <c r="D85" s="29"/>
      <c r="E85" s="28"/>
      <c r="F85" s="29"/>
      <c r="G85" s="30"/>
      <c r="H85" s="30"/>
      <c r="I85" s="30"/>
      <c r="J85" s="30"/>
      <c r="K85" s="30"/>
      <c r="L85" s="42"/>
      <c r="M85" s="28"/>
      <c r="N85" s="30"/>
      <c r="O85" s="43"/>
      <c r="P85" s="29"/>
    </row>
    <row r="86" spans="1:16" ht="15" customHeight="1">
      <c r="A86" s="29"/>
      <c r="B86" s="29"/>
      <c r="C86" s="29"/>
      <c r="D86" s="29"/>
      <c r="E86" s="28"/>
      <c r="F86" s="29"/>
      <c r="G86" s="30"/>
      <c r="H86" s="30"/>
      <c r="I86" s="30"/>
      <c r="J86" s="30"/>
      <c r="K86" s="30"/>
      <c r="L86" s="42"/>
      <c r="M86" s="28"/>
      <c r="N86" s="30"/>
      <c r="O86" s="43"/>
      <c r="P86" s="29"/>
    </row>
    <row r="87" spans="1:16" ht="15" customHeight="1">
      <c r="A87" s="29"/>
      <c r="B87" s="29"/>
      <c r="C87" s="29"/>
      <c r="D87" s="29"/>
      <c r="E87" s="28"/>
      <c r="F87" s="29"/>
      <c r="G87" s="30"/>
      <c r="H87" s="30"/>
      <c r="I87" s="30"/>
      <c r="J87" s="30"/>
      <c r="K87" s="30"/>
      <c r="L87" s="42"/>
      <c r="M87" s="28"/>
      <c r="N87" s="30"/>
      <c r="O87" s="43"/>
      <c r="P87" s="29"/>
    </row>
    <row r="88" spans="1:16" ht="15" customHeight="1">
      <c r="A88" s="29"/>
      <c r="B88" s="29"/>
      <c r="C88" s="29"/>
      <c r="D88" s="29"/>
      <c r="E88" s="28"/>
      <c r="F88" s="29"/>
      <c r="G88" s="30"/>
      <c r="H88" s="30"/>
      <c r="I88" s="30"/>
      <c r="J88" s="30"/>
      <c r="K88" s="30"/>
      <c r="L88" s="42"/>
      <c r="M88" s="28"/>
      <c r="N88" s="30"/>
      <c r="O88" s="43"/>
      <c r="P88" s="29"/>
    </row>
    <row r="89" spans="1:16" ht="15" customHeight="1">
      <c r="A89" s="29"/>
      <c r="B89" s="29"/>
      <c r="C89" s="29"/>
      <c r="D89" s="29"/>
      <c r="E89" s="28"/>
      <c r="F89" s="29"/>
      <c r="G89" s="30"/>
      <c r="H89" s="30"/>
      <c r="I89" s="30"/>
      <c r="J89" s="30"/>
      <c r="K89" s="30"/>
      <c r="L89" s="42"/>
      <c r="M89" s="28"/>
      <c r="N89" s="30"/>
      <c r="O89" s="43"/>
      <c r="P89" s="29"/>
    </row>
    <row r="90" spans="1:16" ht="15" customHeight="1">
      <c r="A90" s="29"/>
      <c r="B90" s="29"/>
      <c r="C90" s="29"/>
      <c r="D90" s="29"/>
      <c r="E90" s="28"/>
      <c r="F90" s="29"/>
      <c r="G90" s="30"/>
      <c r="H90" s="30"/>
      <c r="I90" s="30"/>
      <c r="J90" s="30"/>
      <c r="K90" s="30"/>
      <c r="L90" s="42"/>
      <c r="M90" s="28"/>
      <c r="N90" s="30"/>
      <c r="O90" s="43"/>
      <c r="P90" s="29"/>
    </row>
    <row r="91" spans="1:16" ht="15" customHeight="1">
      <c r="A91" s="29"/>
      <c r="B91" s="29"/>
      <c r="C91" s="29"/>
      <c r="D91" s="29"/>
      <c r="E91" s="28"/>
      <c r="F91" s="29"/>
      <c r="G91" s="30"/>
      <c r="H91" s="30"/>
      <c r="I91" s="30"/>
      <c r="J91" s="30"/>
      <c r="K91" s="30"/>
      <c r="L91" s="42"/>
      <c r="M91" s="28"/>
      <c r="N91" s="30"/>
      <c r="O91" s="43"/>
      <c r="P91" s="29"/>
    </row>
    <row r="92" spans="1:16" ht="15" customHeight="1">
      <c r="A92" s="29"/>
      <c r="B92" s="29"/>
      <c r="C92" s="29"/>
      <c r="D92" s="29"/>
      <c r="E92" s="28"/>
      <c r="F92" s="29"/>
      <c r="G92" s="30"/>
      <c r="H92" s="30"/>
      <c r="I92" s="30"/>
      <c r="J92" s="30"/>
      <c r="K92" s="30"/>
      <c r="L92" s="42"/>
      <c r="M92" s="28"/>
      <c r="N92" s="30"/>
      <c r="O92" s="43"/>
      <c r="P92" s="29"/>
    </row>
    <row r="93" spans="1:16" ht="15" customHeight="1">
      <c r="A93" s="29"/>
      <c r="B93" s="29"/>
      <c r="C93" s="29"/>
      <c r="D93" s="29"/>
      <c r="E93" s="28"/>
      <c r="F93" s="29"/>
      <c r="G93" s="30"/>
      <c r="H93" s="30"/>
      <c r="I93" s="30"/>
      <c r="J93" s="30"/>
      <c r="K93" s="30"/>
      <c r="L93" s="42"/>
      <c r="M93" s="28"/>
      <c r="N93" s="30"/>
      <c r="O93" s="43"/>
      <c r="P93" s="29"/>
    </row>
    <row r="94" spans="1:16" ht="15" customHeight="1">
      <c r="A94" s="29"/>
      <c r="B94" s="29"/>
      <c r="C94" s="29"/>
      <c r="D94" s="29"/>
      <c r="E94" s="28"/>
      <c r="F94" s="29"/>
      <c r="G94" s="30"/>
      <c r="H94" s="30"/>
      <c r="I94" s="30"/>
      <c r="J94" s="30"/>
      <c r="K94" s="30"/>
      <c r="L94" s="42"/>
      <c r="M94" s="28"/>
      <c r="N94" s="30"/>
      <c r="O94" s="43"/>
      <c r="P94" s="29"/>
    </row>
    <row r="95" spans="1:16" ht="15" customHeight="1">
      <c r="A95" s="29"/>
      <c r="B95" s="29"/>
      <c r="C95" s="29"/>
      <c r="D95" s="29"/>
      <c r="E95" s="28"/>
      <c r="F95" s="29"/>
      <c r="G95" s="30"/>
      <c r="H95" s="30"/>
      <c r="I95" s="30"/>
      <c r="J95" s="30"/>
      <c r="K95" s="30"/>
      <c r="L95" s="42"/>
      <c r="M95" s="28"/>
      <c r="N95" s="30"/>
      <c r="O95" s="43"/>
      <c r="P95" s="29"/>
    </row>
    <row r="96" spans="1:16" ht="15" customHeight="1">
      <c r="A96" s="29"/>
      <c r="B96" s="29"/>
      <c r="C96" s="29"/>
      <c r="D96" s="29"/>
      <c r="E96" s="28"/>
      <c r="F96" s="29"/>
      <c r="G96" s="30"/>
      <c r="H96" s="30"/>
      <c r="I96" s="30"/>
      <c r="J96" s="30"/>
      <c r="K96" s="30"/>
      <c r="L96" s="42"/>
      <c r="M96" s="28"/>
      <c r="N96" s="30"/>
      <c r="O96" s="43"/>
      <c r="P96" s="29"/>
    </row>
    <row r="97" spans="1:16" ht="15" customHeight="1">
      <c r="A97" s="29"/>
      <c r="B97" s="29"/>
      <c r="C97" s="29"/>
      <c r="D97" s="29"/>
      <c r="E97" s="28"/>
      <c r="F97" s="29"/>
      <c r="G97" s="30"/>
      <c r="H97" s="30"/>
      <c r="I97" s="30"/>
      <c r="J97" s="30"/>
      <c r="K97" s="30"/>
      <c r="L97" s="42"/>
      <c r="M97" s="28"/>
      <c r="N97" s="30"/>
      <c r="O97" s="43"/>
      <c r="P97" s="29"/>
    </row>
    <row r="98" spans="1:16" ht="15" customHeight="1">
      <c r="A98" s="29"/>
      <c r="B98" s="29"/>
      <c r="C98" s="29"/>
      <c r="D98" s="29"/>
      <c r="E98" s="28"/>
      <c r="F98" s="29"/>
      <c r="G98" s="30"/>
      <c r="H98" s="30"/>
      <c r="I98" s="30"/>
      <c r="J98" s="30"/>
      <c r="K98" s="30"/>
      <c r="L98" s="42"/>
      <c r="M98" s="28"/>
      <c r="N98" s="30"/>
      <c r="O98" s="43"/>
      <c r="P98" s="29"/>
    </row>
    <row r="99" spans="1:16" ht="15" customHeight="1">
      <c r="A99" s="29"/>
      <c r="B99" s="29"/>
      <c r="C99" s="29"/>
      <c r="D99" s="29"/>
      <c r="E99" s="28"/>
      <c r="F99" s="29"/>
      <c r="G99" s="30"/>
      <c r="H99" s="30"/>
      <c r="I99" s="30"/>
      <c r="J99" s="30"/>
      <c r="K99" s="30"/>
      <c r="L99" s="42"/>
      <c r="M99" s="28"/>
      <c r="N99" s="30"/>
      <c r="O99" s="43"/>
      <c r="P99" s="29"/>
    </row>
    <row r="100" spans="1:16" ht="15" customHeight="1">
      <c r="A100" s="29"/>
      <c r="B100" s="29"/>
      <c r="C100" s="29"/>
      <c r="D100" s="29"/>
      <c r="E100" s="28"/>
      <c r="F100" s="29"/>
      <c r="G100" s="30"/>
      <c r="H100" s="30"/>
      <c r="I100" s="30"/>
      <c r="J100" s="30"/>
      <c r="K100" s="30"/>
      <c r="L100" s="42"/>
      <c r="M100" s="28"/>
      <c r="N100" s="30"/>
      <c r="O100" s="43"/>
      <c r="P100" s="29"/>
    </row>
    <row r="101" spans="1:16" ht="15" customHeight="1">
      <c r="A101" s="29"/>
      <c r="B101" s="29"/>
      <c r="C101" s="29"/>
      <c r="D101" s="29"/>
      <c r="E101" s="28"/>
      <c r="F101" s="29"/>
      <c r="G101" s="30"/>
      <c r="H101" s="30"/>
      <c r="I101" s="30"/>
      <c r="J101" s="30"/>
      <c r="K101" s="30"/>
      <c r="L101" s="42"/>
      <c r="M101" s="28"/>
      <c r="N101" s="30"/>
      <c r="O101" s="43"/>
      <c r="P101" s="29"/>
    </row>
    <row r="102" spans="1:16" ht="15" customHeight="1">
      <c r="A102" s="29"/>
      <c r="B102" s="29"/>
      <c r="C102" s="29"/>
      <c r="D102" s="29"/>
      <c r="E102" s="28"/>
      <c r="F102" s="29"/>
      <c r="G102" s="30"/>
      <c r="H102" s="30"/>
      <c r="I102" s="30"/>
      <c r="J102" s="30"/>
      <c r="K102" s="30"/>
      <c r="L102" s="42"/>
      <c r="M102" s="28"/>
      <c r="N102" s="30"/>
      <c r="O102" s="43"/>
      <c r="P102" s="29"/>
    </row>
    <row r="103" spans="1:16" ht="15" customHeight="1">
      <c r="A103" s="29"/>
      <c r="B103" s="29"/>
      <c r="C103" s="29"/>
      <c r="D103" s="29"/>
      <c r="E103" s="28"/>
      <c r="F103" s="29"/>
      <c r="G103" s="30"/>
      <c r="H103" s="30"/>
      <c r="I103" s="30"/>
      <c r="J103" s="30"/>
      <c r="K103" s="30"/>
      <c r="L103" s="42"/>
      <c r="M103" s="28"/>
      <c r="N103" s="30"/>
      <c r="O103" s="43"/>
      <c r="P103" s="29"/>
    </row>
    <row r="104" spans="1:16" ht="15" customHeight="1">
      <c r="A104" s="83" t="s">
        <v>44</v>
      </c>
      <c r="B104" s="83"/>
      <c r="C104" s="83"/>
      <c r="D104" s="83"/>
      <c r="E104" s="83"/>
      <c r="F104" s="83"/>
      <c r="G104" s="12">
        <f>SUM(G4:G103)</f>
        <v>157883</v>
      </c>
      <c r="H104" s="12">
        <f>SUM(H4:H103)</f>
        <v>194864</v>
      </c>
      <c r="I104" s="12">
        <f>SUM(I4:I103)</f>
        <v>55000</v>
      </c>
      <c r="J104" s="12">
        <f>SUM(J4:J103)</f>
        <v>11000</v>
      </c>
      <c r="K104" s="12">
        <f>SUM(K4:K103)</f>
        <v>260864</v>
      </c>
      <c r="L104" s="32" t="str">
        <f>COUNTA(L4:L103)&amp;"件"</f>
        <v>5件</v>
      </c>
      <c r="M104" s="32" t="str">
        <f>COUNTA(M4:M103)&amp;"件予定"</f>
        <v>0件予定</v>
      </c>
      <c r="N104" s="12">
        <f>SUM(N4:N103)</f>
        <v>260864</v>
      </c>
      <c r="P104" s="32"/>
    </row>
    <row r="106" spans="1:16">
      <c r="A106" s="87" t="s">
        <v>115</v>
      </c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44" t="str">
        <f>COUNTIF(O4:O103,"済")&amp;"件"</f>
        <v>0件</v>
      </c>
      <c r="N106" s="45">
        <f>SUMIF(O4:O103,"済",N4:N103)</f>
        <v>0</v>
      </c>
      <c r="O106" s="46"/>
      <c r="P106" s="46"/>
    </row>
    <row r="107" spans="1:16">
      <c r="A107" s="88" t="s">
        <v>116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47" t="str">
        <f>COUNTIFS(N4:N103,"&gt;0",O4:O103,"")&amp;"件"</f>
        <v>5件</v>
      </c>
      <c r="N107" s="48">
        <f>SUMIFS(N4:N103,O4:O103,"")</f>
        <v>260864</v>
      </c>
      <c r="O107" s="49"/>
      <c r="P107" s="49"/>
    </row>
    <row r="108" spans="1:16">
      <c r="A108" s="86" t="s">
        <v>117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50" t="str">
        <f>COUNTIF(O4:O103,"取消")&amp;"件"</f>
        <v>0件</v>
      </c>
      <c r="N108" s="51">
        <f>SUMIF(O4:O103,"取消",N4:N103)</f>
        <v>0</v>
      </c>
      <c r="O108" s="52"/>
      <c r="P108" s="52"/>
    </row>
  </sheetData>
  <mergeCells count="6">
    <mergeCell ref="A108:L108"/>
    <mergeCell ref="A1:P1"/>
    <mergeCell ref="G2:P2"/>
    <mergeCell ref="A104:F104"/>
    <mergeCell ref="A106:L106"/>
    <mergeCell ref="A107:L107"/>
  </mergeCells>
  <phoneticPr fontId="46"/>
  <conditionalFormatting sqref="A4:O103">
    <cfRule type="expression" dxfId="39" priority="2">
      <formula>$L4="高"</formula>
    </cfRule>
    <cfRule type="expression" dxfId="38" priority="3">
      <formula>$L4="中"</formula>
    </cfRule>
    <cfRule type="expression" dxfId="37" priority="4">
      <formula>$L4="低"</formula>
    </cfRule>
    <cfRule type="expression" dxfId="36" priority="5">
      <formula>$L4="月次"</formula>
    </cfRule>
  </conditionalFormatting>
  <conditionalFormatting sqref="A4:P103">
    <cfRule type="expression" dxfId="35" priority="10">
      <formula>$O4="済"</formula>
    </cfRule>
    <cfRule type="expression" dxfId="34" priority="11">
      <formula>$O4="取消"</formula>
    </cfRule>
  </conditionalFormatting>
  <conditionalFormatting sqref="L4:L103">
    <cfRule type="cellIs" dxfId="33" priority="6" operator="equal">
      <formula>"高"</formula>
    </cfRule>
    <cfRule type="cellIs" dxfId="32" priority="7" operator="equal">
      <formula>"中"</formula>
    </cfRule>
    <cfRule type="cellIs" dxfId="31" priority="8" operator="equal">
      <formula>"低"</formula>
    </cfRule>
    <cfRule type="cellIs" dxfId="30" priority="9" operator="equal">
      <formula>"月次"</formula>
    </cfRule>
  </conditionalFormatting>
  <dataValidations count="3">
    <dataValidation type="list" allowBlank="1" sqref="L4:L103" xr:uid="{00000000-0002-0000-0C00-000000000000}">
      <formula1>"高,中,低,月次"</formula1>
      <formula2>0</formula2>
    </dataValidation>
    <dataValidation type="date" allowBlank="1" sqref="M4:M103" xr:uid="{00000000-0002-0000-0C00-000001000000}">
      <formula1>0</formula1>
      <formula2>0</formula2>
    </dataValidation>
    <dataValidation type="list" allowBlank="1" prompt="支払状況を選択（済/取消）" sqref="O4:O103" xr:uid="{00000000-0002-0000-0C00-000002000000}">
      <formula1>"済,取消"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5"/>
  <sheetViews>
    <sheetView zoomScaleNormal="100" workbookViewId="0">
      <pane ySplit="3" topLeftCell="A4" activePane="bottomLeft" state="frozen"/>
      <selection pane="bottomLeft" sqref="A1:E1"/>
    </sheetView>
  </sheetViews>
  <sheetFormatPr defaultColWidth="8.7109375" defaultRowHeight="15"/>
  <cols>
    <col min="1" max="1" width="14" customWidth="1"/>
    <col min="2" max="2" width="24" customWidth="1"/>
    <col min="3" max="3" width="16" customWidth="1"/>
    <col min="4" max="4" width="12" customWidth="1"/>
    <col min="5" max="5" width="24" customWidth="1"/>
  </cols>
  <sheetData>
    <row r="1" spans="1:5" ht="27.75" customHeight="1">
      <c r="A1" s="90" t="s">
        <v>219</v>
      </c>
      <c r="B1" s="90"/>
      <c r="C1" s="90"/>
      <c r="D1" s="90"/>
      <c r="E1" s="90"/>
    </row>
    <row r="2" spans="1:5" ht="15" customHeight="1">
      <c r="A2" s="85" t="s">
        <v>119</v>
      </c>
      <c r="B2" s="85"/>
      <c r="C2" s="85"/>
      <c r="D2" s="85"/>
      <c r="E2" s="85"/>
    </row>
    <row r="3" spans="1:5" ht="15" customHeight="1">
      <c r="A3" s="6" t="s">
        <v>120</v>
      </c>
      <c r="B3" s="6" t="s">
        <v>121</v>
      </c>
      <c r="C3" s="6" t="s">
        <v>122</v>
      </c>
      <c r="D3" s="6" t="s">
        <v>85</v>
      </c>
      <c r="E3" s="6" t="s">
        <v>50</v>
      </c>
    </row>
    <row r="4" spans="1:5" ht="15" customHeight="1">
      <c r="A4" s="28"/>
      <c r="B4" s="53"/>
      <c r="C4" s="30"/>
      <c r="D4" s="31"/>
      <c r="E4" s="53"/>
    </row>
    <row r="5" spans="1:5" ht="15" customHeight="1">
      <c r="A5" s="28"/>
      <c r="B5" s="53"/>
      <c r="C5" s="30"/>
      <c r="D5" s="31"/>
      <c r="E5" s="53"/>
    </row>
    <row r="6" spans="1:5" ht="15" customHeight="1">
      <c r="A6" s="28"/>
      <c r="B6" s="53"/>
      <c r="C6" s="30"/>
      <c r="D6" s="31"/>
      <c r="E6" s="53"/>
    </row>
    <row r="7" spans="1:5" ht="15" customHeight="1">
      <c r="A7" s="28"/>
      <c r="B7" s="53"/>
      <c r="C7" s="30"/>
      <c r="D7" s="31"/>
      <c r="E7" s="53"/>
    </row>
    <row r="8" spans="1:5" ht="15" customHeight="1">
      <c r="A8" s="28"/>
      <c r="B8" s="53"/>
      <c r="C8" s="30"/>
      <c r="D8" s="31"/>
      <c r="E8" s="53"/>
    </row>
    <row r="9" spans="1:5" ht="15" customHeight="1">
      <c r="A9" s="28"/>
      <c r="B9" s="53"/>
      <c r="C9" s="30"/>
      <c r="D9" s="31"/>
      <c r="E9" s="53"/>
    </row>
    <row r="10" spans="1:5" ht="15" customHeight="1">
      <c r="A10" s="28"/>
      <c r="B10" s="53"/>
      <c r="C10" s="30"/>
      <c r="D10" s="31"/>
      <c r="E10" s="53"/>
    </row>
    <row r="11" spans="1:5" ht="15" customHeight="1">
      <c r="A11" s="28"/>
      <c r="B11" s="53"/>
      <c r="C11" s="30"/>
      <c r="D11" s="31"/>
      <c r="E11" s="53"/>
    </row>
    <row r="12" spans="1:5" ht="15" customHeight="1">
      <c r="A12" s="28"/>
      <c r="B12" s="53"/>
      <c r="C12" s="30"/>
      <c r="D12" s="31"/>
      <c r="E12" s="53"/>
    </row>
    <row r="13" spans="1:5" ht="15" customHeight="1">
      <c r="A13" s="28"/>
      <c r="B13" s="53"/>
      <c r="C13" s="30"/>
      <c r="D13" s="31"/>
      <c r="E13" s="53"/>
    </row>
    <row r="14" spans="1:5" ht="15" customHeight="1">
      <c r="A14" s="28"/>
      <c r="B14" s="53"/>
      <c r="C14" s="30"/>
      <c r="D14" s="31"/>
      <c r="E14" s="53"/>
    </row>
    <row r="15" spans="1:5" ht="15" customHeight="1">
      <c r="A15" s="28"/>
      <c r="B15" s="53"/>
      <c r="C15" s="30"/>
      <c r="D15" s="31"/>
      <c r="E15" s="53"/>
    </row>
    <row r="16" spans="1:5" ht="15" customHeight="1">
      <c r="A16" s="28"/>
      <c r="B16" s="53"/>
      <c r="C16" s="30"/>
      <c r="D16" s="31"/>
      <c r="E16" s="53"/>
    </row>
    <row r="17" spans="1:5" ht="15" customHeight="1">
      <c r="A17" s="28"/>
      <c r="B17" s="53"/>
      <c r="C17" s="30"/>
      <c r="D17" s="31"/>
      <c r="E17" s="53"/>
    </row>
    <row r="18" spans="1:5" ht="15" customHeight="1">
      <c r="A18" s="28"/>
      <c r="B18" s="53"/>
      <c r="C18" s="30"/>
      <c r="D18" s="31"/>
      <c r="E18" s="53"/>
    </row>
    <row r="19" spans="1:5" ht="15" customHeight="1">
      <c r="A19" s="28"/>
      <c r="B19" s="53"/>
      <c r="C19" s="30"/>
      <c r="D19" s="31"/>
      <c r="E19" s="53"/>
    </row>
    <row r="20" spans="1:5" ht="15" customHeight="1">
      <c r="A20" s="28"/>
      <c r="B20" s="53"/>
      <c r="C20" s="30"/>
      <c r="D20" s="31"/>
      <c r="E20" s="53"/>
    </row>
    <row r="21" spans="1:5" ht="15" customHeight="1">
      <c r="A21" s="28"/>
      <c r="B21" s="53"/>
      <c r="C21" s="30"/>
      <c r="D21" s="31"/>
      <c r="E21" s="53"/>
    </row>
    <row r="22" spans="1:5" ht="15" customHeight="1">
      <c r="A22" s="28"/>
      <c r="B22" s="53"/>
      <c r="C22" s="30"/>
      <c r="D22" s="31"/>
      <c r="E22" s="53"/>
    </row>
    <row r="23" spans="1:5" ht="15" customHeight="1">
      <c r="A23" s="28"/>
      <c r="B23" s="53"/>
      <c r="C23" s="30"/>
      <c r="D23" s="31"/>
      <c r="E23" s="53"/>
    </row>
    <row r="24" spans="1:5" ht="15" customHeight="1">
      <c r="A24" s="28"/>
      <c r="B24" s="53"/>
      <c r="C24" s="30"/>
      <c r="D24" s="31"/>
      <c r="E24" s="53"/>
    </row>
    <row r="25" spans="1:5" ht="15" customHeight="1">
      <c r="A25" s="28"/>
      <c r="B25" s="53"/>
      <c r="C25" s="30"/>
      <c r="D25" s="31"/>
      <c r="E25" s="53"/>
    </row>
    <row r="26" spans="1:5" ht="15" customHeight="1">
      <c r="A26" s="28"/>
      <c r="B26" s="53"/>
      <c r="C26" s="30"/>
      <c r="D26" s="31"/>
      <c r="E26" s="53"/>
    </row>
    <row r="27" spans="1:5" ht="15" customHeight="1">
      <c r="A27" s="28"/>
      <c r="B27" s="53"/>
      <c r="C27" s="30"/>
      <c r="D27" s="31"/>
      <c r="E27" s="53"/>
    </row>
    <row r="28" spans="1:5" ht="15" customHeight="1">
      <c r="A28" s="28"/>
      <c r="B28" s="53"/>
      <c r="C28" s="30"/>
      <c r="D28" s="31"/>
      <c r="E28" s="53"/>
    </row>
    <row r="29" spans="1:5" ht="15" customHeight="1">
      <c r="A29" s="28"/>
      <c r="B29" s="53"/>
      <c r="C29" s="30"/>
      <c r="D29" s="31"/>
      <c r="E29" s="53"/>
    </row>
    <row r="30" spans="1:5" ht="15" customHeight="1">
      <c r="A30" s="28"/>
      <c r="B30" s="53"/>
      <c r="C30" s="30"/>
      <c r="D30" s="31"/>
      <c r="E30" s="53"/>
    </row>
    <row r="31" spans="1:5" ht="15" customHeight="1">
      <c r="A31" s="28"/>
      <c r="B31" s="53"/>
      <c r="C31" s="30"/>
      <c r="D31" s="31"/>
      <c r="E31" s="53"/>
    </row>
    <row r="32" spans="1:5" ht="15" customHeight="1">
      <c r="A32" s="28"/>
      <c r="B32" s="53"/>
      <c r="C32" s="30"/>
      <c r="D32" s="31"/>
      <c r="E32" s="53"/>
    </row>
    <row r="33" spans="1:5" ht="15" customHeight="1">
      <c r="A33" s="28"/>
      <c r="B33" s="53"/>
      <c r="C33" s="30"/>
      <c r="D33" s="31"/>
      <c r="E33" s="53"/>
    </row>
    <row r="34" spans="1:5" ht="15" customHeight="1">
      <c r="A34" s="28"/>
      <c r="B34" s="53"/>
      <c r="C34" s="30"/>
      <c r="D34" s="31"/>
      <c r="E34" s="53"/>
    </row>
    <row r="35" spans="1:5" ht="15" customHeight="1">
      <c r="A35" s="28"/>
      <c r="B35" s="53"/>
      <c r="C35" s="30"/>
      <c r="D35" s="31"/>
      <c r="E35" s="53"/>
    </row>
    <row r="36" spans="1:5" ht="15" customHeight="1">
      <c r="A36" s="28"/>
      <c r="B36" s="53"/>
      <c r="C36" s="30"/>
      <c r="D36" s="31"/>
      <c r="E36" s="53"/>
    </row>
    <row r="37" spans="1:5" ht="15" customHeight="1">
      <c r="A37" s="28"/>
      <c r="B37" s="53"/>
      <c r="C37" s="30"/>
      <c r="D37" s="31"/>
      <c r="E37" s="53"/>
    </row>
    <row r="38" spans="1:5" ht="15" customHeight="1">
      <c r="A38" s="28"/>
      <c r="B38" s="53"/>
      <c r="C38" s="30"/>
      <c r="D38" s="31"/>
      <c r="E38" s="53"/>
    </row>
    <row r="39" spans="1:5" ht="15" customHeight="1">
      <c r="A39" s="28"/>
      <c r="B39" s="53"/>
      <c r="C39" s="30"/>
      <c r="D39" s="31"/>
      <c r="E39" s="53"/>
    </row>
    <row r="40" spans="1:5" ht="15" customHeight="1">
      <c r="A40" s="28"/>
      <c r="B40" s="53"/>
      <c r="C40" s="30"/>
      <c r="D40" s="31"/>
      <c r="E40" s="53"/>
    </row>
    <row r="41" spans="1:5" ht="15" customHeight="1">
      <c r="A41" s="28"/>
      <c r="B41" s="53"/>
      <c r="C41" s="30"/>
      <c r="D41" s="31"/>
      <c r="E41" s="53"/>
    </row>
    <row r="42" spans="1:5" ht="15" customHeight="1">
      <c r="A42" s="28"/>
      <c r="B42" s="53"/>
      <c r="C42" s="30"/>
      <c r="D42" s="31"/>
      <c r="E42" s="53"/>
    </row>
    <row r="43" spans="1:5" ht="15" customHeight="1">
      <c r="A43" s="28"/>
      <c r="B43" s="53"/>
      <c r="C43" s="30"/>
      <c r="D43" s="31"/>
      <c r="E43" s="53"/>
    </row>
    <row r="44" spans="1:5" ht="15" customHeight="1">
      <c r="A44" s="28"/>
      <c r="B44" s="53"/>
      <c r="C44" s="30"/>
      <c r="D44" s="31"/>
      <c r="E44" s="53"/>
    </row>
    <row r="45" spans="1:5" ht="15" customHeight="1">
      <c r="A45" s="28"/>
      <c r="B45" s="53"/>
      <c r="C45" s="30"/>
      <c r="D45" s="31"/>
      <c r="E45" s="53"/>
    </row>
    <row r="46" spans="1:5" ht="15" customHeight="1">
      <c r="A46" s="28"/>
      <c r="B46" s="53"/>
      <c r="C46" s="30"/>
      <c r="D46" s="31"/>
      <c r="E46" s="53"/>
    </row>
    <row r="47" spans="1:5" ht="15" customHeight="1">
      <c r="A47" s="28"/>
      <c r="B47" s="53"/>
      <c r="C47" s="30"/>
      <c r="D47" s="31"/>
      <c r="E47" s="53"/>
    </row>
    <row r="48" spans="1:5" ht="15" customHeight="1">
      <c r="A48" s="28"/>
      <c r="B48" s="53"/>
      <c r="C48" s="30"/>
      <c r="D48" s="31"/>
      <c r="E48" s="53"/>
    </row>
    <row r="49" spans="1:5" ht="15" customHeight="1">
      <c r="A49" s="28"/>
      <c r="B49" s="53"/>
      <c r="C49" s="30"/>
      <c r="D49" s="31"/>
      <c r="E49" s="53"/>
    </row>
    <row r="50" spans="1:5" ht="15" customHeight="1">
      <c r="A50" s="28"/>
      <c r="B50" s="53"/>
      <c r="C50" s="30"/>
      <c r="D50" s="31"/>
      <c r="E50" s="53"/>
    </row>
    <row r="51" spans="1:5" ht="15" customHeight="1">
      <c r="A51" s="28"/>
      <c r="B51" s="53"/>
      <c r="C51" s="30"/>
      <c r="D51" s="31"/>
      <c r="E51" s="53"/>
    </row>
    <row r="52" spans="1:5" ht="15" customHeight="1">
      <c r="A52" s="28"/>
      <c r="B52" s="53"/>
      <c r="C52" s="30"/>
      <c r="D52" s="31"/>
      <c r="E52" s="53"/>
    </row>
    <row r="53" spans="1:5" ht="15" customHeight="1">
      <c r="A53" s="28"/>
      <c r="B53" s="53"/>
      <c r="C53" s="30"/>
      <c r="D53" s="31"/>
      <c r="E53" s="53"/>
    </row>
    <row r="55" spans="1:5" ht="15" customHeight="1">
      <c r="A55" s="83" t="s">
        <v>44</v>
      </c>
      <c r="B55" s="83"/>
      <c r="C55" s="12">
        <f>SUM(C4:C53)</f>
        <v>0</v>
      </c>
      <c r="D55" s="1"/>
      <c r="E55" s="1"/>
    </row>
  </sheetData>
  <mergeCells count="3">
    <mergeCell ref="A1:E1"/>
    <mergeCell ref="A2:E2"/>
    <mergeCell ref="A55:B55"/>
  </mergeCells>
  <phoneticPr fontId="46"/>
  <dataValidations count="2">
    <dataValidation type="date" allowBlank="1" sqref="A4:A53" xr:uid="{00000000-0002-0000-0D00-000000000000}">
      <formula1>0</formula1>
      <formula2>0</formula2>
    </dataValidation>
    <dataValidation type="list" allowBlank="1" sqref="D4:D53" xr:uid="{00000000-0002-0000-0D00-000001000000}">
      <formula1>"通常,リボ,分割,その他"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5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/>
  <cols>
    <col min="1" max="1" width="14" customWidth="1"/>
    <col min="2" max="2" width="24" customWidth="1"/>
    <col min="3" max="3" width="14" customWidth="1"/>
    <col min="4" max="4" width="16" customWidth="1"/>
    <col min="5" max="5" width="24" customWidth="1"/>
    <col min="6" max="6" width="12" customWidth="1"/>
  </cols>
  <sheetData>
    <row r="1" spans="1:6" ht="27.75" customHeight="1">
      <c r="A1" s="91" t="s">
        <v>220</v>
      </c>
      <c r="B1" s="91"/>
      <c r="C1" s="91"/>
      <c r="D1" s="91"/>
      <c r="E1" s="91"/>
      <c r="F1" s="91"/>
    </row>
    <row r="2" spans="1:6" ht="15" customHeight="1">
      <c r="A2" s="85" t="s">
        <v>82</v>
      </c>
      <c r="B2" s="85"/>
      <c r="C2" s="85"/>
      <c r="D2" s="85"/>
      <c r="E2" s="85"/>
      <c r="F2" s="85"/>
    </row>
    <row r="3" spans="1:6" ht="15" customHeight="1">
      <c r="A3" s="6" t="s">
        <v>83</v>
      </c>
      <c r="B3" s="6" t="s">
        <v>84</v>
      </c>
      <c r="C3" s="6" t="s">
        <v>85</v>
      </c>
      <c r="D3" s="6" t="s">
        <v>86</v>
      </c>
      <c r="E3" s="6" t="s">
        <v>50</v>
      </c>
      <c r="F3" s="6" t="s">
        <v>87</v>
      </c>
    </row>
    <row r="4" spans="1:6" ht="15" customHeight="1">
      <c r="A4" s="28"/>
      <c r="B4" s="53"/>
      <c r="C4" s="27"/>
      <c r="D4" s="30"/>
      <c r="E4" s="53"/>
      <c r="F4" s="31"/>
    </row>
    <row r="5" spans="1:6" ht="15" customHeight="1">
      <c r="A5" s="28"/>
      <c r="B5" s="53"/>
      <c r="C5" s="27"/>
      <c r="D5" s="30"/>
      <c r="E5" s="53"/>
      <c r="F5" s="31"/>
    </row>
    <row r="6" spans="1:6" ht="15" customHeight="1">
      <c r="A6" s="28"/>
      <c r="B6" s="53"/>
      <c r="C6" s="27"/>
      <c r="D6" s="30"/>
      <c r="E6" s="53"/>
      <c r="F6" s="31"/>
    </row>
    <row r="7" spans="1:6" ht="15" customHeight="1">
      <c r="A7" s="28"/>
      <c r="B7" s="53"/>
      <c r="C7" s="27"/>
      <c r="D7" s="30"/>
      <c r="E7" s="53"/>
      <c r="F7" s="31"/>
    </row>
    <row r="8" spans="1:6" ht="15" customHeight="1">
      <c r="A8" s="28"/>
      <c r="B8" s="53"/>
      <c r="C8" s="27"/>
      <c r="D8" s="30"/>
      <c r="E8" s="53"/>
      <c r="F8" s="31"/>
    </row>
    <row r="9" spans="1:6" ht="15" customHeight="1">
      <c r="A9" s="28"/>
      <c r="B9" s="53"/>
      <c r="C9" s="27"/>
      <c r="D9" s="30"/>
      <c r="E9" s="53"/>
      <c r="F9" s="31"/>
    </row>
    <row r="10" spans="1:6" ht="15" customHeight="1">
      <c r="A10" s="28"/>
      <c r="B10" s="53"/>
      <c r="C10" s="27"/>
      <c r="D10" s="30"/>
      <c r="E10" s="53"/>
      <c r="F10" s="31"/>
    </row>
    <row r="11" spans="1:6" ht="15" customHeight="1">
      <c r="A11" s="28"/>
      <c r="B11" s="53"/>
      <c r="C11" s="27"/>
      <c r="D11" s="30"/>
      <c r="E11" s="53"/>
      <c r="F11" s="31"/>
    </row>
    <row r="12" spans="1:6" ht="15" customHeight="1">
      <c r="A12" s="28"/>
      <c r="B12" s="53"/>
      <c r="C12" s="27"/>
      <c r="D12" s="30"/>
      <c r="E12" s="53"/>
      <c r="F12" s="31"/>
    </row>
    <row r="13" spans="1:6" ht="15" customHeight="1">
      <c r="A13" s="28"/>
      <c r="B13" s="53"/>
      <c r="C13" s="27"/>
      <c r="D13" s="30"/>
      <c r="E13" s="53"/>
      <c r="F13" s="31"/>
    </row>
    <row r="14" spans="1:6" ht="15" customHeight="1">
      <c r="A14" s="28"/>
      <c r="B14" s="53"/>
      <c r="C14" s="27"/>
      <c r="D14" s="30"/>
      <c r="E14" s="53"/>
      <c r="F14" s="31"/>
    </row>
    <row r="15" spans="1:6" ht="15" customHeight="1">
      <c r="A15" s="28"/>
      <c r="B15" s="53"/>
      <c r="C15" s="27"/>
      <c r="D15" s="30"/>
      <c r="E15" s="53"/>
      <c r="F15" s="31"/>
    </row>
    <row r="16" spans="1:6" ht="15" customHeight="1">
      <c r="A16" s="28"/>
      <c r="B16" s="53"/>
      <c r="C16" s="27"/>
      <c r="D16" s="30"/>
      <c r="E16" s="53"/>
      <c r="F16" s="31"/>
    </row>
    <row r="17" spans="1:6" ht="15" customHeight="1">
      <c r="A17" s="28"/>
      <c r="B17" s="53"/>
      <c r="C17" s="27"/>
      <c r="D17" s="30"/>
      <c r="E17" s="53"/>
      <c r="F17" s="31"/>
    </row>
    <row r="18" spans="1:6" ht="15" customHeight="1">
      <c r="A18" s="28"/>
      <c r="B18" s="53"/>
      <c r="C18" s="27"/>
      <c r="D18" s="30"/>
      <c r="E18" s="53"/>
      <c r="F18" s="31"/>
    </row>
    <row r="19" spans="1:6" ht="15" customHeight="1">
      <c r="A19" s="28"/>
      <c r="B19" s="53"/>
      <c r="C19" s="27"/>
      <c r="D19" s="30"/>
      <c r="E19" s="53"/>
      <c r="F19" s="31"/>
    </row>
    <row r="20" spans="1:6" ht="15" customHeight="1">
      <c r="A20" s="28"/>
      <c r="B20" s="53"/>
      <c r="C20" s="27"/>
      <c r="D20" s="30"/>
      <c r="E20" s="53"/>
      <c r="F20" s="31"/>
    </row>
    <row r="21" spans="1:6" ht="15" customHeight="1">
      <c r="A21" s="28"/>
      <c r="B21" s="53"/>
      <c r="C21" s="27"/>
      <c r="D21" s="30"/>
      <c r="E21" s="53"/>
      <c r="F21" s="31"/>
    </row>
    <row r="22" spans="1:6" ht="15" customHeight="1">
      <c r="A22" s="28"/>
      <c r="B22" s="53"/>
      <c r="C22" s="27"/>
      <c r="D22" s="30"/>
      <c r="E22" s="53"/>
      <c r="F22" s="31"/>
    </row>
    <row r="23" spans="1:6" ht="15" customHeight="1">
      <c r="A23" s="28"/>
      <c r="B23" s="53"/>
      <c r="C23" s="27"/>
      <c r="D23" s="30"/>
      <c r="E23" s="53"/>
      <c r="F23" s="31"/>
    </row>
    <row r="24" spans="1:6" ht="15" customHeight="1">
      <c r="A24" s="28"/>
      <c r="B24" s="53"/>
      <c r="C24" s="27"/>
      <c r="D24" s="30"/>
      <c r="E24" s="53"/>
      <c r="F24" s="31"/>
    </row>
    <row r="25" spans="1:6" ht="15" customHeight="1">
      <c r="A25" s="28"/>
      <c r="B25" s="53"/>
      <c r="C25" s="27"/>
      <c r="D25" s="30"/>
      <c r="E25" s="53"/>
      <c r="F25" s="31"/>
    </row>
    <row r="26" spans="1:6" ht="15" customHeight="1">
      <c r="A26" s="28"/>
      <c r="B26" s="53"/>
      <c r="C26" s="27"/>
      <c r="D26" s="30"/>
      <c r="E26" s="53"/>
      <c r="F26" s="31"/>
    </row>
    <row r="27" spans="1:6" ht="15" customHeight="1">
      <c r="A27" s="28"/>
      <c r="B27" s="53"/>
      <c r="C27" s="27"/>
      <c r="D27" s="30"/>
      <c r="E27" s="53"/>
      <c r="F27" s="31"/>
    </row>
    <row r="28" spans="1:6" ht="15" customHeight="1">
      <c r="A28" s="28"/>
      <c r="B28" s="53"/>
      <c r="C28" s="27"/>
      <c r="D28" s="30"/>
      <c r="E28" s="53"/>
      <c r="F28" s="31"/>
    </row>
    <row r="29" spans="1:6" ht="15" customHeight="1">
      <c r="A29" s="28"/>
      <c r="B29" s="53"/>
      <c r="C29" s="27"/>
      <c r="D29" s="30"/>
      <c r="E29" s="53"/>
      <c r="F29" s="31"/>
    </row>
    <row r="30" spans="1:6" ht="15" customHeight="1">
      <c r="A30" s="28"/>
      <c r="B30" s="53"/>
      <c r="C30" s="27"/>
      <c r="D30" s="30"/>
      <c r="E30" s="53"/>
      <c r="F30" s="31"/>
    </row>
    <row r="31" spans="1:6" ht="15" customHeight="1">
      <c r="A31" s="28"/>
      <c r="B31" s="53"/>
      <c r="C31" s="27"/>
      <c r="D31" s="30"/>
      <c r="E31" s="53"/>
      <c r="F31" s="31"/>
    </row>
    <row r="32" spans="1:6" ht="15" customHeight="1">
      <c r="A32" s="28"/>
      <c r="B32" s="53"/>
      <c r="C32" s="27"/>
      <c r="D32" s="30"/>
      <c r="E32" s="53"/>
      <c r="F32" s="31"/>
    </row>
    <row r="33" spans="1:6" ht="15" customHeight="1">
      <c r="A33" s="28"/>
      <c r="B33" s="53"/>
      <c r="C33" s="27"/>
      <c r="D33" s="30"/>
      <c r="E33" s="53"/>
      <c r="F33" s="31"/>
    </row>
    <row r="34" spans="1:6" ht="15" customHeight="1">
      <c r="A34" s="28"/>
      <c r="B34" s="53"/>
      <c r="C34" s="27"/>
      <c r="D34" s="30"/>
      <c r="E34" s="53"/>
      <c r="F34" s="31"/>
    </row>
    <row r="35" spans="1:6" ht="15" customHeight="1">
      <c r="A35" s="28"/>
      <c r="B35" s="53"/>
      <c r="C35" s="27"/>
      <c r="D35" s="30"/>
      <c r="E35" s="53"/>
      <c r="F35" s="31"/>
    </row>
    <row r="36" spans="1:6" ht="15" customHeight="1">
      <c r="A36" s="28"/>
      <c r="B36" s="53"/>
      <c r="C36" s="27"/>
      <c r="D36" s="30"/>
      <c r="E36" s="53"/>
      <c r="F36" s="31"/>
    </row>
    <row r="37" spans="1:6" ht="15" customHeight="1">
      <c r="A37" s="28"/>
      <c r="B37" s="53"/>
      <c r="C37" s="27"/>
      <c r="D37" s="30"/>
      <c r="E37" s="53"/>
      <c r="F37" s="31"/>
    </row>
    <row r="38" spans="1:6" ht="15" customHeight="1">
      <c r="A38" s="28"/>
      <c r="B38" s="53"/>
      <c r="C38" s="27"/>
      <c r="D38" s="30"/>
      <c r="E38" s="53"/>
      <c r="F38" s="31"/>
    </row>
    <row r="39" spans="1:6" ht="15" customHeight="1">
      <c r="A39" s="28"/>
      <c r="B39" s="53"/>
      <c r="C39" s="27"/>
      <c r="D39" s="30"/>
      <c r="E39" s="53"/>
      <c r="F39" s="31"/>
    </row>
    <row r="40" spans="1:6" ht="15" customHeight="1">
      <c r="A40" s="28"/>
      <c r="B40" s="53"/>
      <c r="C40" s="27"/>
      <c r="D40" s="30"/>
      <c r="E40" s="53"/>
      <c r="F40" s="31"/>
    </row>
    <row r="41" spans="1:6" ht="15" customHeight="1">
      <c r="A41" s="28"/>
      <c r="B41" s="53"/>
      <c r="C41" s="27"/>
      <c r="D41" s="30"/>
      <c r="E41" s="53"/>
      <c r="F41" s="31"/>
    </row>
    <row r="42" spans="1:6" ht="15" customHeight="1">
      <c r="A42" s="28"/>
      <c r="B42" s="53"/>
      <c r="C42" s="27"/>
      <c r="D42" s="30"/>
      <c r="E42" s="53"/>
      <c r="F42" s="31"/>
    </row>
    <row r="43" spans="1:6" ht="15" customHeight="1">
      <c r="A43" s="28"/>
      <c r="B43" s="53"/>
      <c r="C43" s="27"/>
      <c r="D43" s="30"/>
      <c r="E43" s="53"/>
      <c r="F43" s="31"/>
    </row>
    <row r="44" spans="1:6" ht="15" customHeight="1">
      <c r="A44" s="28"/>
      <c r="B44" s="53"/>
      <c r="C44" s="27"/>
      <c r="D44" s="30"/>
      <c r="E44" s="53"/>
      <c r="F44" s="31"/>
    </row>
    <row r="45" spans="1:6" ht="15" customHeight="1">
      <c r="A45" s="28"/>
      <c r="B45" s="53"/>
      <c r="C45" s="27"/>
      <c r="D45" s="30"/>
      <c r="E45" s="53"/>
      <c r="F45" s="31"/>
    </row>
    <row r="46" spans="1:6" ht="15" customHeight="1">
      <c r="A46" s="28"/>
      <c r="B46" s="53"/>
      <c r="C46" s="27"/>
      <c r="D46" s="30"/>
      <c r="E46" s="53"/>
      <c r="F46" s="31"/>
    </row>
    <row r="47" spans="1:6" ht="15" customHeight="1">
      <c r="A47" s="28"/>
      <c r="B47" s="53"/>
      <c r="C47" s="27"/>
      <c r="D47" s="30"/>
      <c r="E47" s="53"/>
      <c r="F47" s="31"/>
    </row>
    <row r="48" spans="1:6" ht="15" customHeight="1">
      <c r="A48" s="28"/>
      <c r="B48" s="53"/>
      <c r="C48" s="27"/>
      <c r="D48" s="30"/>
      <c r="E48" s="53"/>
      <c r="F48" s="31"/>
    </row>
    <row r="49" spans="1:6" ht="15" customHeight="1">
      <c r="A49" s="28"/>
      <c r="B49" s="53"/>
      <c r="C49" s="27"/>
      <c r="D49" s="30"/>
      <c r="E49" s="53"/>
      <c r="F49" s="31"/>
    </row>
    <row r="50" spans="1:6" ht="15" customHeight="1">
      <c r="A50" s="28"/>
      <c r="B50" s="53"/>
      <c r="C50" s="27"/>
      <c r="D50" s="30"/>
      <c r="E50" s="53"/>
      <c r="F50" s="31"/>
    </row>
    <row r="51" spans="1:6" ht="15" customHeight="1">
      <c r="A51" s="28"/>
      <c r="B51" s="53"/>
      <c r="C51" s="27"/>
      <c r="D51" s="30"/>
      <c r="E51" s="53"/>
      <c r="F51" s="31"/>
    </row>
    <row r="52" spans="1:6" ht="15" customHeight="1">
      <c r="A52" s="28"/>
      <c r="B52" s="53"/>
      <c r="C52" s="27"/>
      <c r="D52" s="30"/>
      <c r="E52" s="53"/>
      <c r="F52" s="31"/>
    </row>
    <row r="53" spans="1:6" ht="15" customHeight="1">
      <c r="A53" s="28"/>
      <c r="B53" s="53"/>
      <c r="C53" s="27"/>
      <c r="D53" s="30"/>
      <c r="E53" s="53"/>
      <c r="F53" s="31"/>
    </row>
    <row r="54" spans="1:6" ht="15" customHeight="1">
      <c r="A54" s="28"/>
      <c r="B54" s="53"/>
      <c r="C54" s="27"/>
      <c r="D54" s="30"/>
      <c r="E54" s="53"/>
      <c r="F54" s="31"/>
    </row>
    <row r="55" spans="1:6" ht="15" customHeight="1">
      <c r="A55" s="28"/>
      <c r="B55" s="53"/>
      <c r="C55" s="27"/>
      <c r="D55" s="30"/>
      <c r="E55" s="53"/>
      <c r="F55" s="31"/>
    </row>
    <row r="56" spans="1:6" ht="15" customHeight="1">
      <c r="A56" s="28"/>
      <c r="B56" s="53"/>
      <c r="C56" s="27"/>
      <c r="D56" s="30"/>
      <c r="E56" s="53"/>
      <c r="F56" s="31"/>
    </row>
    <row r="57" spans="1:6" ht="15" customHeight="1">
      <c r="A57" s="28"/>
      <c r="B57" s="53"/>
      <c r="C57" s="27"/>
      <c r="D57" s="30"/>
      <c r="E57" s="53"/>
      <c r="F57" s="31"/>
    </row>
    <row r="58" spans="1:6" ht="15" customHeight="1">
      <c r="A58" s="28"/>
      <c r="B58" s="53"/>
      <c r="C58" s="27"/>
      <c r="D58" s="30"/>
      <c r="E58" s="53"/>
      <c r="F58" s="31"/>
    </row>
    <row r="59" spans="1:6" ht="15" customHeight="1">
      <c r="A59" s="28"/>
      <c r="B59" s="53"/>
      <c r="C59" s="27"/>
      <c r="D59" s="30"/>
      <c r="E59" s="53"/>
      <c r="F59" s="31"/>
    </row>
    <row r="60" spans="1:6" ht="15" customHeight="1">
      <c r="A60" s="28"/>
      <c r="B60" s="53"/>
      <c r="C60" s="27"/>
      <c r="D60" s="30"/>
      <c r="E60" s="53"/>
      <c r="F60" s="31"/>
    </row>
    <row r="61" spans="1:6" ht="15" customHeight="1">
      <c r="A61" s="28"/>
      <c r="B61" s="53"/>
      <c r="C61" s="27"/>
      <c r="D61" s="30"/>
      <c r="E61" s="53"/>
      <c r="F61" s="31"/>
    </row>
    <row r="62" spans="1:6" ht="15" customHeight="1">
      <c r="A62" s="28"/>
      <c r="B62" s="53"/>
      <c r="C62" s="27"/>
      <c r="D62" s="30"/>
      <c r="E62" s="53"/>
      <c r="F62" s="31"/>
    </row>
    <row r="63" spans="1:6" ht="15" customHeight="1">
      <c r="A63" s="28"/>
      <c r="B63" s="53"/>
      <c r="C63" s="27"/>
      <c r="D63" s="30"/>
      <c r="E63" s="53"/>
      <c r="F63" s="31"/>
    </row>
    <row r="64" spans="1:6" ht="15" customHeight="1">
      <c r="A64" s="28"/>
      <c r="B64" s="53"/>
      <c r="C64" s="27"/>
      <c r="D64" s="30"/>
      <c r="E64" s="53"/>
      <c r="F64" s="31"/>
    </row>
    <row r="65" spans="1:6" ht="15" customHeight="1">
      <c r="A65" s="28"/>
      <c r="B65" s="53"/>
      <c r="C65" s="27"/>
      <c r="D65" s="30"/>
      <c r="E65" s="53"/>
      <c r="F65" s="31"/>
    </row>
    <row r="66" spans="1:6" ht="15" customHeight="1">
      <c r="A66" s="28"/>
      <c r="B66" s="53"/>
      <c r="C66" s="27"/>
      <c r="D66" s="30"/>
      <c r="E66" s="53"/>
      <c r="F66" s="31"/>
    </row>
    <row r="67" spans="1:6" ht="15" customHeight="1">
      <c r="A67" s="28"/>
      <c r="B67" s="53"/>
      <c r="C67" s="27"/>
      <c r="D67" s="30"/>
      <c r="E67" s="53"/>
      <c r="F67" s="31"/>
    </row>
    <row r="68" spans="1:6" ht="15" customHeight="1">
      <c r="A68" s="28"/>
      <c r="B68" s="53"/>
      <c r="C68" s="27"/>
      <c r="D68" s="30"/>
      <c r="E68" s="53"/>
      <c r="F68" s="31"/>
    </row>
    <row r="69" spans="1:6" ht="15" customHeight="1">
      <c r="A69" s="28"/>
      <c r="B69" s="53"/>
      <c r="C69" s="27"/>
      <c r="D69" s="30"/>
      <c r="E69" s="53"/>
      <c r="F69" s="31"/>
    </row>
    <row r="70" spans="1:6" ht="15" customHeight="1">
      <c r="A70" s="28"/>
      <c r="B70" s="53"/>
      <c r="C70" s="27"/>
      <c r="D70" s="30"/>
      <c r="E70" s="53"/>
      <c r="F70" s="31"/>
    </row>
    <row r="71" spans="1:6" ht="15" customHeight="1">
      <c r="A71" s="28"/>
      <c r="B71" s="53"/>
      <c r="C71" s="27"/>
      <c r="D71" s="30"/>
      <c r="E71" s="53"/>
      <c r="F71" s="31"/>
    </row>
    <row r="72" spans="1:6" ht="15" customHeight="1">
      <c r="A72" s="28"/>
      <c r="B72" s="53"/>
      <c r="C72" s="27"/>
      <c r="D72" s="30"/>
      <c r="E72" s="53"/>
      <c r="F72" s="31"/>
    </row>
    <row r="73" spans="1:6" ht="15" customHeight="1">
      <c r="A73" s="28"/>
      <c r="B73" s="53"/>
      <c r="C73" s="27"/>
      <c r="D73" s="30"/>
      <c r="E73" s="53"/>
      <c r="F73" s="31"/>
    </row>
    <row r="74" spans="1:6" ht="15" customHeight="1">
      <c r="A74" s="28"/>
      <c r="B74" s="53"/>
      <c r="C74" s="27"/>
      <c r="D74" s="30"/>
      <c r="E74" s="53"/>
      <c r="F74" s="31"/>
    </row>
    <row r="75" spans="1:6" ht="15" customHeight="1">
      <c r="A75" s="28"/>
      <c r="B75" s="53"/>
      <c r="C75" s="27"/>
      <c r="D75" s="30"/>
      <c r="E75" s="53"/>
      <c r="F75" s="31"/>
    </row>
    <row r="76" spans="1:6" ht="15" customHeight="1">
      <c r="A76" s="28"/>
      <c r="B76" s="53"/>
      <c r="C76" s="27"/>
      <c r="D76" s="30"/>
      <c r="E76" s="53"/>
      <c r="F76" s="31"/>
    </row>
    <row r="77" spans="1:6" ht="15" customHeight="1">
      <c r="A77" s="28"/>
      <c r="B77" s="53"/>
      <c r="C77" s="27"/>
      <c r="D77" s="30"/>
      <c r="E77" s="53"/>
      <c r="F77" s="31"/>
    </row>
    <row r="78" spans="1:6" ht="15" customHeight="1">
      <c r="A78" s="28"/>
      <c r="B78" s="53"/>
      <c r="C78" s="27"/>
      <c r="D78" s="30"/>
      <c r="E78" s="53"/>
      <c r="F78" s="31"/>
    </row>
    <row r="79" spans="1:6" ht="15" customHeight="1">
      <c r="A79" s="28"/>
      <c r="B79" s="53"/>
      <c r="C79" s="27"/>
      <c r="D79" s="30"/>
      <c r="E79" s="53"/>
      <c r="F79" s="31"/>
    </row>
    <row r="80" spans="1:6" ht="15" customHeight="1">
      <c r="A80" s="28"/>
      <c r="B80" s="53"/>
      <c r="C80" s="27"/>
      <c r="D80" s="30"/>
      <c r="E80" s="53"/>
      <c r="F80" s="31"/>
    </row>
    <row r="81" spans="1:6" ht="15" customHeight="1">
      <c r="A81" s="28"/>
      <c r="B81" s="53"/>
      <c r="C81" s="27"/>
      <c r="D81" s="30"/>
      <c r="E81" s="53"/>
      <c r="F81" s="31"/>
    </row>
    <row r="82" spans="1:6" ht="15" customHeight="1">
      <c r="A82" s="28"/>
      <c r="B82" s="53"/>
      <c r="C82" s="27"/>
      <c r="D82" s="30"/>
      <c r="E82" s="53"/>
      <c r="F82" s="31"/>
    </row>
    <row r="83" spans="1:6" ht="15" customHeight="1">
      <c r="A83" s="28"/>
      <c r="B83" s="53"/>
      <c r="C83" s="27"/>
      <c r="D83" s="30"/>
      <c r="E83" s="53"/>
      <c r="F83" s="31"/>
    </row>
    <row r="84" spans="1:6" ht="15" customHeight="1">
      <c r="A84" s="28"/>
      <c r="B84" s="53"/>
      <c r="C84" s="27"/>
      <c r="D84" s="30"/>
      <c r="E84" s="53"/>
      <c r="F84" s="31"/>
    </row>
    <row r="85" spans="1:6" ht="15" customHeight="1">
      <c r="A85" s="28"/>
      <c r="B85" s="53"/>
      <c r="C85" s="27"/>
      <c r="D85" s="30"/>
      <c r="E85" s="53"/>
      <c r="F85" s="31"/>
    </row>
    <row r="86" spans="1:6" ht="15" customHeight="1">
      <c r="A86" s="28"/>
      <c r="B86" s="53"/>
      <c r="C86" s="27"/>
      <c r="D86" s="30"/>
      <c r="E86" s="53"/>
      <c r="F86" s="31"/>
    </row>
    <row r="87" spans="1:6" ht="15" customHeight="1">
      <c r="A87" s="28"/>
      <c r="B87" s="53"/>
      <c r="C87" s="27"/>
      <c r="D87" s="30"/>
      <c r="E87" s="53"/>
      <c r="F87" s="31"/>
    </row>
    <row r="88" spans="1:6" ht="15" customHeight="1">
      <c r="A88" s="28"/>
      <c r="B88" s="53"/>
      <c r="C88" s="27"/>
      <c r="D88" s="30"/>
      <c r="E88" s="53"/>
      <c r="F88" s="31"/>
    </row>
    <row r="89" spans="1:6" ht="15" customHeight="1">
      <c r="A89" s="28"/>
      <c r="B89" s="53"/>
      <c r="C89" s="27"/>
      <c r="D89" s="30"/>
      <c r="E89" s="53"/>
      <c r="F89" s="31"/>
    </row>
    <row r="90" spans="1:6" ht="15" customHeight="1">
      <c r="A90" s="28"/>
      <c r="B90" s="53"/>
      <c r="C90" s="27"/>
      <c r="D90" s="30"/>
      <c r="E90" s="53"/>
      <c r="F90" s="31"/>
    </row>
    <row r="91" spans="1:6" ht="15" customHeight="1">
      <c r="A91" s="28"/>
      <c r="B91" s="53"/>
      <c r="C91" s="27"/>
      <c r="D91" s="30"/>
      <c r="E91" s="53"/>
      <c r="F91" s="31"/>
    </row>
    <row r="92" spans="1:6" ht="15" customHeight="1">
      <c r="A92" s="28"/>
      <c r="B92" s="53"/>
      <c r="C92" s="27"/>
      <c r="D92" s="30"/>
      <c r="E92" s="53"/>
      <c r="F92" s="31"/>
    </row>
    <row r="93" spans="1:6" ht="15" customHeight="1">
      <c r="A93" s="28"/>
      <c r="B93" s="53"/>
      <c r="C93" s="27"/>
      <c r="D93" s="30"/>
      <c r="E93" s="53"/>
      <c r="F93" s="31"/>
    </row>
    <row r="94" spans="1:6" ht="15" customHeight="1">
      <c r="A94" s="28"/>
      <c r="B94" s="53"/>
      <c r="C94" s="27"/>
      <c r="D94" s="30"/>
      <c r="E94" s="53"/>
      <c r="F94" s="31"/>
    </row>
    <row r="95" spans="1:6" ht="15" customHeight="1">
      <c r="A95" s="28"/>
      <c r="B95" s="53"/>
      <c r="C95" s="27"/>
      <c r="D95" s="30"/>
      <c r="E95" s="53"/>
      <c r="F95" s="31"/>
    </row>
    <row r="96" spans="1:6" ht="15" customHeight="1">
      <c r="A96" s="28"/>
      <c r="B96" s="53"/>
      <c r="C96" s="27"/>
      <c r="D96" s="30"/>
      <c r="E96" s="53"/>
      <c r="F96" s="31"/>
    </row>
    <row r="97" spans="1:6" ht="15" customHeight="1">
      <c r="A97" s="28"/>
      <c r="B97" s="53"/>
      <c r="C97" s="27"/>
      <c r="D97" s="30"/>
      <c r="E97" s="53"/>
      <c r="F97" s="31"/>
    </row>
    <row r="98" spans="1:6" ht="15" customHeight="1">
      <c r="A98" s="28"/>
      <c r="B98" s="53"/>
      <c r="C98" s="27"/>
      <c r="D98" s="30"/>
      <c r="E98" s="53"/>
      <c r="F98" s="31"/>
    </row>
    <row r="99" spans="1:6" ht="15" customHeight="1">
      <c r="A99" s="28"/>
      <c r="B99" s="53"/>
      <c r="C99" s="27"/>
      <c r="D99" s="30"/>
      <c r="E99" s="53"/>
      <c r="F99" s="31"/>
    </row>
    <row r="100" spans="1:6" ht="15" customHeight="1">
      <c r="A100" s="28"/>
      <c r="B100" s="53"/>
      <c r="C100" s="27"/>
      <c r="D100" s="30"/>
      <c r="E100" s="53"/>
      <c r="F100" s="31"/>
    </row>
    <row r="101" spans="1:6" ht="15" customHeight="1">
      <c r="A101" s="28"/>
      <c r="B101" s="53"/>
      <c r="C101" s="27"/>
      <c r="D101" s="30"/>
      <c r="E101" s="53"/>
      <c r="F101" s="31"/>
    </row>
    <row r="102" spans="1:6" ht="15" customHeight="1">
      <c r="A102" s="28"/>
      <c r="B102" s="53"/>
      <c r="C102" s="27"/>
      <c r="D102" s="30"/>
      <c r="E102" s="53"/>
      <c r="F102" s="31"/>
    </row>
    <row r="103" spans="1:6" ht="15" customHeight="1">
      <c r="A103" s="28"/>
      <c r="B103" s="53"/>
      <c r="C103" s="27"/>
      <c r="D103" s="30"/>
      <c r="E103" s="53"/>
      <c r="F103" s="31"/>
    </row>
    <row r="105" spans="1:6" ht="15" customHeight="1">
      <c r="A105" s="83" t="s">
        <v>44</v>
      </c>
      <c r="B105" s="83"/>
      <c r="C105" s="83"/>
      <c r="D105" s="12">
        <f>SUM(D4:D103)</f>
        <v>0</v>
      </c>
      <c r="E105" s="32"/>
      <c r="F105" s="32"/>
    </row>
  </sheetData>
  <mergeCells count="3">
    <mergeCell ref="A1:F1"/>
    <mergeCell ref="A2:F2"/>
    <mergeCell ref="A105:C105"/>
  </mergeCells>
  <phoneticPr fontId="46"/>
  <dataValidations count="3">
    <dataValidation type="date" allowBlank="1" sqref="A4:A103" xr:uid="{00000000-0002-0000-0E00-000000000000}">
      <formula1>0</formula1>
      <formula2>0</formula2>
    </dataValidation>
    <dataValidation type="list" allowBlank="1" prompt="資金繰り表項目を選択" sqref="C4:C103" xr:uid="{00000000-0002-0000-0E00-000001000000}">
      <formula1>"現金売上,売掛金回収,手形入金,その他収入,借入金,設備売却"</formula1>
      <formula2>0</formula2>
    </dataValidation>
    <dataValidation type="list" allowBlank="1" sqref="F4:F103" xr:uid="{00000000-0002-0000-0E00-000002000000}">
      <formula1>"確認済,未確認,予測"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P1"/>
    </sheetView>
  </sheetViews>
  <sheetFormatPr defaultColWidth="8.7109375" defaultRowHeight="15"/>
  <cols>
    <col min="1" max="1" width="10" customWidth="1"/>
    <col min="2" max="2" width="12" customWidth="1"/>
    <col min="3" max="3" width="28" customWidth="1"/>
    <col min="4" max="5" width="12" customWidth="1"/>
    <col min="6" max="6" width="14" customWidth="1"/>
    <col min="7" max="10" width="12" customWidth="1"/>
    <col min="11" max="11" width="14" customWidth="1"/>
    <col min="12" max="12" width="10" customWidth="1"/>
    <col min="13" max="14" width="14" customWidth="1"/>
    <col min="15" max="15" width="12" customWidth="1"/>
  </cols>
  <sheetData>
    <row r="1" spans="1:16" ht="27.75" customHeight="1">
      <c r="A1" s="91" t="s">
        <v>221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21.75" customHeight="1">
      <c r="A2" s="33" t="s">
        <v>89</v>
      </c>
      <c r="B2" s="34" t="s">
        <v>90</v>
      </c>
      <c r="C2" s="35" t="s">
        <v>91</v>
      </c>
      <c r="D2" s="36" t="s">
        <v>92</v>
      </c>
      <c r="E2" s="37" t="s">
        <v>93</v>
      </c>
      <c r="G2" s="85" t="s">
        <v>94</v>
      </c>
      <c r="H2" s="85"/>
      <c r="I2" s="85"/>
      <c r="J2" s="85"/>
      <c r="K2" s="85"/>
      <c r="L2" s="85"/>
      <c r="M2" s="85"/>
      <c r="N2" s="85"/>
      <c r="O2" s="85"/>
      <c r="P2" s="85"/>
    </row>
    <row r="3" spans="1:16" ht="30" customHeight="1">
      <c r="A3" s="6" t="s">
        <v>95</v>
      </c>
      <c r="B3" s="6" t="s">
        <v>96</v>
      </c>
      <c r="C3" s="6" t="s">
        <v>97</v>
      </c>
      <c r="D3" s="6" t="s">
        <v>57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106</v>
      </c>
      <c r="N3" s="6" t="s">
        <v>107</v>
      </c>
      <c r="O3" s="38" t="s">
        <v>108</v>
      </c>
      <c r="P3" s="6" t="s">
        <v>109</v>
      </c>
    </row>
    <row r="4" spans="1:16" ht="15" customHeight="1">
      <c r="A4" s="29"/>
      <c r="B4" s="29"/>
      <c r="C4" s="29"/>
      <c r="D4" s="29"/>
      <c r="E4" s="28"/>
      <c r="F4" s="29"/>
      <c r="G4" s="30"/>
      <c r="H4" s="30"/>
      <c r="I4" s="30"/>
      <c r="J4" s="30"/>
      <c r="K4" s="30"/>
      <c r="L4" s="55"/>
      <c r="M4" s="28"/>
      <c r="N4" s="30"/>
      <c r="O4" s="43"/>
      <c r="P4" s="29"/>
    </row>
    <row r="5" spans="1:16" ht="15" customHeight="1">
      <c r="A5" s="29"/>
      <c r="B5" s="29"/>
      <c r="C5" s="29"/>
      <c r="D5" s="29"/>
      <c r="E5" s="28"/>
      <c r="F5" s="29"/>
      <c r="G5" s="30"/>
      <c r="H5" s="30"/>
      <c r="I5" s="30"/>
      <c r="J5" s="30"/>
      <c r="K5" s="30"/>
      <c r="L5" s="55"/>
      <c r="M5" s="28"/>
      <c r="N5" s="30"/>
      <c r="O5" s="43"/>
      <c r="P5" s="29"/>
    </row>
    <row r="6" spans="1:16" ht="15" customHeight="1">
      <c r="A6" s="29"/>
      <c r="B6" s="29"/>
      <c r="C6" s="29"/>
      <c r="D6" s="29"/>
      <c r="E6" s="28"/>
      <c r="F6" s="29"/>
      <c r="G6" s="30"/>
      <c r="H6" s="30"/>
      <c r="I6" s="30"/>
      <c r="J6" s="30"/>
      <c r="K6" s="30"/>
      <c r="L6" s="55"/>
      <c r="M6" s="28"/>
      <c r="N6" s="30"/>
      <c r="O6" s="43"/>
      <c r="P6" s="29"/>
    </row>
    <row r="7" spans="1:16" ht="15" customHeight="1">
      <c r="A7" s="29"/>
      <c r="B7" s="29"/>
      <c r="C7" s="29"/>
      <c r="D7" s="29"/>
      <c r="E7" s="28"/>
      <c r="F7" s="29"/>
      <c r="G7" s="30"/>
      <c r="H7" s="30"/>
      <c r="I7" s="30"/>
      <c r="J7" s="30"/>
      <c r="K7" s="30"/>
      <c r="L7" s="55"/>
      <c r="M7" s="28"/>
      <c r="N7" s="30"/>
      <c r="O7" s="43"/>
      <c r="P7" s="29"/>
    </row>
    <row r="8" spans="1:16" ht="15" customHeight="1">
      <c r="A8" s="29"/>
      <c r="B8" s="29"/>
      <c r="C8" s="29"/>
      <c r="D8" s="29"/>
      <c r="E8" s="28"/>
      <c r="F8" s="29"/>
      <c r="G8" s="30"/>
      <c r="H8" s="30"/>
      <c r="I8" s="30"/>
      <c r="J8" s="30"/>
      <c r="K8" s="30"/>
      <c r="L8" s="55"/>
      <c r="M8" s="28"/>
      <c r="N8" s="30"/>
      <c r="O8" s="43"/>
      <c r="P8" s="29"/>
    </row>
    <row r="9" spans="1:16" ht="15" customHeight="1">
      <c r="A9" s="29"/>
      <c r="B9" s="29"/>
      <c r="C9" s="29"/>
      <c r="D9" s="29"/>
      <c r="E9" s="28"/>
      <c r="F9" s="29"/>
      <c r="G9" s="30"/>
      <c r="H9" s="30"/>
      <c r="I9" s="30"/>
      <c r="J9" s="30"/>
      <c r="K9" s="30"/>
      <c r="L9" s="55"/>
      <c r="M9" s="28"/>
      <c r="N9" s="30"/>
      <c r="O9" s="43"/>
      <c r="P9" s="29"/>
    </row>
    <row r="10" spans="1:16" ht="15" customHeight="1">
      <c r="A10" s="29"/>
      <c r="B10" s="29"/>
      <c r="C10" s="29"/>
      <c r="D10" s="29"/>
      <c r="E10" s="28"/>
      <c r="F10" s="29"/>
      <c r="G10" s="30"/>
      <c r="H10" s="30"/>
      <c r="I10" s="30"/>
      <c r="J10" s="30"/>
      <c r="K10" s="30"/>
      <c r="L10" s="55"/>
      <c r="M10" s="28"/>
      <c r="N10" s="30"/>
      <c r="O10" s="43"/>
      <c r="P10" s="29"/>
    </row>
    <row r="11" spans="1:16" ht="15" customHeight="1">
      <c r="A11" s="29"/>
      <c r="B11" s="29"/>
      <c r="C11" s="29"/>
      <c r="D11" s="29"/>
      <c r="E11" s="28"/>
      <c r="F11" s="29"/>
      <c r="G11" s="30"/>
      <c r="H11" s="30"/>
      <c r="I11" s="30"/>
      <c r="J11" s="30"/>
      <c r="K11" s="30"/>
      <c r="L11" s="55"/>
      <c r="M11" s="28"/>
      <c r="N11" s="30"/>
      <c r="O11" s="43"/>
      <c r="P11" s="29"/>
    </row>
    <row r="12" spans="1:16" ht="15" customHeight="1">
      <c r="A12" s="29"/>
      <c r="B12" s="29"/>
      <c r="C12" s="29"/>
      <c r="D12" s="29"/>
      <c r="E12" s="28"/>
      <c r="F12" s="29"/>
      <c r="G12" s="30"/>
      <c r="H12" s="30"/>
      <c r="I12" s="30"/>
      <c r="J12" s="30"/>
      <c r="K12" s="30"/>
      <c r="L12" s="55"/>
      <c r="M12" s="28"/>
      <c r="N12" s="30"/>
      <c r="O12" s="43"/>
      <c r="P12" s="29"/>
    </row>
    <row r="13" spans="1:16" ht="15" customHeight="1">
      <c r="A13" s="29"/>
      <c r="B13" s="29"/>
      <c r="C13" s="29"/>
      <c r="D13" s="29"/>
      <c r="E13" s="28"/>
      <c r="F13" s="29"/>
      <c r="G13" s="30"/>
      <c r="H13" s="30"/>
      <c r="I13" s="30"/>
      <c r="J13" s="30"/>
      <c r="K13" s="30"/>
      <c r="L13" s="55"/>
      <c r="M13" s="28"/>
      <c r="N13" s="30"/>
      <c r="O13" s="43"/>
      <c r="P13" s="29"/>
    </row>
    <row r="14" spans="1:16" ht="15" customHeight="1">
      <c r="A14" s="29"/>
      <c r="B14" s="29"/>
      <c r="C14" s="29"/>
      <c r="D14" s="29"/>
      <c r="E14" s="28"/>
      <c r="F14" s="29"/>
      <c r="G14" s="30"/>
      <c r="H14" s="30"/>
      <c r="I14" s="30"/>
      <c r="J14" s="30"/>
      <c r="K14" s="30"/>
      <c r="L14" s="55"/>
      <c r="M14" s="28"/>
      <c r="N14" s="30"/>
      <c r="O14" s="43"/>
      <c r="P14" s="29"/>
    </row>
    <row r="15" spans="1:16" ht="15" customHeight="1">
      <c r="A15" s="29"/>
      <c r="B15" s="29"/>
      <c r="C15" s="29"/>
      <c r="D15" s="29"/>
      <c r="E15" s="28"/>
      <c r="F15" s="29"/>
      <c r="G15" s="30"/>
      <c r="H15" s="30"/>
      <c r="I15" s="30"/>
      <c r="J15" s="30"/>
      <c r="K15" s="30"/>
      <c r="L15" s="55"/>
      <c r="M15" s="28"/>
      <c r="N15" s="30"/>
      <c r="O15" s="43"/>
      <c r="P15" s="29"/>
    </row>
    <row r="16" spans="1:16" ht="15" customHeight="1">
      <c r="A16" s="29"/>
      <c r="B16" s="29"/>
      <c r="C16" s="29"/>
      <c r="D16" s="29"/>
      <c r="E16" s="28"/>
      <c r="F16" s="29"/>
      <c r="G16" s="30"/>
      <c r="H16" s="30"/>
      <c r="I16" s="30"/>
      <c r="J16" s="30"/>
      <c r="K16" s="30"/>
      <c r="L16" s="55"/>
      <c r="M16" s="28"/>
      <c r="N16" s="30"/>
      <c r="O16" s="43"/>
      <c r="P16" s="29"/>
    </row>
    <row r="17" spans="1:16" ht="15" customHeight="1">
      <c r="A17" s="29"/>
      <c r="B17" s="29"/>
      <c r="C17" s="29"/>
      <c r="D17" s="29"/>
      <c r="E17" s="28"/>
      <c r="F17" s="29"/>
      <c r="G17" s="30"/>
      <c r="H17" s="30"/>
      <c r="I17" s="30"/>
      <c r="J17" s="30"/>
      <c r="K17" s="30"/>
      <c r="L17" s="55"/>
      <c r="M17" s="28"/>
      <c r="N17" s="30"/>
      <c r="O17" s="43"/>
      <c r="P17" s="29"/>
    </row>
    <row r="18" spans="1:16" ht="15" customHeight="1">
      <c r="A18" s="29"/>
      <c r="B18" s="29"/>
      <c r="C18" s="29"/>
      <c r="D18" s="29"/>
      <c r="E18" s="28"/>
      <c r="F18" s="29"/>
      <c r="G18" s="30"/>
      <c r="H18" s="30"/>
      <c r="I18" s="30"/>
      <c r="J18" s="30"/>
      <c r="K18" s="30"/>
      <c r="L18" s="55"/>
      <c r="M18" s="28"/>
      <c r="N18" s="30"/>
      <c r="O18" s="43"/>
      <c r="P18" s="29"/>
    </row>
    <row r="19" spans="1:16" ht="15" customHeight="1">
      <c r="A19" s="29"/>
      <c r="B19" s="29"/>
      <c r="C19" s="29"/>
      <c r="D19" s="29"/>
      <c r="E19" s="28"/>
      <c r="F19" s="29"/>
      <c r="G19" s="30"/>
      <c r="H19" s="30"/>
      <c r="I19" s="30"/>
      <c r="J19" s="30"/>
      <c r="K19" s="30"/>
      <c r="L19" s="55"/>
      <c r="M19" s="28"/>
      <c r="N19" s="30"/>
      <c r="O19" s="43"/>
      <c r="P19" s="29"/>
    </row>
    <row r="20" spans="1:16" ht="15" customHeight="1">
      <c r="A20" s="29"/>
      <c r="B20" s="29"/>
      <c r="C20" s="29"/>
      <c r="D20" s="29"/>
      <c r="E20" s="28"/>
      <c r="F20" s="29"/>
      <c r="G20" s="30"/>
      <c r="H20" s="30"/>
      <c r="I20" s="30"/>
      <c r="J20" s="30"/>
      <c r="K20" s="30"/>
      <c r="L20" s="55"/>
      <c r="M20" s="28"/>
      <c r="N20" s="30"/>
      <c r="O20" s="43"/>
      <c r="P20" s="29"/>
    </row>
    <row r="21" spans="1:16" ht="15" customHeight="1">
      <c r="A21" s="29"/>
      <c r="B21" s="29"/>
      <c r="C21" s="29"/>
      <c r="D21" s="29"/>
      <c r="E21" s="28"/>
      <c r="F21" s="29"/>
      <c r="G21" s="30"/>
      <c r="H21" s="30"/>
      <c r="I21" s="30"/>
      <c r="J21" s="30"/>
      <c r="K21" s="30"/>
      <c r="L21" s="55"/>
      <c r="M21" s="28"/>
      <c r="N21" s="30"/>
      <c r="O21" s="43"/>
      <c r="P21" s="29"/>
    </row>
    <row r="22" spans="1:16" ht="15" customHeight="1">
      <c r="A22" s="29"/>
      <c r="B22" s="29"/>
      <c r="C22" s="29"/>
      <c r="D22" s="29"/>
      <c r="E22" s="28"/>
      <c r="F22" s="29"/>
      <c r="G22" s="30"/>
      <c r="H22" s="30"/>
      <c r="I22" s="30"/>
      <c r="J22" s="30"/>
      <c r="K22" s="30"/>
      <c r="L22" s="55"/>
      <c r="M22" s="28"/>
      <c r="N22" s="30"/>
      <c r="O22" s="43"/>
      <c r="P22" s="29"/>
    </row>
    <row r="23" spans="1:16" ht="15" customHeight="1">
      <c r="A23" s="29"/>
      <c r="B23" s="29"/>
      <c r="C23" s="29"/>
      <c r="D23" s="29"/>
      <c r="E23" s="28"/>
      <c r="F23" s="29"/>
      <c r="G23" s="30"/>
      <c r="H23" s="30"/>
      <c r="I23" s="30"/>
      <c r="J23" s="30"/>
      <c r="K23" s="30"/>
      <c r="L23" s="55"/>
      <c r="M23" s="28"/>
      <c r="N23" s="30"/>
      <c r="O23" s="43"/>
      <c r="P23" s="29"/>
    </row>
    <row r="24" spans="1:16" ht="15" customHeight="1">
      <c r="A24" s="29"/>
      <c r="B24" s="29"/>
      <c r="C24" s="29"/>
      <c r="D24" s="29"/>
      <c r="E24" s="28"/>
      <c r="F24" s="29"/>
      <c r="G24" s="30"/>
      <c r="H24" s="30"/>
      <c r="I24" s="30"/>
      <c r="J24" s="30"/>
      <c r="K24" s="30"/>
      <c r="L24" s="55"/>
      <c r="M24" s="28"/>
      <c r="N24" s="30"/>
      <c r="O24" s="43"/>
      <c r="P24" s="29"/>
    </row>
    <row r="25" spans="1:16" ht="15" customHeight="1">
      <c r="A25" s="29"/>
      <c r="B25" s="29"/>
      <c r="C25" s="29"/>
      <c r="D25" s="29"/>
      <c r="E25" s="28"/>
      <c r="F25" s="29"/>
      <c r="G25" s="30"/>
      <c r="H25" s="30"/>
      <c r="I25" s="30"/>
      <c r="J25" s="30"/>
      <c r="K25" s="30"/>
      <c r="L25" s="55"/>
      <c r="M25" s="28"/>
      <c r="N25" s="30"/>
      <c r="O25" s="43"/>
      <c r="P25" s="29"/>
    </row>
    <row r="26" spans="1:16" ht="15" customHeight="1">
      <c r="A26" s="29"/>
      <c r="B26" s="29"/>
      <c r="C26" s="29"/>
      <c r="D26" s="29"/>
      <c r="E26" s="28"/>
      <c r="F26" s="29"/>
      <c r="G26" s="30"/>
      <c r="H26" s="30"/>
      <c r="I26" s="30"/>
      <c r="J26" s="30"/>
      <c r="K26" s="30"/>
      <c r="L26" s="55"/>
      <c r="M26" s="28"/>
      <c r="N26" s="30"/>
      <c r="O26" s="43"/>
      <c r="P26" s="29"/>
    </row>
    <row r="27" spans="1:16" ht="15" customHeight="1">
      <c r="A27" s="29"/>
      <c r="B27" s="29"/>
      <c r="C27" s="29"/>
      <c r="D27" s="29"/>
      <c r="E27" s="28"/>
      <c r="F27" s="29"/>
      <c r="G27" s="30"/>
      <c r="H27" s="30"/>
      <c r="I27" s="30"/>
      <c r="J27" s="30"/>
      <c r="K27" s="30"/>
      <c r="L27" s="55"/>
      <c r="M27" s="28"/>
      <c r="N27" s="30"/>
      <c r="O27" s="43"/>
      <c r="P27" s="29"/>
    </row>
    <row r="28" spans="1:16" ht="15" customHeight="1">
      <c r="A28" s="29"/>
      <c r="B28" s="29"/>
      <c r="C28" s="29"/>
      <c r="D28" s="29"/>
      <c r="E28" s="28"/>
      <c r="F28" s="29"/>
      <c r="G28" s="30"/>
      <c r="H28" s="30"/>
      <c r="I28" s="30"/>
      <c r="J28" s="30"/>
      <c r="K28" s="30"/>
      <c r="L28" s="55"/>
      <c r="M28" s="28"/>
      <c r="N28" s="30"/>
      <c r="O28" s="43"/>
      <c r="P28" s="29"/>
    </row>
    <row r="29" spans="1:16" ht="15" customHeight="1">
      <c r="A29" s="29"/>
      <c r="B29" s="29"/>
      <c r="C29" s="29"/>
      <c r="D29" s="29"/>
      <c r="E29" s="28"/>
      <c r="F29" s="29"/>
      <c r="G29" s="30"/>
      <c r="H29" s="30"/>
      <c r="I29" s="30"/>
      <c r="J29" s="30"/>
      <c r="K29" s="30"/>
      <c r="L29" s="55"/>
      <c r="M29" s="28"/>
      <c r="N29" s="30"/>
      <c r="O29" s="43"/>
      <c r="P29" s="29"/>
    </row>
    <row r="30" spans="1:16" ht="15" customHeight="1">
      <c r="A30" s="29"/>
      <c r="B30" s="29"/>
      <c r="C30" s="29"/>
      <c r="D30" s="29"/>
      <c r="E30" s="28"/>
      <c r="F30" s="29"/>
      <c r="G30" s="30"/>
      <c r="H30" s="30"/>
      <c r="I30" s="30"/>
      <c r="J30" s="30"/>
      <c r="K30" s="30"/>
      <c r="L30" s="55"/>
      <c r="M30" s="28"/>
      <c r="N30" s="30"/>
      <c r="O30" s="43"/>
      <c r="P30" s="29"/>
    </row>
    <row r="31" spans="1:16" ht="15" customHeight="1">
      <c r="A31" s="29"/>
      <c r="B31" s="29"/>
      <c r="C31" s="29"/>
      <c r="D31" s="29"/>
      <c r="E31" s="28"/>
      <c r="F31" s="29"/>
      <c r="G31" s="30"/>
      <c r="H31" s="30"/>
      <c r="I31" s="30"/>
      <c r="J31" s="30"/>
      <c r="K31" s="30"/>
      <c r="L31" s="55"/>
      <c r="M31" s="28"/>
      <c r="N31" s="30"/>
      <c r="O31" s="43"/>
      <c r="P31" s="29"/>
    </row>
    <row r="32" spans="1:16" ht="15" customHeight="1">
      <c r="A32" s="29"/>
      <c r="B32" s="29"/>
      <c r="C32" s="29"/>
      <c r="D32" s="29"/>
      <c r="E32" s="28"/>
      <c r="F32" s="29"/>
      <c r="G32" s="30"/>
      <c r="H32" s="30"/>
      <c r="I32" s="30"/>
      <c r="J32" s="30"/>
      <c r="K32" s="30"/>
      <c r="L32" s="55"/>
      <c r="M32" s="28"/>
      <c r="N32" s="30"/>
      <c r="O32" s="43"/>
      <c r="P32" s="29"/>
    </row>
    <row r="33" spans="1:16" ht="15" customHeight="1">
      <c r="A33" s="29"/>
      <c r="B33" s="29"/>
      <c r="C33" s="29"/>
      <c r="D33" s="29"/>
      <c r="E33" s="28"/>
      <c r="F33" s="29"/>
      <c r="G33" s="30"/>
      <c r="H33" s="30"/>
      <c r="I33" s="30"/>
      <c r="J33" s="30"/>
      <c r="K33" s="30"/>
      <c r="L33" s="55"/>
      <c r="M33" s="28"/>
      <c r="N33" s="30"/>
      <c r="O33" s="43"/>
      <c r="P33" s="29"/>
    </row>
    <row r="34" spans="1:16" ht="15" customHeight="1">
      <c r="A34" s="29"/>
      <c r="B34" s="29"/>
      <c r="C34" s="29"/>
      <c r="D34" s="29"/>
      <c r="E34" s="28"/>
      <c r="F34" s="29"/>
      <c r="G34" s="30"/>
      <c r="H34" s="30"/>
      <c r="I34" s="30"/>
      <c r="J34" s="30"/>
      <c r="K34" s="30"/>
      <c r="L34" s="55"/>
      <c r="M34" s="28"/>
      <c r="N34" s="30"/>
      <c r="O34" s="43"/>
      <c r="P34" s="29"/>
    </row>
    <row r="35" spans="1:16" ht="15" customHeight="1">
      <c r="A35" s="29"/>
      <c r="B35" s="29"/>
      <c r="C35" s="29"/>
      <c r="D35" s="29"/>
      <c r="E35" s="28"/>
      <c r="F35" s="29"/>
      <c r="G35" s="30"/>
      <c r="H35" s="30"/>
      <c r="I35" s="30"/>
      <c r="J35" s="30"/>
      <c r="K35" s="30"/>
      <c r="L35" s="55"/>
      <c r="M35" s="28"/>
      <c r="N35" s="30"/>
      <c r="O35" s="43"/>
      <c r="P35" s="29"/>
    </row>
    <row r="36" spans="1:16" ht="15" customHeight="1">
      <c r="A36" s="29"/>
      <c r="B36" s="29"/>
      <c r="C36" s="29"/>
      <c r="D36" s="29"/>
      <c r="E36" s="28"/>
      <c r="F36" s="29"/>
      <c r="G36" s="30"/>
      <c r="H36" s="30"/>
      <c r="I36" s="30"/>
      <c r="J36" s="30"/>
      <c r="K36" s="30"/>
      <c r="L36" s="55"/>
      <c r="M36" s="28"/>
      <c r="N36" s="30"/>
      <c r="O36" s="43"/>
      <c r="P36" s="29"/>
    </row>
    <row r="37" spans="1:16" ht="15" customHeight="1">
      <c r="A37" s="29"/>
      <c r="B37" s="29"/>
      <c r="C37" s="29"/>
      <c r="D37" s="29"/>
      <c r="E37" s="28"/>
      <c r="F37" s="29"/>
      <c r="G37" s="30"/>
      <c r="H37" s="30"/>
      <c r="I37" s="30"/>
      <c r="J37" s="30"/>
      <c r="K37" s="30"/>
      <c r="L37" s="55"/>
      <c r="M37" s="28"/>
      <c r="N37" s="30"/>
      <c r="O37" s="43"/>
      <c r="P37" s="29"/>
    </row>
    <row r="38" spans="1:16" ht="15" customHeight="1">
      <c r="A38" s="29"/>
      <c r="B38" s="29"/>
      <c r="C38" s="29"/>
      <c r="D38" s="29"/>
      <c r="E38" s="28"/>
      <c r="F38" s="29"/>
      <c r="G38" s="30"/>
      <c r="H38" s="30"/>
      <c r="I38" s="30"/>
      <c r="J38" s="30"/>
      <c r="K38" s="30"/>
      <c r="L38" s="55"/>
      <c r="M38" s="28"/>
      <c r="N38" s="30"/>
      <c r="O38" s="43"/>
      <c r="P38" s="29"/>
    </row>
    <row r="39" spans="1:16" ht="15" customHeight="1">
      <c r="A39" s="29"/>
      <c r="B39" s="29"/>
      <c r="C39" s="29"/>
      <c r="D39" s="29"/>
      <c r="E39" s="28"/>
      <c r="F39" s="29"/>
      <c r="G39" s="30"/>
      <c r="H39" s="30"/>
      <c r="I39" s="30"/>
      <c r="J39" s="30"/>
      <c r="K39" s="30"/>
      <c r="L39" s="55"/>
      <c r="M39" s="28"/>
      <c r="N39" s="30"/>
      <c r="O39" s="43"/>
      <c r="P39" s="29"/>
    </row>
    <row r="40" spans="1:16" ht="15" customHeight="1">
      <c r="A40" s="29"/>
      <c r="B40" s="29"/>
      <c r="C40" s="29"/>
      <c r="D40" s="29"/>
      <c r="E40" s="28"/>
      <c r="F40" s="29"/>
      <c r="G40" s="30"/>
      <c r="H40" s="30"/>
      <c r="I40" s="30"/>
      <c r="J40" s="30"/>
      <c r="K40" s="30"/>
      <c r="L40" s="55"/>
      <c r="M40" s="28"/>
      <c r="N40" s="30"/>
      <c r="O40" s="43"/>
      <c r="P40" s="29"/>
    </row>
    <row r="41" spans="1:16" ht="15" customHeight="1">
      <c r="A41" s="29"/>
      <c r="B41" s="29"/>
      <c r="C41" s="29"/>
      <c r="D41" s="29"/>
      <c r="E41" s="28"/>
      <c r="F41" s="29"/>
      <c r="G41" s="30"/>
      <c r="H41" s="30"/>
      <c r="I41" s="30"/>
      <c r="J41" s="30"/>
      <c r="K41" s="30"/>
      <c r="L41" s="55"/>
      <c r="M41" s="28"/>
      <c r="N41" s="30"/>
      <c r="O41" s="43"/>
      <c r="P41" s="29"/>
    </row>
    <row r="42" spans="1:16" ht="15" customHeight="1">
      <c r="A42" s="29"/>
      <c r="B42" s="29"/>
      <c r="C42" s="29"/>
      <c r="D42" s="29"/>
      <c r="E42" s="28"/>
      <c r="F42" s="29"/>
      <c r="G42" s="30"/>
      <c r="H42" s="30"/>
      <c r="I42" s="30"/>
      <c r="J42" s="30"/>
      <c r="K42" s="30"/>
      <c r="L42" s="55"/>
      <c r="M42" s="28"/>
      <c r="N42" s="30"/>
      <c r="O42" s="43"/>
      <c r="P42" s="29"/>
    </row>
    <row r="43" spans="1:16" ht="15" customHeight="1">
      <c r="A43" s="29"/>
      <c r="B43" s="29"/>
      <c r="C43" s="29"/>
      <c r="D43" s="29"/>
      <c r="E43" s="28"/>
      <c r="F43" s="29"/>
      <c r="G43" s="30"/>
      <c r="H43" s="30"/>
      <c r="I43" s="30"/>
      <c r="J43" s="30"/>
      <c r="K43" s="30"/>
      <c r="L43" s="55"/>
      <c r="M43" s="28"/>
      <c r="N43" s="30"/>
      <c r="O43" s="43"/>
      <c r="P43" s="29"/>
    </row>
    <row r="44" spans="1:16" ht="15" customHeight="1">
      <c r="A44" s="29"/>
      <c r="B44" s="29"/>
      <c r="C44" s="29"/>
      <c r="D44" s="29"/>
      <c r="E44" s="28"/>
      <c r="F44" s="29"/>
      <c r="G44" s="30"/>
      <c r="H44" s="30"/>
      <c r="I44" s="30"/>
      <c r="J44" s="30"/>
      <c r="K44" s="30"/>
      <c r="L44" s="55"/>
      <c r="M44" s="28"/>
      <c r="N44" s="30"/>
      <c r="O44" s="43"/>
      <c r="P44" s="29"/>
    </row>
    <row r="45" spans="1:16" ht="15" customHeight="1">
      <c r="A45" s="29"/>
      <c r="B45" s="29"/>
      <c r="C45" s="29"/>
      <c r="D45" s="29"/>
      <c r="E45" s="28"/>
      <c r="F45" s="29"/>
      <c r="G45" s="30"/>
      <c r="H45" s="30"/>
      <c r="I45" s="30"/>
      <c r="J45" s="30"/>
      <c r="K45" s="30"/>
      <c r="L45" s="55"/>
      <c r="M45" s="28"/>
      <c r="N45" s="30"/>
      <c r="O45" s="43"/>
      <c r="P45" s="29"/>
    </row>
    <row r="46" spans="1:16" ht="15" customHeight="1">
      <c r="A46" s="29"/>
      <c r="B46" s="29"/>
      <c r="C46" s="29"/>
      <c r="D46" s="29"/>
      <c r="E46" s="28"/>
      <c r="F46" s="29"/>
      <c r="G46" s="30"/>
      <c r="H46" s="30"/>
      <c r="I46" s="30"/>
      <c r="J46" s="30"/>
      <c r="K46" s="30"/>
      <c r="L46" s="55"/>
      <c r="M46" s="28"/>
      <c r="N46" s="30"/>
      <c r="O46" s="43"/>
      <c r="P46" s="29"/>
    </row>
    <row r="47" spans="1:16" ht="15" customHeight="1">
      <c r="A47" s="29"/>
      <c r="B47" s="29"/>
      <c r="C47" s="29"/>
      <c r="D47" s="29"/>
      <c r="E47" s="28"/>
      <c r="F47" s="29"/>
      <c r="G47" s="30"/>
      <c r="H47" s="30"/>
      <c r="I47" s="30"/>
      <c r="J47" s="30"/>
      <c r="K47" s="30"/>
      <c r="L47" s="55"/>
      <c r="M47" s="28"/>
      <c r="N47" s="30"/>
      <c r="O47" s="43"/>
      <c r="P47" s="29"/>
    </row>
    <row r="48" spans="1:16" ht="15" customHeight="1">
      <c r="A48" s="29"/>
      <c r="B48" s="29"/>
      <c r="C48" s="29"/>
      <c r="D48" s="29"/>
      <c r="E48" s="28"/>
      <c r="F48" s="29"/>
      <c r="G48" s="30"/>
      <c r="H48" s="30"/>
      <c r="I48" s="30"/>
      <c r="J48" s="30"/>
      <c r="K48" s="30"/>
      <c r="L48" s="55"/>
      <c r="M48" s="28"/>
      <c r="N48" s="30"/>
      <c r="O48" s="43"/>
      <c r="P48" s="29"/>
    </row>
    <row r="49" spans="1:16" ht="15" customHeight="1">
      <c r="A49" s="29"/>
      <c r="B49" s="29"/>
      <c r="C49" s="29"/>
      <c r="D49" s="29"/>
      <c r="E49" s="28"/>
      <c r="F49" s="29"/>
      <c r="G49" s="30"/>
      <c r="H49" s="30"/>
      <c r="I49" s="30"/>
      <c r="J49" s="30"/>
      <c r="K49" s="30"/>
      <c r="L49" s="55"/>
      <c r="M49" s="28"/>
      <c r="N49" s="30"/>
      <c r="O49" s="43"/>
      <c r="P49" s="29"/>
    </row>
    <row r="50" spans="1:16" ht="15" customHeight="1">
      <c r="A50" s="29"/>
      <c r="B50" s="29"/>
      <c r="C50" s="29"/>
      <c r="D50" s="29"/>
      <c r="E50" s="28"/>
      <c r="F50" s="29"/>
      <c r="G50" s="30"/>
      <c r="H50" s="30"/>
      <c r="I50" s="30"/>
      <c r="J50" s="30"/>
      <c r="K50" s="30"/>
      <c r="L50" s="55"/>
      <c r="M50" s="28"/>
      <c r="N50" s="30"/>
      <c r="O50" s="43"/>
      <c r="P50" s="29"/>
    </row>
    <row r="51" spans="1:16" ht="15" customHeight="1">
      <c r="A51" s="29"/>
      <c r="B51" s="29"/>
      <c r="C51" s="29"/>
      <c r="D51" s="29"/>
      <c r="E51" s="28"/>
      <c r="F51" s="29"/>
      <c r="G51" s="30"/>
      <c r="H51" s="30"/>
      <c r="I51" s="30"/>
      <c r="J51" s="30"/>
      <c r="K51" s="30"/>
      <c r="L51" s="55"/>
      <c r="M51" s="28"/>
      <c r="N51" s="30"/>
      <c r="O51" s="43"/>
      <c r="P51" s="29"/>
    </row>
    <row r="52" spans="1:16" ht="15" customHeight="1">
      <c r="A52" s="29"/>
      <c r="B52" s="29"/>
      <c r="C52" s="29"/>
      <c r="D52" s="29"/>
      <c r="E52" s="28"/>
      <c r="F52" s="29"/>
      <c r="G52" s="30"/>
      <c r="H52" s="30"/>
      <c r="I52" s="30"/>
      <c r="J52" s="30"/>
      <c r="K52" s="30"/>
      <c r="L52" s="55"/>
      <c r="M52" s="28"/>
      <c r="N52" s="30"/>
      <c r="O52" s="43"/>
      <c r="P52" s="29"/>
    </row>
    <row r="53" spans="1:16" ht="15" customHeight="1">
      <c r="A53" s="29"/>
      <c r="B53" s="29"/>
      <c r="C53" s="29"/>
      <c r="D53" s="29"/>
      <c r="E53" s="28"/>
      <c r="F53" s="29"/>
      <c r="G53" s="30"/>
      <c r="H53" s="30"/>
      <c r="I53" s="30"/>
      <c r="J53" s="30"/>
      <c r="K53" s="30"/>
      <c r="L53" s="55"/>
      <c r="M53" s="28"/>
      <c r="N53" s="30"/>
      <c r="O53" s="43"/>
      <c r="P53" s="29"/>
    </row>
    <row r="54" spans="1:16" ht="15" customHeight="1">
      <c r="A54" s="29"/>
      <c r="B54" s="29"/>
      <c r="C54" s="29"/>
      <c r="D54" s="29"/>
      <c r="E54" s="28"/>
      <c r="F54" s="29"/>
      <c r="G54" s="30"/>
      <c r="H54" s="30"/>
      <c r="I54" s="30"/>
      <c r="J54" s="30"/>
      <c r="K54" s="30"/>
      <c r="L54" s="55"/>
      <c r="M54" s="28"/>
      <c r="N54" s="30"/>
      <c r="O54" s="43"/>
      <c r="P54" s="29"/>
    </row>
    <row r="55" spans="1:16" ht="15" customHeight="1">
      <c r="A55" s="29"/>
      <c r="B55" s="29"/>
      <c r="C55" s="29"/>
      <c r="D55" s="29"/>
      <c r="E55" s="28"/>
      <c r="F55" s="29"/>
      <c r="G55" s="30"/>
      <c r="H55" s="30"/>
      <c r="I55" s="30"/>
      <c r="J55" s="30"/>
      <c r="K55" s="30"/>
      <c r="L55" s="55"/>
      <c r="M55" s="28"/>
      <c r="N55" s="30"/>
      <c r="O55" s="43"/>
      <c r="P55" s="29"/>
    </row>
    <row r="56" spans="1:16" ht="15" customHeight="1">
      <c r="A56" s="29"/>
      <c r="B56" s="29"/>
      <c r="C56" s="29"/>
      <c r="D56" s="29"/>
      <c r="E56" s="28"/>
      <c r="F56" s="29"/>
      <c r="G56" s="30"/>
      <c r="H56" s="30"/>
      <c r="I56" s="30"/>
      <c r="J56" s="30"/>
      <c r="K56" s="30"/>
      <c r="L56" s="55"/>
      <c r="M56" s="28"/>
      <c r="N56" s="30"/>
      <c r="O56" s="43"/>
      <c r="P56" s="29"/>
    </row>
    <row r="57" spans="1:16" ht="15" customHeight="1">
      <c r="A57" s="29"/>
      <c r="B57" s="29"/>
      <c r="C57" s="29"/>
      <c r="D57" s="29"/>
      <c r="E57" s="28"/>
      <c r="F57" s="29"/>
      <c r="G57" s="30"/>
      <c r="H57" s="30"/>
      <c r="I57" s="30"/>
      <c r="J57" s="30"/>
      <c r="K57" s="30"/>
      <c r="L57" s="55"/>
      <c r="M57" s="28"/>
      <c r="N57" s="30"/>
      <c r="O57" s="43"/>
      <c r="P57" s="29"/>
    </row>
    <row r="58" spans="1:16" ht="15" customHeight="1">
      <c r="A58" s="29"/>
      <c r="B58" s="29"/>
      <c r="C58" s="29"/>
      <c r="D58" s="29"/>
      <c r="E58" s="28"/>
      <c r="F58" s="29"/>
      <c r="G58" s="30"/>
      <c r="H58" s="30"/>
      <c r="I58" s="30"/>
      <c r="J58" s="30"/>
      <c r="K58" s="30"/>
      <c r="L58" s="55"/>
      <c r="M58" s="28"/>
      <c r="N58" s="30"/>
      <c r="O58" s="43"/>
      <c r="P58" s="29"/>
    </row>
    <row r="59" spans="1:16" ht="15" customHeight="1">
      <c r="A59" s="29"/>
      <c r="B59" s="29"/>
      <c r="C59" s="29"/>
      <c r="D59" s="29"/>
      <c r="E59" s="28"/>
      <c r="F59" s="29"/>
      <c r="G59" s="30"/>
      <c r="H59" s="30"/>
      <c r="I59" s="30"/>
      <c r="J59" s="30"/>
      <c r="K59" s="30"/>
      <c r="L59" s="55"/>
      <c r="M59" s="28"/>
      <c r="N59" s="30"/>
      <c r="O59" s="43"/>
      <c r="P59" s="29"/>
    </row>
    <row r="60" spans="1:16" ht="15" customHeight="1">
      <c r="A60" s="29"/>
      <c r="B60" s="29"/>
      <c r="C60" s="29"/>
      <c r="D60" s="29"/>
      <c r="E60" s="28"/>
      <c r="F60" s="29"/>
      <c r="G60" s="30"/>
      <c r="H60" s="30"/>
      <c r="I60" s="30"/>
      <c r="J60" s="30"/>
      <c r="K60" s="30"/>
      <c r="L60" s="55"/>
      <c r="M60" s="28"/>
      <c r="N60" s="30"/>
      <c r="O60" s="43"/>
      <c r="P60" s="29"/>
    </row>
    <row r="61" spans="1:16" ht="15" customHeight="1">
      <c r="A61" s="29"/>
      <c r="B61" s="29"/>
      <c r="C61" s="29"/>
      <c r="D61" s="29"/>
      <c r="E61" s="28"/>
      <c r="F61" s="29"/>
      <c r="G61" s="30"/>
      <c r="H61" s="30"/>
      <c r="I61" s="30"/>
      <c r="J61" s="30"/>
      <c r="K61" s="30"/>
      <c r="L61" s="55"/>
      <c r="M61" s="28"/>
      <c r="N61" s="30"/>
      <c r="O61" s="43"/>
      <c r="P61" s="29"/>
    </row>
    <row r="62" spans="1:16" ht="15" customHeight="1">
      <c r="A62" s="29"/>
      <c r="B62" s="29"/>
      <c r="C62" s="29"/>
      <c r="D62" s="29"/>
      <c r="E62" s="28"/>
      <c r="F62" s="29"/>
      <c r="G62" s="30"/>
      <c r="H62" s="30"/>
      <c r="I62" s="30"/>
      <c r="J62" s="30"/>
      <c r="K62" s="30"/>
      <c r="L62" s="55"/>
      <c r="M62" s="28"/>
      <c r="N62" s="30"/>
      <c r="O62" s="43"/>
      <c r="P62" s="29"/>
    </row>
    <row r="63" spans="1:16" ht="15" customHeight="1">
      <c r="A63" s="29"/>
      <c r="B63" s="29"/>
      <c r="C63" s="29"/>
      <c r="D63" s="29"/>
      <c r="E63" s="28"/>
      <c r="F63" s="29"/>
      <c r="G63" s="30"/>
      <c r="H63" s="30"/>
      <c r="I63" s="30"/>
      <c r="J63" s="30"/>
      <c r="K63" s="30"/>
      <c r="L63" s="55"/>
      <c r="M63" s="28"/>
      <c r="N63" s="30"/>
      <c r="O63" s="43"/>
      <c r="P63" s="29"/>
    </row>
    <row r="64" spans="1:16" ht="15" customHeight="1">
      <c r="A64" s="29"/>
      <c r="B64" s="29"/>
      <c r="C64" s="29"/>
      <c r="D64" s="29"/>
      <c r="E64" s="28"/>
      <c r="F64" s="29"/>
      <c r="G64" s="30"/>
      <c r="H64" s="30"/>
      <c r="I64" s="30"/>
      <c r="J64" s="30"/>
      <c r="K64" s="30"/>
      <c r="L64" s="55"/>
      <c r="M64" s="28"/>
      <c r="N64" s="30"/>
      <c r="O64" s="43"/>
      <c r="P64" s="29"/>
    </row>
    <row r="65" spans="1:16" ht="15" customHeight="1">
      <c r="A65" s="29"/>
      <c r="B65" s="29"/>
      <c r="C65" s="29"/>
      <c r="D65" s="29"/>
      <c r="E65" s="28"/>
      <c r="F65" s="29"/>
      <c r="G65" s="30"/>
      <c r="H65" s="30"/>
      <c r="I65" s="30"/>
      <c r="J65" s="30"/>
      <c r="K65" s="30"/>
      <c r="L65" s="55"/>
      <c r="M65" s="28"/>
      <c r="N65" s="30"/>
      <c r="O65" s="43"/>
      <c r="P65" s="29"/>
    </row>
    <row r="66" spans="1:16" ht="15" customHeight="1">
      <c r="A66" s="29"/>
      <c r="B66" s="29"/>
      <c r="C66" s="29"/>
      <c r="D66" s="29"/>
      <c r="E66" s="28"/>
      <c r="F66" s="29"/>
      <c r="G66" s="30"/>
      <c r="H66" s="30"/>
      <c r="I66" s="30"/>
      <c r="J66" s="30"/>
      <c r="K66" s="30"/>
      <c r="L66" s="55"/>
      <c r="M66" s="28"/>
      <c r="N66" s="30"/>
      <c r="O66" s="43"/>
      <c r="P66" s="29"/>
    </row>
    <row r="67" spans="1:16" ht="15" customHeight="1">
      <c r="A67" s="29"/>
      <c r="B67" s="29"/>
      <c r="C67" s="29"/>
      <c r="D67" s="29"/>
      <c r="E67" s="28"/>
      <c r="F67" s="29"/>
      <c r="G67" s="30"/>
      <c r="H67" s="30"/>
      <c r="I67" s="30"/>
      <c r="J67" s="30"/>
      <c r="K67" s="30"/>
      <c r="L67" s="55"/>
      <c r="M67" s="28"/>
      <c r="N67" s="30"/>
      <c r="O67" s="43"/>
      <c r="P67" s="29"/>
    </row>
    <row r="68" spans="1:16" ht="15" customHeight="1">
      <c r="A68" s="29"/>
      <c r="B68" s="29"/>
      <c r="C68" s="29"/>
      <c r="D68" s="29"/>
      <c r="E68" s="28"/>
      <c r="F68" s="29"/>
      <c r="G68" s="30"/>
      <c r="H68" s="30"/>
      <c r="I68" s="30"/>
      <c r="J68" s="30"/>
      <c r="K68" s="30"/>
      <c r="L68" s="55"/>
      <c r="M68" s="28"/>
      <c r="N68" s="30"/>
      <c r="O68" s="43"/>
      <c r="P68" s="29"/>
    </row>
    <row r="69" spans="1:16" ht="15" customHeight="1">
      <c r="A69" s="29"/>
      <c r="B69" s="29"/>
      <c r="C69" s="29"/>
      <c r="D69" s="29"/>
      <c r="E69" s="28"/>
      <c r="F69" s="29"/>
      <c r="G69" s="30"/>
      <c r="H69" s="30"/>
      <c r="I69" s="30"/>
      <c r="J69" s="30"/>
      <c r="K69" s="30"/>
      <c r="L69" s="55"/>
      <c r="M69" s="28"/>
      <c r="N69" s="30"/>
      <c r="O69" s="43"/>
      <c r="P69" s="29"/>
    </row>
    <row r="70" spans="1:16" ht="15" customHeight="1">
      <c r="A70" s="29"/>
      <c r="B70" s="29"/>
      <c r="C70" s="29"/>
      <c r="D70" s="29"/>
      <c r="E70" s="28"/>
      <c r="F70" s="29"/>
      <c r="G70" s="30"/>
      <c r="H70" s="30"/>
      <c r="I70" s="30"/>
      <c r="J70" s="30"/>
      <c r="K70" s="30"/>
      <c r="L70" s="55"/>
      <c r="M70" s="28"/>
      <c r="N70" s="30"/>
      <c r="O70" s="43"/>
      <c r="P70" s="29"/>
    </row>
    <row r="71" spans="1:16" ht="15" customHeight="1">
      <c r="A71" s="29"/>
      <c r="B71" s="29"/>
      <c r="C71" s="29"/>
      <c r="D71" s="29"/>
      <c r="E71" s="28"/>
      <c r="F71" s="29"/>
      <c r="G71" s="30"/>
      <c r="H71" s="30"/>
      <c r="I71" s="30"/>
      <c r="J71" s="30"/>
      <c r="K71" s="30"/>
      <c r="L71" s="55"/>
      <c r="M71" s="28"/>
      <c r="N71" s="30"/>
      <c r="O71" s="43"/>
      <c r="P71" s="29"/>
    </row>
    <row r="72" spans="1:16" ht="15" customHeight="1">
      <c r="A72" s="29"/>
      <c r="B72" s="29"/>
      <c r="C72" s="29"/>
      <c r="D72" s="29"/>
      <c r="E72" s="28"/>
      <c r="F72" s="29"/>
      <c r="G72" s="30"/>
      <c r="H72" s="30"/>
      <c r="I72" s="30"/>
      <c r="J72" s="30"/>
      <c r="K72" s="30"/>
      <c r="L72" s="55"/>
      <c r="M72" s="28"/>
      <c r="N72" s="30"/>
      <c r="O72" s="43"/>
      <c r="P72" s="29"/>
    </row>
    <row r="73" spans="1:16" ht="15" customHeight="1">
      <c r="A73" s="29"/>
      <c r="B73" s="29"/>
      <c r="C73" s="29"/>
      <c r="D73" s="29"/>
      <c r="E73" s="28"/>
      <c r="F73" s="29"/>
      <c r="G73" s="30"/>
      <c r="H73" s="30"/>
      <c r="I73" s="30"/>
      <c r="J73" s="30"/>
      <c r="K73" s="30"/>
      <c r="L73" s="55"/>
      <c r="M73" s="28"/>
      <c r="N73" s="30"/>
      <c r="O73" s="43"/>
      <c r="P73" s="29"/>
    </row>
    <row r="74" spans="1:16" ht="15" customHeight="1">
      <c r="A74" s="29"/>
      <c r="B74" s="29"/>
      <c r="C74" s="29"/>
      <c r="D74" s="29"/>
      <c r="E74" s="28"/>
      <c r="F74" s="29"/>
      <c r="G74" s="30"/>
      <c r="H74" s="30"/>
      <c r="I74" s="30"/>
      <c r="J74" s="30"/>
      <c r="K74" s="30"/>
      <c r="L74" s="55"/>
      <c r="M74" s="28"/>
      <c r="N74" s="30"/>
      <c r="O74" s="43"/>
      <c r="P74" s="29"/>
    </row>
    <row r="75" spans="1:16" ht="15" customHeight="1">
      <c r="A75" s="29"/>
      <c r="B75" s="29"/>
      <c r="C75" s="29"/>
      <c r="D75" s="29"/>
      <c r="E75" s="28"/>
      <c r="F75" s="29"/>
      <c r="G75" s="30"/>
      <c r="H75" s="30"/>
      <c r="I75" s="30"/>
      <c r="J75" s="30"/>
      <c r="K75" s="30"/>
      <c r="L75" s="55"/>
      <c r="M75" s="28"/>
      <c r="N75" s="30"/>
      <c r="O75" s="43"/>
      <c r="P75" s="29"/>
    </row>
    <row r="76" spans="1:16" ht="15" customHeight="1">
      <c r="A76" s="29"/>
      <c r="B76" s="29"/>
      <c r="C76" s="29"/>
      <c r="D76" s="29"/>
      <c r="E76" s="28"/>
      <c r="F76" s="29"/>
      <c r="G76" s="30"/>
      <c r="H76" s="30"/>
      <c r="I76" s="30"/>
      <c r="J76" s="30"/>
      <c r="K76" s="30"/>
      <c r="L76" s="55"/>
      <c r="M76" s="28"/>
      <c r="N76" s="30"/>
      <c r="O76" s="43"/>
      <c r="P76" s="29"/>
    </row>
    <row r="77" spans="1:16" ht="15" customHeight="1">
      <c r="A77" s="29"/>
      <c r="B77" s="29"/>
      <c r="C77" s="29"/>
      <c r="D77" s="29"/>
      <c r="E77" s="28"/>
      <c r="F77" s="29"/>
      <c r="G77" s="30"/>
      <c r="H77" s="30"/>
      <c r="I77" s="30"/>
      <c r="J77" s="30"/>
      <c r="K77" s="30"/>
      <c r="L77" s="55"/>
      <c r="M77" s="28"/>
      <c r="N77" s="30"/>
      <c r="O77" s="43"/>
      <c r="P77" s="29"/>
    </row>
    <row r="78" spans="1:16" ht="15" customHeight="1">
      <c r="A78" s="29"/>
      <c r="B78" s="29"/>
      <c r="C78" s="29"/>
      <c r="D78" s="29"/>
      <c r="E78" s="28"/>
      <c r="F78" s="29"/>
      <c r="G78" s="30"/>
      <c r="H78" s="30"/>
      <c r="I78" s="30"/>
      <c r="J78" s="30"/>
      <c r="K78" s="30"/>
      <c r="L78" s="55"/>
      <c r="M78" s="28"/>
      <c r="N78" s="30"/>
      <c r="O78" s="43"/>
      <c r="P78" s="29"/>
    </row>
    <row r="79" spans="1:16" ht="15" customHeight="1">
      <c r="A79" s="29"/>
      <c r="B79" s="29"/>
      <c r="C79" s="29"/>
      <c r="D79" s="29"/>
      <c r="E79" s="28"/>
      <c r="F79" s="29"/>
      <c r="G79" s="30"/>
      <c r="H79" s="30"/>
      <c r="I79" s="30"/>
      <c r="J79" s="30"/>
      <c r="K79" s="30"/>
      <c r="L79" s="55"/>
      <c r="M79" s="28"/>
      <c r="N79" s="30"/>
      <c r="O79" s="43"/>
      <c r="P79" s="29"/>
    </row>
    <row r="80" spans="1:16" ht="15" customHeight="1">
      <c r="A80" s="29"/>
      <c r="B80" s="29"/>
      <c r="C80" s="29"/>
      <c r="D80" s="29"/>
      <c r="E80" s="28"/>
      <c r="F80" s="29"/>
      <c r="G80" s="30"/>
      <c r="H80" s="30"/>
      <c r="I80" s="30"/>
      <c r="J80" s="30"/>
      <c r="K80" s="30"/>
      <c r="L80" s="55"/>
      <c r="M80" s="28"/>
      <c r="N80" s="30"/>
      <c r="O80" s="43"/>
      <c r="P80" s="29"/>
    </row>
    <row r="81" spans="1:16" ht="15" customHeight="1">
      <c r="A81" s="29"/>
      <c r="B81" s="29"/>
      <c r="C81" s="29"/>
      <c r="D81" s="29"/>
      <c r="E81" s="28"/>
      <c r="F81" s="29"/>
      <c r="G81" s="30"/>
      <c r="H81" s="30"/>
      <c r="I81" s="30"/>
      <c r="J81" s="30"/>
      <c r="K81" s="30"/>
      <c r="L81" s="55"/>
      <c r="M81" s="28"/>
      <c r="N81" s="30"/>
      <c r="O81" s="43"/>
      <c r="P81" s="29"/>
    </row>
    <row r="82" spans="1:16" ht="15" customHeight="1">
      <c r="A82" s="29"/>
      <c r="B82" s="29"/>
      <c r="C82" s="29"/>
      <c r="D82" s="29"/>
      <c r="E82" s="28"/>
      <c r="F82" s="29"/>
      <c r="G82" s="30"/>
      <c r="H82" s="30"/>
      <c r="I82" s="30"/>
      <c r="J82" s="30"/>
      <c r="K82" s="30"/>
      <c r="L82" s="55"/>
      <c r="M82" s="28"/>
      <c r="N82" s="30"/>
      <c r="O82" s="43"/>
      <c r="P82" s="29"/>
    </row>
    <row r="83" spans="1:16" ht="15" customHeight="1">
      <c r="A83" s="29"/>
      <c r="B83" s="29"/>
      <c r="C83" s="29"/>
      <c r="D83" s="29"/>
      <c r="E83" s="28"/>
      <c r="F83" s="29"/>
      <c r="G83" s="30"/>
      <c r="H83" s="30"/>
      <c r="I83" s="30"/>
      <c r="J83" s="30"/>
      <c r="K83" s="30"/>
      <c r="L83" s="55"/>
      <c r="M83" s="28"/>
      <c r="N83" s="30"/>
      <c r="O83" s="43"/>
      <c r="P83" s="29"/>
    </row>
    <row r="84" spans="1:16" ht="15" customHeight="1">
      <c r="A84" s="29"/>
      <c r="B84" s="29"/>
      <c r="C84" s="29"/>
      <c r="D84" s="29"/>
      <c r="E84" s="28"/>
      <c r="F84" s="29"/>
      <c r="G84" s="30"/>
      <c r="H84" s="30"/>
      <c r="I84" s="30"/>
      <c r="J84" s="30"/>
      <c r="K84" s="30"/>
      <c r="L84" s="55"/>
      <c r="M84" s="28"/>
      <c r="N84" s="30"/>
      <c r="O84" s="43"/>
      <c r="P84" s="29"/>
    </row>
    <row r="85" spans="1:16" ht="15" customHeight="1">
      <c r="A85" s="29"/>
      <c r="B85" s="29"/>
      <c r="C85" s="29"/>
      <c r="D85" s="29"/>
      <c r="E85" s="28"/>
      <c r="F85" s="29"/>
      <c r="G85" s="30"/>
      <c r="H85" s="30"/>
      <c r="I85" s="30"/>
      <c r="J85" s="30"/>
      <c r="K85" s="30"/>
      <c r="L85" s="55"/>
      <c r="M85" s="28"/>
      <c r="N85" s="30"/>
      <c r="O85" s="43"/>
      <c r="P85" s="29"/>
    </row>
    <row r="86" spans="1:16" ht="15" customHeight="1">
      <c r="A86" s="29"/>
      <c r="B86" s="29"/>
      <c r="C86" s="29"/>
      <c r="D86" s="29"/>
      <c r="E86" s="28"/>
      <c r="F86" s="29"/>
      <c r="G86" s="30"/>
      <c r="H86" s="30"/>
      <c r="I86" s="30"/>
      <c r="J86" s="30"/>
      <c r="K86" s="30"/>
      <c r="L86" s="55"/>
      <c r="M86" s="28"/>
      <c r="N86" s="30"/>
      <c r="O86" s="43"/>
      <c r="P86" s="29"/>
    </row>
    <row r="87" spans="1:16" ht="15" customHeight="1">
      <c r="A87" s="29"/>
      <c r="B87" s="29"/>
      <c r="C87" s="29"/>
      <c r="D87" s="29"/>
      <c r="E87" s="28"/>
      <c r="F87" s="29"/>
      <c r="G87" s="30"/>
      <c r="H87" s="30"/>
      <c r="I87" s="30"/>
      <c r="J87" s="30"/>
      <c r="K87" s="30"/>
      <c r="L87" s="55"/>
      <c r="M87" s="28"/>
      <c r="N87" s="30"/>
      <c r="O87" s="43"/>
      <c r="P87" s="29"/>
    </row>
    <row r="88" spans="1:16" ht="15" customHeight="1">
      <c r="A88" s="29"/>
      <c r="B88" s="29"/>
      <c r="C88" s="29"/>
      <c r="D88" s="29"/>
      <c r="E88" s="28"/>
      <c r="F88" s="29"/>
      <c r="G88" s="30"/>
      <c r="H88" s="30"/>
      <c r="I88" s="30"/>
      <c r="J88" s="30"/>
      <c r="K88" s="30"/>
      <c r="L88" s="55"/>
      <c r="M88" s="28"/>
      <c r="N88" s="30"/>
      <c r="O88" s="43"/>
      <c r="P88" s="29"/>
    </row>
    <row r="89" spans="1:16" ht="15" customHeight="1">
      <c r="A89" s="29"/>
      <c r="B89" s="29"/>
      <c r="C89" s="29"/>
      <c r="D89" s="29"/>
      <c r="E89" s="28"/>
      <c r="F89" s="29"/>
      <c r="G89" s="30"/>
      <c r="H89" s="30"/>
      <c r="I89" s="30"/>
      <c r="J89" s="30"/>
      <c r="K89" s="30"/>
      <c r="L89" s="55"/>
      <c r="M89" s="28"/>
      <c r="N89" s="30"/>
      <c r="O89" s="43"/>
      <c r="P89" s="29"/>
    </row>
    <row r="90" spans="1:16" ht="15" customHeight="1">
      <c r="A90" s="29"/>
      <c r="B90" s="29"/>
      <c r="C90" s="29"/>
      <c r="D90" s="29"/>
      <c r="E90" s="28"/>
      <c r="F90" s="29"/>
      <c r="G90" s="30"/>
      <c r="H90" s="30"/>
      <c r="I90" s="30"/>
      <c r="J90" s="30"/>
      <c r="K90" s="30"/>
      <c r="L90" s="55"/>
      <c r="M90" s="28"/>
      <c r="N90" s="30"/>
      <c r="O90" s="43"/>
      <c r="P90" s="29"/>
    </row>
    <row r="91" spans="1:16" ht="15" customHeight="1">
      <c r="A91" s="29"/>
      <c r="B91" s="29"/>
      <c r="C91" s="29"/>
      <c r="D91" s="29"/>
      <c r="E91" s="28"/>
      <c r="F91" s="29"/>
      <c r="G91" s="30"/>
      <c r="H91" s="30"/>
      <c r="I91" s="30"/>
      <c r="J91" s="30"/>
      <c r="K91" s="30"/>
      <c r="L91" s="55"/>
      <c r="M91" s="28"/>
      <c r="N91" s="30"/>
      <c r="O91" s="43"/>
      <c r="P91" s="29"/>
    </row>
    <row r="92" spans="1:16" ht="15" customHeight="1">
      <c r="A92" s="29"/>
      <c r="B92" s="29"/>
      <c r="C92" s="29"/>
      <c r="D92" s="29"/>
      <c r="E92" s="28"/>
      <c r="F92" s="29"/>
      <c r="G92" s="30"/>
      <c r="H92" s="30"/>
      <c r="I92" s="30"/>
      <c r="J92" s="30"/>
      <c r="K92" s="30"/>
      <c r="L92" s="55"/>
      <c r="M92" s="28"/>
      <c r="N92" s="30"/>
      <c r="O92" s="43"/>
      <c r="P92" s="29"/>
    </row>
    <row r="93" spans="1:16" ht="15" customHeight="1">
      <c r="A93" s="29"/>
      <c r="B93" s="29"/>
      <c r="C93" s="29"/>
      <c r="D93" s="29"/>
      <c r="E93" s="28"/>
      <c r="F93" s="29"/>
      <c r="G93" s="30"/>
      <c r="H93" s="30"/>
      <c r="I93" s="30"/>
      <c r="J93" s="30"/>
      <c r="K93" s="30"/>
      <c r="L93" s="55"/>
      <c r="M93" s="28"/>
      <c r="N93" s="30"/>
      <c r="O93" s="43"/>
      <c r="P93" s="29"/>
    </row>
    <row r="94" spans="1:16" ht="15" customHeight="1">
      <c r="A94" s="29"/>
      <c r="B94" s="29"/>
      <c r="C94" s="29"/>
      <c r="D94" s="29"/>
      <c r="E94" s="28"/>
      <c r="F94" s="29"/>
      <c r="G94" s="30"/>
      <c r="H94" s="30"/>
      <c r="I94" s="30"/>
      <c r="J94" s="30"/>
      <c r="K94" s="30"/>
      <c r="L94" s="55"/>
      <c r="M94" s="28"/>
      <c r="N94" s="30"/>
      <c r="O94" s="43"/>
      <c r="P94" s="29"/>
    </row>
    <row r="95" spans="1:16" ht="15" customHeight="1">
      <c r="A95" s="29"/>
      <c r="B95" s="29"/>
      <c r="C95" s="29"/>
      <c r="D95" s="29"/>
      <c r="E95" s="28"/>
      <c r="F95" s="29"/>
      <c r="G95" s="30"/>
      <c r="H95" s="30"/>
      <c r="I95" s="30"/>
      <c r="J95" s="30"/>
      <c r="K95" s="30"/>
      <c r="L95" s="55"/>
      <c r="M95" s="28"/>
      <c r="N95" s="30"/>
      <c r="O95" s="43"/>
      <c r="P95" s="29"/>
    </row>
    <row r="96" spans="1:16" ht="15" customHeight="1">
      <c r="A96" s="29"/>
      <c r="B96" s="29"/>
      <c r="C96" s="29"/>
      <c r="D96" s="29"/>
      <c r="E96" s="28"/>
      <c r="F96" s="29"/>
      <c r="G96" s="30"/>
      <c r="H96" s="30"/>
      <c r="I96" s="30"/>
      <c r="J96" s="30"/>
      <c r="K96" s="30"/>
      <c r="L96" s="55"/>
      <c r="M96" s="28"/>
      <c r="N96" s="30"/>
      <c r="O96" s="43"/>
      <c r="P96" s="29"/>
    </row>
    <row r="97" spans="1:16" ht="15" customHeight="1">
      <c r="A97" s="29"/>
      <c r="B97" s="29"/>
      <c r="C97" s="29"/>
      <c r="D97" s="29"/>
      <c r="E97" s="28"/>
      <c r="F97" s="29"/>
      <c r="G97" s="30"/>
      <c r="H97" s="30"/>
      <c r="I97" s="30"/>
      <c r="J97" s="30"/>
      <c r="K97" s="30"/>
      <c r="L97" s="55"/>
      <c r="M97" s="28"/>
      <c r="N97" s="30"/>
      <c r="O97" s="43"/>
      <c r="P97" s="29"/>
    </row>
    <row r="98" spans="1:16" ht="15" customHeight="1">
      <c r="A98" s="29"/>
      <c r="B98" s="29"/>
      <c r="C98" s="29"/>
      <c r="D98" s="29"/>
      <c r="E98" s="28"/>
      <c r="F98" s="29"/>
      <c r="G98" s="30"/>
      <c r="H98" s="30"/>
      <c r="I98" s="30"/>
      <c r="J98" s="30"/>
      <c r="K98" s="30"/>
      <c r="L98" s="55"/>
      <c r="M98" s="28"/>
      <c r="N98" s="30"/>
      <c r="O98" s="43"/>
      <c r="P98" s="29"/>
    </row>
    <row r="99" spans="1:16" ht="15" customHeight="1">
      <c r="A99" s="29"/>
      <c r="B99" s="29"/>
      <c r="C99" s="29"/>
      <c r="D99" s="29"/>
      <c r="E99" s="28"/>
      <c r="F99" s="29"/>
      <c r="G99" s="30"/>
      <c r="H99" s="30"/>
      <c r="I99" s="30"/>
      <c r="J99" s="30"/>
      <c r="K99" s="30"/>
      <c r="L99" s="55"/>
      <c r="M99" s="28"/>
      <c r="N99" s="30"/>
      <c r="O99" s="43"/>
      <c r="P99" s="29"/>
    </row>
    <row r="100" spans="1:16" ht="15" customHeight="1">
      <c r="A100" s="29"/>
      <c r="B100" s="29"/>
      <c r="C100" s="29"/>
      <c r="D100" s="29"/>
      <c r="E100" s="28"/>
      <c r="F100" s="29"/>
      <c r="G100" s="30"/>
      <c r="H100" s="30"/>
      <c r="I100" s="30"/>
      <c r="J100" s="30"/>
      <c r="K100" s="30"/>
      <c r="L100" s="55"/>
      <c r="M100" s="28"/>
      <c r="N100" s="30"/>
      <c r="O100" s="43"/>
      <c r="P100" s="29"/>
    </row>
    <row r="101" spans="1:16" ht="15" customHeight="1">
      <c r="A101" s="29"/>
      <c r="B101" s="29"/>
      <c r="C101" s="29"/>
      <c r="D101" s="29"/>
      <c r="E101" s="28"/>
      <c r="F101" s="29"/>
      <c r="G101" s="30"/>
      <c r="H101" s="30"/>
      <c r="I101" s="30"/>
      <c r="J101" s="30"/>
      <c r="K101" s="30"/>
      <c r="L101" s="55"/>
      <c r="M101" s="28"/>
      <c r="N101" s="30"/>
      <c r="O101" s="43"/>
      <c r="P101" s="29"/>
    </row>
    <row r="102" spans="1:16" ht="15" customHeight="1">
      <c r="A102" s="29"/>
      <c r="B102" s="29"/>
      <c r="C102" s="29"/>
      <c r="D102" s="29"/>
      <c r="E102" s="28"/>
      <c r="F102" s="29"/>
      <c r="G102" s="30"/>
      <c r="H102" s="30"/>
      <c r="I102" s="30"/>
      <c r="J102" s="30"/>
      <c r="K102" s="30"/>
      <c r="L102" s="55"/>
      <c r="M102" s="28"/>
      <c r="N102" s="30"/>
      <c r="O102" s="43"/>
      <c r="P102" s="29"/>
    </row>
    <row r="103" spans="1:16" ht="15" customHeight="1">
      <c r="A103" s="29"/>
      <c r="B103" s="29"/>
      <c r="C103" s="29"/>
      <c r="D103" s="29"/>
      <c r="E103" s="28"/>
      <c r="F103" s="29"/>
      <c r="G103" s="30"/>
      <c r="H103" s="30"/>
      <c r="I103" s="30"/>
      <c r="J103" s="30"/>
      <c r="K103" s="30"/>
      <c r="L103" s="55"/>
      <c r="M103" s="28"/>
      <c r="N103" s="30"/>
      <c r="O103" s="43"/>
      <c r="P103" s="29"/>
    </row>
    <row r="104" spans="1:16" ht="15" customHeight="1">
      <c r="A104" s="83" t="s">
        <v>44</v>
      </c>
      <c r="B104" s="83"/>
      <c r="C104" s="83"/>
      <c r="D104" s="83"/>
      <c r="E104" s="83"/>
      <c r="F104" s="83"/>
      <c r="G104" s="12">
        <f>SUM(G4:G103)</f>
        <v>0</v>
      </c>
      <c r="H104" s="12">
        <f>SUM(H4:H103)</f>
        <v>0</v>
      </c>
      <c r="I104" s="12">
        <f>SUM(I4:I103)</f>
        <v>0</v>
      </c>
      <c r="J104" s="12">
        <f>SUM(J4:J103)</f>
        <v>0</v>
      </c>
      <c r="K104" s="12">
        <f>SUM(K4:K103)</f>
        <v>0</v>
      </c>
      <c r="L104" s="32" t="str">
        <f>COUNTA(L4:L103)&amp;"件"</f>
        <v>0件</v>
      </c>
      <c r="M104" s="32" t="str">
        <f>COUNTA(M4:M103)&amp;"件予定"</f>
        <v>0件予定</v>
      </c>
      <c r="N104" s="12">
        <f>SUM(N4:N103)</f>
        <v>0</v>
      </c>
      <c r="P104" s="32"/>
    </row>
    <row r="106" spans="1:16">
      <c r="A106" s="87" t="s">
        <v>115</v>
      </c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44" t="str">
        <f>COUNTIF(O4:O103,"済")&amp;"件"</f>
        <v>0件</v>
      </c>
      <c r="N106" s="45">
        <f>SUMIF(O4:O103,"済",N4:N103)</f>
        <v>0</v>
      </c>
      <c r="O106" s="46"/>
      <c r="P106" s="46"/>
    </row>
    <row r="107" spans="1:16">
      <c r="A107" s="88" t="s">
        <v>116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47" t="str">
        <f>COUNTIFS(N4:N103,"&gt;0",O4:O103,"")&amp;"件"</f>
        <v>0件</v>
      </c>
      <c r="N107" s="48">
        <f>SUMIFS(N4:N103,O4:O103,"")</f>
        <v>0</v>
      </c>
      <c r="O107" s="49"/>
      <c r="P107" s="49"/>
    </row>
    <row r="108" spans="1:16">
      <c r="A108" s="86" t="s">
        <v>117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50" t="str">
        <f>COUNTIF(O4:O103,"取消")&amp;"件"</f>
        <v>0件</v>
      </c>
      <c r="N108" s="51">
        <f>SUMIF(O4:O103,"取消",N4:N103)</f>
        <v>0</v>
      </c>
      <c r="O108" s="52"/>
      <c r="P108" s="52"/>
    </row>
  </sheetData>
  <mergeCells count="6">
    <mergeCell ref="A108:L108"/>
    <mergeCell ref="A1:P1"/>
    <mergeCell ref="G2:P2"/>
    <mergeCell ref="A104:F104"/>
    <mergeCell ref="A106:L106"/>
    <mergeCell ref="A107:L107"/>
  </mergeCells>
  <phoneticPr fontId="46"/>
  <conditionalFormatting sqref="A4:O103">
    <cfRule type="expression" dxfId="29" priority="2">
      <formula>$L4="高"</formula>
    </cfRule>
    <cfRule type="expression" dxfId="28" priority="3">
      <formula>$L4="中"</formula>
    </cfRule>
    <cfRule type="expression" dxfId="27" priority="4">
      <formula>$L4="低"</formula>
    </cfRule>
    <cfRule type="expression" dxfId="26" priority="5">
      <formula>$L4="月次"</formula>
    </cfRule>
  </conditionalFormatting>
  <conditionalFormatting sqref="A4:P103">
    <cfRule type="expression" dxfId="25" priority="10">
      <formula>$O4="済"</formula>
    </cfRule>
    <cfRule type="expression" dxfId="24" priority="11">
      <formula>$O4="取消"</formula>
    </cfRule>
  </conditionalFormatting>
  <conditionalFormatting sqref="L4:L103">
    <cfRule type="cellIs" dxfId="23" priority="6" operator="equal">
      <formula>"高"</formula>
    </cfRule>
    <cfRule type="cellIs" dxfId="22" priority="7" operator="equal">
      <formula>"中"</formula>
    </cfRule>
    <cfRule type="cellIs" dxfId="21" priority="8" operator="equal">
      <formula>"低"</formula>
    </cfRule>
    <cfRule type="cellIs" dxfId="20" priority="9" operator="equal">
      <formula>"月次"</formula>
    </cfRule>
  </conditionalFormatting>
  <dataValidations count="3">
    <dataValidation type="list" allowBlank="1" sqref="L4:L103" xr:uid="{00000000-0002-0000-0F00-000000000000}">
      <formula1>"高,中,低,月次"</formula1>
      <formula2>0</formula2>
    </dataValidation>
    <dataValidation type="date" allowBlank="1" sqref="M4:M103" xr:uid="{00000000-0002-0000-0F00-000001000000}">
      <formula1>0</formula1>
      <formula2>0</formula2>
    </dataValidation>
    <dataValidation type="list" allowBlank="1" prompt="支払状況を選択（済/取消）" sqref="O4:O103" xr:uid="{00000000-0002-0000-0F00-000002000000}">
      <formula1>"済,取消"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2" width="24" customWidth="1"/>
    <col min="3" max="3" width="16" customWidth="1"/>
    <col min="4" max="4" width="12" customWidth="1"/>
    <col min="5" max="5" width="24" customWidth="1"/>
  </cols>
  <sheetData>
    <row r="1" spans="1:5" ht="27.75" customHeight="1">
      <c r="A1" s="91" t="s">
        <v>222</v>
      </c>
      <c r="B1" s="91"/>
      <c r="C1" s="91"/>
      <c r="D1" s="91"/>
      <c r="E1" s="91"/>
    </row>
    <row r="2" spans="1:5" ht="15" customHeight="1">
      <c r="A2" s="85" t="s">
        <v>119</v>
      </c>
      <c r="B2" s="85"/>
      <c r="C2" s="85"/>
      <c r="D2" s="85"/>
      <c r="E2" s="85"/>
    </row>
    <row r="3" spans="1:5" ht="15" customHeight="1">
      <c r="A3" s="6" t="s">
        <v>120</v>
      </c>
      <c r="B3" s="6" t="s">
        <v>121</v>
      </c>
      <c r="C3" s="6" t="s">
        <v>122</v>
      </c>
      <c r="D3" s="6" t="s">
        <v>85</v>
      </c>
      <c r="E3" s="6" t="s">
        <v>50</v>
      </c>
    </row>
    <row r="4" spans="1:5" ht="15" customHeight="1">
      <c r="A4" s="28"/>
      <c r="B4" s="53"/>
      <c r="C4" s="30"/>
      <c r="D4" s="31"/>
      <c r="E4" s="53"/>
    </row>
    <row r="5" spans="1:5" ht="15" customHeight="1">
      <c r="A5" s="28"/>
      <c r="B5" s="53"/>
      <c r="C5" s="30"/>
      <c r="D5" s="31"/>
      <c r="E5" s="53"/>
    </row>
    <row r="6" spans="1:5" ht="15" customHeight="1">
      <c r="A6" s="28"/>
      <c r="B6" s="53"/>
      <c r="C6" s="30"/>
      <c r="D6" s="31"/>
      <c r="E6" s="53"/>
    </row>
    <row r="7" spans="1:5" ht="15" customHeight="1">
      <c r="A7" s="28"/>
      <c r="B7" s="53"/>
      <c r="C7" s="30"/>
      <c r="D7" s="31"/>
      <c r="E7" s="53"/>
    </row>
    <row r="8" spans="1:5" ht="15" customHeight="1">
      <c r="A8" s="28"/>
      <c r="B8" s="53"/>
      <c r="C8" s="30"/>
      <c r="D8" s="31"/>
      <c r="E8" s="53"/>
    </row>
    <row r="9" spans="1:5" ht="15" customHeight="1">
      <c r="A9" s="28"/>
      <c r="B9" s="53"/>
      <c r="C9" s="30"/>
      <c r="D9" s="31"/>
      <c r="E9" s="53"/>
    </row>
    <row r="10" spans="1:5" ht="15" customHeight="1">
      <c r="A10" s="28"/>
      <c r="B10" s="53"/>
      <c r="C10" s="30"/>
      <c r="D10" s="31"/>
      <c r="E10" s="53"/>
    </row>
    <row r="11" spans="1:5" ht="15" customHeight="1">
      <c r="A11" s="28"/>
      <c r="B11" s="53"/>
      <c r="C11" s="30"/>
      <c r="D11" s="31"/>
      <c r="E11" s="53"/>
    </row>
    <row r="12" spans="1:5" ht="15" customHeight="1">
      <c r="A12" s="28"/>
      <c r="B12" s="53"/>
      <c r="C12" s="30"/>
      <c r="D12" s="31"/>
      <c r="E12" s="53"/>
    </row>
    <row r="13" spans="1:5" ht="15" customHeight="1">
      <c r="A13" s="28"/>
      <c r="B13" s="53"/>
      <c r="C13" s="30"/>
      <c r="D13" s="31"/>
      <c r="E13" s="53"/>
    </row>
    <row r="14" spans="1:5" ht="15" customHeight="1">
      <c r="A14" s="28"/>
      <c r="B14" s="53"/>
      <c r="C14" s="30"/>
      <c r="D14" s="31"/>
      <c r="E14" s="53"/>
    </row>
    <row r="15" spans="1:5" ht="15" customHeight="1">
      <c r="A15" s="28"/>
      <c r="B15" s="53"/>
      <c r="C15" s="30"/>
      <c r="D15" s="31"/>
      <c r="E15" s="53"/>
    </row>
    <row r="16" spans="1:5" ht="15" customHeight="1">
      <c r="A16" s="28"/>
      <c r="B16" s="53"/>
      <c r="C16" s="30"/>
      <c r="D16" s="31"/>
      <c r="E16" s="53"/>
    </row>
    <row r="17" spans="1:5" ht="15" customHeight="1">
      <c r="A17" s="28"/>
      <c r="B17" s="53"/>
      <c r="C17" s="30"/>
      <c r="D17" s="31"/>
      <c r="E17" s="53"/>
    </row>
    <row r="18" spans="1:5" ht="15" customHeight="1">
      <c r="A18" s="28"/>
      <c r="B18" s="53"/>
      <c r="C18" s="30"/>
      <c r="D18" s="31"/>
      <c r="E18" s="53"/>
    </row>
    <row r="19" spans="1:5" ht="15" customHeight="1">
      <c r="A19" s="28"/>
      <c r="B19" s="53"/>
      <c r="C19" s="30"/>
      <c r="D19" s="31"/>
      <c r="E19" s="53"/>
    </row>
    <row r="20" spans="1:5" ht="15" customHeight="1">
      <c r="A20" s="28"/>
      <c r="B20" s="53"/>
      <c r="C20" s="30"/>
      <c r="D20" s="31"/>
      <c r="E20" s="53"/>
    </row>
    <row r="21" spans="1:5" ht="15" customHeight="1">
      <c r="A21" s="28"/>
      <c r="B21" s="53"/>
      <c r="C21" s="30"/>
      <c r="D21" s="31"/>
      <c r="E21" s="53"/>
    </row>
    <row r="22" spans="1:5" ht="15" customHeight="1">
      <c r="A22" s="28"/>
      <c r="B22" s="53"/>
      <c r="C22" s="30"/>
      <c r="D22" s="31"/>
      <c r="E22" s="53"/>
    </row>
    <row r="23" spans="1:5" ht="15" customHeight="1">
      <c r="A23" s="28"/>
      <c r="B23" s="53"/>
      <c r="C23" s="30"/>
      <c r="D23" s="31"/>
      <c r="E23" s="53"/>
    </row>
    <row r="24" spans="1:5" ht="15" customHeight="1">
      <c r="A24" s="28"/>
      <c r="B24" s="53"/>
      <c r="C24" s="30"/>
      <c r="D24" s="31"/>
      <c r="E24" s="53"/>
    </row>
    <row r="25" spans="1:5" ht="15" customHeight="1">
      <c r="A25" s="28"/>
      <c r="B25" s="53"/>
      <c r="C25" s="30"/>
      <c r="D25" s="31"/>
      <c r="E25" s="53"/>
    </row>
    <row r="26" spans="1:5" ht="15" customHeight="1">
      <c r="A26" s="28"/>
      <c r="B26" s="53"/>
      <c r="C26" s="30"/>
      <c r="D26" s="31"/>
      <c r="E26" s="53"/>
    </row>
    <row r="27" spans="1:5" ht="15" customHeight="1">
      <c r="A27" s="28"/>
      <c r="B27" s="53"/>
      <c r="C27" s="30"/>
      <c r="D27" s="31"/>
      <c r="E27" s="53"/>
    </row>
    <row r="28" spans="1:5" ht="15" customHeight="1">
      <c r="A28" s="28"/>
      <c r="B28" s="53"/>
      <c r="C28" s="30"/>
      <c r="D28" s="31"/>
      <c r="E28" s="53"/>
    </row>
    <row r="29" spans="1:5" ht="15" customHeight="1">
      <c r="A29" s="28"/>
      <c r="B29" s="53"/>
      <c r="C29" s="30"/>
      <c r="D29" s="31"/>
      <c r="E29" s="53"/>
    </row>
    <row r="30" spans="1:5" ht="15" customHeight="1">
      <c r="A30" s="28"/>
      <c r="B30" s="53"/>
      <c r="C30" s="30"/>
      <c r="D30" s="31"/>
      <c r="E30" s="53"/>
    </row>
    <row r="31" spans="1:5" ht="15" customHeight="1">
      <c r="A31" s="28"/>
      <c r="B31" s="53"/>
      <c r="C31" s="30"/>
      <c r="D31" s="31"/>
      <c r="E31" s="53"/>
    </row>
    <row r="32" spans="1:5" ht="15" customHeight="1">
      <c r="A32" s="28"/>
      <c r="B32" s="53"/>
      <c r="C32" s="30"/>
      <c r="D32" s="31"/>
      <c r="E32" s="53"/>
    </row>
    <row r="33" spans="1:5" ht="15" customHeight="1">
      <c r="A33" s="28"/>
      <c r="B33" s="53"/>
      <c r="C33" s="30"/>
      <c r="D33" s="31"/>
      <c r="E33" s="53"/>
    </row>
    <row r="34" spans="1:5" ht="15" customHeight="1">
      <c r="A34" s="28"/>
      <c r="B34" s="53"/>
      <c r="C34" s="30"/>
      <c r="D34" s="31"/>
      <c r="E34" s="53"/>
    </row>
    <row r="35" spans="1:5" ht="15" customHeight="1">
      <c r="A35" s="28"/>
      <c r="B35" s="53"/>
      <c r="C35" s="30"/>
      <c r="D35" s="31"/>
      <c r="E35" s="53"/>
    </row>
    <row r="36" spans="1:5" ht="15" customHeight="1">
      <c r="A36" s="28"/>
      <c r="B36" s="53"/>
      <c r="C36" s="30"/>
      <c r="D36" s="31"/>
      <c r="E36" s="53"/>
    </row>
    <row r="37" spans="1:5" ht="15" customHeight="1">
      <c r="A37" s="28"/>
      <c r="B37" s="53"/>
      <c r="C37" s="30"/>
      <c r="D37" s="31"/>
      <c r="E37" s="53"/>
    </row>
    <row r="38" spans="1:5" ht="15" customHeight="1">
      <c r="A38" s="28"/>
      <c r="B38" s="53"/>
      <c r="C38" s="30"/>
      <c r="D38" s="31"/>
      <c r="E38" s="53"/>
    </row>
    <row r="39" spans="1:5" ht="15" customHeight="1">
      <c r="A39" s="28"/>
      <c r="B39" s="53"/>
      <c r="C39" s="30"/>
      <c r="D39" s="31"/>
      <c r="E39" s="53"/>
    </row>
    <row r="40" spans="1:5" ht="15" customHeight="1">
      <c r="A40" s="28"/>
      <c r="B40" s="53"/>
      <c r="C40" s="30"/>
      <c r="D40" s="31"/>
      <c r="E40" s="53"/>
    </row>
    <row r="41" spans="1:5" ht="15" customHeight="1">
      <c r="A41" s="28"/>
      <c r="B41" s="53"/>
      <c r="C41" s="30"/>
      <c r="D41" s="31"/>
      <c r="E41" s="53"/>
    </row>
    <row r="42" spans="1:5" ht="15" customHeight="1">
      <c r="A42" s="28"/>
      <c r="B42" s="53"/>
      <c r="C42" s="30"/>
      <c r="D42" s="31"/>
      <c r="E42" s="53"/>
    </row>
    <row r="43" spans="1:5" ht="15" customHeight="1">
      <c r="A43" s="28"/>
      <c r="B43" s="53"/>
      <c r="C43" s="30"/>
      <c r="D43" s="31"/>
      <c r="E43" s="53"/>
    </row>
    <row r="44" spans="1:5" ht="15" customHeight="1">
      <c r="A44" s="28"/>
      <c r="B44" s="53"/>
      <c r="C44" s="30"/>
      <c r="D44" s="31"/>
      <c r="E44" s="53"/>
    </row>
    <row r="45" spans="1:5" ht="15" customHeight="1">
      <c r="A45" s="28"/>
      <c r="B45" s="53"/>
      <c r="C45" s="30"/>
      <c r="D45" s="31"/>
      <c r="E45" s="53"/>
    </row>
    <row r="46" spans="1:5" ht="15" customHeight="1">
      <c r="A46" s="28"/>
      <c r="B46" s="53"/>
      <c r="C46" s="30"/>
      <c r="D46" s="31"/>
      <c r="E46" s="53"/>
    </row>
    <row r="47" spans="1:5" ht="15" customHeight="1">
      <c r="A47" s="28"/>
      <c r="B47" s="53"/>
      <c r="C47" s="30"/>
      <c r="D47" s="31"/>
      <c r="E47" s="53"/>
    </row>
    <row r="48" spans="1:5" ht="15" customHeight="1">
      <c r="A48" s="28"/>
      <c r="B48" s="53"/>
      <c r="C48" s="30"/>
      <c r="D48" s="31"/>
      <c r="E48" s="53"/>
    </row>
    <row r="49" spans="1:5" ht="15" customHeight="1">
      <c r="A49" s="28"/>
      <c r="B49" s="53"/>
      <c r="C49" s="30"/>
      <c r="D49" s="31"/>
      <c r="E49" s="53"/>
    </row>
    <row r="50" spans="1:5" ht="15" customHeight="1">
      <c r="A50" s="28"/>
      <c r="B50" s="53"/>
      <c r="C50" s="30"/>
      <c r="D50" s="31"/>
      <c r="E50" s="53"/>
    </row>
    <row r="51" spans="1:5" ht="15" customHeight="1">
      <c r="A51" s="28"/>
      <c r="B51" s="53"/>
      <c r="C51" s="30"/>
      <c r="D51" s="31"/>
      <c r="E51" s="53"/>
    </row>
    <row r="52" spans="1:5" ht="15" customHeight="1">
      <c r="A52" s="28"/>
      <c r="B52" s="53"/>
      <c r="C52" s="30"/>
      <c r="D52" s="31"/>
      <c r="E52" s="53"/>
    </row>
    <row r="53" spans="1:5" ht="15" customHeight="1">
      <c r="A53" s="28"/>
      <c r="B53" s="53"/>
      <c r="C53" s="30"/>
      <c r="D53" s="31"/>
      <c r="E53" s="53"/>
    </row>
    <row r="55" spans="1:5" ht="15" customHeight="1">
      <c r="A55" s="83" t="s">
        <v>44</v>
      </c>
      <c r="B55" s="83"/>
      <c r="C55" s="12">
        <f>SUM(C4:C53)</f>
        <v>0</v>
      </c>
      <c r="D55" s="1"/>
      <c r="E55" s="1"/>
    </row>
  </sheetData>
  <mergeCells count="3">
    <mergeCell ref="A1:E1"/>
    <mergeCell ref="A2:E2"/>
    <mergeCell ref="A55:B55"/>
  </mergeCells>
  <phoneticPr fontId="46"/>
  <dataValidations count="2">
    <dataValidation type="date" allowBlank="1" sqref="A4:A53" xr:uid="{00000000-0002-0000-1000-000000000000}">
      <formula1>0</formula1>
      <formula2>0</formula2>
    </dataValidation>
    <dataValidation type="list" allowBlank="1" sqref="D4:D53" xr:uid="{00000000-0002-0000-1000-000001000000}">
      <formula1>"通常,リボ,分割,その他"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2" width="24" customWidth="1"/>
    <col min="3" max="3" width="14" customWidth="1"/>
    <col min="4" max="4" width="16" customWidth="1"/>
    <col min="5" max="5" width="24" customWidth="1"/>
    <col min="6" max="6" width="12" customWidth="1"/>
  </cols>
  <sheetData>
    <row r="1" spans="1:6" ht="27.75" customHeight="1">
      <c r="A1" s="92" t="s">
        <v>223</v>
      </c>
      <c r="B1" s="92"/>
      <c r="C1" s="92"/>
      <c r="D1" s="92"/>
      <c r="E1" s="92"/>
      <c r="F1" s="92"/>
    </row>
    <row r="2" spans="1:6" ht="15" customHeight="1">
      <c r="A2" s="85" t="s">
        <v>224</v>
      </c>
      <c r="B2" s="85"/>
      <c r="C2" s="85"/>
      <c r="D2" s="85"/>
      <c r="E2" s="85"/>
      <c r="F2" s="85"/>
    </row>
    <row r="3" spans="1:6" ht="15" customHeight="1">
      <c r="A3" s="6" t="s">
        <v>83</v>
      </c>
      <c r="B3" s="6" t="s">
        <v>84</v>
      </c>
      <c r="C3" s="6" t="s">
        <v>85</v>
      </c>
      <c r="D3" s="6" t="s">
        <v>86</v>
      </c>
      <c r="E3" s="6" t="s">
        <v>50</v>
      </c>
      <c r="F3" s="6" t="s">
        <v>87</v>
      </c>
    </row>
    <row r="4" spans="1:6" ht="15" customHeight="1">
      <c r="A4" s="28"/>
      <c r="B4" s="29"/>
      <c r="C4" s="27"/>
      <c r="D4" s="30"/>
      <c r="E4" s="29"/>
      <c r="F4" s="31"/>
    </row>
    <row r="5" spans="1:6" ht="15" customHeight="1">
      <c r="A5" s="28"/>
      <c r="B5" s="29"/>
      <c r="C5" s="27"/>
      <c r="D5" s="30"/>
      <c r="E5" s="29"/>
      <c r="F5" s="31"/>
    </row>
    <row r="6" spans="1:6" ht="15" customHeight="1">
      <c r="A6" s="28"/>
      <c r="B6" s="29"/>
      <c r="C6" s="27"/>
      <c r="D6" s="30"/>
      <c r="E6" s="29"/>
      <c r="F6" s="31"/>
    </row>
    <row r="7" spans="1:6" ht="15" customHeight="1">
      <c r="A7" s="28"/>
      <c r="B7" s="29"/>
      <c r="C7" s="27"/>
      <c r="D7" s="30"/>
      <c r="E7" s="29"/>
      <c r="F7" s="31"/>
    </row>
    <row r="8" spans="1:6" ht="15" customHeight="1">
      <c r="A8" s="28"/>
      <c r="B8" s="29"/>
      <c r="C8" s="27"/>
      <c r="D8" s="30"/>
      <c r="E8" s="29"/>
      <c r="F8" s="31"/>
    </row>
    <row r="9" spans="1:6" ht="15" customHeight="1">
      <c r="A9" s="28"/>
      <c r="B9" s="29"/>
      <c r="C9" s="27"/>
      <c r="D9" s="30"/>
      <c r="E9" s="29"/>
      <c r="F9" s="31"/>
    </row>
    <row r="10" spans="1:6" ht="15" customHeight="1">
      <c r="A10" s="28"/>
      <c r="B10" s="29"/>
      <c r="C10" s="27"/>
      <c r="D10" s="30"/>
      <c r="E10" s="29"/>
      <c r="F10" s="31"/>
    </row>
    <row r="11" spans="1:6" ht="15" customHeight="1">
      <c r="A11" s="28"/>
      <c r="B11" s="29"/>
      <c r="C11" s="27"/>
      <c r="D11" s="30"/>
      <c r="E11" s="29"/>
      <c r="F11" s="31"/>
    </row>
    <row r="12" spans="1:6" ht="15" customHeight="1">
      <c r="A12" s="28"/>
      <c r="B12" s="29"/>
      <c r="C12" s="27"/>
      <c r="D12" s="30"/>
      <c r="E12" s="29"/>
      <c r="F12" s="31"/>
    </row>
    <row r="13" spans="1:6" ht="15" customHeight="1">
      <c r="A13" s="28"/>
      <c r="B13" s="29"/>
      <c r="C13" s="27"/>
      <c r="D13" s="30"/>
      <c r="E13" s="29"/>
      <c r="F13" s="31"/>
    </row>
    <row r="14" spans="1:6" ht="15" customHeight="1">
      <c r="A14" s="28"/>
      <c r="B14" s="29"/>
      <c r="C14" s="27"/>
      <c r="D14" s="30"/>
      <c r="E14" s="29"/>
      <c r="F14" s="31"/>
    </row>
    <row r="15" spans="1:6" ht="15" customHeight="1">
      <c r="A15" s="28"/>
      <c r="B15" s="29"/>
      <c r="C15" s="27"/>
      <c r="D15" s="30"/>
      <c r="E15" s="29"/>
      <c r="F15" s="31"/>
    </row>
    <row r="16" spans="1:6" ht="15" customHeight="1">
      <c r="A16" s="28"/>
      <c r="B16" s="29"/>
      <c r="C16" s="27"/>
      <c r="D16" s="30"/>
      <c r="E16" s="29"/>
      <c r="F16" s="31"/>
    </row>
    <row r="17" spans="1:6" ht="15" customHeight="1">
      <c r="A17" s="28"/>
      <c r="B17" s="29"/>
      <c r="C17" s="27"/>
      <c r="D17" s="30"/>
      <c r="E17" s="29"/>
      <c r="F17" s="31"/>
    </row>
    <row r="18" spans="1:6" ht="15" customHeight="1">
      <c r="A18" s="28"/>
      <c r="B18" s="29"/>
      <c r="C18" s="27"/>
      <c r="D18" s="30"/>
      <c r="E18" s="29"/>
      <c r="F18" s="31"/>
    </row>
    <row r="19" spans="1:6" ht="15" customHeight="1">
      <c r="A19" s="28"/>
      <c r="B19" s="29"/>
      <c r="C19" s="27"/>
      <c r="D19" s="30"/>
      <c r="E19" s="29"/>
      <c r="F19" s="31"/>
    </row>
    <row r="20" spans="1:6" ht="15" customHeight="1">
      <c r="A20" s="28"/>
      <c r="B20" s="29"/>
      <c r="C20" s="27"/>
      <c r="D20" s="30"/>
      <c r="E20" s="29"/>
      <c r="F20" s="31"/>
    </row>
    <row r="21" spans="1:6" ht="15" customHeight="1">
      <c r="A21" s="28"/>
      <c r="B21" s="29"/>
      <c r="C21" s="27"/>
      <c r="D21" s="30"/>
      <c r="E21" s="29"/>
      <c r="F21" s="31"/>
    </row>
    <row r="22" spans="1:6" ht="15" customHeight="1">
      <c r="A22" s="28"/>
      <c r="B22" s="29"/>
      <c r="C22" s="27"/>
      <c r="D22" s="30"/>
      <c r="E22" s="29"/>
      <c r="F22" s="31"/>
    </row>
    <row r="23" spans="1:6" ht="15" customHeight="1">
      <c r="A23" s="28"/>
      <c r="B23" s="29"/>
      <c r="C23" s="27"/>
      <c r="D23" s="30"/>
      <c r="E23" s="29"/>
      <c r="F23" s="31"/>
    </row>
    <row r="24" spans="1:6" ht="15" customHeight="1">
      <c r="A24" s="28"/>
      <c r="B24" s="29"/>
      <c r="C24" s="27"/>
      <c r="D24" s="30"/>
      <c r="E24" s="29"/>
      <c r="F24" s="31"/>
    </row>
    <row r="25" spans="1:6" ht="15" customHeight="1">
      <c r="A25" s="28"/>
      <c r="B25" s="29"/>
      <c r="C25" s="27"/>
      <c r="D25" s="30"/>
      <c r="E25" s="29"/>
      <c r="F25" s="31"/>
    </row>
    <row r="26" spans="1:6" ht="15" customHeight="1">
      <c r="A26" s="28"/>
      <c r="B26" s="29"/>
      <c r="C26" s="27"/>
      <c r="D26" s="30"/>
      <c r="E26" s="29"/>
      <c r="F26" s="31"/>
    </row>
    <row r="27" spans="1:6" ht="15" customHeight="1">
      <c r="A27" s="28"/>
      <c r="B27" s="29"/>
      <c r="C27" s="27"/>
      <c r="D27" s="30"/>
      <c r="E27" s="29"/>
      <c r="F27" s="31"/>
    </row>
    <row r="28" spans="1:6" ht="15" customHeight="1">
      <c r="A28" s="28"/>
      <c r="B28" s="29"/>
      <c r="C28" s="27"/>
      <c r="D28" s="30"/>
      <c r="E28" s="29"/>
      <c r="F28" s="31"/>
    </row>
    <row r="29" spans="1:6" ht="15" customHeight="1">
      <c r="A29" s="28"/>
      <c r="B29" s="29"/>
      <c r="C29" s="27"/>
      <c r="D29" s="30"/>
      <c r="E29" s="29"/>
      <c r="F29" s="31"/>
    </row>
    <row r="30" spans="1:6" ht="15" customHeight="1">
      <c r="A30" s="28"/>
      <c r="B30" s="29"/>
      <c r="C30" s="27"/>
      <c r="D30" s="30"/>
      <c r="E30" s="29"/>
      <c r="F30" s="31"/>
    </row>
    <row r="31" spans="1:6" ht="15" customHeight="1">
      <c r="A31" s="28"/>
      <c r="B31" s="29"/>
      <c r="C31" s="27"/>
      <c r="D31" s="30"/>
      <c r="E31" s="29"/>
      <c r="F31" s="31"/>
    </row>
    <row r="32" spans="1:6" ht="15" customHeight="1">
      <c r="A32" s="28"/>
      <c r="B32" s="29"/>
      <c r="C32" s="27"/>
      <c r="D32" s="30"/>
      <c r="E32" s="29"/>
      <c r="F32" s="31"/>
    </row>
    <row r="33" spans="1:6" ht="15" customHeight="1">
      <c r="A33" s="28"/>
      <c r="B33" s="29"/>
      <c r="C33" s="27"/>
      <c r="D33" s="30"/>
      <c r="E33" s="29"/>
      <c r="F33" s="31"/>
    </row>
    <row r="34" spans="1:6" ht="15" customHeight="1">
      <c r="A34" s="28"/>
      <c r="B34" s="29"/>
      <c r="C34" s="27"/>
      <c r="D34" s="30"/>
      <c r="E34" s="29"/>
      <c r="F34" s="31"/>
    </row>
    <row r="35" spans="1:6" ht="15" customHeight="1">
      <c r="A35" s="28"/>
      <c r="B35" s="29"/>
      <c r="C35" s="27"/>
      <c r="D35" s="30"/>
      <c r="E35" s="29"/>
      <c r="F35" s="31"/>
    </row>
    <row r="36" spans="1:6" ht="15" customHeight="1">
      <c r="A36" s="28"/>
      <c r="B36" s="29"/>
      <c r="C36" s="27"/>
      <c r="D36" s="30"/>
      <c r="E36" s="29"/>
      <c r="F36" s="31"/>
    </row>
    <row r="37" spans="1:6" ht="15" customHeight="1">
      <c r="A37" s="28"/>
      <c r="B37" s="29"/>
      <c r="C37" s="27"/>
      <c r="D37" s="30"/>
      <c r="E37" s="29"/>
      <c r="F37" s="31"/>
    </row>
    <row r="38" spans="1:6" ht="15" customHeight="1">
      <c r="A38" s="28"/>
      <c r="B38" s="29"/>
      <c r="C38" s="27"/>
      <c r="D38" s="30"/>
      <c r="E38" s="29"/>
      <c r="F38" s="31"/>
    </row>
    <row r="39" spans="1:6" ht="15" customHeight="1">
      <c r="A39" s="28"/>
      <c r="B39" s="29"/>
      <c r="C39" s="27"/>
      <c r="D39" s="30"/>
      <c r="E39" s="29"/>
      <c r="F39" s="31"/>
    </row>
    <row r="40" spans="1:6" ht="15" customHeight="1">
      <c r="A40" s="28"/>
      <c r="B40" s="29"/>
      <c r="C40" s="27"/>
      <c r="D40" s="30"/>
      <c r="E40" s="29"/>
      <c r="F40" s="31"/>
    </row>
    <row r="41" spans="1:6" ht="15" customHeight="1">
      <c r="A41" s="28"/>
      <c r="B41" s="29"/>
      <c r="C41" s="27"/>
      <c r="D41" s="30"/>
      <c r="E41" s="29"/>
      <c r="F41" s="31"/>
    </row>
    <row r="42" spans="1:6" ht="15" customHeight="1">
      <c r="A42" s="28"/>
      <c r="B42" s="29"/>
      <c r="C42" s="27"/>
      <c r="D42" s="30"/>
      <c r="E42" s="29"/>
      <c r="F42" s="31"/>
    </row>
    <row r="43" spans="1:6" ht="15" customHeight="1">
      <c r="A43" s="28"/>
      <c r="B43" s="29"/>
      <c r="C43" s="27"/>
      <c r="D43" s="30"/>
      <c r="E43" s="29"/>
      <c r="F43" s="31"/>
    </row>
    <row r="44" spans="1:6" ht="15" customHeight="1">
      <c r="A44" s="28"/>
      <c r="B44" s="29"/>
      <c r="C44" s="27"/>
      <c r="D44" s="30"/>
      <c r="E44" s="29"/>
      <c r="F44" s="31"/>
    </row>
    <row r="45" spans="1:6" ht="15" customHeight="1">
      <c r="A45" s="28"/>
      <c r="B45" s="29"/>
      <c r="C45" s="27"/>
      <c r="D45" s="30"/>
      <c r="E45" s="29"/>
      <c r="F45" s="31"/>
    </row>
    <row r="46" spans="1:6" ht="15" customHeight="1">
      <c r="A46" s="28"/>
      <c r="B46" s="29"/>
      <c r="C46" s="27"/>
      <c r="D46" s="30"/>
      <c r="E46" s="29"/>
      <c r="F46" s="31"/>
    </row>
    <row r="47" spans="1:6" ht="15" customHeight="1">
      <c r="A47" s="28"/>
      <c r="B47" s="29"/>
      <c r="C47" s="27"/>
      <c r="D47" s="30"/>
      <c r="E47" s="29"/>
      <c r="F47" s="31"/>
    </row>
    <row r="48" spans="1:6" ht="15" customHeight="1">
      <c r="A48" s="28"/>
      <c r="B48" s="29"/>
      <c r="C48" s="27"/>
      <c r="D48" s="30"/>
      <c r="E48" s="29"/>
      <c r="F48" s="31"/>
    </row>
    <row r="49" spans="1:6" ht="15" customHeight="1">
      <c r="A49" s="28"/>
      <c r="B49" s="29"/>
      <c r="C49" s="27"/>
      <c r="D49" s="30"/>
      <c r="E49" s="29"/>
      <c r="F49" s="31"/>
    </row>
    <row r="50" spans="1:6" ht="15" customHeight="1">
      <c r="A50" s="28"/>
      <c r="B50" s="29"/>
      <c r="C50" s="27"/>
      <c r="D50" s="30"/>
      <c r="E50" s="29"/>
      <c r="F50" s="31"/>
    </row>
    <row r="51" spans="1:6" ht="15" customHeight="1">
      <c r="A51" s="28"/>
      <c r="B51" s="29"/>
      <c r="C51" s="27"/>
      <c r="D51" s="30"/>
      <c r="E51" s="29"/>
      <c r="F51" s="31"/>
    </row>
    <row r="52" spans="1:6" ht="15" customHeight="1">
      <c r="A52" s="28"/>
      <c r="B52" s="29"/>
      <c r="C52" s="27"/>
      <c r="D52" s="30"/>
      <c r="E52" s="29"/>
      <c r="F52" s="31"/>
    </row>
    <row r="53" spans="1:6" ht="15" customHeight="1">
      <c r="A53" s="28"/>
      <c r="B53" s="29"/>
      <c r="C53" s="27"/>
      <c r="D53" s="30"/>
      <c r="E53" s="29"/>
      <c r="F53" s="31"/>
    </row>
    <row r="54" spans="1:6" ht="15" customHeight="1">
      <c r="A54" s="28"/>
      <c r="B54" s="29"/>
      <c r="C54" s="27"/>
      <c r="D54" s="30"/>
      <c r="E54" s="29"/>
      <c r="F54" s="31"/>
    </row>
    <row r="55" spans="1:6" ht="15" customHeight="1">
      <c r="A55" s="28"/>
      <c r="B55" s="29"/>
      <c r="C55" s="27"/>
      <c r="D55" s="30"/>
      <c r="E55" s="29"/>
      <c r="F55" s="31"/>
    </row>
    <row r="56" spans="1:6" ht="15" customHeight="1">
      <c r="A56" s="28"/>
      <c r="B56" s="29"/>
      <c r="C56" s="27"/>
      <c r="D56" s="30"/>
      <c r="E56" s="29"/>
      <c r="F56" s="31"/>
    </row>
    <row r="57" spans="1:6" ht="15" customHeight="1">
      <c r="A57" s="28"/>
      <c r="B57" s="29"/>
      <c r="C57" s="27"/>
      <c r="D57" s="30"/>
      <c r="E57" s="29"/>
      <c r="F57" s="31"/>
    </row>
    <row r="58" spans="1:6" ht="15" customHeight="1">
      <c r="A58" s="28"/>
      <c r="B58" s="29"/>
      <c r="C58" s="27"/>
      <c r="D58" s="30"/>
      <c r="E58" s="29"/>
      <c r="F58" s="31"/>
    </row>
    <row r="59" spans="1:6" ht="15" customHeight="1">
      <c r="A59" s="28"/>
      <c r="B59" s="29"/>
      <c r="C59" s="27"/>
      <c r="D59" s="30"/>
      <c r="E59" s="29"/>
      <c r="F59" s="31"/>
    </row>
    <row r="60" spans="1:6" ht="15" customHeight="1">
      <c r="A60" s="28"/>
      <c r="B60" s="29"/>
      <c r="C60" s="27"/>
      <c r="D60" s="30"/>
      <c r="E60" s="29"/>
      <c r="F60" s="31"/>
    </row>
    <row r="61" spans="1:6" ht="15" customHeight="1">
      <c r="A61" s="28"/>
      <c r="B61" s="29"/>
      <c r="C61" s="27"/>
      <c r="D61" s="30"/>
      <c r="E61" s="29"/>
      <c r="F61" s="31"/>
    </row>
    <row r="62" spans="1:6" ht="15" customHeight="1">
      <c r="A62" s="28"/>
      <c r="B62" s="29"/>
      <c r="C62" s="27"/>
      <c r="D62" s="30"/>
      <c r="E62" s="29"/>
      <c r="F62" s="31"/>
    </row>
    <row r="63" spans="1:6" ht="15" customHeight="1">
      <c r="A63" s="28"/>
      <c r="B63" s="29"/>
      <c r="C63" s="27"/>
      <c r="D63" s="30"/>
      <c r="E63" s="29"/>
      <c r="F63" s="31"/>
    </row>
    <row r="64" spans="1:6" ht="15" customHeight="1">
      <c r="A64" s="28"/>
      <c r="B64" s="29"/>
      <c r="C64" s="27"/>
      <c r="D64" s="30"/>
      <c r="E64" s="29"/>
      <c r="F64" s="31"/>
    </row>
    <row r="65" spans="1:6" ht="15" customHeight="1">
      <c r="A65" s="28"/>
      <c r="B65" s="29"/>
      <c r="C65" s="27"/>
      <c r="D65" s="30"/>
      <c r="E65" s="29"/>
      <c r="F65" s="31"/>
    </row>
    <row r="66" spans="1:6" ht="15" customHeight="1">
      <c r="A66" s="28"/>
      <c r="B66" s="29"/>
      <c r="C66" s="27"/>
      <c r="D66" s="30"/>
      <c r="E66" s="29"/>
      <c r="F66" s="31"/>
    </row>
    <row r="67" spans="1:6" ht="15" customHeight="1">
      <c r="A67" s="28"/>
      <c r="B67" s="29"/>
      <c r="C67" s="27"/>
      <c r="D67" s="30"/>
      <c r="E67" s="29"/>
      <c r="F67" s="31"/>
    </row>
    <row r="68" spans="1:6" ht="15" customHeight="1">
      <c r="A68" s="28"/>
      <c r="B68" s="29"/>
      <c r="C68" s="27"/>
      <c r="D68" s="30"/>
      <c r="E68" s="29"/>
      <c r="F68" s="31"/>
    </row>
    <row r="69" spans="1:6" ht="15" customHeight="1">
      <c r="A69" s="28"/>
      <c r="B69" s="29"/>
      <c r="C69" s="27"/>
      <c r="D69" s="30"/>
      <c r="E69" s="29"/>
      <c r="F69" s="31"/>
    </row>
    <row r="70" spans="1:6" ht="15" customHeight="1">
      <c r="A70" s="28"/>
      <c r="B70" s="29"/>
      <c r="C70" s="27"/>
      <c r="D70" s="30"/>
      <c r="E70" s="29"/>
      <c r="F70" s="31"/>
    </row>
    <row r="71" spans="1:6" ht="15" customHeight="1">
      <c r="A71" s="28"/>
      <c r="B71" s="29"/>
      <c r="C71" s="27"/>
      <c r="D71" s="30"/>
      <c r="E71" s="29"/>
      <c r="F71" s="31"/>
    </row>
    <row r="72" spans="1:6" ht="15" customHeight="1">
      <c r="A72" s="28"/>
      <c r="B72" s="29"/>
      <c r="C72" s="27"/>
      <c r="D72" s="30"/>
      <c r="E72" s="29"/>
      <c r="F72" s="31"/>
    </row>
    <row r="73" spans="1:6" ht="15" customHeight="1">
      <c r="A73" s="28"/>
      <c r="B73" s="29"/>
      <c r="C73" s="27"/>
      <c r="D73" s="30"/>
      <c r="E73" s="29"/>
      <c r="F73" s="31"/>
    </row>
    <row r="74" spans="1:6" ht="15" customHeight="1">
      <c r="A74" s="28"/>
      <c r="B74" s="29"/>
      <c r="C74" s="27"/>
      <c r="D74" s="30"/>
      <c r="E74" s="29"/>
      <c r="F74" s="31"/>
    </row>
    <row r="75" spans="1:6" ht="15" customHeight="1">
      <c r="A75" s="28"/>
      <c r="B75" s="29"/>
      <c r="C75" s="27"/>
      <c r="D75" s="30"/>
      <c r="E75" s="29"/>
      <c r="F75" s="31"/>
    </row>
    <row r="76" spans="1:6" ht="15" customHeight="1">
      <c r="A76" s="28"/>
      <c r="B76" s="29"/>
      <c r="C76" s="27"/>
      <c r="D76" s="30"/>
      <c r="E76" s="29"/>
      <c r="F76" s="31"/>
    </row>
    <row r="77" spans="1:6" ht="15" customHeight="1">
      <c r="A77" s="28"/>
      <c r="B77" s="29"/>
      <c r="C77" s="27"/>
      <c r="D77" s="30"/>
      <c r="E77" s="29"/>
      <c r="F77" s="31"/>
    </row>
    <row r="78" spans="1:6" ht="15" customHeight="1">
      <c r="A78" s="28"/>
      <c r="B78" s="29"/>
      <c r="C78" s="27"/>
      <c r="D78" s="30"/>
      <c r="E78" s="29"/>
      <c r="F78" s="31"/>
    </row>
    <row r="79" spans="1:6" ht="15" customHeight="1">
      <c r="A79" s="28"/>
      <c r="B79" s="29"/>
      <c r="C79" s="27"/>
      <c r="D79" s="30"/>
      <c r="E79" s="29"/>
      <c r="F79" s="31"/>
    </row>
    <row r="80" spans="1:6" ht="15" customHeight="1">
      <c r="A80" s="28"/>
      <c r="B80" s="29"/>
      <c r="C80" s="27"/>
      <c r="D80" s="30"/>
      <c r="E80" s="29"/>
      <c r="F80" s="31"/>
    </row>
    <row r="81" spans="1:6" ht="15" customHeight="1">
      <c r="A81" s="28"/>
      <c r="B81" s="29"/>
      <c r="C81" s="27"/>
      <c r="D81" s="30"/>
      <c r="E81" s="29"/>
      <c r="F81" s="31"/>
    </row>
    <row r="82" spans="1:6" ht="15" customHeight="1">
      <c r="A82" s="28"/>
      <c r="B82" s="29"/>
      <c r="C82" s="27"/>
      <c r="D82" s="30"/>
      <c r="E82" s="29"/>
      <c r="F82" s="31"/>
    </row>
    <row r="83" spans="1:6" ht="15" customHeight="1">
      <c r="A83" s="28"/>
      <c r="B83" s="29"/>
      <c r="C83" s="27"/>
      <c r="D83" s="30"/>
      <c r="E83" s="29"/>
      <c r="F83" s="31"/>
    </row>
    <row r="84" spans="1:6" ht="15" customHeight="1">
      <c r="A84" s="28"/>
      <c r="B84" s="29"/>
      <c r="C84" s="27"/>
      <c r="D84" s="30"/>
      <c r="E84" s="29"/>
      <c r="F84" s="31"/>
    </row>
    <row r="85" spans="1:6" ht="15" customHeight="1">
      <c r="A85" s="28"/>
      <c r="B85" s="29"/>
      <c r="C85" s="27"/>
      <c r="D85" s="30"/>
      <c r="E85" s="29"/>
      <c r="F85" s="31"/>
    </row>
    <row r="86" spans="1:6" ht="15" customHeight="1">
      <c r="A86" s="28"/>
      <c r="B86" s="29"/>
      <c r="C86" s="27"/>
      <c r="D86" s="30"/>
      <c r="E86" s="29"/>
      <c r="F86" s="31"/>
    </row>
    <row r="87" spans="1:6" ht="15" customHeight="1">
      <c r="A87" s="28"/>
      <c r="B87" s="29"/>
      <c r="C87" s="27"/>
      <c r="D87" s="30"/>
      <c r="E87" s="29"/>
      <c r="F87" s="31"/>
    </row>
    <row r="88" spans="1:6" ht="15" customHeight="1">
      <c r="A88" s="28"/>
      <c r="B88" s="29"/>
      <c r="C88" s="27"/>
      <c r="D88" s="30"/>
      <c r="E88" s="29"/>
      <c r="F88" s="31"/>
    </row>
    <row r="89" spans="1:6" ht="15" customHeight="1">
      <c r="A89" s="28"/>
      <c r="B89" s="29"/>
      <c r="C89" s="27"/>
      <c r="D89" s="30"/>
      <c r="E89" s="29"/>
      <c r="F89" s="31"/>
    </row>
    <row r="90" spans="1:6" ht="15" customHeight="1">
      <c r="A90" s="28"/>
      <c r="B90" s="29"/>
      <c r="C90" s="27"/>
      <c r="D90" s="30"/>
      <c r="E90" s="29"/>
      <c r="F90" s="31"/>
    </row>
    <row r="91" spans="1:6" ht="15" customHeight="1">
      <c r="A91" s="28"/>
      <c r="B91" s="29"/>
      <c r="C91" s="27"/>
      <c r="D91" s="30"/>
      <c r="E91" s="29"/>
      <c r="F91" s="31"/>
    </row>
    <row r="92" spans="1:6" ht="15" customHeight="1">
      <c r="A92" s="28"/>
      <c r="B92" s="29"/>
      <c r="C92" s="27"/>
      <c r="D92" s="30"/>
      <c r="E92" s="29"/>
      <c r="F92" s="31"/>
    </row>
    <row r="93" spans="1:6" ht="15" customHeight="1">
      <c r="A93" s="28"/>
      <c r="B93" s="29"/>
      <c r="C93" s="27"/>
      <c r="D93" s="30"/>
      <c r="E93" s="29"/>
      <c r="F93" s="31"/>
    </row>
    <row r="94" spans="1:6" ht="15" customHeight="1">
      <c r="A94" s="28"/>
      <c r="B94" s="29"/>
      <c r="C94" s="27"/>
      <c r="D94" s="30"/>
      <c r="E94" s="29"/>
      <c r="F94" s="31"/>
    </row>
    <row r="95" spans="1:6" ht="15" customHeight="1">
      <c r="A95" s="28"/>
      <c r="B95" s="29"/>
      <c r="C95" s="27"/>
      <c r="D95" s="30"/>
      <c r="E95" s="29"/>
      <c r="F95" s="31"/>
    </row>
    <row r="96" spans="1:6" ht="15" customHeight="1">
      <c r="A96" s="28"/>
      <c r="B96" s="29"/>
      <c r="C96" s="27"/>
      <c r="D96" s="30"/>
      <c r="E96" s="29"/>
      <c r="F96" s="31"/>
    </row>
    <row r="97" spans="1:6" ht="15" customHeight="1">
      <c r="A97" s="28"/>
      <c r="B97" s="29"/>
      <c r="C97" s="27"/>
      <c r="D97" s="30"/>
      <c r="E97" s="29"/>
      <c r="F97" s="31"/>
    </row>
    <row r="98" spans="1:6" ht="15" customHeight="1">
      <c r="A98" s="28"/>
      <c r="B98" s="29"/>
      <c r="C98" s="27"/>
      <c r="D98" s="30"/>
      <c r="E98" s="29"/>
      <c r="F98" s="31"/>
    </row>
    <row r="99" spans="1:6" ht="15" customHeight="1">
      <c r="A99" s="28"/>
      <c r="B99" s="29"/>
      <c r="C99" s="27"/>
      <c r="D99" s="30"/>
      <c r="E99" s="29"/>
      <c r="F99" s="31"/>
    </row>
    <row r="100" spans="1:6" ht="15" customHeight="1">
      <c r="A100" s="28"/>
      <c r="B100" s="29"/>
      <c r="C100" s="27"/>
      <c r="D100" s="30"/>
      <c r="E100" s="29"/>
      <c r="F100" s="31"/>
    </row>
    <row r="101" spans="1:6" ht="15" customHeight="1">
      <c r="A101" s="28"/>
      <c r="B101" s="29"/>
      <c r="C101" s="27"/>
      <c r="D101" s="30"/>
      <c r="E101" s="29"/>
      <c r="F101" s="31"/>
    </row>
    <row r="102" spans="1:6" ht="15" customHeight="1">
      <c r="A102" s="28"/>
      <c r="B102" s="29"/>
      <c r="C102" s="27"/>
      <c r="D102" s="30"/>
      <c r="E102" s="29"/>
      <c r="F102" s="31"/>
    </row>
    <row r="103" spans="1:6" ht="15" customHeight="1">
      <c r="A103" s="28"/>
      <c r="B103" s="29"/>
      <c r="C103" s="27"/>
      <c r="D103" s="30"/>
      <c r="E103" s="29"/>
      <c r="F103" s="31"/>
    </row>
    <row r="105" spans="1:6" ht="15" customHeight="1">
      <c r="A105" s="83" t="s">
        <v>44</v>
      </c>
      <c r="B105" s="83"/>
      <c r="C105" s="83"/>
      <c r="D105" s="12">
        <f>SUM(D4:D103)</f>
        <v>0</v>
      </c>
      <c r="E105" s="32"/>
      <c r="F105" s="32"/>
    </row>
  </sheetData>
  <mergeCells count="3">
    <mergeCell ref="A1:F1"/>
    <mergeCell ref="A2:F2"/>
    <mergeCell ref="A105:C105"/>
  </mergeCells>
  <phoneticPr fontId="46"/>
  <dataValidations count="3">
    <dataValidation type="date" allowBlank="1" sqref="A4:A103" xr:uid="{00000000-0002-0000-1100-000000000000}">
      <formula1>0</formula1>
      <formula2>0</formula2>
    </dataValidation>
    <dataValidation type="list" allowBlank="1" sqref="C4:C103" xr:uid="{00000000-0002-0000-1100-000001000000}">
      <formula1>"現金売上,売掛金回収,手形入金,その他収入,借入金,設備売却"</formula1>
      <formula2>0</formula2>
    </dataValidation>
    <dataValidation type="list" allowBlank="1" sqref="F4:F103" xr:uid="{00000000-0002-0000-1100-000002000000}">
      <formula1>"確認済,未確認,予測"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0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7109375" defaultRowHeight="15"/>
  <cols>
    <col min="1" max="1" width="10" customWidth="1"/>
    <col min="2" max="2" width="12" customWidth="1"/>
    <col min="3" max="3" width="28" customWidth="1"/>
    <col min="4" max="5" width="12" customWidth="1"/>
    <col min="6" max="6" width="14" customWidth="1"/>
    <col min="7" max="10" width="12" customWidth="1"/>
    <col min="11" max="11" width="14" customWidth="1"/>
    <col min="12" max="12" width="10" customWidth="1"/>
    <col min="13" max="14" width="14" customWidth="1"/>
    <col min="15" max="15" width="12" customWidth="1"/>
  </cols>
  <sheetData>
    <row r="1" spans="1:16" ht="27.75" customHeight="1">
      <c r="A1" s="92" t="s">
        <v>225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</row>
    <row r="2" spans="1:16" ht="21.75" customHeight="1">
      <c r="A2" s="33" t="s">
        <v>89</v>
      </c>
      <c r="B2" s="34" t="s">
        <v>90</v>
      </c>
      <c r="C2" s="35" t="s">
        <v>91</v>
      </c>
      <c r="D2" s="36" t="s">
        <v>92</v>
      </c>
      <c r="E2" s="37" t="s">
        <v>93</v>
      </c>
      <c r="G2" s="85" t="s">
        <v>226</v>
      </c>
      <c r="H2" s="85"/>
      <c r="I2" s="85"/>
      <c r="J2" s="85"/>
      <c r="K2" s="85"/>
      <c r="L2" s="85"/>
      <c r="M2" s="85"/>
      <c r="N2" s="85"/>
      <c r="O2" s="85"/>
      <c r="P2" s="85"/>
    </row>
    <row r="3" spans="1:16" ht="30" customHeight="1">
      <c r="A3" s="6" t="s">
        <v>95</v>
      </c>
      <c r="B3" s="6" t="s">
        <v>96</v>
      </c>
      <c r="C3" s="6" t="s">
        <v>97</v>
      </c>
      <c r="D3" s="6" t="s">
        <v>57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106</v>
      </c>
      <c r="N3" s="6" t="s">
        <v>107</v>
      </c>
      <c r="O3" s="38" t="s">
        <v>108</v>
      </c>
      <c r="P3" s="6" t="s">
        <v>109</v>
      </c>
    </row>
    <row r="4" spans="1:16" ht="15" customHeight="1">
      <c r="A4" s="29"/>
      <c r="B4" s="29"/>
      <c r="C4" s="29"/>
      <c r="D4" s="29"/>
      <c r="E4" s="28"/>
      <c r="F4" s="29"/>
      <c r="G4" s="30"/>
      <c r="H4" s="30"/>
      <c r="I4" s="30"/>
      <c r="J4" s="30"/>
      <c r="K4" s="30"/>
      <c r="L4" s="55"/>
      <c r="M4" s="28"/>
      <c r="N4" s="30"/>
      <c r="O4" s="43"/>
      <c r="P4" s="29"/>
    </row>
    <row r="5" spans="1:16" ht="15" customHeight="1">
      <c r="A5" s="29"/>
      <c r="B5" s="29"/>
      <c r="C5" s="29"/>
      <c r="D5" s="29"/>
      <c r="E5" s="28"/>
      <c r="F5" s="29"/>
      <c r="G5" s="30"/>
      <c r="H5" s="30"/>
      <c r="I5" s="30"/>
      <c r="J5" s="30"/>
      <c r="K5" s="30"/>
      <c r="L5" s="55"/>
      <c r="M5" s="28"/>
      <c r="N5" s="30"/>
      <c r="O5" s="43"/>
      <c r="P5" s="29"/>
    </row>
    <row r="6" spans="1:16" ht="15" customHeight="1">
      <c r="A6" s="29"/>
      <c r="B6" s="29"/>
      <c r="C6" s="29"/>
      <c r="D6" s="29"/>
      <c r="E6" s="28"/>
      <c r="F6" s="29"/>
      <c r="G6" s="30"/>
      <c r="H6" s="30"/>
      <c r="I6" s="30"/>
      <c r="J6" s="30"/>
      <c r="K6" s="30"/>
      <c r="L6" s="55"/>
      <c r="M6" s="28"/>
      <c r="N6" s="30"/>
      <c r="O6" s="43"/>
      <c r="P6" s="29"/>
    </row>
    <row r="7" spans="1:16" ht="15" customHeight="1">
      <c r="A7" s="29"/>
      <c r="B7" s="29"/>
      <c r="C7" s="29"/>
      <c r="D7" s="29"/>
      <c r="E7" s="28"/>
      <c r="F7" s="29"/>
      <c r="G7" s="30"/>
      <c r="H7" s="30"/>
      <c r="I7" s="30"/>
      <c r="J7" s="30"/>
      <c r="K7" s="30"/>
      <c r="L7" s="55"/>
      <c r="M7" s="28"/>
      <c r="N7" s="30"/>
      <c r="O7" s="43"/>
      <c r="P7" s="29"/>
    </row>
    <row r="8" spans="1:16" ht="15" customHeight="1">
      <c r="A8" s="29"/>
      <c r="B8" s="29"/>
      <c r="C8" s="29"/>
      <c r="D8" s="29"/>
      <c r="E8" s="28"/>
      <c r="F8" s="29"/>
      <c r="G8" s="30"/>
      <c r="H8" s="30"/>
      <c r="I8" s="30"/>
      <c r="J8" s="30"/>
      <c r="K8" s="30"/>
      <c r="L8" s="55"/>
      <c r="M8" s="28"/>
      <c r="N8" s="30"/>
      <c r="O8" s="43"/>
      <c r="P8" s="29"/>
    </row>
    <row r="9" spans="1:16" ht="15" customHeight="1">
      <c r="A9" s="29"/>
      <c r="B9" s="29"/>
      <c r="C9" s="29"/>
      <c r="D9" s="29"/>
      <c r="E9" s="28"/>
      <c r="F9" s="29"/>
      <c r="G9" s="30"/>
      <c r="H9" s="30"/>
      <c r="I9" s="30"/>
      <c r="J9" s="30"/>
      <c r="K9" s="30"/>
      <c r="L9" s="55"/>
      <c r="M9" s="28"/>
      <c r="N9" s="30"/>
      <c r="O9" s="43"/>
      <c r="P9" s="29"/>
    </row>
    <row r="10" spans="1:16" ht="15" customHeight="1">
      <c r="A10" s="29"/>
      <c r="B10" s="29"/>
      <c r="C10" s="29"/>
      <c r="D10" s="29"/>
      <c r="E10" s="28"/>
      <c r="F10" s="29"/>
      <c r="G10" s="30"/>
      <c r="H10" s="30"/>
      <c r="I10" s="30"/>
      <c r="J10" s="30"/>
      <c r="K10" s="30"/>
      <c r="L10" s="55"/>
      <c r="M10" s="28"/>
      <c r="N10" s="30"/>
      <c r="O10" s="43"/>
      <c r="P10" s="29"/>
    </row>
    <row r="11" spans="1:16" ht="15" customHeight="1">
      <c r="A11" s="29"/>
      <c r="B11" s="29"/>
      <c r="C11" s="29"/>
      <c r="D11" s="29"/>
      <c r="E11" s="28"/>
      <c r="F11" s="29"/>
      <c r="G11" s="30"/>
      <c r="H11" s="30"/>
      <c r="I11" s="30"/>
      <c r="J11" s="30"/>
      <c r="K11" s="30"/>
      <c r="L11" s="55"/>
      <c r="M11" s="28"/>
      <c r="N11" s="30"/>
      <c r="O11" s="43"/>
      <c r="P11" s="29"/>
    </row>
    <row r="12" spans="1:16" ht="15" customHeight="1">
      <c r="A12" s="29"/>
      <c r="B12" s="29"/>
      <c r="C12" s="29"/>
      <c r="D12" s="29"/>
      <c r="E12" s="28"/>
      <c r="F12" s="29"/>
      <c r="G12" s="30"/>
      <c r="H12" s="30"/>
      <c r="I12" s="30"/>
      <c r="J12" s="30"/>
      <c r="K12" s="30"/>
      <c r="L12" s="55"/>
      <c r="M12" s="28"/>
      <c r="N12" s="30"/>
      <c r="O12" s="43"/>
      <c r="P12" s="29"/>
    </row>
    <row r="13" spans="1:16" ht="15" customHeight="1">
      <c r="A13" s="29"/>
      <c r="B13" s="29"/>
      <c r="C13" s="29"/>
      <c r="D13" s="29"/>
      <c r="E13" s="28"/>
      <c r="F13" s="29"/>
      <c r="G13" s="30"/>
      <c r="H13" s="30"/>
      <c r="I13" s="30"/>
      <c r="J13" s="30"/>
      <c r="K13" s="30"/>
      <c r="L13" s="55"/>
      <c r="M13" s="28"/>
      <c r="N13" s="30"/>
      <c r="O13" s="43"/>
      <c r="P13" s="29"/>
    </row>
    <row r="14" spans="1:16" ht="15" customHeight="1">
      <c r="A14" s="29"/>
      <c r="B14" s="29"/>
      <c r="C14" s="29"/>
      <c r="D14" s="29"/>
      <c r="E14" s="28"/>
      <c r="F14" s="29"/>
      <c r="G14" s="30"/>
      <c r="H14" s="30"/>
      <c r="I14" s="30"/>
      <c r="J14" s="30"/>
      <c r="K14" s="30"/>
      <c r="L14" s="55"/>
      <c r="M14" s="28"/>
      <c r="N14" s="30"/>
      <c r="O14" s="43"/>
      <c r="P14" s="29"/>
    </row>
    <row r="15" spans="1:16" ht="15" customHeight="1">
      <c r="A15" s="29"/>
      <c r="B15" s="29"/>
      <c r="C15" s="29"/>
      <c r="D15" s="29"/>
      <c r="E15" s="28"/>
      <c r="F15" s="29"/>
      <c r="G15" s="30"/>
      <c r="H15" s="30"/>
      <c r="I15" s="30"/>
      <c r="J15" s="30"/>
      <c r="K15" s="30"/>
      <c r="L15" s="55"/>
      <c r="M15" s="28"/>
      <c r="N15" s="30"/>
      <c r="O15" s="43"/>
      <c r="P15" s="29"/>
    </row>
    <row r="16" spans="1:16" ht="15" customHeight="1">
      <c r="A16" s="29"/>
      <c r="B16" s="29"/>
      <c r="C16" s="29"/>
      <c r="D16" s="29"/>
      <c r="E16" s="28"/>
      <c r="F16" s="29"/>
      <c r="G16" s="30"/>
      <c r="H16" s="30"/>
      <c r="I16" s="30"/>
      <c r="J16" s="30"/>
      <c r="K16" s="30"/>
      <c r="L16" s="55"/>
      <c r="M16" s="28"/>
      <c r="N16" s="30"/>
      <c r="O16" s="43"/>
      <c r="P16" s="29"/>
    </row>
    <row r="17" spans="1:16" ht="15" customHeight="1">
      <c r="A17" s="29"/>
      <c r="B17" s="29"/>
      <c r="C17" s="29"/>
      <c r="D17" s="29"/>
      <c r="E17" s="28"/>
      <c r="F17" s="29"/>
      <c r="G17" s="30"/>
      <c r="H17" s="30"/>
      <c r="I17" s="30"/>
      <c r="J17" s="30"/>
      <c r="K17" s="30"/>
      <c r="L17" s="55"/>
      <c r="M17" s="28"/>
      <c r="N17" s="30"/>
      <c r="O17" s="43"/>
      <c r="P17" s="29"/>
    </row>
    <row r="18" spans="1:16" ht="15" customHeight="1">
      <c r="A18" s="29"/>
      <c r="B18" s="29"/>
      <c r="C18" s="29"/>
      <c r="D18" s="29"/>
      <c r="E18" s="28"/>
      <c r="F18" s="29"/>
      <c r="G18" s="30"/>
      <c r="H18" s="30"/>
      <c r="I18" s="30"/>
      <c r="J18" s="30"/>
      <c r="K18" s="30"/>
      <c r="L18" s="55"/>
      <c r="M18" s="28"/>
      <c r="N18" s="30"/>
      <c r="O18" s="43"/>
      <c r="P18" s="29"/>
    </row>
    <row r="19" spans="1:16" ht="15" customHeight="1">
      <c r="A19" s="29"/>
      <c r="B19" s="29"/>
      <c r="C19" s="29"/>
      <c r="D19" s="29"/>
      <c r="E19" s="28"/>
      <c r="F19" s="29"/>
      <c r="G19" s="30"/>
      <c r="H19" s="30"/>
      <c r="I19" s="30"/>
      <c r="J19" s="30"/>
      <c r="K19" s="30"/>
      <c r="L19" s="55"/>
      <c r="M19" s="28"/>
      <c r="N19" s="30"/>
      <c r="O19" s="43"/>
      <c r="P19" s="29"/>
    </row>
    <row r="20" spans="1:16" ht="15" customHeight="1">
      <c r="A20" s="29"/>
      <c r="B20" s="29"/>
      <c r="C20" s="29"/>
      <c r="D20" s="29"/>
      <c r="E20" s="28"/>
      <c r="F20" s="29"/>
      <c r="G20" s="30"/>
      <c r="H20" s="30"/>
      <c r="I20" s="30"/>
      <c r="J20" s="30"/>
      <c r="K20" s="30"/>
      <c r="L20" s="55"/>
      <c r="M20" s="28"/>
      <c r="N20" s="30"/>
      <c r="O20" s="43"/>
      <c r="P20" s="29"/>
    </row>
    <row r="21" spans="1:16" ht="15" customHeight="1">
      <c r="A21" s="29"/>
      <c r="B21" s="29"/>
      <c r="C21" s="29"/>
      <c r="D21" s="29"/>
      <c r="E21" s="28"/>
      <c r="F21" s="29"/>
      <c r="G21" s="30"/>
      <c r="H21" s="30"/>
      <c r="I21" s="30"/>
      <c r="J21" s="30"/>
      <c r="K21" s="30"/>
      <c r="L21" s="55"/>
      <c r="M21" s="28"/>
      <c r="N21" s="30"/>
      <c r="O21" s="43"/>
      <c r="P21" s="29"/>
    </row>
    <row r="22" spans="1:16" ht="15" customHeight="1">
      <c r="A22" s="29"/>
      <c r="B22" s="29"/>
      <c r="C22" s="29"/>
      <c r="D22" s="29"/>
      <c r="E22" s="28"/>
      <c r="F22" s="29"/>
      <c r="G22" s="30"/>
      <c r="H22" s="30"/>
      <c r="I22" s="30"/>
      <c r="J22" s="30"/>
      <c r="K22" s="30"/>
      <c r="L22" s="55"/>
      <c r="M22" s="28"/>
      <c r="N22" s="30"/>
      <c r="O22" s="43"/>
      <c r="P22" s="29"/>
    </row>
    <row r="23" spans="1:16" ht="15" customHeight="1">
      <c r="A23" s="29"/>
      <c r="B23" s="29"/>
      <c r="C23" s="29"/>
      <c r="D23" s="29"/>
      <c r="E23" s="28"/>
      <c r="F23" s="29"/>
      <c r="G23" s="30"/>
      <c r="H23" s="30"/>
      <c r="I23" s="30"/>
      <c r="J23" s="30"/>
      <c r="K23" s="30"/>
      <c r="L23" s="55"/>
      <c r="M23" s="28"/>
      <c r="N23" s="30"/>
      <c r="O23" s="43"/>
      <c r="P23" s="29"/>
    </row>
    <row r="24" spans="1:16" ht="15" customHeight="1">
      <c r="A24" s="29"/>
      <c r="B24" s="29"/>
      <c r="C24" s="29"/>
      <c r="D24" s="29"/>
      <c r="E24" s="28"/>
      <c r="F24" s="29"/>
      <c r="G24" s="30"/>
      <c r="H24" s="30"/>
      <c r="I24" s="30"/>
      <c r="J24" s="30"/>
      <c r="K24" s="30"/>
      <c r="L24" s="55"/>
      <c r="M24" s="28"/>
      <c r="N24" s="30"/>
      <c r="O24" s="43"/>
      <c r="P24" s="29"/>
    </row>
    <row r="25" spans="1:16" ht="15" customHeight="1">
      <c r="A25" s="29"/>
      <c r="B25" s="29"/>
      <c r="C25" s="29"/>
      <c r="D25" s="29"/>
      <c r="E25" s="28"/>
      <c r="F25" s="29"/>
      <c r="G25" s="30"/>
      <c r="H25" s="30"/>
      <c r="I25" s="30"/>
      <c r="J25" s="30"/>
      <c r="K25" s="30"/>
      <c r="L25" s="55"/>
      <c r="M25" s="28"/>
      <c r="N25" s="30"/>
      <c r="O25" s="43"/>
      <c r="P25" s="29"/>
    </row>
    <row r="26" spans="1:16" ht="15" customHeight="1">
      <c r="A26" s="29"/>
      <c r="B26" s="29"/>
      <c r="C26" s="29"/>
      <c r="D26" s="29"/>
      <c r="E26" s="28"/>
      <c r="F26" s="29"/>
      <c r="G26" s="30"/>
      <c r="H26" s="30"/>
      <c r="I26" s="30"/>
      <c r="J26" s="30"/>
      <c r="K26" s="30"/>
      <c r="L26" s="55"/>
      <c r="M26" s="28"/>
      <c r="N26" s="30"/>
      <c r="O26" s="43"/>
      <c r="P26" s="29"/>
    </row>
    <row r="27" spans="1:16" ht="15" customHeight="1">
      <c r="A27" s="29"/>
      <c r="B27" s="29"/>
      <c r="C27" s="29"/>
      <c r="D27" s="29"/>
      <c r="E27" s="28"/>
      <c r="F27" s="29"/>
      <c r="G27" s="30"/>
      <c r="H27" s="30"/>
      <c r="I27" s="30"/>
      <c r="J27" s="30"/>
      <c r="K27" s="30"/>
      <c r="L27" s="55"/>
      <c r="M27" s="28"/>
      <c r="N27" s="30"/>
      <c r="O27" s="43"/>
      <c r="P27" s="29"/>
    </row>
    <row r="28" spans="1:16" ht="15" customHeight="1">
      <c r="A28" s="29"/>
      <c r="B28" s="29"/>
      <c r="C28" s="29"/>
      <c r="D28" s="29"/>
      <c r="E28" s="28"/>
      <c r="F28" s="29"/>
      <c r="G28" s="30"/>
      <c r="H28" s="30"/>
      <c r="I28" s="30"/>
      <c r="J28" s="30"/>
      <c r="K28" s="30"/>
      <c r="L28" s="55"/>
      <c r="M28" s="28"/>
      <c r="N28" s="30"/>
      <c r="O28" s="43"/>
      <c r="P28" s="29"/>
    </row>
    <row r="29" spans="1:16" ht="15" customHeight="1">
      <c r="A29" s="29"/>
      <c r="B29" s="29"/>
      <c r="C29" s="29"/>
      <c r="D29" s="29"/>
      <c r="E29" s="28"/>
      <c r="F29" s="29"/>
      <c r="G29" s="30"/>
      <c r="H29" s="30"/>
      <c r="I29" s="30"/>
      <c r="J29" s="30"/>
      <c r="K29" s="30"/>
      <c r="L29" s="55"/>
      <c r="M29" s="28"/>
      <c r="N29" s="30"/>
      <c r="O29" s="43"/>
      <c r="P29" s="29"/>
    </row>
    <row r="30" spans="1:16" ht="15" customHeight="1">
      <c r="A30" s="29"/>
      <c r="B30" s="29"/>
      <c r="C30" s="29"/>
      <c r="D30" s="29"/>
      <c r="E30" s="28"/>
      <c r="F30" s="29"/>
      <c r="G30" s="30"/>
      <c r="H30" s="30"/>
      <c r="I30" s="30"/>
      <c r="J30" s="30"/>
      <c r="K30" s="30"/>
      <c r="L30" s="55"/>
      <c r="M30" s="28"/>
      <c r="N30" s="30"/>
      <c r="O30" s="43"/>
      <c r="P30" s="29"/>
    </row>
    <row r="31" spans="1:16" ht="15" customHeight="1">
      <c r="A31" s="29"/>
      <c r="B31" s="29"/>
      <c r="C31" s="29"/>
      <c r="D31" s="29"/>
      <c r="E31" s="28"/>
      <c r="F31" s="29"/>
      <c r="G31" s="30"/>
      <c r="H31" s="30"/>
      <c r="I31" s="30"/>
      <c r="J31" s="30"/>
      <c r="K31" s="30"/>
      <c r="L31" s="55"/>
      <c r="M31" s="28"/>
      <c r="N31" s="30"/>
      <c r="O31" s="43"/>
      <c r="P31" s="29"/>
    </row>
    <row r="32" spans="1:16" ht="15" customHeight="1">
      <c r="A32" s="29"/>
      <c r="B32" s="29"/>
      <c r="C32" s="29"/>
      <c r="D32" s="29"/>
      <c r="E32" s="28"/>
      <c r="F32" s="29"/>
      <c r="G32" s="30"/>
      <c r="H32" s="30"/>
      <c r="I32" s="30"/>
      <c r="J32" s="30"/>
      <c r="K32" s="30"/>
      <c r="L32" s="55"/>
      <c r="M32" s="28"/>
      <c r="N32" s="30"/>
      <c r="O32" s="43"/>
      <c r="P32" s="29"/>
    </row>
    <row r="33" spans="1:16" ht="15" customHeight="1">
      <c r="A33" s="29"/>
      <c r="B33" s="29"/>
      <c r="C33" s="29"/>
      <c r="D33" s="29"/>
      <c r="E33" s="28"/>
      <c r="F33" s="29"/>
      <c r="G33" s="30"/>
      <c r="H33" s="30"/>
      <c r="I33" s="30"/>
      <c r="J33" s="30"/>
      <c r="K33" s="30"/>
      <c r="L33" s="55"/>
      <c r="M33" s="28"/>
      <c r="N33" s="30"/>
      <c r="O33" s="43"/>
      <c r="P33" s="29"/>
    </row>
    <row r="34" spans="1:16" ht="15" customHeight="1">
      <c r="A34" s="29"/>
      <c r="B34" s="29"/>
      <c r="C34" s="29"/>
      <c r="D34" s="29"/>
      <c r="E34" s="28"/>
      <c r="F34" s="29"/>
      <c r="G34" s="30"/>
      <c r="H34" s="30"/>
      <c r="I34" s="30"/>
      <c r="J34" s="30"/>
      <c r="K34" s="30"/>
      <c r="L34" s="55"/>
      <c r="M34" s="28"/>
      <c r="N34" s="30"/>
      <c r="O34" s="43"/>
      <c r="P34" s="29"/>
    </row>
    <row r="35" spans="1:16" ht="15" customHeight="1">
      <c r="A35" s="29"/>
      <c r="B35" s="29"/>
      <c r="C35" s="29"/>
      <c r="D35" s="29"/>
      <c r="E35" s="28"/>
      <c r="F35" s="29"/>
      <c r="G35" s="30"/>
      <c r="H35" s="30"/>
      <c r="I35" s="30"/>
      <c r="J35" s="30"/>
      <c r="K35" s="30"/>
      <c r="L35" s="55"/>
      <c r="M35" s="28"/>
      <c r="N35" s="30"/>
      <c r="O35" s="43"/>
      <c r="P35" s="29"/>
    </row>
    <row r="36" spans="1:16" ht="15" customHeight="1">
      <c r="A36" s="29"/>
      <c r="B36" s="29"/>
      <c r="C36" s="29"/>
      <c r="D36" s="29"/>
      <c r="E36" s="28"/>
      <c r="F36" s="29"/>
      <c r="G36" s="30"/>
      <c r="H36" s="30"/>
      <c r="I36" s="30"/>
      <c r="J36" s="30"/>
      <c r="K36" s="30"/>
      <c r="L36" s="55"/>
      <c r="M36" s="28"/>
      <c r="N36" s="30"/>
      <c r="O36" s="43"/>
      <c r="P36" s="29"/>
    </row>
    <row r="37" spans="1:16" ht="15" customHeight="1">
      <c r="A37" s="29"/>
      <c r="B37" s="29"/>
      <c r="C37" s="29"/>
      <c r="D37" s="29"/>
      <c r="E37" s="28"/>
      <c r="F37" s="29"/>
      <c r="G37" s="30"/>
      <c r="H37" s="30"/>
      <c r="I37" s="30"/>
      <c r="J37" s="30"/>
      <c r="K37" s="30"/>
      <c r="L37" s="55"/>
      <c r="M37" s="28"/>
      <c r="N37" s="30"/>
      <c r="O37" s="43"/>
      <c r="P37" s="29"/>
    </row>
    <row r="38" spans="1:16" ht="15" customHeight="1">
      <c r="A38" s="29"/>
      <c r="B38" s="29"/>
      <c r="C38" s="29"/>
      <c r="D38" s="29"/>
      <c r="E38" s="28"/>
      <c r="F38" s="29"/>
      <c r="G38" s="30"/>
      <c r="H38" s="30"/>
      <c r="I38" s="30"/>
      <c r="J38" s="30"/>
      <c r="K38" s="30"/>
      <c r="L38" s="55"/>
      <c r="M38" s="28"/>
      <c r="N38" s="30"/>
      <c r="O38" s="43"/>
      <c r="P38" s="29"/>
    </row>
    <row r="39" spans="1:16" ht="15" customHeight="1">
      <c r="A39" s="29"/>
      <c r="B39" s="29"/>
      <c r="C39" s="29"/>
      <c r="D39" s="29"/>
      <c r="E39" s="28"/>
      <c r="F39" s="29"/>
      <c r="G39" s="30"/>
      <c r="H39" s="30"/>
      <c r="I39" s="30"/>
      <c r="J39" s="30"/>
      <c r="K39" s="30"/>
      <c r="L39" s="55"/>
      <c r="M39" s="28"/>
      <c r="N39" s="30"/>
      <c r="O39" s="43"/>
      <c r="P39" s="29"/>
    </row>
    <row r="40" spans="1:16" ht="15" customHeight="1">
      <c r="A40" s="29"/>
      <c r="B40" s="29"/>
      <c r="C40" s="29"/>
      <c r="D40" s="29"/>
      <c r="E40" s="28"/>
      <c r="F40" s="29"/>
      <c r="G40" s="30"/>
      <c r="H40" s="30"/>
      <c r="I40" s="30"/>
      <c r="J40" s="30"/>
      <c r="K40" s="30"/>
      <c r="L40" s="55"/>
      <c r="M40" s="28"/>
      <c r="N40" s="30"/>
      <c r="O40" s="43"/>
      <c r="P40" s="29"/>
    </row>
    <row r="41" spans="1:16" ht="15" customHeight="1">
      <c r="A41" s="29"/>
      <c r="B41" s="29"/>
      <c r="C41" s="29"/>
      <c r="D41" s="29"/>
      <c r="E41" s="28"/>
      <c r="F41" s="29"/>
      <c r="G41" s="30"/>
      <c r="H41" s="30"/>
      <c r="I41" s="30"/>
      <c r="J41" s="30"/>
      <c r="K41" s="30"/>
      <c r="L41" s="55"/>
      <c r="M41" s="28"/>
      <c r="N41" s="30"/>
      <c r="O41" s="43"/>
      <c r="P41" s="29"/>
    </row>
    <row r="42" spans="1:16" ht="15" customHeight="1">
      <c r="A42" s="29"/>
      <c r="B42" s="29"/>
      <c r="C42" s="29"/>
      <c r="D42" s="29"/>
      <c r="E42" s="28"/>
      <c r="F42" s="29"/>
      <c r="G42" s="30"/>
      <c r="H42" s="30"/>
      <c r="I42" s="30"/>
      <c r="J42" s="30"/>
      <c r="K42" s="30"/>
      <c r="L42" s="55"/>
      <c r="M42" s="28"/>
      <c r="N42" s="30"/>
      <c r="O42" s="43"/>
      <c r="P42" s="29"/>
    </row>
    <row r="43" spans="1:16" ht="15" customHeight="1">
      <c r="A43" s="29"/>
      <c r="B43" s="29"/>
      <c r="C43" s="29"/>
      <c r="D43" s="29"/>
      <c r="E43" s="28"/>
      <c r="F43" s="29"/>
      <c r="G43" s="30"/>
      <c r="H43" s="30"/>
      <c r="I43" s="30"/>
      <c r="J43" s="30"/>
      <c r="K43" s="30"/>
      <c r="L43" s="55"/>
      <c r="M43" s="28"/>
      <c r="N43" s="30"/>
      <c r="O43" s="43"/>
      <c r="P43" s="29"/>
    </row>
    <row r="44" spans="1:16" ht="15" customHeight="1">
      <c r="A44" s="29"/>
      <c r="B44" s="29"/>
      <c r="C44" s="29"/>
      <c r="D44" s="29"/>
      <c r="E44" s="28"/>
      <c r="F44" s="29"/>
      <c r="G44" s="30"/>
      <c r="H44" s="30"/>
      <c r="I44" s="30"/>
      <c r="J44" s="30"/>
      <c r="K44" s="30"/>
      <c r="L44" s="55"/>
      <c r="M44" s="28"/>
      <c r="N44" s="30"/>
      <c r="O44" s="43"/>
      <c r="P44" s="29"/>
    </row>
    <row r="45" spans="1:16" ht="15" customHeight="1">
      <c r="A45" s="29"/>
      <c r="B45" s="29"/>
      <c r="C45" s="29"/>
      <c r="D45" s="29"/>
      <c r="E45" s="28"/>
      <c r="F45" s="29"/>
      <c r="G45" s="30"/>
      <c r="H45" s="30"/>
      <c r="I45" s="30"/>
      <c r="J45" s="30"/>
      <c r="K45" s="30"/>
      <c r="L45" s="55"/>
      <c r="M45" s="28"/>
      <c r="N45" s="30"/>
      <c r="O45" s="43"/>
      <c r="P45" s="29"/>
    </row>
    <row r="46" spans="1:16" ht="15" customHeight="1">
      <c r="A46" s="29"/>
      <c r="B46" s="29"/>
      <c r="C46" s="29"/>
      <c r="D46" s="29"/>
      <c r="E46" s="28"/>
      <c r="F46" s="29"/>
      <c r="G46" s="30"/>
      <c r="H46" s="30"/>
      <c r="I46" s="30"/>
      <c r="J46" s="30"/>
      <c r="K46" s="30"/>
      <c r="L46" s="55"/>
      <c r="M46" s="28"/>
      <c r="N46" s="30"/>
      <c r="O46" s="43"/>
      <c r="P46" s="29"/>
    </row>
    <row r="47" spans="1:16" ht="15" customHeight="1">
      <c r="A47" s="29"/>
      <c r="B47" s="29"/>
      <c r="C47" s="29"/>
      <c r="D47" s="29"/>
      <c r="E47" s="28"/>
      <c r="F47" s="29"/>
      <c r="G47" s="30"/>
      <c r="H47" s="30"/>
      <c r="I47" s="30"/>
      <c r="J47" s="30"/>
      <c r="K47" s="30"/>
      <c r="L47" s="55"/>
      <c r="M47" s="28"/>
      <c r="N47" s="30"/>
      <c r="O47" s="43"/>
      <c r="P47" s="29"/>
    </row>
    <row r="48" spans="1:16" ht="15" customHeight="1">
      <c r="A48" s="29"/>
      <c r="B48" s="29"/>
      <c r="C48" s="29"/>
      <c r="D48" s="29"/>
      <c r="E48" s="28"/>
      <c r="F48" s="29"/>
      <c r="G48" s="30"/>
      <c r="H48" s="30"/>
      <c r="I48" s="30"/>
      <c r="J48" s="30"/>
      <c r="K48" s="30"/>
      <c r="L48" s="55"/>
      <c r="M48" s="28"/>
      <c r="N48" s="30"/>
      <c r="O48" s="43"/>
      <c r="P48" s="29"/>
    </row>
    <row r="49" spans="1:16" ht="15" customHeight="1">
      <c r="A49" s="29"/>
      <c r="B49" s="29"/>
      <c r="C49" s="29"/>
      <c r="D49" s="29"/>
      <c r="E49" s="28"/>
      <c r="F49" s="29"/>
      <c r="G49" s="30"/>
      <c r="H49" s="30"/>
      <c r="I49" s="30"/>
      <c r="J49" s="30"/>
      <c r="K49" s="30"/>
      <c r="L49" s="55"/>
      <c r="M49" s="28"/>
      <c r="N49" s="30"/>
      <c r="O49" s="43"/>
      <c r="P49" s="29"/>
    </row>
    <row r="50" spans="1:16" ht="15" customHeight="1">
      <c r="A50" s="29"/>
      <c r="B50" s="29"/>
      <c r="C50" s="29"/>
      <c r="D50" s="29"/>
      <c r="E50" s="28"/>
      <c r="F50" s="29"/>
      <c r="G50" s="30"/>
      <c r="H50" s="30"/>
      <c r="I50" s="30"/>
      <c r="J50" s="30"/>
      <c r="K50" s="30"/>
      <c r="L50" s="55"/>
      <c r="M50" s="28"/>
      <c r="N50" s="30"/>
      <c r="O50" s="43"/>
      <c r="P50" s="29"/>
    </row>
    <row r="51" spans="1:16" ht="15" customHeight="1">
      <c r="A51" s="29"/>
      <c r="B51" s="29"/>
      <c r="C51" s="29"/>
      <c r="D51" s="29"/>
      <c r="E51" s="28"/>
      <c r="F51" s="29"/>
      <c r="G51" s="30"/>
      <c r="H51" s="30"/>
      <c r="I51" s="30"/>
      <c r="J51" s="30"/>
      <c r="K51" s="30"/>
      <c r="L51" s="55"/>
      <c r="M51" s="28"/>
      <c r="N51" s="30"/>
      <c r="O51" s="43"/>
      <c r="P51" s="29"/>
    </row>
    <row r="52" spans="1:16" ht="15" customHeight="1">
      <c r="A52" s="29"/>
      <c r="B52" s="29"/>
      <c r="C52" s="29"/>
      <c r="D52" s="29"/>
      <c r="E52" s="28"/>
      <c r="F52" s="29"/>
      <c r="G52" s="30"/>
      <c r="H52" s="30"/>
      <c r="I52" s="30"/>
      <c r="J52" s="30"/>
      <c r="K52" s="30"/>
      <c r="L52" s="55"/>
      <c r="M52" s="28"/>
      <c r="N52" s="30"/>
      <c r="O52" s="43"/>
      <c r="P52" s="29"/>
    </row>
    <row r="53" spans="1:16" ht="15" customHeight="1">
      <c r="A53" s="29"/>
      <c r="B53" s="29"/>
      <c r="C53" s="29"/>
      <c r="D53" s="29"/>
      <c r="E53" s="28"/>
      <c r="F53" s="29"/>
      <c r="G53" s="30"/>
      <c r="H53" s="30"/>
      <c r="I53" s="30"/>
      <c r="J53" s="30"/>
      <c r="K53" s="30"/>
      <c r="L53" s="55"/>
      <c r="M53" s="28"/>
      <c r="N53" s="30"/>
      <c r="O53" s="43"/>
      <c r="P53" s="29"/>
    </row>
    <row r="54" spans="1:16" ht="15" customHeight="1">
      <c r="A54" s="29"/>
      <c r="B54" s="29"/>
      <c r="C54" s="29"/>
      <c r="D54" s="29"/>
      <c r="E54" s="28"/>
      <c r="F54" s="29"/>
      <c r="G54" s="30"/>
      <c r="H54" s="30"/>
      <c r="I54" s="30"/>
      <c r="J54" s="30"/>
      <c r="K54" s="30"/>
      <c r="L54" s="55"/>
      <c r="M54" s="28"/>
      <c r="N54" s="30"/>
      <c r="O54" s="43"/>
      <c r="P54" s="29"/>
    </row>
    <row r="55" spans="1:16" ht="15" customHeight="1">
      <c r="A55" s="29"/>
      <c r="B55" s="29"/>
      <c r="C55" s="29"/>
      <c r="D55" s="29"/>
      <c r="E55" s="28"/>
      <c r="F55" s="29"/>
      <c r="G55" s="30"/>
      <c r="H55" s="30"/>
      <c r="I55" s="30"/>
      <c r="J55" s="30"/>
      <c r="K55" s="30"/>
      <c r="L55" s="55"/>
      <c r="M55" s="28"/>
      <c r="N55" s="30"/>
      <c r="O55" s="43"/>
      <c r="P55" s="29"/>
    </row>
    <row r="56" spans="1:16" ht="15" customHeight="1">
      <c r="A56" s="29"/>
      <c r="B56" s="29"/>
      <c r="C56" s="29"/>
      <c r="D56" s="29"/>
      <c r="E56" s="28"/>
      <c r="F56" s="29"/>
      <c r="G56" s="30"/>
      <c r="H56" s="30"/>
      <c r="I56" s="30"/>
      <c r="J56" s="30"/>
      <c r="K56" s="30"/>
      <c r="L56" s="55"/>
      <c r="M56" s="28"/>
      <c r="N56" s="30"/>
      <c r="O56" s="43"/>
      <c r="P56" s="29"/>
    </row>
    <row r="57" spans="1:16" ht="15" customHeight="1">
      <c r="A57" s="29"/>
      <c r="B57" s="29"/>
      <c r="C57" s="29"/>
      <c r="D57" s="29"/>
      <c r="E57" s="28"/>
      <c r="F57" s="29"/>
      <c r="G57" s="30"/>
      <c r="H57" s="30"/>
      <c r="I57" s="30"/>
      <c r="J57" s="30"/>
      <c r="K57" s="30"/>
      <c r="L57" s="55"/>
      <c r="M57" s="28"/>
      <c r="N57" s="30"/>
      <c r="O57" s="43"/>
      <c r="P57" s="29"/>
    </row>
    <row r="58" spans="1:16" ht="15" customHeight="1">
      <c r="A58" s="29"/>
      <c r="B58" s="29"/>
      <c r="C58" s="29"/>
      <c r="D58" s="29"/>
      <c r="E58" s="28"/>
      <c r="F58" s="29"/>
      <c r="G58" s="30"/>
      <c r="H58" s="30"/>
      <c r="I58" s="30"/>
      <c r="J58" s="30"/>
      <c r="K58" s="30"/>
      <c r="L58" s="55"/>
      <c r="M58" s="28"/>
      <c r="N58" s="30"/>
      <c r="O58" s="43"/>
      <c r="P58" s="29"/>
    </row>
    <row r="59" spans="1:16" ht="15" customHeight="1">
      <c r="A59" s="29"/>
      <c r="B59" s="29"/>
      <c r="C59" s="29"/>
      <c r="D59" s="29"/>
      <c r="E59" s="28"/>
      <c r="F59" s="29"/>
      <c r="G59" s="30"/>
      <c r="H59" s="30"/>
      <c r="I59" s="30"/>
      <c r="J59" s="30"/>
      <c r="K59" s="30"/>
      <c r="L59" s="55"/>
      <c r="M59" s="28"/>
      <c r="N59" s="30"/>
      <c r="O59" s="43"/>
      <c r="P59" s="29"/>
    </row>
    <row r="60" spans="1:16" ht="15" customHeight="1">
      <c r="A60" s="29"/>
      <c r="B60" s="29"/>
      <c r="C60" s="29"/>
      <c r="D60" s="29"/>
      <c r="E60" s="28"/>
      <c r="F60" s="29"/>
      <c r="G60" s="30"/>
      <c r="H60" s="30"/>
      <c r="I60" s="30"/>
      <c r="J60" s="30"/>
      <c r="K60" s="30"/>
      <c r="L60" s="55"/>
      <c r="M60" s="28"/>
      <c r="N60" s="30"/>
      <c r="O60" s="43"/>
      <c r="P60" s="29"/>
    </row>
    <row r="61" spans="1:16" ht="15" customHeight="1">
      <c r="A61" s="29"/>
      <c r="B61" s="29"/>
      <c r="C61" s="29"/>
      <c r="D61" s="29"/>
      <c r="E61" s="28"/>
      <c r="F61" s="29"/>
      <c r="G61" s="30"/>
      <c r="H61" s="30"/>
      <c r="I61" s="30"/>
      <c r="J61" s="30"/>
      <c r="K61" s="30"/>
      <c r="L61" s="55"/>
      <c r="M61" s="28"/>
      <c r="N61" s="30"/>
      <c r="O61" s="43"/>
      <c r="P61" s="29"/>
    </row>
    <row r="62" spans="1:16" ht="15" customHeight="1">
      <c r="A62" s="29"/>
      <c r="B62" s="29"/>
      <c r="C62" s="29"/>
      <c r="D62" s="29"/>
      <c r="E62" s="28"/>
      <c r="F62" s="29"/>
      <c r="G62" s="30"/>
      <c r="H62" s="30"/>
      <c r="I62" s="30"/>
      <c r="J62" s="30"/>
      <c r="K62" s="30"/>
      <c r="L62" s="55"/>
      <c r="M62" s="28"/>
      <c r="N62" s="30"/>
      <c r="O62" s="43"/>
      <c r="P62" s="29"/>
    </row>
    <row r="63" spans="1:16" ht="15" customHeight="1">
      <c r="A63" s="29"/>
      <c r="B63" s="29"/>
      <c r="C63" s="29"/>
      <c r="D63" s="29"/>
      <c r="E63" s="28"/>
      <c r="F63" s="29"/>
      <c r="G63" s="30"/>
      <c r="H63" s="30"/>
      <c r="I63" s="30"/>
      <c r="J63" s="30"/>
      <c r="K63" s="30"/>
      <c r="L63" s="55"/>
      <c r="M63" s="28"/>
      <c r="N63" s="30"/>
      <c r="O63" s="43"/>
      <c r="P63" s="29"/>
    </row>
    <row r="64" spans="1:16" ht="15" customHeight="1">
      <c r="A64" s="29"/>
      <c r="B64" s="29"/>
      <c r="C64" s="29"/>
      <c r="D64" s="29"/>
      <c r="E64" s="28"/>
      <c r="F64" s="29"/>
      <c r="G64" s="30"/>
      <c r="H64" s="30"/>
      <c r="I64" s="30"/>
      <c r="J64" s="30"/>
      <c r="K64" s="30"/>
      <c r="L64" s="55"/>
      <c r="M64" s="28"/>
      <c r="N64" s="30"/>
      <c r="O64" s="43"/>
      <c r="P64" s="29"/>
    </row>
    <row r="65" spans="1:16" ht="15" customHeight="1">
      <c r="A65" s="29"/>
      <c r="B65" s="29"/>
      <c r="C65" s="29"/>
      <c r="D65" s="29"/>
      <c r="E65" s="28"/>
      <c r="F65" s="29"/>
      <c r="G65" s="30"/>
      <c r="H65" s="30"/>
      <c r="I65" s="30"/>
      <c r="J65" s="30"/>
      <c r="K65" s="30"/>
      <c r="L65" s="55"/>
      <c r="M65" s="28"/>
      <c r="N65" s="30"/>
      <c r="O65" s="43"/>
      <c r="P65" s="29"/>
    </row>
    <row r="66" spans="1:16" ht="15" customHeight="1">
      <c r="A66" s="29"/>
      <c r="B66" s="29"/>
      <c r="C66" s="29"/>
      <c r="D66" s="29"/>
      <c r="E66" s="28"/>
      <c r="F66" s="29"/>
      <c r="G66" s="30"/>
      <c r="H66" s="30"/>
      <c r="I66" s="30"/>
      <c r="J66" s="30"/>
      <c r="K66" s="30"/>
      <c r="L66" s="55"/>
      <c r="M66" s="28"/>
      <c r="N66" s="30"/>
      <c r="O66" s="43"/>
      <c r="P66" s="29"/>
    </row>
    <row r="67" spans="1:16" ht="15" customHeight="1">
      <c r="A67" s="29"/>
      <c r="B67" s="29"/>
      <c r="C67" s="29"/>
      <c r="D67" s="29"/>
      <c r="E67" s="28"/>
      <c r="F67" s="29"/>
      <c r="G67" s="30"/>
      <c r="H67" s="30"/>
      <c r="I67" s="30"/>
      <c r="J67" s="30"/>
      <c r="K67" s="30"/>
      <c r="L67" s="55"/>
      <c r="M67" s="28"/>
      <c r="N67" s="30"/>
      <c r="O67" s="43"/>
      <c r="P67" s="29"/>
    </row>
    <row r="68" spans="1:16" ht="15" customHeight="1">
      <c r="A68" s="29"/>
      <c r="B68" s="29"/>
      <c r="C68" s="29"/>
      <c r="D68" s="29"/>
      <c r="E68" s="28"/>
      <c r="F68" s="29"/>
      <c r="G68" s="30"/>
      <c r="H68" s="30"/>
      <c r="I68" s="30"/>
      <c r="J68" s="30"/>
      <c r="K68" s="30"/>
      <c r="L68" s="55"/>
      <c r="M68" s="28"/>
      <c r="N68" s="30"/>
      <c r="O68" s="43"/>
      <c r="P68" s="29"/>
    </row>
    <row r="69" spans="1:16" ht="15" customHeight="1">
      <c r="A69" s="29"/>
      <c r="B69" s="29"/>
      <c r="C69" s="29"/>
      <c r="D69" s="29"/>
      <c r="E69" s="28"/>
      <c r="F69" s="29"/>
      <c r="G69" s="30"/>
      <c r="H69" s="30"/>
      <c r="I69" s="30"/>
      <c r="J69" s="30"/>
      <c r="K69" s="30"/>
      <c r="L69" s="55"/>
      <c r="M69" s="28"/>
      <c r="N69" s="30"/>
      <c r="O69" s="43"/>
      <c r="P69" s="29"/>
    </row>
    <row r="70" spans="1:16" ht="15" customHeight="1">
      <c r="A70" s="29"/>
      <c r="B70" s="29"/>
      <c r="C70" s="29"/>
      <c r="D70" s="29"/>
      <c r="E70" s="28"/>
      <c r="F70" s="29"/>
      <c r="G70" s="30"/>
      <c r="H70" s="30"/>
      <c r="I70" s="30"/>
      <c r="J70" s="30"/>
      <c r="K70" s="30"/>
      <c r="L70" s="55"/>
      <c r="M70" s="28"/>
      <c r="N70" s="30"/>
      <c r="O70" s="43"/>
      <c r="P70" s="29"/>
    </row>
    <row r="71" spans="1:16" ht="15" customHeight="1">
      <c r="A71" s="29"/>
      <c r="B71" s="29"/>
      <c r="C71" s="29"/>
      <c r="D71" s="29"/>
      <c r="E71" s="28"/>
      <c r="F71" s="29"/>
      <c r="G71" s="30"/>
      <c r="H71" s="30"/>
      <c r="I71" s="30"/>
      <c r="J71" s="30"/>
      <c r="K71" s="30"/>
      <c r="L71" s="55"/>
      <c r="M71" s="28"/>
      <c r="N71" s="30"/>
      <c r="O71" s="43"/>
      <c r="P71" s="29"/>
    </row>
    <row r="72" spans="1:16" ht="15" customHeight="1">
      <c r="A72" s="29"/>
      <c r="B72" s="29"/>
      <c r="C72" s="29"/>
      <c r="D72" s="29"/>
      <c r="E72" s="28"/>
      <c r="F72" s="29"/>
      <c r="G72" s="30"/>
      <c r="H72" s="30"/>
      <c r="I72" s="30"/>
      <c r="J72" s="30"/>
      <c r="K72" s="30"/>
      <c r="L72" s="55"/>
      <c r="M72" s="28"/>
      <c r="N72" s="30"/>
      <c r="O72" s="43"/>
      <c r="P72" s="29"/>
    </row>
    <row r="73" spans="1:16" ht="15" customHeight="1">
      <c r="A73" s="29"/>
      <c r="B73" s="29"/>
      <c r="C73" s="29"/>
      <c r="D73" s="29"/>
      <c r="E73" s="28"/>
      <c r="F73" s="29"/>
      <c r="G73" s="30"/>
      <c r="H73" s="30"/>
      <c r="I73" s="30"/>
      <c r="J73" s="30"/>
      <c r="K73" s="30"/>
      <c r="L73" s="55"/>
      <c r="M73" s="28"/>
      <c r="N73" s="30"/>
      <c r="O73" s="43"/>
      <c r="P73" s="29"/>
    </row>
    <row r="74" spans="1:16" ht="15" customHeight="1">
      <c r="A74" s="29"/>
      <c r="B74" s="29"/>
      <c r="C74" s="29"/>
      <c r="D74" s="29"/>
      <c r="E74" s="28"/>
      <c r="F74" s="29"/>
      <c r="G74" s="30"/>
      <c r="H74" s="30"/>
      <c r="I74" s="30"/>
      <c r="J74" s="30"/>
      <c r="K74" s="30"/>
      <c r="L74" s="55"/>
      <c r="M74" s="28"/>
      <c r="N74" s="30"/>
      <c r="O74" s="43"/>
      <c r="P74" s="29"/>
    </row>
    <row r="75" spans="1:16" ht="15" customHeight="1">
      <c r="A75" s="29"/>
      <c r="B75" s="29"/>
      <c r="C75" s="29"/>
      <c r="D75" s="29"/>
      <c r="E75" s="28"/>
      <c r="F75" s="29"/>
      <c r="G75" s="30"/>
      <c r="H75" s="30"/>
      <c r="I75" s="30"/>
      <c r="J75" s="30"/>
      <c r="K75" s="30"/>
      <c r="L75" s="55"/>
      <c r="M75" s="28"/>
      <c r="N75" s="30"/>
      <c r="O75" s="43"/>
      <c r="P75" s="29"/>
    </row>
    <row r="76" spans="1:16" ht="15" customHeight="1">
      <c r="A76" s="29"/>
      <c r="B76" s="29"/>
      <c r="C76" s="29"/>
      <c r="D76" s="29"/>
      <c r="E76" s="28"/>
      <c r="F76" s="29"/>
      <c r="G76" s="30"/>
      <c r="H76" s="30"/>
      <c r="I76" s="30"/>
      <c r="J76" s="30"/>
      <c r="K76" s="30"/>
      <c r="L76" s="55"/>
      <c r="M76" s="28"/>
      <c r="N76" s="30"/>
      <c r="O76" s="43"/>
      <c r="P76" s="29"/>
    </row>
    <row r="77" spans="1:16" ht="15" customHeight="1">
      <c r="A77" s="29"/>
      <c r="B77" s="29"/>
      <c r="C77" s="29"/>
      <c r="D77" s="29"/>
      <c r="E77" s="28"/>
      <c r="F77" s="29"/>
      <c r="G77" s="30"/>
      <c r="H77" s="30"/>
      <c r="I77" s="30"/>
      <c r="J77" s="30"/>
      <c r="K77" s="30"/>
      <c r="L77" s="55"/>
      <c r="M77" s="28"/>
      <c r="N77" s="30"/>
      <c r="O77" s="43"/>
      <c r="P77" s="29"/>
    </row>
    <row r="78" spans="1:16" ht="15" customHeight="1">
      <c r="A78" s="29"/>
      <c r="B78" s="29"/>
      <c r="C78" s="29"/>
      <c r="D78" s="29"/>
      <c r="E78" s="28"/>
      <c r="F78" s="29"/>
      <c r="G78" s="30"/>
      <c r="H78" s="30"/>
      <c r="I78" s="30"/>
      <c r="J78" s="30"/>
      <c r="K78" s="30"/>
      <c r="L78" s="55"/>
      <c r="M78" s="28"/>
      <c r="N78" s="30"/>
      <c r="O78" s="43"/>
      <c r="P78" s="29"/>
    </row>
    <row r="79" spans="1:16" ht="15" customHeight="1">
      <c r="A79" s="29"/>
      <c r="B79" s="29"/>
      <c r="C79" s="29"/>
      <c r="D79" s="29"/>
      <c r="E79" s="28"/>
      <c r="F79" s="29"/>
      <c r="G79" s="30"/>
      <c r="H79" s="30"/>
      <c r="I79" s="30"/>
      <c r="J79" s="30"/>
      <c r="K79" s="30"/>
      <c r="L79" s="55"/>
      <c r="M79" s="28"/>
      <c r="N79" s="30"/>
      <c r="O79" s="43"/>
      <c r="P79" s="29"/>
    </row>
    <row r="80" spans="1:16" ht="15" customHeight="1">
      <c r="A80" s="29"/>
      <c r="B80" s="29"/>
      <c r="C80" s="29"/>
      <c r="D80" s="29"/>
      <c r="E80" s="28"/>
      <c r="F80" s="29"/>
      <c r="G80" s="30"/>
      <c r="H80" s="30"/>
      <c r="I80" s="30"/>
      <c r="J80" s="30"/>
      <c r="K80" s="30"/>
      <c r="L80" s="55"/>
      <c r="M80" s="28"/>
      <c r="N80" s="30"/>
      <c r="O80" s="43"/>
      <c r="P80" s="29"/>
    </row>
    <row r="81" spans="1:16" ht="15" customHeight="1">
      <c r="A81" s="29"/>
      <c r="B81" s="29"/>
      <c r="C81" s="29"/>
      <c r="D81" s="29"/>
      <c r="E81" s="28"/>
      <c r="F81" s="29"/>
      <c r="G81" s="30"/>
      <c r="H81" s="30"/>
      <c r="I81" s="30"/>
      <c r="J81" s="30"/>
      <c r="K81" s="30"/>
      <c r="L81" s="55"/>
      <c r="M81" s="28"/>
      <c r="N81" s="30"/>
      <c r="O81" s="43"/>
      <c r="P81" s="29"/>
    </row>
    <row r="82" spans="1:16" ht="15" customHeight="1">
      <c r="A82" s="29"/>
      <c r="B82" s="29"/>
      <c r="C82" s="29"/>
      <c r="D82" s="29"/>
      <c r="E82" s="28"/>
      <c r="F82" s="29"/>
      <c r="G82" s="30"/>
      <c r="H82" s="30"/>
      <c r="I82" s="30"/>
      <c r="J82" s="30"/>
      <c r="K82" s="30"/>
      <c r="L82" s="55"/>
      <c r="M82" s="28"/>
      <c r="N82" s="30"/>
      <c r="O82" s="43"/>
      <c r="P82" s="29"/>
    </row>
    <row r="83" spans="1:16" ht="15" customHeight="1">
      <c r="A83" s="29"/>
      <c r="B83" s="29"/>
      <c r="C83" s="29"/>
      <c r="D83" s="29"/>
      <c r="E83" s="28"/>
      <c r="F83" s="29"/>
      <c r="G83" s="30"/>
      <c r="H83" s="30"/>
      <c r="I83" s="30"/>
      <c r="J83" s="30"/>
      <c r="K83" s="30"/>
      <c r="L83" s="55"/>
      <c r="M83" s="28"/>
      <c r="N83" s="30"/>
      <c r="O83" s="43"/>
      <c r="P83" s="29"/>
    </row>
    <row r="84" spans="1:16" ht="15" customHeight="1">
      <c r="A84" s="29"/>
      <c r="B84" s="29"/>
      <c r="C84" s="29"/>
      <c r="D84" s="29"/>
      <c r="E84" s="28"/>
      <c r="F84" s="29"/>
      <c r="G84" s="30"/>
      <c r="H84" s="30"/>
      <c r="I84" s="30"/>
      <c r="J84" s="30"/>
      <c r="K84" s="30"/>
      <c r="L84" s="55"/>
      <c r="M84" s="28"/>
      <c r="N84" s="30"/>
      <c r="O84" s="43"/>
      <c r="P84" s="29"/>
    </row>
    <row r="85" spans="1:16" ht="15" customHeight="1">
      <c r="A85" s="29"/>
      <c r="B85" s="29"/>
      <c r="C85" s="29"/>
      <c r="D85" s="29"/>
      <c r="E85" s="28"/>
      <c r="F85" s="29"/>
      <c r="G85" s="30"/>
      <c r="H85" s="30"/>
      <c r="I85" s="30"/>
      <c r="J85" s="30"/>
      <c r="K85" s="30"/>
      <c r="L85" s="55"/>
      <c r="M85" s="28"/>
      <c r="N85" s="30"/>
      <c r="O85" s="43"/>
      <c r="P85" s="29"/>
    </row>
    <row r="86" spans="1:16" ht="15" customHeight="1">
      <c r="A86" s="29"/>
      <c r="B86" s="29"/>
      <c r="C86" s="29"/>
      <c r="D86" s="29"/>
      <c r="E86" s="28"/>
      <c r="F86" s="29"/>
      <c r="G86" s="30"/>
      <c r="H86" s="30"/>
      <c r="I86" s="30"/>
      <c r="J86" s="30"/>
      <c r="K86" s="30"/>
      <c r="L86" s="55"/>
      <c r="M86" s="28"/>
      <c r="N86" s="30"/>
      <c r="O86" s="43"/>
      <c r="P86" s="29"/>
    </row>
    <row r="87" spans="1:16" ht="15" customHeight="1">
      <c r="A87" s="29"/>
      <c r="B87" s="29"/>
      <c r="C87" s="29"/>
      <c r="D87" s="29"/>
      <c r="E87" s="28"/>
      <c r="F87" s="29"/>
      <c r="G87" s="30"/>
      <c r="H87" s="30"/>
      <c r="I87" s="30"/>
      <c r="J87" s="30"/>
      <c r="K87" s="30"/>
      <c r="L87" s="55"/>
      <c r="M87" s="28"/>
      <c r="N87" s="30"/>
      <c r="O87" s="43"/>
      <c r="P87" s="29"/>
    </row>
    <row r="88" spans="1:16" ht="15" customHeight="1">
      <c r="A88" s="29"/>
      <c r="B88" s="29"/>
      <c r="C88" s="29"/>
      <c r="D88" s="29"/>
      <c r="E88" s="28"/>
      <c r="F88" s="29"/>
      <c r="G88" s="30"/>
      <c r="H88" s="30"/>
      <c r="I88" s="30"/>
      <c r="J88" s="30"/>
      <c r="K88" s="30"/>
      <c r="L88" s="55"/>
      <c r="M88" s="28"/>
      <c r="N88" s="30"/>
      <c r="O88" s="43"/>
      <c r="P88" s="29"/>
    </row>
    <row r="89" spans="1:16" ht="15" customHeight="1">
      <c r="A89" s="29"/>
      <c r="B89" s="29"/>
      <c r="C89" s="29"/>
      <c r="D89" s="29"/>
      <c r="E89" s="28"/>
      <c r="F89" s="29"/>
      <c r="G89" s="30"/>
      <c r="H89" s="30"/>
      <c r="I89" s="30"/>
      <c r="J89" s="30"/>
      <c r="K89" s="30"/>
      <c r="L89" s="55"/>
      <c r="M89" s="28"/>
      <c r="N89" s="30"/>
      <c r="O89" s="43"/>
      <c r="P89" s="29"/>
    </row>
    <row r="90" spans="1:16" ht="15" customHeight="1">
      <c r="A90" s="29"/>
      <c r="B90" s="29"/>
      <c r="C90" s="29"/>
      <c r="D90" s="29"/>
      <c r="E90" s="28"/>
      <c r="F90" s="29"/>
      <c r="G90" s="30"/>
      <c r="H90" s="30"/>
      <c r="I90" s="30"/>
      <c r="J90" s="30"/>
      <c r="K90" s="30"/>
      <c r="L90" s="55"/>
      <c r="M90" s="28"/>
      <c r="N90" s="30"/>
      <c r="O90" s="43"/>
      <c r="P90" s="29"/>
    </row>
    <row r="91" spans="1:16" ht="15" customHeight="1">
      <c r="A91" s="29"/>
      <c r="B91" s="29"/>
      <c r="C91" s="29"/>
      <c r="D91" s="29"/>
      <c r="E91" s="28"/>
      <c r="F91" s="29"/>
      <c r="G91" s="30"/>
      <c r="H91" s="30"/>
      <c r="I91" s="30"/>
      <c r="J91" s="30"/>
      <c r="K91" s="30"/>
      <c r="L91" s="55"/>
      <c r="M91" s="28"/>
      <c r="N91" s="30"/>
      <c r="O91" s="43"/>
      <c r="P91" s="29"/>
    </row>
    <row r="92" spans="1:16" ht="15" customHeight="1">
      <c r="A92" s="29"/>
      <c r="B92" s="29"/>
      <c r="C92" s="29"/>
      <c r="D92" s="29"/>
      <c r="E92" s="28"/>
      <c r="F92" s="29"/>
      <c r="G92" s="30"/>
      <c r="H92" s="30"/>
      <c r="I92" s="30"/>
      <c r="J92" s="30"/>
      <c r="K92" s="30"/>
      <c r="L92" s="55"/>
      <c r="M92" s="28"/>
      <c r="N92" s="30"/>
      <c r="O92" s="43"/>
      <c r="P92" s="29"/>
    </row>
    <row r="93" spans="1:16" ht="15" customHeight="1">
      <c r="A93" s="29"/>
      <c r="B93" s="29"/>
      <c r="C93" s="29"/>
      <c r="D93" s="29"/>
      <c r="E93" s="28"/>
      <c r="F93" s="29"/>
      <c r="G93" s="30"/>
      <c r="H93" s="30"/>
      <c r="I93" s="30"/>
      <c r="J93" s="30"/>
      <c r="K93" s="30"/>
      <c r="L93" s="55"/>
      <c r="M93" s="28"/>
      <c r="N93" s="30"/>
      <c r="O93" s="43"/>
      <c r="P93" s="29"/>
    </row>
    <row r="94" spans="1:16" ht="15" customHeight="1">
      <c r="A94" s="29"/>
      <c r="B94" s="29"/>
      <c r="C94" s="29"/>
      <c r="D94" s="29"/>
      <c r="E94" s="28"/>
      <c r="F94" s="29"/>
      <c r="G94" s="30"/>
      <c r="H94" s="30"/>
      <c r="I94" s="30"/>
      <c r="J94" s="30"/>
      <c r="K94" s="30"/>
      <c r="L94" s="55"/>
      <c r="M94" s="28"/>
      <c r="N94" s="30"/>
      <c r="O94" s="43"/>
      <c r="P94" s="29"/>
    </row>
    <row r="95" spans="1:16" ht="15" customHeight="1">
      <c r="A95" s="29"/>
      <c r="B95" s="29"/>
      <c r="C95" s="29"/>
      <c r="D95" s="29"/>
      <c r="E95" s="28"/>
      <c r="F95" s="29"/>
      <c r="G95" s="30"/>
      <c r="H95" s="30"/>
      <c r="I95" s="30"/>
      <c r="J95" s="30"/>
      <c r="K95" s="30"/>
      <c r="L95" s="55"/>
      <c r="M95" s="28"/>
      <c r="N95" s="30"/>
      <c r="O95" s="43"/>
      <c r="P95" s="29"/>
    </row>
    <row r="96" spans="1:16" ht="15" customHeight="1">
      <c r="A96" s="29"/>
      <c r="B96" s="29"/>
      <c r="C96" s="29"/>
      <c r="D96" s="29"/>
      <c r="E96" s="28"/>
      <c r="F96" s="29"/>
      <c r="G96" s="30"/>
      <c r="H96" s="30"/>
      <c r="I96" s="30"/>
      <c r="J96" s="30"/>
      <c r="K96" s="30"/>
      <c r="L96" s="55"/>
      <c r="M96" s="28"/>
      <c r="N96" s="30"/>
      <c r="O96" s="43"/>
      <c r="P96" s="29"/>
    </row>
    <row r="97" spans="1:16" ht="15" customHeight="1">
      <c r="A97" s="29"/>
      <c r="B97" s="29"/>
      <c r="C97" s="29"/>
      <c r="D97" s="29"/>
      <c r="E97" s="28"/>
      <c r="F97" s="29"/>
      <c r="G97" s="30"/>
      <c r="H97" s="30"/>
      <c r="I97" s="30"/>
      <c r="J97" s="30"/>
      <c r="K97" s="30"/>
      <c r="L97" s="55"/>
      <c r="M97" s="28"/>
      <c r="N97" s="30"/>
      <c r="O97" s="43"/>
      <c r="P97" s="29"/>
    </row>
    <row r="98" spans="1:16" ht="15" customHeight="1">
      <c r="A98" s="29"/>
      <c r="B98" s="29"/>
      <c r="C98" s="29"/>
      <c r="D98" s="29"/>
      <c r="E98" s="28"/>
      <c r="F98" s="29"/>
      <c r="G98" s="30"/>
      <c r="H98" s="30"/>
      <c r="I98" s="30"/>
      <c r="J98" s="30"/>
      <c r="K98" s="30"/>
      <c r="L98" s="55"/>
      <c r="M98" s="28"/>
      <c r="N98" s="30"/>
      <c r="O98" s="43"/>
      <c r="P98" s="29"/>
    </row>
    <row r="99" spans="1:16" ht="15" customHeight="1">
      <c r="A99" s="29"/>
      <c r="B99" s="29"/>
      <c r="C99" s="29"/>
      <c r="D99" s="29"/>
      <c r="E99" s="28"/>
      <c r="F99" s="29"/>
      <c r="G99" s="30"/>
      <c r="H99" s="30"/>
      <c r="I99" s="30"/>
      <c r="J99" s="30"/>
      <c r="K99" s="30"/>
      <c r="L99" s="55"/>
      <c r="M99" s="28"/>
      <c r="N99" s="30"/>
      <c r="O99" s="43"/>
      <c r="P99" s="29"/>
    </row>
    <row r="100" spans="1:16" ht="15" customHeight="1">
      <c r="A100" s="29"/>
      <c r="B100" s="29"/>
      <c r="C100" s="29"/>
      <c r="D100" s="29"/>
      <c r="E100" s="28"/>
      <c r="F100" s="29"/>
      <c r="G100" s="30"/>
      <c r="H100" s="30"/>
      <c r="I100" s="30"/>
      <c r="J100" s="30"/>
      <c r="K100" s="30"/>
      <c r="L100" s="55"/>
      <c r="M100" s="28"/>
      <c r="N100" s="30"/>
      <c r="O100" s="43"/>
      <c r="P100" s="29"/>
    </row>
    <row r="101" spans="1:16" ht="15" customHeight="1">
      <c r="A101" s="29"/>
      <c r="B101" s="29"/>
      <c r="C101" s="29"/>
      <c r="D101" s="29"/>
      <c r="E101" s="28"/>
      <c r="F101" s="29"/>
      <c r="G101" s="30"/>
      <c r="H101" s="30"/>
      <c r="I101" s="30"/>
      <c r="J101" s="30"/>
      <c r="K101" s="30"/>
      <c r="L101" s="55"/>
      <c r="M101" s="28"/>
      <c r="N101" s="30"/>
      <c r="O101" s="43"/>
      <c r="P101" s="29"/>
    </row>
    <row r="102" spans="1:16" ht="15" customHeight="1">
      <c r="A102" s="29"/>
      <c r="B102" s="29"/>
      <c r="C102" s="29"/>
      <c r="D102" s="29"/>
      <c r="E102" s="28"/>
      <c r="F102" s="29"/>
      <c r="G102" s="30"/>
      <c r="H102" s="30"/>
      <c r="I102" s="30"/>
      <c r="J102" s="30"/>
      <c r="K102" s="30"/>
      <c r="L102" s="55"/>
      <c r="M102" s="28"/>
      <c r="N102" s="30"/>
      <c r="O102" s="43"/>
      <c r="P102" s="29"/>
    </row>
    <row r="103" spans="1:16" ht="15" customHeight="1">
      <c r="A103" s="29"/>
      <c r="B103" s="29"/>
      <c r="C103" s="29"/>
      <c r="D103" s="29"/>
      <c r="E103" s="28"/>
      <c r="F103" s="29"/>
      <c r="G103" s="30"/>
      <c r="H103" s="30"/>
      <c r="I103" s="30"/>
      <c r="J103" s="30"/>
      <c r="K103" s="30"/>
      <c r="L103" s="55"/>
      <c r="M103" s="28"/>
      <c r="N103" s="30"/>
      <c r="O103" s="43"/>
      <c r="P103" s="29"/>
    </row>
    <row r="104" spans="1:16" ht="15" customHeight="1">
      <c r="A104" s="83" t="s">
        <v>44</v>
      </c>
      <c r="B104" s="83"/>
      <c r="C104" s="83"/>
      <c r="D104" s="83"/>
      <c r="E104" s="83"/>
      <c r="F104" s="83"/>
      <c r="G104" s="12">
        <f>SUM(G4:G103)</f>
        <v>0</v>
      </c>
      <c r="H104" s="12">
        <f>SUM(H4:H103)</f>
        <v>0</v>
      </c>
      <c r="I104" s="12">
        <f>SUM(I4:I103)</f>
        <v>0</v>
      </c>
      <c r="J104" s="12">
        <f>SUM(J4:J103)</f>
        <v>0</v>
      </c>
      <c r="K104" s="12">
        <f>SUM(K4:K103)</f>
        <v>0</v>
      </c>
      <c r="L104" s="32" t="str">
        <f>COUNTA(L4:L103)&amp;"件"</f>
        <v>0件</v>
      </c>
      <c r="M104" s="32" t="str">
        <f>COUNTA(M4:M103)&amp;"件予定"</f>
        <v>0件予定</v>
      </c>
      <c r="N104" s="12">
        <f>SUM(N4:N103)</f>
        <v>0</v>
      </c>
      <c r="P104" s="32"/>
    </row>
    <row r="106" spans="1:16">
      <c r="A106" s="87" t="s">
        <v>115</v>
      </c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44" t="str">
        <f>COUNTIF(O4:O103,"済")&amp;"件"</f>
        <v>0件</v>
      </c>
      <c r="N106" s="45">
        <f>SUMIF(O4:O103,"済",N4:N103)</f>
        <v>0</v>
      </c>
      <c r="O106" s="46"/>
      <c r="P106" s="46"/>
    </row>
    <row r="107" spans="1:16">
      <c r="A107" s="88" t="s">
        <v>116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47" t="str">
        <f>COUNTIFS(N4:N103,"&gt;0",O4:O103,"")&amp;"件"</f>
        <v>0件</v>
      </c>
      <c r="N107" s="48">
        <f>SUMIFS(N4:N103,O4:O103,"")</f>
        <v>0</v>
      </c>
      <c r="O107" s="49"/>
      <c r="P107" s="49"/>
    </row>
    <row r="108" spans="1:16">
      <c r="A108" s="86" t="s">
        <v>117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50" t="str">
        <f>COUNTIF(O4:O103,"取消")&amp;"件"</f>
        <v>0件</v>
      </c>
      <c r="N108" s="51">
        <f>SUMIF(O4:O103,"取消",N4:N103)</f>
        <v>0</v>
      </c>
      <c r="O108" s="52"/>
      <c r="P108" s="52"/>
    </row>
  </sheetData>
  <mergeCells count="6">
    <mergeCell ref="A108:L108"/>
    <mergeCell ref="A1:P1"/>
    <mergeCell ref="G2:P2"/>
    <mergeCell ref="A104:F104"/>
    <mergeCell ref="A106:L106"/>
    <mergeCell ref="A107:L107"/>
  </mergeCells>
  <phoneticPr fontId="46"/>
  <conditionalFormatting sqref="A4:O103">
    <cfRule type="expression" dxfId="19" priority="2">
      <formula>$L4="高"</formula>
    </cfRule>
    <cfRule type="expression" dxfId="18" priority="3">
      <formula>$L4="中"</formula>
    </cfRule>
    <cfRule type="expression" dxfId="17" priority="4">
      <formula>$L4="低"</formula>
    </cfRule>
    <cfRule type="expression" dxfId="16" priority="5">
      <formula>$L4="月次"</formula>
    </cfRule>
  </conditionalFormatting>
  <conditionalFormatting sqref="A4:P103">
    <cfRule type="expression" dxfId="15" priority="10">
      <formula>$O4="済"</formula>
    </cfRule>
    <cfRule type="expression" dxfId="14" priority="11">
      <formula>$O4="取消"</formula>
    </cfRule>
  </conditionalFormatting>
  <conditionalFormatting sqref="L4:L103">
    <cfRule type="cellIs" dxfId="13" priority="6" operator="equal">
      <formula>"高"</formula>
    </cfRule>
    <cfRule type="cellIs" dxfId="12" priority="7" operator="equal">
      <formula>"中"</formula>
    </cfRule>
    <cfRule type="cellIs" dxfId="11" priority="8" operator="equal">
      <formula>"低"</formula>
    </cfRule>
    <cfRule type="cellIs" dxfId="10" priority="9" operator="equal">
      <formula>"月次"</formula>
    </cfRule>
  </conditionalFormatting>
  <dataValidations count="3">
    <dataValidation type="list" allowBlank="1" sqref="L4:L103" xr:uid="{00000000-0002-0000-1200-000000000000}">
      <formula1>"高,中,低,月次"</formula1>
      <formula2>0</formula2>
    </dataValidation>
    <dataValidation type="date" allowBlank="1" sqref="M4:M103" xr:uid="{00000000-0002-0000-1200-000001000000}">
      <formula1>0</formula1>
      <formula2>0</formula2>
    </dataValidation>
    <dataValidation type="list" allowBlank="1" prompt="支払状況を選択（済/取消）" sqref="O4:O103" xr:uid="{00000000-0002-0000-1200-000002000000}">
      <formula1>"済,取消"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2" width="24" customWidth="1"/>
    <col min="3" max="3" width="16" customWidth="1"/>
    <col min="4" max="4" width="12" customWidth="1"/>
    <col min="5" max="5" width="24" customWidth="1"/>
  </cols>
  <sheetData>
    <row r="1" spans="1:5" ht="27.75" customHeight="1">
      <c r="A1" s="92" t="s">
        <v>227</v>
      </c>
      <c r="B1" s="92"/>
      <c r="C1" s="92"/>
      <c r="D1" s="92"/>
      <c r="E1" s="92"/>
    </row>
    <row r="2" spans="1:5" ht="15" customHeight="1">
      <c r="A2" s="85" t="s">
        <v>119</v>
      </c>
      <c r="B2" s="85"/>
      <c r="C2" s="85"/>
      <c r="D2" s="85"/>
      <c r="E2" s="85"/>
    </row>
    <row r="3" spans="1:5" ht="15" customHeight="1">
      <c r="A3" s="6" t="s">
        <v>120</v>
      </c>
      <c r="B3" s="6" t="s">
        <v>121</v>
      </c>
      <c r="C3" s="6" t="s">
        <v>122</v>
      </c>
      <c r="D3" s="6" t="s">
        <v>85</v>
      </c>
      <c r="E3" s="6" t="s">
        <v>50</v>
      </c>
    </row>
    <row r="4" spans="1:5" ht="15" customHeight="1">
      <c r="A4" s="28"/>
      <c r="B4" s="29"/>
      <c r="C4" s="30"/>
      <c r="D4" s="31"/>
      <c r="E4" s="29"/>
    </row>
    <row r="5" spans="1:5" ht="15" customHeight="1">
      <c r="A5" s="28"/>
      <c r="B5" s="29"/>
      <c r="C5" s="30"/>
      <c r="D5" s="31"/>
      <c r="E5" s="29"/>
    </row>
    <row r="6" spans="1:5" ht="15" customHeight="1">
      <c r="A6" s="28"/>
      <c r="B6" s="29"/>
      <c r="C6" s="30"/>
      <c r="D6" s="31"/>
      <c r="E6" s="29"/>
    </row>
    <row r="7" spans="1:5" ht="15" customHeight="1">
      <c r="A7" s="28"/>
      <c r="B7" s="29"/>
      <c r="C7" s="30"/>
      <c r="D7" s="31"/>
      <c r="E7" s="29"/>
    </row>
    <row r="8" spans="1:5" ht="15" customHeight="1">
      <c r="A8" s="28"/>
      <c r="B8" s="29"/>
      <c r="C8" s="30"/>
      <c r="D8" s="31"/>
      <c r="E8" s="29"/>
    </row>
    <row r="9" spans="1:5" ht="15" customHeight="1">
      <c r="A9" s="28"/>
      <c r="B9" s="29"/>
      <c r="C9" s="30"/>
      <c r="D9" s="31"/>
      <c r="E9" s="29"/>
    </row>
    <row r="10" spans="1:5" ht="15" customHeight="1">
      <c r="A10" s="28"/>
      <c r="B10" s="29"/>
      <c r="C10" s="30"/>
      <c r="D10" s="31"/>
      <c r="E10" s="29"/>
    </row>
    <row r="11" spans="1:5" ht="15" customHeight="1">
      <c r="A11" s="28"/>
      <c r="B11" s="29"/>
      <c r="C11" s="30"/>
      <c r="D11" s="31"/>
      <c r="E11" s="29"/>
    </row>
    <row r="12" spans="1:5" ht="15" customHeight="1">
      <c r="A12" s="28"/>
      <c r="B12" s="29"/>
      <c r="C12" s="30"/>
      <c r="D12" s="31"/>
      <c r="E12" s="29"/>
    </row>
    <row r="13" spans="1:5" ht="15" customHeight="1">
      <c r="A13" s="28"/>
      <c r="B13" s="29"/>
      <c r="C13" s="30"/>
      <c r="D13" s="31"/>
      <c r="E13" s="29"/>
    </row>
    <row r="14" spans="1:5" ht="15" customHeight="1">
      <c r="A14" s="28"/>
      <c r="B14" s="29"/>
      <c r="C14" s="30"/>
      <c r="D14" s="31"/>
      <c r="E14" s="29"/>
    </row>
    <row r="15" spans="1:5" ht="15" customHeight="1">
      <c r="A15" s="28"/>
      <c r="B15" s="29"/>
      <c r="C15" s="30"/>
      <c r="D15" s="31"/>
      <c r="E15" s="29"/>
    </row>
    <row r="16" spans="1:5" ht="15" customHeight="1">
      <c r="A16" s="28"/>
      <c r="B16" s="29"/>
      <c r="C16" s="30"/>
      <c r="D16" s="31"/>
      <c r="E16" s="29"/>
    </row>
    <row r="17" spans="1:5" ht="15" customHeight="1">
      <c r="A17" s="28"/>
      <c r="B17" s="29"/>
      <c r="C17" s="30"/>
      <c r="D17" s="31"/>
      <c r="E17" s="29"/>
    </row>
    <row r="18" spans="1:5" ht="15" customHeight="1">
      <c r="A18" s="28"/>
      <c r="B18" s="29"/>
      <c r="C18" s="30"/>
      <c r="D18" s="31"/>
      <c r="E18" s="29"/>
    </row>
    <row r="19" spans="1:5" ht="15" customHeight="1">
      <c r="A19" s="28"/>
      <c r="B19" s="29"/>
      <c r="C19" s="30"/>
      <c r="D19" s="31"/>
      <c r="E19" s="29"/>
    </row>
    <row r="20" spans="1:5" ht="15" customHeight="1">
      <c r="A20" s="28"/>
      <c r="B20" s="29"/>
      <c r="C20" s="30"/>
      <c r="D20" s="31"/>
      <c r="E20" s="29"/>
    </row>
    <row r="21" spans="1:5" ht="15" customHeight="1">
      <c r="A21" s="28"/>
      <c r="B21" s="29"/>
      <c r="C21" s="30"/>
      <c r="D21" s="31"/>
      <c r="E21" s="29"/>
    </row>
    <row r="22" spans="1:5" ht="15" customHeight="1">
      <c r="A22" s="28"/>
      <c r="B22" s="29"/>
      <c r="C22" s="30"/>
      <c r="D22" s="31"/>
      <c r="E22" s="29"/>
    </row>
    <row r="23" spans="1:5" ht="15" customHeight="1">
      <c r="A23" s="28"/>
      <c r="B23" s="29"/>
      <c r="C23" s="30"/>
      <c r="D23" s="31"/>
      <c r="E23" s="29"/>
    </row>
    <row r="24" spans="1:5" ht="15" customHeight="1">
      <c r="A24" s="28"/>
      <c r="B24" s="29"/>
      <c r="C24" s="30"/>
      <c r="D24" s="31"/>
      <c r="E24" s="29"/>
    </row>
    <row r="25" spans="1:5" ht="15" customHeight="1">
      <c r="A25" s="28"/>
      <c r="B25" s="29"/>
      <c r="C25" s="30"/>
      <c r="D25" s="31"/>
      <c r="E25" s="29"/>
    </row>
    <row r="26" spans="1:5" ht="15" customHeight="1">
      <c r="A26" s="28"/>
      <c r="B26" s="29"/>
      <c r="C26" s="30"/>
      <c r="D26" s="31"/>
      <c r="E26" s="29"/>
    </row>
    <row r="27" spans="1:5" ht="15" customHeight="1">
      <c r="A27" s="28"/>
      <c r="B27" s="29"/>
      <c r="C27" s="30"/>
      <c r="D27" s="31"/>
      <c r="E27" s="29"/>
    </row>
    <row r="28" spans="1:5" ht="15" customHeight="1">
      <c r="A28" s="28"/>
      <c r="B28" s="29"/>
      <c r="C28" s="30"/>
      <c r="D28" s="31"/>
      <c r="E28" s="29"/>
    </row>
    <row r="29" spans="1:5" ht="15" customHeight="1">
      <c r="A29" s="28"/>
      <c r="B29" s="29"/>
      <c r="C29" s="30"/>
      <c r="D29" s="31"/>
      <c r="E29" s="29"/>
    </row>
    <row r="30" spans="1:5" ht="15" customHeight="1">
      <c r="A30" s="28"/>
      <c r="B30" s="29"/>
      <c r="C30" s="30"/>
      <c r="D30" s="31"/>
      <c r="E30" s="29"/>
    </row>
    <row r="31" spans="1:5" ht="15" customHeight="1">
      <c r="A31" s="28"/>
      <c r="B31" s="29"/>
      <c r="C31" s="30"/>
      <c r="D31" s="31"/>
      <c r="E31" s="29"/>
    </row>
    <row r="32" spans="1:5" ht="15" customHeight="1">
      <c r="A32" s="28"/>
      <c r="B32" s="29"/>
      <c r="C32" s="30"/>
      <c r="D32" s="31"/>
      <c r="E32" s="29"/>
    </row>
    <row r="33" spans="1:5" ht="15" customHeight="1">
      <c r="A33" s="28"/>
      <c r="B33" s="29"/>
      <c r="C33" s="30"/>
      <c r="D33" s="31"/>
      <c r="E33" s="29"/>
    </row>
    <row r="34" spans="1:5" ht="15" customHeight="1">
      <c r="A34" s="28"/>
      <c r="B34" s="29"/>
      <c r="C34" s="30"/>
      <c r="D34" s="31"/>
      <c r="E34" s="29"/>
    </row>
    <row r="35" spans="1:5" ht="15" customHeight="1">
      <c r="A35" s="28"/>
      <c r="B35" s="29"/>
      <c r="C35" s="30"/>
      <c r="D35" s="31"/>
      <c r="E35" s="29"/>
    </row>
    <row r="36" spans="1:5" ht="15" customHeight="1">
      <c r="A36" s="28"/>
      <c r="B36" s="29"/>
      <c r="C36" s="30"/>
      <c r="D36" s="31"/>
      <c r="E36" s="29"/>
    </row>
    <row r="37" spans="1:5" ht="15" customHeight="1">
      <c r="A37" s="28"/>
      <c r="B37" s="29"/>
      <c r="C37" s="30"/>
      <c r="D37" s="31"/>
      <c r="E37" s="29"/>
    </row>
    <row r="38" spans="1:5" ht="15" customHeight="1">
      <c r="A38" s="28"/>
      <c r="B38" s="29"/>
      <c r="C38" s="30"/>
      <c r="D38" s="31"/>
      <c r="E38" s="29"/>
    </row>
    <row r="39" spans="1:5" ht="15" customHeight="1">
      <c r="A39" s="28"/>
      <c r="B39" s="29"/>
      <c r="C39" s="30"/>
      <c r="D39" s="31"/>
      <c r="E39" s="29"/>
    </row>
    <row r="40" spans="1:5" ht="15" customHeight="1">
      <c r="A40" s="28"/>
      <c r="B40" s="29"/>
      <c r="C40" s="30"/>
      <c r="D40" s="31"/>
      <c r="E40" s="29"/>
    </row>
    <row r="41" spans="1:5" ht="15" customHeight="1">
      <c r="A41" s="28"/>
      <c r="B41" s="29"/>
      <c r="C41" s="30"/>
      <c r="D41" s="31"/>
      <c r="E41" s="29"/>
    </row>
    <row r="42" spans="1:5" ht="15" customHeight="1">
      <c r="A42" s="28"/>
      <c r="B42" s="29"/>
      <c r="C42" s="30"/>
      <c r="D42" s="31"/>
      <c r="E42" s="29"/>
    </row>
    <row r="43" spans="1:5" ht="15" customHeight="1">
      <c r="A43" s="28"/>
      <c r="B43" s="29"/>
      <c r="C43" s="30"/>
      <c r="D43" s="31"/>
      <c r="E43" s="29"/>
    </row>
    <row r="44" spans="1:5" ht="15" customHeight="1">
      <c r="A44" s="28"/>
      <c r="B44" s="29"/>
      <c r="C44" s="30"/>
      <c r="D44" s="31"/>
      <c r="E44" s="29"/>
    </row>
    <row r="45" spans="1:5" ht="15" customHeight="1">
      <c r="A45" s="28"/>
      <c r="B45" s="29"/>
      <c r="C45" s="30"/>
      <c r="D45" s="31"/>
      <c r="E45" s="29"/>
    </row>
    <row r="46" spans="1:5" ht="15" customHeight="1">
      <c r="A46" s="28"/>
      <c r="B46" s="29"/>
      <c r="C46" s="30"/>
      <c r="D46" s="31"/>
      <c r="E46" s="29"/>
    </row>
    <row r="47" spans="1:5" ht="15" customHeight="1">
      <c r="A47" s="28"/>
      <c r="B47" s="29"/>
      <c r="C47" s="30"/>
      <c r="D47" s="31"/>
      <c r="E47" s="29"/>
    </row>
    <row r="48" spans="1:5" ht="15" customHeight="1">
      <c r="A48" s="28"/>
      <c r="B48" s="29"/>
      <c r="C48" s="30"/>
      <c r="D48" s="31"/>
      <c r="E48" s="29"/>
    </row>
    <row r="49" spans="1:5" ht="15" customHeight="1">
      <c r="A49" s="28"/>
      <c r="B49" s="29"/>
      <c r="C49" s="30"/>
      <c r="D49" s="31"/>
      <c r="E49" s="29"/>
    </row>
    <row r="50" spans="1:5" ht="15" customHeight="1">
      <c r="A50" s="28"/>
      <c r="B50" s="29"/>
      <c r="C50" s="30"/>
      <c r="D50" s="31"/>
      <c r="E50" s="29"/>
    </row>
    <row r="51" spans="1:5" ht="15" customHeight="1">
      <c r="A51" s="28"/>
      <c r="B51" s="29"/>
      <c r="C51" s="30"/>
      <c r="D51" s="31"/>
      <c r="E51" s="29"/>
    </row>
    <row r="52" spans="1:5" ht="15" customHeight="1">
      <c r="A52" s="28"/>
      <c r="B52" s="29"/>
      <c r="C52" s="30"/>
      <c r="D52" s="31"/>
      <c r="E52" s="29"/>
    </row>
    <row r="53" spans="1:5" ht="15" customHeight="1">
      <c r="A53" s="28"/>
      <c r="B53" s="29"/>
      <c r="C53" s="30"/>
      <c r="D53" s="31"/>
      <c r="E53" s="29"/>
    </row>
    <row r="55" spans="1:5" ht="15" customHeight="1">
      <c r="A55" s="83" t="s">
        <v>44</v>
      </c>
      <c r="B55" s="83"/>
      <c r="C55" s="12">
        <f>SUM(C4:C53)</f>
        <v>0</v>
      </c>
      <c r="D55" s="11"/>
      <c r="E55" s="11"/>
    </row>
  </sheetData>
  <mergeCells count="3">
    <mergeCell ref="A1:E1"/>
    <mergeCell ref="A2:E2"/>
    <mergeCell ref="A55:B55"/>
  </mergeCells>
  <phoneticPr fontId="46"/>
  <dataValidations count="2">
    <dataValidation type="date" allowBlank="1" sqref="A4:A53" xr:uid="{00000000-0002-0000-1300-000000000000}">
      <formula1>0</formula1>
      <formula2>0</formula2>
    </dataValidation>
    <dataValidation type="list" allowBlank="1" sqref="D4:D53" xr:uid="{00000000-0002-0000-1300-000001000000}">
      <formula1>"通常,リボ,分割,その他"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2" width="24" customWidth="1"/>
    <col min="3" max="3" width="14" customWidth="1"/>
    <col min="4" max="4" width="16" customWidth="1"/>
    <col min="5" max="5" width="24" customWidth="1"/>
    <col min="6" max="6" width="12" customWidth="1"/>
  </cols>
  <sheetData>
    <row r="1" spans="1:6" ht="27.75" customHeight="1">
      <c r="A1" s="93" t="s">
        <v>228</v>
      </c>
      <c r="B1" s="93"/>
      <c r="C1" s="93"/>
      <c r="D1" s="93"/>
      <c r="E1" s="93"/>
      <c r="F1" s="93"/>
    </row>
    <row r="2" spans="1:6" ht="15" customHeight="1">
      <c r="A2" s="85" t="s">
        <v>224</v>
      </c>
      <c r="B2" s="85"/>
      <c r="C2" s="85"/>
      <c r="D2" s="85"/>
      <c r="E2" s="85"/>
      <c r="F2" s="85"/>
    </row>
    <row r="3" spans="1:6" ht="15" customHeight="1">
      <c r="A3" s="6" t="s">
        <v>83</v>
      </c>
      <c r="B3" s="6" t="s">
        <v>84</v>
      </c>
      <c r="C3" s="6" t="s">
        <v>85</v>
      </c>
      <c r="D3" s="6" t="s">
        <v>86</v>
      </c>
      <c r="E3" s="6" t="s">
        <v>50</v>
      </c>
      <c r="F3" s="6" t="s">
        <v>87</v>
      </c>
    </row>
    <row r="4" spans="1:6" ht="15" customHeight="1">
      <c r="A4" s="28"/>
      <c r="B4" s="29"/>
      <c r="C4" s="27"/>
      <c r="D4" s="30"/>
      <c r="E4" s="29"/>
      <c r="F4" s="31"/>
    </row>
    <row r="5" spans="1:6" ht="15" customHeight="1">
      <c r="A5" s="28"/>
      <c r="B5" s="29"/>
      <c r="C5" s="27"/>
      <c r="D5" s="30"/>
      <c r="E5" s="29"/>
      <c r="F5" s="31"/>
    </row>
    <row r="6" spans="1:6" ht="15" customHeight="1">
      <c r="A6" s="28"/>
      <c r="B6" s="29"/>
      <c r="C6" s="27"/>
      <c r="D6" s="30"/>
      <c r="E6" s="29"/>
      <c r="F6" s="31"/>
    </row>
    <row r="7" spans="1:6" ht="15" customHeight="1">
      <c r="A7" s="28"/>
      <c r="B7" s="29"/>
      <c r="C7" s="27"/>
      <c r="D7" s="30"/>
      <c r="E7" s="29"/>
      <c r="F7" s="31"/>
    </row>
    <row r="8" spans="1:6" ht="15" customHeight="1">
      <c r="A8" s="28"/>
      <c r="B8" s="29"/>
      <c r="C8" s="27"/>
      <c r="D8" s="30"/>
      <c r="E8" s="29"/>
      <c r="F8" s="31"/>
    </row>
    <row r="9" spans="1:6" ht="15" customHeight="1">
      <c r="A9" s="28"/>
      <c r="B9" s="29"/>
      <c r="C9" s="27"/>
      <c r="D9" s="30"/>
      <c r="E9" s="29"/>
      <c r="F9" s="31"/>
    </row>
    <row r="10" spans="1:6" ht="15" customHeight="1">
      <c r="A10" s="28"/>
      <c r="B10" s="29"/>
      <c r="C10" s="27"/>
      <c r="D10" s="30"/>
      <c r="E10" s="29"/>
      <c r="F10" s="31"/>
    </row>
    <row r="11" spans="1:6" ht="15" customHeight="1">
      <c r="A11" s="28"/>
      <c r="B11" s="29"/>
      <c r="C11" s="27"/>
      <c r="D11" s="30"/>
      <c r="E11" s="29"/>
      <c r="F11" s="31"/>
    </row>
    <row r="12" spans="1:6" ht="15" customHeight="1">
      <c r="A12" s="28"/>
      <c r="B12" s="29"/>
      <c r="C12" s="27"/>
      <c r="D12" s="30"/>
      <c r="E12" s="29"/>
      <c r="F12" s="31"/>
    </row>
    <row r="13" spans="1:6" ht="15" customHeight="1">
      <c r="A13" s="28"/>
      <c r="B13" s="29"/>
      <c r="C13" s="27"/>
      <c r="D13" s="30"/>
      <c r="E13" s="29"/>
      <c r="F13" s="31"/>
    </row>
    <row r="14" spans="1:6" ht="15" customHeight="1">
      <c r="A14" s="28"/>
      <c r="B14" s="29"/>
      <c r="C14" s="27"/>
      <c r="D14" s="30"/>
      <c r="E14" s="29"/>
      <c r="F14" s="31"/>
    </row>
    <row r="15" spans="1:6" ht="15" customHeight="1">
      <c r="A15" s="28"/>
      <c r="B15" s="29"/>
      <c r="C15" s="27"/>
      <c r="D15" s="30"/>
      <c r="E15" s="29"/>
      <c r="F15" s="31"/>
    </row>
    <row r="16" spans="1:6" ht="15" customHeight="1">
      <c r="A16" s="28"/>
      <c r="B16" s="29"/>
      <c r="C16" s="27"/>
      <c r="D16" s="30"/>
      <c r="E16" s="29"/>
      <c r="F16" s="31"/>
    </row>
    <row r="17" spans="1:6" ht="15" customHeight="1">
      <c r="A17" s="28"/>
      <c r="B17" s="29"/>
      <c r="C17" s="27"/>
      <c r="D17" s="30"/>
      <c r="E17" s="29"/>
      <c r="F17" s="31"/>
    </row>
    <row r="18" spans="1:6" ht="15" customHeight="1">
      <c r="A18" s="28"/>
      <c r="B18" s="29"/>
      <c r="C18" s="27"/>
      <c r="D18" s="30"/>
      <c r="E18" s="29"/>
      <c r="F18" s="31"/>
    </row>
    <row r="19" spans="1:6" ht="15" customHeight="1">
      <c r="A19" s="28"/>
      <c r="B19" s="29"/>
      <c r="C19" s="27"/>
      <c r="D19" s="30"/>
      <c r="E19" s="29"/>
      <c r="F19" s="31"/>
    </row>
    <row r="20" spans="1:6" ht="15" customHeight="1">
      <c r="A20" s="28"/>
      <c r="B20" s="29"/>
      <c r="C20" s="27"/>
      <c r="D20" s="30"/>
      <c r="E20" s="29"/>
      <c r="F20" s="31"/>
    </row>
    <row r="21" spans="1:6" ht="15" customHeight="1">
      <c r="A21" s="28"/>
      <c r="B21" s="29"/>
      <c r="C21" s="27"/>
      <c r="D21" s="30"/>
      <c r="E21" s="29"/>
      <c r="F21" s="31"/>
    </row>
    <row r="22" spans="1:6" ht="15" customHeight="1">
      <c r="A22" s="28"/>
      <c r="B22" s="29"/>
      <c r="C22" s="27"/>
      <c r="D22" s="30"/>
      <c r="E22" s="29"/>
      <c r="F22" s="31"/>
    </row>
    <row r="23" spans="1:6" ht="15" customHeight="1">
      <c r="A23" s="28"/>
      <c r="B23" s="29"/>
      <c r="C23" s="27"/>
      <c r="D23" s="30"/>
      <c r="E23" s="29"/>
      <c r="F23" s="31"/>
    </row>
    <row r="24" spans="1:6" ht="15" customHeight="1">
      <c r="A24" s="28"/>
      <c r="B24" s="29"/>
      <c r="C24" s="27"/>
      <c r="D24" s="30"/>
      <c r="E24" s="29"/>
      <c r="F24" s="31"/>
    </row>
    <row r="25" spans="1:6" ht="15" customHeight="1">
      <c r="A25" s="28"/>
      <c r="B25" s="29"/>
      <c r="C25" s="27"/>
      <c r="D25" s="30"/>
      <c r="E25" s="29"/>
      <c r="F25" s="31"/>
    </row>
    <row r="26" spans="1:6" ht="15" customHeight="1">
      <c r="A26" s="28"/>
      <c r="B26" s="29"/>
      <c r="C26" s="27"/>
      <c r="D26" s="30"/>
      <c r="E26" s="29"/>
      <c r="F26" s="31"/>
    </row>
    <row r="27" spans="1:6" ht="15" customHeight="1">
      <c r="A27" s="28"/>
      <c r="B27" s="29"/>
      <c r="C27" s="27"/>
      <c r="D27" s="30"/>
      <c r="E27" s="29"/>
      <c r="F27" s="31"/>
    </row>
    <row r="28" spans="1:6" ht="15" customHeight="1">
      <c r="A28" s="28"/>
      <c r="B28" s="29"/>
      <c r="C28" s="27"/>
      <c r="D28" s="30"/>
      <c r="E28" s="29"/>
      <c r="F28" s="31"/>
    </row>
    <row r="29" spans="1:6" ht="15" customHeight="1">
      <c r="A29" s="28"/>
      <c r="B29" s="29"/>
      <c r="C29" s="27"/>
      <c r="D29" s="30"/>
      <c r="E29" s="29"/>
      <c r="F29" s="31"/>
    </row>
    <row r="30" spans="1:6" ht="15" customHeight="1">
      <c r="A30" s="28"/>
      <c r="B30" s="29"/>
      <c r="C30" s="27"/>
      <c r="D30" s="30"/>
      <c r="E30" s="29"/>
      <c r="F30" s="31"/>
    </row>
    <row r="31" spans="1:6" ht="15" customHeight="1">
      <c r="A31" s="28"/>
      <c r="B31" s="29"/>
      <c r="C31" s="27"/>
      <c r="D31" s="30"/>
      <c r="E31" s="29"/>
      <c r="F31" s="31"/>
    </row>
    <row r="32" spans="1:6" ht="15" customHeight="1">
      <c r="A32" s="28"/>
      <c r="B32" s="29"/>
      <c r="C32" s="27"/>
      <c r="D32" s="30"/>
      <c r="E32" s="29"/>
      <c r="F32" s="31"/>
    </row>
    <row r="33" spans="1:6" ht="15" customHeight="1">
      <c r="A33" s="28"/>
      <c r="B33" s="29"/>
      <c r="C33" s="27"/>
      <c r="D33" s="30"/>
      <c r="E33" s="29"/>
      <c r="F33" s="31"/>
    </row>
    <row r="34" spans="1:6" ht="15" customHeight="1">
      <c r="A34" s="28"/>
      <c r="B34" s="29"/>
      <c r="C34" s="27"/>
      <c r="D34" s="30"/>
      <c r="E34" s="29"/>
      <c r="F34" s="31"/>
    </row>
    <row r="35" spans="1:6" ht="15" customHeight="1">
      <c r="A35" s="28"/>
      <c r="B35" s="29"/>
      <c r="C35" s="27"/>
      <c r="D35" s="30"/>
      <c r="E35" s="29"/>
      <c r="F35" s="31"/>
    </row>
    <row r="36" spans="1:6" ht="15" customHeight="1">
      <c r="A36" s="28"/>
      <c r="B36" s="29"/>
      <c r="C36" s="27"/>
      <c r="D36" s="30"/>
      <c r="E36" s="29"/>
      <c r="F36" s="31"/>
    </row>
    <row r="37" spans="1:6" ht="15" customHeight="1">
      <c r="A37" s="28"/>
      <c r="B37" s="29"/>
      <c r="C37" s="27"/>
      <c r="D37" s="30"/>
      <c r="E37" s="29"/>
      <c r="F37" s="31"/>
    </row>
    <row r="38" spans="1:6" ht="15" customHeight="1">
      <c r="A38" s="28"/>
      <c r="B38" s="29"/>
      <c r="C38" s="27"/>
      <c r="D38" s="30"/>
      <c r="E38" s="29"/>
      <c r="F38" s="31"/>
    </row>
    <row r="39" spans="1:6" ht="15" customHeight="1">
      <c r="A39" s="28"/>
      <c r="B39" s="29"/>
      <c r="C39" s="27"/>
      <c r="D39" s="30"/>
      <c r="E39" s="29"/>
      <c r="F39" s="31"/>
    </row>
    <row r="40" spans="1:6" ht="15" customHeight="1">
      <c r="A40" s="28"/>
      <c r="B40" s="29"/>
      <c r="C40" s="27"/>
      <c r="D40" s="30"/>
      <c r="E40" s="29"/>
      <c r="F40" s="31"/>
    </row>
    <row r="41" spans="1:6" ht="15" customHeight="1">
      <c r="A41" s="28"/>
      <c r="B41" s="29"/>
      <c r="C41" s="27"/>
      <c r="D41" s="30"/>
      <c r="E41" s="29"/>
      <c r="F41" s="31"/>
    </row>
    <row r="42" spans="1:6" ht="15" customHeight="1">
      <c r="A42" s="28"/>
      <c r="B42" s="29"/>
      <c r="C42" s="27"/>
      <c r="D42" s="30"/>
      <c r="E42" s="29"/>
      <c r="F42" s="31"/>
    </row>
    <row r="43" spans="1:6" ht="15" customHeight="1">
      <c r="A43" s="28"/>
      <c r="B43" s="29"/>
      <c r="C43" s="27"/>
      <c r="D43" s="30"/>
      <c r="E43" s="29"/>
      <c r="F43" s="31"/>
    </row>
    <row r="44" spans="1:6" ht="15" customHeight="1">
      <c r="A44" s="28"/>
      <c r="B44" s="29"/>
      <c r="C44" s="27"/>
      <c r="D44" s="30"/>
      <c r="E44" s="29"/>
      <c r="F44" s="31"/>
    </row>
    <row r="45" spans="1:6" ht="15" customHeight="1">
      <c r="A45" s="28"/>
      <c r="B45" s="29"/>
      <c r="C45" s="27"/>
      <c r="D45" s="30"/>
      <c r="E45" s="29"/>
      <c r="F45" s="31"/>
    </row>
    <row r="46" spans="1:6" ht="15" customHeight="1">
      <c r="A46" s="28"/>
      <c r="B46" s="29"/>
      <c r="C46" s="27"/>
      <c r="D46" s="30"/>
      <c r="E46" s="29"/>
      <c r="F46" s="31"/>
    </row>
    <row r="47" spans="1:6" ht="15" customHeight="1">
      <c r="A47" s="28"/>
      <c r="B47" s="29"/>
      <c r="C47" s="27"/>
      <c r="D47" s="30"/>
      <c r="E47" s="29"/>
      <c r="F47" s="31"/>
    </row>
    <row r="48" spans="1:6" ht="15" customHeight="1">
      <c r="A48" s="28"/>
      <c r="B48" s="29"/>
      <c r="C48" s="27"/>
      <c r="D48" s="30"/>
      <c r="E48" s="29"/>
      <c r="F48" s="31"/>
    </row>
    <row r="49" spans="1:6" ht="15" customHeight="1">
      <c r="A49" s="28"/>
      <c r="B49" s="29"/>
      <c r="C49" s="27"/>
      <c r="D49" s="30"/>
      <c r="E49" s="29"/>
      <c r="F49" s="31"/>
    </row>
    <row r="50" spans="1:6" ht="15" customHeight="1">
      <c r="A50" s="28"/>
      <c r="B50" s="29"/>
      <c r="C50" s="27"/>
      <c r="D50" s="30"/>
      <c r="E50" s="29"/>
      <c r="F50" s="31"/>
    </row>
    <row r="51" spans="1:6" ht="15" customHeight="1">
      <c r="A51" s="28"/>
      <c r="B51" s="29"/>
      <c r="C51" s="27"/>
      <c r="D51" s="30"/>
      <c r="E51" s="29"/>
      <c r="F51" s="31"/>
    </row>
    <row r="52" spans="1:6" ht="15" customHeight="1">
      <c r="A52" s="28"/>
      <c r="B52" s="29"/>
      <c r="C52" s="27"/>
      <c r="D52" s="30"/>
      <c r="E52" s="29"/>
      <c r="F52" s="31"/>
    </row>
    <row r="53" spans="1:6" ht="15" customHeight="1">
      <c r="A53" s="28"/>
      <c r="B53" s="29"/>
      <c r="C53" s="27"/>
      <c r="D53" s="30"/>
      <c r="E53" s="29"/>
      <c r="F53" s="31"/>
    </row>
    <row r="54" spans="1:6" ht="15" customHeight="1">
      <c r="A54" s="28"/>
      <c r="B54" s="29"/>
      <c r="C54" s="27"/>
      <c r="D54" s="30"/>
      <c r="E54" s="29"/>
      <c r="F54" s="31"/>
    </row>
    <row r="55" spans="1:6" ht="15" customHeight="1">
      <c r="A55" s="28"/>
      <c r="B55" s="29"/>
      <c r="C55" s="27"/>
      <c r="D55" s="30"/>
      <c r="E55" s="29"/>
      <c r="F55" s="31"/>
    </row>
    <row r="56" spans="1:6" ht="15" customHeight="1">
      <c r="A56" s="28"/>
      <c r="B56" s="29"/>
      <c r="C56" s="27"/>
      <c r="D56" s="30"/>
      <c r="E56" s="29"/>
      <c r="F56" s="31"/>
    </row>
    <row r="57" spans="1:6" ht="15" customHeight="1">
      <c r="A57" s="28"/>
      <c r="B57" s="29"/>
      <c r="C57" s="27"/>
      <c r="D57" s="30"/>
      <c r="E57" s="29"/>
      <c r="F57" s="31"/>
    </row>
    <row r="58" spans="1:6" ht="15" customHeight="1">
      <c r="A58" s="28"/>
      <c r="B58" s="29"/>
      <c r="C58" s="27"/>
      <c r="D58" s="30"/>
      <c r="E58" s="29"/>
      <c r="F58" s="31"/>
    </row>
    <row r="59" spans="1:6" ht="15" customHeight="1">
      <c r="A59" s="28"/>
      <c r="B59" s="29"/>
      <c r="C59" s="27"/>
      <c r="D59" s="30"/>
      <c r="E59" s="29"/>
      <c r="F59" s="31"/>
    </row>
    <row r="60" spans="1:6" ht="15" customHeight="1">
      <c r="A60" s="28"/>
      <c r="B60" s="29"/>
      <c r="C60" s="27"/>
      <c r="D60" s="30"/>
      <c r="E60" s="29"/>
      <c r="F60" s="31"/>
    </row>
    <row r="61" spans="1:6" ht="15" customHeight="1">
      <c r="A61" s="28"/>
      <c r="B61" s="29"/>
      <c r="C61" s="27"/>
      <c r="D61" s="30"/>
      <c r="E61" s="29"/>
      <c r="F61" s="31"/>
    </row>
    <row r="62" spans="1:6" ht="15" customHeight="1">
      <c r="A62" s="28"/>
      <c r="B62" s="29"/>
      <c r="C62" s="27"/>
      <c r="D62" s="30"/>
      <c r="E62" s="29"/>
      <c r="F62" s="31"/>
    </row>
    <row r="63" spans="1:6" ht="15" customHeight="1">
      <c r="A63" s="28"/>
      <c r="B63" s="29"/>
      <c r="C63" s="27"/>
      <c r="D63" s="30"/>
      <c r="E63" s="29"/>
      <c r="F63" s="31"/>
    </row>
    <row r="64" spans="1:6" ht="15" customHeight="1">
      <c r="A64" s="28"/>
      <c r="B64" s="29"/>
      <c r="C64" s="27"/>
      <c r="D64" s="30"/>
      <c r="E64" s="29"/>
      <c r="F64" s="31"/>
    </row>
    <row r="65" spans="1:6" ht="15" customHeight="1">
      <c r="A65" s="28"/>
      <c r="B65" s="29"/>
      <c r="C65" s="27"/>
      <c r="D65" s="30"/>
      <c r="E65" s="29"/>
      <c r="F65" s="31"/>
    </row>
    <row r="66" spans="1:6" ht="15" customHeight="1">
      <c r="A66" s="28"/>
      <c r="B66" s="29"/>
      <c r="C66" s="27"/>
      <c r="D66" s="30"/>
      <c r="E66" s="29"/>
      <c r="F66" s="31"/>
    </row>
    <row r="67" spans="1:6" ht="15" customHeight="1">
      <c r="A67" s="28"/>
      <c r="B67" s="29"/>
      <c r="C67" s="27"/>
      <c r="D67" s="30"/>
      <c r="E67" s="29"/>
      <c r="F67" s="31"/>
    </row>
    <row r="68" spans="1:6" ht="15" customHeight="1">
      <c r="A68" s="28"/>
      <c r="B68" s="29"/>
      <c r="C68" s="27"/>
      <c r="D68" s="30"/>
      <c r="E68" s="29"/>
      <c r="F68" s="31"/>
    </row>
    <row r="69" spans="1:6" ht="15" customHeight="1">
      <c r="A69" s="28"/>
      <c r="B69" s="29"/>
      <c r="C69" s="27"/>
      <c r="D69" s="30"/>
      <c r="E69" s="29"/>
      <c r="F69" s="31"/>
    </row>
    <row r="70" spans="1:6" ht="15" customHeight="1">
      <c r="A70" s="28"/>
      <c r="B70" s="29"/>
      <c r="C70" s="27"/>
      <c r="D70" s="30"/>
      <c r="E70" s="29"/>
      <c r="F70" s="31"/>
    </row>
    <row r="71" spans="1:6" ht="15" customHeight="1">
      <c r="A71" s="28"/>
      <c r="B71" s="29"/>
      <c r="C71" s="27"/>
      <c r="D71" s="30"/>
      <c r="E71" s="29"/>
      <c r="F71" s="31"/>
    </row>
    <row r="72" spans="1:6" ht="15" customHeight="1">
      <c r="A72" s="28"/>
      <c r="B72" s="29"/>
      <c r="C72" s="27"/>
      <c r="D72" s="30"/>
      <c r="E72" s="29"/>
      <c r="F72" s="31"/>
    </row>
    <row r="73" spans="1:6" ht="15" customHeight="1">
      <c r="A73" s="28"/>
      <c r="B73" s="29"/>
      <c r="C73" s="27"/>
      <c r="D73" s="30"/>
      <c r="E73" s="29"/>
      <c r="F73" s="31"/>
    </row>
    <row r="74" spans="1:6" ht="15" customHeight="1">
      <c r="A74" s="28"/>
      <c r="B74" s="29"/>
      <c r="C74" s="27"/>
      <c r="D74" s="30"/>
      <c r="E74" s="29"/>
      <c r="F74" s="31"/>
    </row>
    <row r="75" spans="1:6" ht="15" customHeight="1">
      <c r="A75" s="28"/>
      <c r="B75" s="29"/>
      <c r="C75" s="27"/>
      <c r="D75" s="30"/>
      <c r="E75" s="29"/>
      <c r="F75" s="31"/>
    </row>
    <row r="76" spans="1:6" ht="15" customHeight="1">
      <c r="A76" s="28"/>
      <c r="B76" s="29"/>
      <c r="C76" s="27"/>
      <c r="D76" s="30"/>
      <c r="E76" s="29"/>
      <c r="F76" s="31"/>
    </row>
    <row r="77" spans="1:6" ht="15" customHeight="1">
      <c r="A77" s="28"/>
      <c r="B77" s="29"/>
      <c r="C77" s="27"/>
      <c r="D77" s="30"/>
      <c r="E77" s="29"/>
      <c r="F77" s="31"/>
    </row>
    <row r="78" spans="1:6" ht="15" customHeight="1">
      <c r="A78" s="28"/>
      <c r="B78" s="29"/>
      <c r="C78" s="27"/>
      <c r="D78" s="30"/>
      <c r="E78" s="29"/>
      <c r="F78" s="31"/>
    </row>
    <row r="79" spans="1:6" ht="15" customHeight="1">
      <c r="A79" s="28"/>
      <c r="B79" s="29"/>
      <c r="C79" s="27"/>
      <c r="D79" s="30"/>
      <c r="E79" s="29"/>
      <c r="F79" s="31"/>
    </row>
    <row r="80" spans="1:6" ht="15" customHeight="1">
      <c r="A80" s="28"/>
      <c r="B80" s="29"/>
      <c r="C80" s="27"/>
      <c r="D80" s="30"/>
      <c r="E80" s="29"/>
      <c r="F80" s="31"/>
    </row>
    <row r="81" spans="1:6" ht="15" customHeight="1">
      <c r="A81" s="28"/>
      <c r="B81" s="29"/>
      <c r="C81" s="27"/>
      <c r="D81" s="30"/>
      <c r="E81" s="29"/>
      <c r="F81" s="31"/>
    </row>
    <row r="82" spans="1:6" ht="15" customHeight="1">
      <c r="A82" s="28"/>
      <c r="B82" s="29"/>
      <c r="C82" s="27"/>
      <c r="D82" s="30"/>
      <c r="E82" s="29"/>
      <c r="F82" s="31"/>
    </row>
    <row r="83" spans="1:6" ht="15" customHeight="1">
      <c r="A83" s="28"/>
      <c r="B83" s="29"/>
      <c r="C83" s="27"/>
      <c r="D83" s="30"/>
      <c r="E83" s="29"/>
      <c r="F83" s="31"/>
    </row>
    <row r="84" spans="1:6" ht="15" customHeight="1">
      <c r="A84" s="28"/>
      <c r="B84" s="29"/>
      <c r="C84" s="27"/>
      <c r="D84" s="30"/>
      <c r="E84" s="29"/>
      <c r="F84" s="31"/>
    </row>
    <row r="85" spans="1:6" ht="15" customHeight="1">
      <c r="A85" s="28"/>
      <c r="B85" s="29"/>
      <c r="C85" s="27"/>
      <c r="D85" s="30"/>
      <c r="E85" s="29"/>
      <c r="F85" s="31"/>
    </row>
    <row r="86" spans="1:6" ht="15" customHeight="1">
      <c r="A86" s="28"/>
      <c r="B86" s="29"/>
      <c r="C86" s="27"/>
      <c r="D86" s="30"/>
      <c r="E86" s="29"/>
      <c r="F86" s="31"/>
    </row>
    <row r="87" spans="1:6" ht="15" customHeight="1">
      <c r="A87" s="28"/>
      <c r="B87" s="29"/>
      <c r="C87" s="27"/>
      <c r="D87" s="30"/>
      <c r="E87" s="29"/>
      <c r="F87" s="31"/>
    </row>
    <row r="88" spans="1:6" ht="15" customHeight="1">
      <c r="A88" s="28"/>
      <c r="B88" s="29"/>
      <c r="C88" s="27"/>
      <c r="D88" s="30"/>
      <c r="E88" s="29"/>
      <c r="F88" s="31"/>
    </row>
    <row r="89" spans="1:6" ht="15" customHeight="1">
      <c r="A89" s="28"/>
      <c r="B89" s="29"/>
      <c r="C89" s="27"/>
      <c r="D89" s="30"/>
      <c r="E89" s="29"/>
      <c r="F89" s="31"/>
    </row>
    <row r="90" spans="1:6" ht="15" customHeight="1">
      <c r="A90" s="28"/>
      <c r="B90" s="29"/>
      <c r="C90" s="27"/>
      <c r="D90" s="30"/>
      <c r="E90" s="29"/>
      <c r="F90" s="31"/>
    </row>
    <row r="91" spans="1:6" ht="15" customHeight="1">
      <c r="A91" s="28"/>
      <c r="B91" s="29"/>
      <c r="C91" s="27"/>
      <c r="D91" s="30"/>
      <c r="E91" s="29"/>
      <c r="F91" s="31"/>
    </row>
    <row r="92" spans="1:6" ht="15" customHeight="1">
      <c r="A92" s="28"/>
      <c r="B92" s="29"/>
      <c r="C92" s="27"/>
      <c r="D92" s="30"/>
      <c r="E92" s="29"/>
      <c r="F92" s="31"/>
    </row>
    <row r="93" spans="1:6" ht="15" customHeight="1">
      <c r="A93" s="28"/>
      <c r="B93" s="29"/>
      <c r="C93" s="27"/>
      <c r="D93" s="30"/>
      <c r="E93" s="29"/>
      <c r="F93" s="31"/>
    </row>
    <row r="94" spans="1:6" ht="15" customHeight="1">
      <c r="A94" s="28"/>
      <c r="B94" s="29"/>
      <c r="C94" s="27"/>
      <c r="D94" s="30"/>
      <c r="E94" s="29"/>
      <c r="F94" s="31"/>
    </row>
    <row r="95" spans="1:6" ht="15" customHeight="1">
      <c r="A95" s="28"/>
      <c r="B95" s="29"/>
      <c r="C95" s="27"/>
      <c r="D95" s="30"/>
      <c r="E95" s="29"/>
      <c r="F95" s="31"/>
    </row>
    <row r="96" spans="1:6" ht="15" customHeight="1">
      <c r="A96" s="28"/>
      <c r="B96" s="29"/>
      <c r="C96" s="27"/>
      <c r="D96" s="30"/>
      <c r="E96" s="29"/>
      <c r="F96" s="31"/>
    </row>
    <row r="97" spans="1:6" ht="15" customHeight="1">
      <c r="A97" s="28"/>
      <c r="B97" s="29"/>
      <c r="C97" s="27"/>
      <c r="D97" s="30"/>
      <c r="E97" s="29"/>
      <c r="F97" s="31"/>
    </row>
    <row r="98" spans="1:6" ht="15" customHeight="1">
      <c r="A98" s="28"/>
      <c r="B98" s="29"/>
      <c r="C98" s="27"/>
      <c r="D98" s="30"/>
      <c r="E98" s="29"/>
      <c r="F98" s="31"/>
    </row>
    <row r="99" spans="1:6" ht="15" customHeight="1">
      <c r="A99" s="28"/>
      <c r="B99" s="29"/>
      <c r="C99" s="27"/>
      <c r="D99" s="30"/>
      <c r="E99" s="29"/>
      <c r="F99" s="31"/>
    </row>
    <row r="100" spans="1:6" ht="15" customHeight="1">
      <c r="A100" s="28"/>
      <c r="B100" s="29"/>
      <c r="C100" s="27"/>
      <c r="D100" s="30"/>
      <c r="E100" s="29"/>
      <c r="F100" s="31"/>
    </row>
    <row r="101" spans="1:6" ht="15" customHeight="1">
      <c r="A101" s="28"/>
      <c r="B101" s="29"/>
      <c r="C101" s="27"/>
      <c r="D101" s="30"/>
      <c r="E101" s="29"/>
      <c r="F101" s="31"/>
    </row>
    <row r="102" spans="1:6" ht="15" customHeight="1">
      <c r="A102" s="28"/>
      <c r="B102" s="29"/>
      <c r="C102" s="27"/>
      <c r="D102" s="30"/>
      <c r="E102" s="29"/>
      <c r="F102" s="31"/>
    </row>
    <row r="103" spans="1:6" ht="15" customHeight="1">
      <c r="A103" s="28"/>
      <c r="B103" s="29"/>
      <c r="C103" s="27"/>
      <c r="D103" s="30"/>
      <c r="E103" s="29"/>
      <c r="F103" s="31"/>
    </row>
    <row r="105" spans="1:6" ht="15" customHeight="1">
      <c r="A105" s="83" t="s">
        <v>44</v>
      </c>
      <c r="B105" s="83"/>
      <c r="C105" s="83"/>
      <c r="D105" s="12">
        <f>SUM(D4:D103)</f>
        <v>0</v>
      </c>
      <c r="E105" s="32"/>
      <c r="F105" s="32"/>
    </row>
  </sheetData>
  <mergeCells count="3">
    <mergeCell ref="A1:F1"/>
    <mergeCell ref="A2:F2"/>
    <mergeCell ref="A105:C105"/>
  </mergeCells>
  <phoneticPr fontId="46"/>
  <dataValidations count="3">
    <dataValidation type="date" allowBlank="1" sqref="A4:A103" xr:uid="{00000000-0002-0000-1400-000000000000}">
      <formula1>0</formula1>
      <formula2>0</formula2>
    </dataValidation>
    <dataValidation type="list" allowBlank="1" sqref="C4:C103" xr:uid="{00000000-0002-0000-1400-000001000000}">
      <formula1>"現金売上,売掛金回収,手形入金,その他収入,借入金,設備売却"</formula1>
      <formula2>0</formula2>
    </dataValidation>
    <dataValidation type="list" allowBlank="1" sqref="F4:F103" xr:uid="{00000000-0002-0000-1400-000002000000}">
      <formula1>"確認済,未確認,予測"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0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7109375" defaultRowHeight="15"/>
  <cols>
    <col min="1" max="1" width="10" customWidth="1"/>
    <col min="2" max="2" width="12" customWidth="1"/>
    <col min="3" max="3" width="28" customWidth="1"/>
    <col min="4" max="5" width="12" customWidth="1"/>
    <col min="6" max="6" width="14" customWidth="1"/>
    <col min="7" max="10" width="12" customWidth="1"/>
    <col min="11" max="11" width="14" customWidth="1"/>
    <col min="12" max="12" width="10" customWidth="1"/>
    <col min="13" max="14" width="14" customWidth="1"/>
    <col min="15" max="15" width="12" customWidth="1"/>
  </cols>
  <sheetData>
    <row r="1" spans="1:16" ht="27.75" customHeight="1">
      <c r="A1" s="93" t="s">
        <v>229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6" ht="21.75" customHeight="1">
      <c r="A2" s="33" t="s">
        <v>89</v>
      </c>
      <c r="B2" s="34" t="s">
        <v>90</v>
      </c>
      <c r="C2" s="35" t="s">
        <v>91</v>
      </c>
      <c r="D2" s="36" t="s">
        <v>92</v>
      </c>
      <c r="E2" s="37" t="s">
        <v>93</v>
      </c>
      <c r="G2" s="85" t="s">
        <v>226</v>
      </c>
      <c r="H2" s="85"/>
      <c r="I2" s="85"/>
      <c r="J2" s="85"/>
      <c r="K2" s="85"/>
      <c r="L2" s="85"/>
      <c r="M2" s="85"/>
      <c r="N2" s="85"/>
      <c r="O2" s="85"/>
      <c r="P2" s="85"/>
    </row>
    <row r="3" spans="1:16" ht="30" customHeight="1">
      <c r="A3" s="6" t="s">
        <v>95</v>
      </c>
      <c r="B3" s="6" t="s">
        <v>96</v>
      </c>
      <c r="C3" s="6" t="s">
        <v>97</v>
      </c>
      <c r="D3" s="6" t="s">
        <v>57</v>
      </c>
      <c r="E3" s="6" t="s">
        <v>98</v>
      </c>
      <c r="F3" s="6" t="s">
        <v>99</v>
      </c>
      <c r="G3" s="6" t="s">
        <v>100</v>
      </c>
      <c r="H3" s="6" t="s">
        <v>101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106</v>
      </c>
      <c r="N3" s="6" t="s">
        <v>107</v>
      </c>
      <c r="O3" s="38" t="s">
        <v>108</v>
      </c>
      <c r="P3" s="6" t="s">
        <v>109</v>
      </c>
    </row>
    <row r="4" spans="1:16" ht="15" customHeight="1">
      <c r="A4" s="29"/>
      <c r="B4" s="29"/>
      <c r="C4" s="29"/>
      <c r="D4" s="29"/>
      <c r="E4" s="28"/>
      <c r="F4" s="29"/>
      <c r="G4" s="30"/>
      <c r="H4" s="30"/>
      <c r="I4" s="30"/>
      <c r="J4" s="30"/>
      <c r="K4" s="30"/>
      <c r="L4" s="55"/>
      <c r="M4" s="28"/>
      <c r="N4" s="30"/>
      <c r="O4" s="43"/>
      <c r="P4" s="29"/>
    </row>
    <row r="5" spans="1:16" ht="15" customHeight="1">
      <c r="A5" s="29"/>
      <c r="B5" s="29"/>
      <c r="C5" s="29"/>
      <c r="D5" s="29"/>
      <c r="E5" s="28"/>
      <c r="F5" s="29"/>
      <c r="G5" s="30"/>
      <c r="H5" s="30"/>
      <c r="I5" s="30"/>
      <c r="J5" s="30"/>
      <c r="K5" s="30"/>
      <c r="L5" s="55"/>
      <c r="M5" s="28"/>
      <c r="N5" s="30"/>
      <c r="O5" s="43"/>
      <c r="P5" s="29"/>
    </row>
    <row r="6" spans="1:16" ht="15" customHeight="1">
      <c r="A6" s="29"/>
      <c r="B6" s="29"/>
      <c r="C6" s="29"/>
      <c r="D6" s="29"/>
      <c r="E6" s="28"/>
      <c r="F6" s="29"/>
      <c r="G6" s="30"/>
      <c r="H6" s="30"/>
      <c r="I6" s="30"/>
      <c r="J6" s="30"/>
      <c r="K6" s="30"/>
      <c r="L6" s="55"/>
      <c r="M6" s="28"/>
      <c r="N6" s="30"/>
      <c r="O6" s="43"/>
      <c r="P6" s="29"/>
    </row>
    <row r="7" spans="1:16" ht="15" customHeight="1">
      <c r="A7" s="29"/>
      <c r="B7" s="29"/>
      <c r="C7" s="29"/>
      <c r="D7" s="29"/>
      <c r="E7" s="28"/>
      <c r="F7" s="29"/>
      <c r="G7" s="30"/>
      <c r="H7" s="30"/>
      <c r="I7" s="30"/>
      <c r="J7" s="30"/>
      <c r="K7" s="30"/>
      <c r="L7" s="55"/>
      <c r="M7" s="28"/>
      <c r="N7" s="30"/>
      <c r="O7" s="43"/>
      <c r="P7" s="29"/>
    </row>
    <row r="8" spans="1:16" ht="15" customHeight="1">
      <c r="A8" s="29"/>
      <c r="B8" s="29"/>
      <c r="C8" s="29"/>
      <c r="D8" s="29"/>
      <c r="E8" s="28"/>
      <c r="F8" s="29"/>
      <c r="G8" s="30"/>
      <c r="H8" s="30"/>
      <c r="I8" s="30"/>
      <c r="J8" s="30"/>
      <c r="K8" s="30"/>
      <c r="L8" s="55"/>
      <c r="M8" s="28"/>
      <c r="N8" s="30"/>
      <c r="O8" s="43"/>
      <c r="P8" s="29"/>
    </row>
    <row r="9" spans="1:16" ht="15" customHeight="1">
      <c r="A9" s="29"/>
      <c r="B9" s="29"/>
      <c r="C9" s="29"/>
      <c r="D9" s="29"/>
      <c r="E9" s="28"/>
      <c r="F9" s="29"/>
      <c r="G9" s="30"/>
      <c r="H9" s="30"/>
      <c r="I9" s="30"/>
      <c r="J9" s="30"/>
      <c r="K9" s="30"/>
      <c r="L9" s="55"/>
      <c r="M9" s="28"/>
      <c r="N9" s="30"/>
      <c r="O9" s="43"/>
      <c r="P9" s="29"/>
    </row>
    <row r="10" spans="1:16" ht="15" customHeight="1">
      <c r="A10" s="29"/>
      <c r="B10" s="29"/>
      <c r="C10" s="29"/>
      <c r="D10" s="29"/>
      <c r="E10" s="28"/>
      <c r="F10" s="29"/>
      <c r="G10" s="30"/>
      <c r="H10" s="30"/>
      <c r="I10" s="30"/>
      <c r="J10" s="30"/>
      <c r="K10" s="30"/>
      <c r="L10" s="55"/>
      <c r="M10" s="28"/>
      <c r="N10" s="30"/>
      <c r="O10" s="43"/>
      <c r="P10" s="29"/>
    </row>
    <row r="11" spans="1:16" ht="15" customHeight="1">
      <c r="A11" s="29"/>
      <c r="B11" s="29"/>
      <c r="C11" s="29"/>
      <c r="D11" s="29"/>
      <c r="E11" s="28"/>
      <c r="F11" s="29"/>
      <c r="G11" s="30"/>
      <c r="H11" s="30"/>
      <c r="I11" s="30"/>
      <c r="J11" s="30"/>
      <c r="K11" s="30"/>
      <c r="L11" s="55"/>
      <c r="M11" s="28"/>
      <c r="N11" s="30"/>
      <c r="O11" s="43"/>
      <c r="P11" s="29"/>
    </row>
    <row r="12" spans="1:16" ht="15" customHeight="1">
      <c r="A12" s="29"/>
      <c r="B12" s="29"/>
      <c r="C12" s="29"/>
      <c r="D12" s="29"/>
      <c r="E12" s="28"/>
      <c r="F12" s="29"/>
      <c r="G12" s="30"/>
      <c r="H12" s="30"/>
      <c r="I12" s="30"/>
      <c r="J12" s="30"/>
      <c r="K12" s="30"/>
      <c r="L12" s="55"/>
      <c r="M12" s="28"/>
      <c r="N12" s="30"/>
      <c r="O12" s="43"/>
      <c r="P12" s="29"/>
    </row>
    <row r="13" spans="1:16" ht="15" customHeight="1">
      <c r="A13" s="29"/>
      <c r="B13" s="29"/>
      <c r="C13" s="29"/>
      <c r="D13" s="29"/>
      <c r="E13" s="28"/>
      <c r="F13" s="29"/>
      <c r="G13" s="30"/>
      <c r="H13" s="30"/>
      <c r="I13" s="30"/>
      <c r="J13" s="30"/>
      <c r="K13" s="30"/>
      <c r="L13" s="55"/>
      <c r="M13" s="28"/>
      <c r="N13" s="30"/>
      <c r="O13" s="43"/>
      <c r="P13" s="29"/>
    </row>
    <row r="14" spans="1:16" ht="15" customHeight="1">
      <c r="A14" s="29"/>
      <c r="B14" s="29"/>
      <c r="C14" s="29"/>
      <c r="D14" s="29"/>
      <c r="E14" s="28"/>
      <c r="F14" s="29"/>
      <c r="G14" s="30"/>
      <c r="H14" s="30"/>
      <c r="I14" s="30"/>
      <c r="J14" s="30"/>
      <c r="K14" s="30"/>
      <c r="L14" s="55"/>
      <c r="M14" s="28"/>
      <c r="N14" s="30"/>
      <c r="O14" s="43"/>
      <c r="P14" s="29"/>
    </row>
    <row r="15" spans="1:16" ht="15" customHeight="1">
      <c r="A15" s="29"/>
      <c r="B15" s="29"/>
      <c r="C15" s="29"/>
      <c r="D15" s="29"/>
      <c r="E15" s="28"/>
      <c r="F15" s="29"/>
      <c r="G15" s="30"/>
      <c r="H15" s="30"/>
      <c r="I15" s="30"/>
      <c r="J15" s="30"/>
      <c r="K15" s="30"/>
      <c r="L15" s="55"/>
      <c r="M15" s="28"/>
      <c r="N15" s="30"/>
      <c r="O15" s="43"/>
      <c r="P15" s="29"/>
    </row>
    <row r="16" spans="1:16" ht="15" customHeight="1">
      <c r="A16" s="29"/>
      <c r="B16" s="29"/>
      <c r="C16" s="29"/>
      <c r="D16" s="29"/>
      <c r="E16" s="28"/>
      <c r="F16" s="29"/>
      <c r="G16" s="30"/>
      <c r="H16" s="30"/>
      <c r="I16" s="30"/>
      <c r="J16" s="30"/>
      <c r="K16" s="30"/>
      <c r="L16" s="55"/>
      <c r="M16" s="28"/>
      <c r="N16" s="30"/>
      <c r="O16" s="43"/>
      <c r="P16" s="29"/>
    </row>
    <row r="17" spans="1:16" ht="15" customHeight="1">
      <c r="A17" s="29"/>
      <c r="B17" s="29"/>
      <c r="C17" s="29"/>
      <c r="D17" s="29"/>
      <c r="E17" s="28"/>
      <c r="F17" s="29"/>
      <c r="G17" s="30"/>
      <c r="H17" s="30"/>
      <c r="I17" s="30"/>
      <c r="J17" s="30"/>
      <c r="K17" s="30"/>
      <c r="L17" s="55"/>
      <c r="M17" s="28"/>
      <c r="N17" s="30"/>
      <c r="O17" s="43"/>
      <c r="P17" s="29"/>
    </row>
    <row r="18" spans="1:16" ht="15" customHeight="1">
      <c r="A18" s="29"/>
      <c r="B18" s="29"/>
      <c r="C18" s="29"/>
      <c r="D18" s="29"/>
      <c r="E18" s="28"/>
      <c r="F18" s="29"/>
      <c r="G18" s="30"/>
      <c r="H18" s="30"/>
      <c r="I18" s="30"/>
      <c r="J18" s="30"/>
      <c r="K18" s="30"/>
      <c r="L18" s="55"/>
      <c r="M18" s="28"/>
      <c r="N18" s="30"/>
      <c r="O18" s="43"/>
      <c r="P18" s="29"/>
    </row>
    <row r="19" spans="1:16" ht="15" customHeight="1">
      <c r="A19" s="29"/>
      <c r="B19" s="29"/>
      <c r="C19" s="29"/>
      <c r="D19" s="29"/>
      <c r="E19" s="28"/>
      <c r="F19" s="29"/>
      <c r="G19" s="30"/>
      <c r="H19" s="30"/>
      <c r="I19" s="30"/>
      <c r="J19" s="30"/>
      <c r="K19" s="30"/>
      <c r="L19" s="55"/>
      <c r="M19" s="28"/>
      <c r="N19" s="30"/>
      <c r="O19" s="43"/>
      <c r="P19" s="29"/>
    </row>
    <row r="20" spans="1:16" ht="15" customHeight="1">
      <c r="A20" s="29"/>
      <c r="B20" s="29"/>
      <c r="C20" s="29"/>
      <c r="D20" s="29"/>
      <c r="E20" s="28"/>
      <c r="F20" s="29"/>
      <c r="G20" s="30"/>
      <c r="H20" s="30"/>
      <c r="I20" s="30"/>
      <c r="J20" s="30"/>
      <c r="K20" s="30"/>
      <c r="L20" s="55"/>
      <c r="M20" s="28"/>
      <c r="N20" s="30"/>
      <c r="O20" s="43"/>
      <c r="P20" s="29"/>
    </row>
    <row r="21" spans="1:16" ht="15" customHeight="1">
      <c r="A21" s="29"/>
      <c r="B21" s="29"/>
      <c r="C21" s="29"/>
      <c r="D21" s="29"/>
      <c r="E21" s="28"/>
      <c r="F21" s="29"/>
      <c r="G21" s="30"/>
      <c r="H21" s="30"/>
      <c r="I21" s="30"/>
      <c r="J21" s="30"/>
      <c r="K21" s="30"/>
      <c r="L21" s="55"/>
      <c r="M21" s="28"/>
      <c r="N21" s="30"/>
      <c r="O21" s="43"/>
      <c r="P21" s="29"/>
    </row>
    <row r="22" spans="1:16" ht="15" customHeight="1">
      <c r="A22" s="29"/>
      <c r="B22" s="29"/>
      <c r="C22" s="29"/>
      <c r="D22" s="29"/>
      <c r="E22" s="28"/>
      <c r="F22" s="29"/>
      <c r="G22" s="30"/>
      <c r="H22" s="30"/>
      <c r="I22" s="30"/>
      <c r="J22" s="30"/>
      <c r="K22" s="30"/>
      <c r="L22" s="55"/>
      <c r="M22" s="28"/>
      <c r="N22" s="30"/>
      <c r="O22" s="43"/>
      <c r="P22" s="29"/>
    </row>
    <row r="23" spans="1:16" ht="15" customHeight="1">
      <c r="A23" s="29"/>
      <c r="B23" s="29"/>
      <c r="C23" s="29"/>
      <c r="D23" s="29"/>
      <c r="E23" s="28"/>
      <c r="F23" s="29"/>
      <c r="G23" s="30"/>
      <c r="H23" s="30"/>
      <c r="I23" s="30"/>
      <c r="J23" s="30"/>
      <c r="K23" s="30"/>
      <c r="L23" s="55"/>
      <c r="M23" s="28"/>
      <c r="N23" s="30"/>
      <c r="O23" s="43"/>
      <c r="P23" s="29"/>
    </row>
    <row r="24" spans="1:16" ht="15" customHeight="1">
      <c r="A24" s="29"/>
      <c r="B24" s="29"/>
      <c r="C24" s="29"/>
      <c r="D24" s="29"/>
      <c r="E24" s="28"/>
      <c r="F24" s="29"/>
      <c r="G24" s="30"/>
      <c r="H24" s="30"/>
      <c r="I24" s="30"/>
      <c r="J24" s="30"/>
      <c r="K24" s="30"/>
      <c r="L24" s="55"/>
      <c r="M24" s="28"/>
      <c r="N24" s="30"/>
      <c r="O24" s="43"/>
      <c r="P24" s="29"/>
    </row>
    <row r="25" spans="1:16" ht="15" customHeight="1">
      <c r="A25" s="29"/>
      <c r="B25" s="29"/>
      <c r="C25" s="29"/>
      <c r="D25" s="29"/>
      <c r="E25" s="28"/>
      <c r="F25" s="29"/>
      <c r="G25" s="30"/>
      <c r="H25" s="30"/>
      <c r="I25" s="30"/>
      <c r="J25" s="30"/>
      <c r="K25" s="30"/>
      <c r="L25" s="55"/>
      <c r="M25" s="28"/>
      <c r="N25" s="30"/>
      <c r="O25" s="43"/>
      <c r="P25" s="29"/>
    </row>
    <row r="26" spans="1:16" ht="15" customHeight="1">
      <c r="A26" s="29"/>
      <c r="B26" s="29"/>
      <c r="C26" s="29"/>
      <c r="D26" s="29"/>
      <c r="E26" s="28"/>
      <c r="F26" s="29"/>
      <c r="G26" s="30"/>
      <c r="H26" s="30"/>
      <c r="I26" s="30"/>
      <c r="J26" s="30"/>
      <c r="K26" s="30"/>
      <c r="L26" s="55"/>
      <c r="M26" s="28"/>
      <c r="N26" s="30"/>
      <c r="O26" s="43"/>
      <c r="P26" s="29"/>
    </row>
    <row r="27" spans="1:16" ht="15" customHeight="1">
      <c r="A27" s="29"/>
      <c r="B27" s="29"/>
      <c r="C27" s="29"/>
      <c r="D27" s="29"/>
      <c r="E27" s="28"/>
      <c r="F27" s="29"/>
      <c r="G27" s="30"/>
      <c r="H27" s="30"/>
      <c r="I27" s="30"/>
      <c r="J27" s="30"/>
      <c r="K27" s="30"/>
      <c r="L27" s="55"/>
      <c r="M27" s="28"/>
      <c r="N27" s="30"/>
      <c r="O27" s="43"/>
      <c r="P27" s="29"/>
    </row>
    <row r="28" spans="1:16" ht="15" customHeight="1">
      <c r="A28" s="29"/>
      <c r="B28" s="29"/>
      <c r="C28" s="29"/>
      <c r="D28" s="29"/>
      <c r="E28" s="28"/>
      <c r="F28" s="29"/>
      <c r="G28" s="30"/>
      <c r="H28" s="30"/>
      <c r="I28" s="30"/>
      <c r="J28" s="30"/>
      <c r="K28" s="30"/>
      <c r="L28" s="55"/>
      <c r="M28" s="28"/>
      <c r="N28" s="30"/>
      <c r="O28" s="43"/>
      <c r="P28" s="29"/>
    </row>
    <row r="29" spans="1:16" ht="15" customHeight="1">
      <c r="A29" s="29"/>
      <c r="B29" s="29"/>
      <c r="C29" s="29"/>
      <c r="D29" s="29"/>
      <c r="E29" s="28"/>
      <c r="F29" s="29"/>
      <c r="G29" s="30"/>
      <c r="H29" s="30"/>
      <c r="I29" s="30"/>
      <c r="J29" s="30"/>
      <c r="K29" s="30"/>
      <c r="L29" s="55"/>
      <c r="M29" s="28"/>
      <c r="N29" s="30"/>
      <c r="O29" s="43"/>
      <c r="P29" s="29"/>
    </row>
    <row r="30" spans="1:16" ht="15" customHeight="1">
      <c r="A30" s="29"/>
      <c r="B30" s="29"/>
      <c r="C30" s="29"/>
      <c r="D30" s="29"/>
      <c r="E30" s="28"/>
      <c r="F30" s="29"/>
      <c r="G30" s="30"/>
      <c r="H30" s="30"/>
      <c r="I30" s="30"/>
      <c r="J30" s="30"/>
      <c r="K30" s="30"/>
      <c r="L30" s="55"/>
      <c r="M30" s="28"/>
      <c r="N30" s="30"/>
      <c r="O30" s="43"/>
      <c r="P30" s="29"/>
    </row>
    <row r="31" spans="1:16" ht="15" customHeight="1">
      <c r="A31" s="29"/>
      <c r="B31" s="29"/>
      <c r="C31" s="29"/>
      <c r="D31" s="29"/>
      <c r="E31" s="28"/>
      <c r="F31" s="29"/>
      <c r="G31" s="30"/>
      <c r="H31" s="30"/>
      <c r="I31" s="30"/>
      <c r="J31" s="30"/>
      <c r="K31" s="30"/>
      <c r="L31" s="55"/>
      <c r="M31" s="28"/>
      <c r="N31" s="30"/>
      <c r="O31" s="43"/>
      <c r="P31" s="29"/>
    </row>
    <row r="32" spans="1:16" ht="15" customHeight="1">
      <c r="A32" s="29"/>
      <c r="B32" s="29"/>
      <c r="C32" s="29"/>
      <c r="D32" s="29"/>
      <c r="E32" s="28"/>
      <c r="F32" s="29"/>
      <c r="G32" s="30"/>
      <c r="H32" s="30"/>
      <c r="I32" s="30"/>
      <c r="J32" s="30"/>
      <c r="K32" s="30"/>
      <c r="L32" s="55"/>
      <c r="M32" s="28"/>
      <c r="N32" s="30"/>
      <c r="O32" s="43"/>
      <c r="P32" s="29"/>
    </row>
    <row r="33" spans="1:16" ht="15" customHeight="1">
      <c r="A33" s="29"/>
      <c r="B33" s="29"/>
      <c r="C33" s="29"/>
      <c r="D33" s="29"/>
      <c r="E33" s="28"/>
      <c r="F33" s="29"/>
      <c r="G33" s="30"/>
      <c r="H33" s="30"/>
      <c r="I33" s="30"/>
      <c r="J33" s="30"/>
      <c r="K33" s="30"/>
      <c r="L33" s="55"/>
      <c r="M33" s="28"/>
      <c r="N33" s="30"/>
      <c r="O33" s="43"/>
      <c r="P33" s="29"/>
    </row>
    <row r="34" spans="1:16" ht="15" customHeight="1">
      <c r="A34" s="29"/>
      <c r="B34" s="29"/>
      <c r="C34" s="29"/>
      <c r="D34" s="29"/>
      <c r="E34" s="28"/>
      <c r="F34" s="29"/>
      <c r="G34" s="30"/>
      <c r="H34" s="30"/>
      <c r="I34" s="30"/>
      <c r="J34" s="30"/>
      <c r="K34" s="30"/>
      <c r="L34" s="55"/>
      <c r="M34" s="28"/>
      <c r="N34" s="30"/>
      <c r="O34" s="43"/>
      <c r="P34" s="29"/>
    </row>
    <row r="35" spans="1:16" ht="15" customHeight="1">
      <c r="A35" s="29"/>
      <c r="B35" s="29"/>
      <c r="C35" s="29"/>
      <c r="D35" s="29"/>
      <c r="E35" s="28"/>
      <c r="F35" s="29"/>
      <c r="G35" s="30"/>
      <c r="H35" s="30"/>
      <c r="I35" s="30"/>
      <c r="J35" s="30"/>
      <c r="K35" s="30"/>
      <c r="L35" s="55"/>
      <c r="M35" s="28"/>
      <c r="N35" s="30"/>
      <c r="O35" s="43"/>
      <c r="P35" s="29"/>
    </row>
    <row r="36" spans="1:16" ht="15" customHeight="1">
      <c r="A36" s="29"/>
      <c r="B36" s="29"/>
      <c r="C36" s="29"/>
      <c r="D36" s="29"/>
      <c r="E36" s="28"/>
      <c r="F36" s="29"/>
      <c r="G36" s="30"/>
      <c r="H36" s="30"/>
      <c r="I36" s="30"/>
      <c r="J36" s="30"/>
      <c r="K36" s="30"/>
      <c r="L36" s="55"/>
      <c r="M36" s="28"/>
      <c r="N36" s="30"/>
      <c r="O36" s="43"/>
      <c r="P36" s="29"/>
    </row>
    <row r="37" spans="1:16" ht="15" customHeight="1">
      <c r="A37" s="29"/>
      <c r="B37" s="29"/>
      <c r="C37" s="29"/>
      <c r="D37" s="29"/>
      <c r="E37" s="28"/>
      <c r="F37" s="29"/>
      <c r="G37" s="30"/>
      <c r="H37" s="30"/>
      <c r="I37" s="30"/>
      <c r="J37" s="30"/>
      <c r="K37" s="30"/>
      <c r="L37" s="55"/>
      <c r="M37" s="28"/>
      <c r="N37" s="30"/>
      <c r="O37" s="43"/>
      <c r="P37" s="29"/>
    </row>
    <row r="38" spans="1:16" ht="15" customHeight="1">
      <c r="A38" s="29"/>
      <c r="B38" s="29"/>
      <c r="C38" s="29"/>
      <c r="D38" s="29"/>
      <c r="E38" s="28"/>
      <c r="F38" s="29"/>
      <c r="G38" s="30"/>
      <c r="H38" s="30"/>
      <c r="I38" s="30"/>
      <c r="J38" s="30"/>
      <c r="K38" s="30"/>
      <c r="L38" s="55"/>
      <c r="M38" s="28"/>
      <c r="N38" s="30"/>
      <c r="O38" s="43"/>
      <c r="P38" s="29"/>
    </row>
    <row r="39" spans="1:16" ht="15" customHeight="1">
      <c r="A39" s="29"/>
      <c r="B39" s="29"/>
      <c r="C39" s="29"/>
      <c r="D39" s="29"/>
      <c r="E39" s="28"/>
      <c r="F39" s="29"/>
      <c r="G39" s="30"/>
      <c r="H39" s="30"/>
      <c r="I39" s="30"/>
      <c r="J39" s="30"/>
      <c r="K39" s="30"/>
      <c r="L39" s="55"/>
      <c r="M39" s="28"/>
      <c r="N39" s="30"/>
      <c r="O39" s="43"/>
      <c r="P39" s="29"/>
    </row>
    <row r="40" spans="1:16" ht="15" customHeight="1">
      <c r="A40" s="29"/>
      <c r="B40" s="29"/>
      <c r="C40" s="29"/>
      <c r="D40" s="29"/>
      <c r="E40" s="28"/>
      <c r="F40" s="29"/>
      <c r="G40" s="30"/>
      <c r="H40" s="30"/>
      <c r="I40" s="30"/>
      <c r="J40" s="30"/>
      <c r="K40" s="30"/>
      <c r="L40" s="55"/>
      <c r="M40" s="28"/>
      <c r="N40" s="30"/>
      <c r="O40" s="43"/>
      <c r="P40" s="29"/>
    </row>
    <row r="41" spans="1:16" ht="15" customHeight="1">
      <c r="A41" s="29"/>
      <c r="B41" s="29"/>
      <c r="C41" s="29"/>
      <c r="D41" s="29"/>
      <c r="E41" s="28"/>
      <c r="F41" s="29"/>
      <c r="G41" s="30"/>
      <c r="H41" s="30"/>
      <c r="I41" s="30"/>
      <c r="J41" s="30"/>
      <c r="K41" s="30"/>
      <c r="L41" s="55"/>
      <c r="M41" s="28"/>
      <c r="N41" s="30"/>
      <c r="O41" s="43"/>
      <c r="P41" s="29"/>
    </row>
    <row r="42" spans="1:16" ht="15" customHeight="1">
      <c r="A42" s="29"/>
      <c r="B42" s="29"/>
      <c r="C42" s="29"/>
      <c r="D42" s="29"/>
      <c r="E42" s="28"/>
      <c r="F42" s="29"/>
      <c r="G42" s="30"/>
      <c r="H42" s="30"/>
      <c r="I42" s="30"/>
      <c r="J42" s="30"/>
      <c r="K42" s="30"/>
      <c r="L42" s="55"/>
      <c r="M42" s="28"/>
      <c r="N42" s="30"/>
      <c r="O42" s="43"/>
      <c r="P42" s="29"/>
    </row>
    <row r="43" spans="1:16" ht="15" customHeight="1">
      <c r="A43" s="29"/>
      <c r="B43" s="29"/>
      <c r="C43" s="29"/>
      <c r="D43" s="29"/>
      <c r="E43" s="28"/>
      <c r="F43" s="29"/>
      <c r="G43" s="30"/>
      <c r="H43" s="30"/>
      <c r="I43" s="30"/>
      <c r="J43" s="30"/>
      <c r="K43" s="30"/>
      <c r="L43" s="55"/>
      <c r="M43" s="28"/>
      <c r="N43" s="30"/>
      <c r="O43" s="43"/>
      <c r="P43" s="29"/>
    </row>
    <row r="44" spans="1:16" ht="15" customHeight="1">
      <c r="A44" s="29"/>
      <c r="B44" s="29"/>
      <c r="C44" s="29"/>
      <c r="D44" s="29"/>
      <c r="E44" s="28"/>
      <c r="F44" s="29"/>
      <c r="G44" s="30"/>
      <c r="H44" s="30"/>
      <c r="I44" s="30"/>
      <c r="J44" s="30"/>
      <c r="K44" s="30"/>
      <c r="L44" s="55"/>
      <c r="M44" s="28"/>
      <c r="N44" s="30"/>
      <c r="O44" s="43"/>
      <c r="P44" s="29"/>
    </row>
    <row r="45" spans="1:16" ht="15" customHeight="1">
      <c r="A45" s="29"/>
      <c r="B45" s="29"/>
      <c r="C45" s="29"/>
      <c r="D45" s="29"/>
      <c r="E45" s="28"/>
      <c r="F45" s="29"/>
      <c r="G45" s="30"/>
      <c r="H45" s="30"/>
      <c r="I45" s="30"/>
      <c r="J45" s="30"/>
      <c r="K45" s="30"/>
      <c r="L45" s="55"/>
      <c r="M45" s="28"/>
      <c r="N45" s="30"/>
      <c r="O45" s="43"/>
      <c r="P45" s="29"/>
    </row>
    <row r="46" spans="1:16" ht="15" customHeight="1">
      <c r="A46" s="29"/>
      <c r="B46" s="29"/>
      <c r="C46" s="29"/>
      <c r="D46" s="29"/>
      <c r="E46" s="28"/>
      <c r="F46" s="29"/>
      <c r="G46" s="30"/>
      <c r="H46" s="30"/>
      <c r="I46" s="30"/>
      <c r="J46" s="30"/>
      <c r="K46" s="30"/>
      <c r="L46" s="55"/>
      <c r="M46" s="28"/>
      <c r="N46" s="30"/>
      <c r="O46" s="43"/>
      <c r="P46" s="29"/>
    </row>
    <row r="47" spans="1:16" ht="15" customHeight="1">
      <c r="A47" s="29"/>
      <c r="B47" s="29"/>
      <c r="C47" s="29"/>
      <c r="D47" s="29"/>
      <c r="E47" s="28"/>
      <c r="F47" s="29"/>
      <c r="G47" s="30"/>
      <c r="H47" s="30"/>
      <c r="I47" s="30"/>
      <c r="J47" s="30"/>
      <c r="K47" s="30"/>
      <c r="L47" s="55"/>
      <c r="M47" s="28"/>
      <c r="N47" s="30"/>
      <c r="O47" s="43"/>
      <c r="P47" s="29"/>
    </row>
    <row r="48" spans="1:16" ht="15" customHeight="1">
      <c r="A48" s="29"/>
      <c r="B48" s="29"/>
      <c r="C48" s="29"/>
      <c r="D48" s="29"/>
      <c r="E48" s="28"/>
      <c r="F48" s="29"/>
      <c r="G48" s="30"/>
      <c r="H48" s="30"/>
      <c r="I48" s="30"/>
      <c r="J48" s="30"/>
      <c r="K48" s="30"/>
      <c r="L48" s="55"/>
      <c r="M48" s="28"/>
      <c r="N48" s="30"/>
      <c r="O48" s="43"/>
      <c r="P48" s="29"/>
    </row>
    <row r="49" spans="1:16" ht="15" customHeight="1">
      <c r="A49" s="29"/>
      <c r="B49" s="29"/>
      <c r="C49" s="29"/>
      <c r="D49" s="29"/>
      <c r="E49" s="28"/>
      <c r="F49" s="29"/>
      <c r="G49" s="30"/>
      <c r="H49" s="30"/>
      <c r="I49" s="30"/>
      <c r="J49" s="30"/>
      <c r="K49" s="30"/>
      <c r="L49" s="55"/>
      <c r="M49" s="28"/>
      <c r="N49" s="30"/>
      <c r="O49" s="43"/>
      <c r="P49" s="29"/>
    </row>
    <row r="50" spans="1:16" ht="15" customHeight="1">
      <c r="A50" s="29"/>
      <c r="B50" s="29"/>
      <c r="C50" s="29"/>
      <c r="D50" s="29"/>
      <c r="E50" s="28"/>
      <c r="F50" s="29"/>
      <c r="G50" s="30"/>
      <c r="H50" s="30"/>
      <c r="I50" s="30"/>
      <c r="J50" s="30"/>
      <c r="K50" s="30"/>
      <c r="L50" s="55"/>
      <c r="M50" s="28"/>
      <c r="N50" s="30"/>
      <c r="O50" s="43"/>
      <c r="P50" s="29"/>
    </row>
    <row r="51" spans="1:16" ht="15" customHeight="1">
      <c r="A51" s="29"/>
      <c r="B51" s="29"/>
      <c r="C51" s="29"/>
      <c r="D51" s="29"/>
      <c r="E51" s="28"/>
      <c r="F51" s="29"/>
      <c r="G51" s="30"/>
      <c r="H51" s="30"/>
      <c r="I51" s="30"/>
      <c r="J51" s="30"/>
      <c r="K51" s="30"/>
      <c r="L51" s="55"/>
      <c r="M51" s="28"/>
      <c r="N51" s="30"/>
      <c r="O51" s="43"/>
      <c r="P51" s="29"/>
    </row>
    <row r="52" spans="1:16" ht="15" customHeight="1">
      <c r="A52" s="29"/>
      <c r="B52" s="29"/>
      <c r="C52" s="29"/>
      <c r="D52" s="29"/>
      <c r="E52" s="28"/>
      <c r="F52" s="29"/>
      <c r="G52" s="30"/>
      <c r="H52" s="30"/>
      <c r="I52" s="30"/>
      <c r="J52" s="30"/>
      <c r="K52" s="30"/>
      <c r="L52" s="55"/>
      <c r="M52" s="28"/>
      <c r="N52" s="30"/>
      <c r="O52" s="43"/>
      <c r="P52" s="29"/>
    </row>
    <row r="53" spans="1:16" ht="15" customHeight="1">
      <c r="A53" s="29"/>
      <c r="B53" s="29"/>
      <c r="C53" s="29"/>
      <c r="D53" s="29"/>
      <c r="E53" s="28"/>
      <c r="F53" s="29"/>
      <c r="G53" s="30"/>
      <c r="H53" s="30"/>
      <c r="I53" s="30"/>
      <c r="J53" s="30"/>
      <c r="K53" s="30"/>
      <c r="L53" s="55"/>
      <c r="M53" s="28"/>
      <c r="N53" s="30"/>
      <c r="O53" s="43"/>
      <c r="P53" s="29"/>
    </row>
    <row r="54" spans="1:16" ht="15" customHeight="1">
      <c r="A54" s="29"/>
      <c r="B54" s="29"/>
      <c r="C54" s="29"/>
      <c r="D54" s="29"/>
      <c r="E54" s="28"/>
      <c r="F54" s="29"/>
      <c r="G54" s="30"/>
      <c r="H54" s="30"/>
      <c r="I54" s="30"/>
      <c r="J54" s="30"/>
      <c r="K54" s="30"/>
      <c r="L54" s="55"/>
      <c r="M54" s="28"/>
      <c r="N54" s="30"/>
      <c r="O54" s="43"/>
      <c r="P54" s="29"/>
    </row>
    <row r="55" spans="1:16" ht="15" customHeight="1">
      <c r="A55" s="29"/>
      <c r="B55" s="29"/>
      <c r="C55" s="29"/>
      <c r="D55" s="29"/>
      <c r="E55" s="28"/>
      <c r="F55" s="29"/>
      <c r="G55" s="30"/>
      <c r="H55" s="30"/>
      <c r="I55" s="30"/>
      <c r="J55" s="30"/>
      <c r="K55" s="30"/>
      <c r="L55" s="55"/>
      <c r="M55" s="28"/>
      <c r="N55" s="30"/>
      <c r="O55" s="43"/>
      <c r="P55" s="29"/>
    </row>
    <row r="56" spans="1:16" ht="15" customHeight="1">
      <c r="A56" s="29"/>
      <c r="B56" s="29"/>
      <c r="C56" s="29"/>
      <c r="D56" s="29"/>
      <c r="E56" s="28"/>
      <c r="F56" s="29"/>
      <c r="G56" s="30"/>
      <c r="H56" s="30"/>
      <c r="I56" s="30"/>
      <c r="J56" s="30"/>
      <c r="K56" s="30"/>
      <c r="L56" s="55"/>
      <c r="M56" s="28"/>
      <c r="N56" s="30"/>
      <c r="O56" s="43"/>
      <c r="P56" s="29"/>
    </row>
    <row r="57" spans="1:16" ht="15" customHeight="1">
      <c r="A57" s="29"/>
      <c r="B57" s="29"/>
      <c r="C57" s="29"/>
      <c r="D57" s="29"/>
      <c r="E57" s="28"/>
      <c r="F57" s="29"/>
      <c r="G57" s="30"/>
      <c r="H57" s="30"/>
      <c r="I57" s="30"/>
      <c r="J57" s="30"/>
      <c r="K57" s="30"/>
      <c r="L57" s="55"/>
      <c r="M57" s="28"/>
      <c r="N57" s="30"/>
      <c r="O57" s="43"/>
      <c r="P57" s="29"/>
    </row>
    <row r="58" spans="1:16" ht="15" customHeight="1">
      <c r="A58" s="29"/>
      <c r="B58" s="29"/>
      <c r="C58" s="29"/>
      <c r="D58" s="29"/>
      <c r="E58" s="28"/>
      <c r="F58" s="29"/>
      <c r="G58" s="30"/>
      <c r="H58" s="30"/>
      <c r="I58" s="30"/>
      <c r="J58" s="30"/>
      <c r="K58" s="30"/>
      <c r="L58" s="55"/>
      <c r="M58" s="28"/>
      <c r="N58" s="30"/>
      <c r="O58" s="43"/>
      <c r="P58" s="29"/>
    </row>
    <row r="59" spans="1:16" ht="15" customHeight="1">
      <c r="A59" s="29"/>
      <c r="B59" s="29"/>
      <c r="C59" s="29"/>
      <c r="D59" s="29"/>
      <c r="E59" s="28"/>
      <c r="F59" s="29"/>
      <c r="G59" s="30"/>
      <c r="H59" s="30"/>
      <c r="I59" s="30"/>
      <c r="J59" s="30"/>
      <c r="K59" s="30"/>
      <c r="L59" s="55"/>
      <c r="M59" s="28"/>
      <c r="N59" s="30"/>
      <c r="O59" s="43"/>
      <c r="P59" s="29"/>
    </row>
    <row r="60" spans="1:16" ht="15" customHeight="1">
      <c r="A60" s="29"/>
      <c r="B60" s="29"/>
      <c r="C60" s="29"/>
      <c r="D60" s="29"/>
      <c r="E60" s="28"/>
      <c r="F60" s="29"/>
      <c r="G60" s="30"/>
      <c r="H60" s="30"/>
      <c r="I60" s="30"/>
      <c r="J60" s="30"/>
      <c r="K60" s="30"/>
      <c r="L60" s="55"/>
      <c r="M60" s="28"/>
      <c r="N60" s="30"/>
      <c r="O60" s="43"/>
      <c r="P60" s="29"/>
    </row>
    <row r="61" spans="1:16" ht="15" customHeight="1">
      <c r="A61" s="29"/>
      <c r="B61" s="29"/>
      <c r="C61" s="29"/>
      <c r="D61" s="29"/>
      <c r="E61" s="28"/>
      <c r="F61" s="29"/>
      <c r="G61" s="30"/>
      <c r="H61" s="30"/>
      <c r="I61" s="30"/>
      <c r="J61" s="30"/>
      <c r="K61" s="30"/>
      <c r="L61" s="55"/>
      <c r="M61" s="28"/>
      <c r="N61" s="30"/>
      <c r="O61" s="43"/>
      <c r="P61" s="29"/>
    </row>
    <row r="62" spans="1:16" ht="15" customHeight="1">
      <c r="A62" s="29"/>
      <c r="B62" s="29"/>
      <c r="C62" s="29"/>
      <c r="D62" s="29"/>
      <c r="E62" s="28"/>
      <c r="F62" s="29"/>
      <c r="G62" s="30"/>
      <c r="H62" s="30"/>
      <c r="I62" s="30"/>
      <c r="J62" s="30"/>
      <c r="K62" s="30"/>
      <c r="L62" s="55"/>
      <c r="M62" s="28"/>
      <c r="N62" s="30"/>
      <c r="O62" s="43"/>
      <c r="P62" s="29"/>
    </row>
    <row r="63" spans="1:16" ht="15" customHeight="1">
      <c r="A63" s="29"/>
      <c r="B63" s="29"/>
      <c r="C63" s="29"/>
      <c r="D63" s="29"/>
      <c r="E63" s="28"/>
      <c r="F63" s="29"/>
      <c r="G63" s="30"/>
      <c r="H63" s="30"/>
      <c r="I63" s="30"/>
      <c r="J63" s="30"/>
      <c r="K63" s="30"/>
      <c r="L63" s="55"/>
      <c r="M63" s="28"/>
      <c r="N63" s="30"/>
      <c r="O63" s="43"/>
      <c r="P63" s="29"/>
    </row>
    <row r="64" spans="1:16" ht="15" customHeight="1">
      <c r="A64" s="29"/>
      <c r="B64" s="29"/>
      <c r="C64" s="29"/>
      <c r="D64" s="29"/>
      <c r="E64" s="28"/>
      <c r="F64" s="29"/>
      <c r="G64" s="30"/>
      <c r="H64" s="30"/>
      <c r="I64" s="30"/>
      <c r="J64" s="30"/>
      <c r="K64" s="30"/>
      <c r="L64" s="55"/>
      <c r="M64" s="28"/>
      <c r="N64" s="30"/>
      <c r="O64" s="43"/>
      <c r="P64" s="29"/>
    </row>
    <row r="65" spans="1:16" ht="15" customHeight="1">
      <c r="A65" s="29"/>
      <c r="B65" s="29"/>
      <c r="C65" s="29"/>
      <c r="D65" s="29"/>
      <c r="E65" s="28"/>
      <c r="F65" s="29"/>
      <c r="G65" s="30"/>
      <c r="H65" s="30"/>
      <c r="I65" s="30"/>
      <c r="J65" s="30"/>
      <c r="K65" s="30"/>
      <c r="L65" s="55"/>
      <c r="M65" s="28"/>
      <c r="N65" s="30"/>
      <c r="O65" s="43"/>
      <c r="P65" s="29"/>
    </row>
    <row r="66" spans="1:16" ht="15" customHeight="1">
      <c r="A66" s="29"/>
      <c r="B66" s="29"/>
      <c r="C66" s="29"/>
      <c r="D66" s="29"/>
      <c r="E66" s="28"/>
      <c r="F66" s="29"/>
      <c r="G66" s="30"/>
      <c r="H66" s="30"/>
      <c r="I66" s="30"/>
      <c r="J66" s="30"/>
      <c r="K66" s="30"/>
      <c r="L66" s="55"/>
      <c r="M66" s="28"/>
      <c r="N66" s="30"/>
      <c r="O66" s="43"/>
      <c r="P66" s="29"/>
    </row>
    <row r="67" spans="1:16" ht="15" customHeight="1">
      <c r="A67" s="29"/>
      <c r="B67" s="29"/>
      <c r="C67" s="29"/>
      <c r="D67" s="29"/>
      <c r="E67" s="28"/>
      <c r="F67" s="29"/>
      <c r="G67" s="30"/>
      <c r="H67" s="30"/>
      <c r="I67" s="30"/>
      <c r="J67" s="30"/>
      <c r="K67" s="30"/>
      <c r="L67" s="55"/>
      <c r="M67" s="28"/>
      <c r="N67" s="30"/>
      <c r="O67" s="43"/>
      <c r="P67" s="29"/>
    </row>
    <row r="68" spans="1:16" ht="15" customHeight="1">
      <c r="A68" s="29"/>
      <c r="B68" s="29"/>
      <c r="C68" s="29"/>
      <c r="D68" s="29"/>
      <c r="E68" s="28"/>
      <c r="F68" s="29"/>
      <c r="G68" s="30"/>
      <c r="H68" s="30"/>
      <c r="I68" s="30"/>
      <c r="J68" s="30"/>
      <c r="K68" s="30"/>
      <c r="L68" s="55"/>
      <c r="M68" s="28"/>
      <c r="N68" s="30"/>
      <c r="O68" s="43"/>
      <c r="P68" s="29"/>
    </row>
    <row r="69" spans="1:16" ht="15" customHeight="1">
      <c r="A69" s="29"/>
      <c r="B69" s="29"/>
      <c r="C69" s="29"/>
      <c r="D69" s="29"/>
      <c r="E69" s="28"/>
      <c r="F69" s="29"/>
      <c r="G69" s="30"/>
      <c r="H69" s="30"/>
      <c r="I69" s="30"/>
      <c r="J69" s="30"/>
      <c r="K69" s="30"/>
      <c r="L69" s="55"/>
      <c r="M69" s="28"/>
      <c r="N69" s="30"/>
      <c r="O69" s="43"/>
      <c r="P69" s="29"/>
    </row>
    <row r="70" spans="1:16" ht="15" customHeight="1">
      <c r="A70" s="29"/>
      <c r="B70" s="29"/>
      <c r="C70" s="29"/>
      <c r="D70" s="29"/>
      <c r="E70" s="28"/>
      <c r="F70" s="29"/>
      <c r="G70" s="30"/>
      <c r="H70" s="30"/>
      <c r="I70" s="30"/>
      <c r="J70" s="30"/>
      <c r="K70" s="30"/>
      <c r="L70" s="55"/>
      <c r="M70" s="28"/>
      <c r="N70" s="30"/>
      <c r="O70" s="43"/>
      <c r="P70" s="29"/>
    </row>
    <row r="71" spans="1:16" ht="15" customHeight="1">
      <c r="A71" s="29"/>
      <c r="B71" s="29"/>
      <c r="C71" s="29"/>
      <c r="D71" s="29"/>
      <c r="E71" s="28"/>
      <c r="F71" s="29"/>
      <c r="G71" s="30"/>
      <c r="H71" s="30"/>
      <c r="I71" s="30"/>
      <c r="J71" s="30"/>
      <c r="K71" s="30"/>
      <c r="L71" s="55"/>
      <c r="M71" s="28"/>
      <c r="N71" s="30"/>
      <c r="O71" s="43"/>
      <c r="P71" s="29"/>
    </row>
    <row r="72" spans="1:16" ht="15" customHeight="1">
      <c r="A72" s="29"/>
      <c r="B72" s="29"/>
      <c r="C72" s="29"/>
      <c r="D72" s="29"/>
      <c r="E72" s="28"/>
      <c r="F72" s="29"/>
      <c r="G72" s="30"/>
      <c r="H72" s="30"/>
      <c r="I72" s="30"/>
      <c r="J72" s="30"/>
      <c r="K72" s="30"/>
      <c r="L72" s="55"/>
      <c r="M72" s="28"/>
      <c r="N72" s="30"/>
      <c r="O72" s="43"/>
      <c r="P72" s="29"/>
    </row>
    <row r="73" spans="1:16" ht="15" customHeight="1">
      <c r="A73" s="29"/>
      <c r="B73" s="29"/>
      <c r="C73" s="29"/>
      <c r="D73" s="29"/>
      <c r="E73" s="28"/>
      <c r="F73" s="29"/>
      <c r="G73" s="30"/>
      <c r="H73" s="30"/>
      <c r="I73" s="30"/>
      <c r="J73" s="30"/>
      <c r="K73" s="30"/>
      <c r="L73" s="55"/>
      <c r="M73" s="28"/>
      <c r="N73" s="30"/>
      <c r="O73" s="43"/>
      <c r="P73" s="29"/>
    </row>
    <row r="74" spans="1:16" ht="15" customHeight="1">
      <c r="A74" s="29"/>
      <c r="B74" s="29"/>
      <c r="C74" s="29"/>
      <c r="D74" s="29"/>
      <c r="E74" s="28"/>
      <c r="F74" s="29"/>
      <c r="G74" s="30"/>
      <c r="H74" s="30"/>
      <c r="I74" s="30"/>
      <c r="J74" s="30"/>
      <c r="K74" s="30"/>
      <c r="L74" s="55"/>
      <c r="M74" s="28"/>
      <c r="N74" s="30"/>
      <c r="O74" s="43"/>
      <c r="P74" s="29"/>
    </row>
    <row r="75" spans="1:16" ht="15" customHeight="1">
      <c r="A75" s="29"/>
      <c r="B75" s="29"/>
      <c r="C75" s="29"/>
      <c r="D75" s="29"/>
      <c r="E75" s="28"/>
      <c r="F75" s="29"/>
      <c r="G75" s="30"/>
      <c r="H75" s="30"/>
      <c r="I75" s="30"/>
      <c r="J75" s="30"/>
      <c r="K75" s="30"/>
      <c r="L75" s="55"/>
      <c r="M75" s="28"/>
      <c r="N75" s="30"/>
      <c r="O75" s="43"/>
      <c r="P75" s="29"/>
    </row>
    <row r="76" spans="1:16" ht="15" customHeight="1">
      <c r="A76" s="29"/>
      <c r="B76" s="29"/>
      <c r="C76" s="29"/>
      <c r="D76" s="29"/>
      <c r="E76" s="28"/>
      <c r="F76" s="29"/>
      <c r="G76" s="30"/>
      <c r="H76" s="30"/>
      <c r="I76" s="30"/>
      <c r="J76" s="30"/>
      <c r="K76" s="30"/>
      <c r="L76" s="55"/>
      <c r="M76" s="28"/>
      <c r="N76" s="30"/>
      <c r="O76" s="43"/>
      <c r="P76" s="29"/>
    </row>
    <row r="77" spans="1:16" ht="15" customHeight="1">
      <c r="A77" s="29"/>
      <c r="B77" s="29"/>
      <c r="C77" s="29"/>
      <c r="D77" s="29"/>
      <c r="E77" s="28"/>
      <c r="F77" s="29"/>
      <c r="G77" s="30"/>
      <c r="H77" s="30"/>
      <c r="I77" s="30"/>
      <c r="J77" s="30"/>
      <c r="K77" s="30"/>
      <c r="L77" s="55"/>
      <c r="M77" s="28"/>
      <c r="N77" s="30"/>
      <c r="O77" s="43"/>
      <c r="P77" s="29"/>
    </row>
    <row r="78" spans="1:16" ht="15" customHeight="1">
      <c r="A78" s="29"/>
      <c r="B78" s="29"/>
      <c r="C78" s="29"/>
      <c r="D78" s="29"/>
      <c r="E78" s="28"/>
      <c r="F78" s="29"/>
      <c r="G78" s="30"/>
      <c r="H78" s="30"/>
      <c r="I78" s="30"/>
      <c r="J78" s="30"/>
      <c r="K78" s="30"/>
      <c r="L78" s="55"/>
      <c r="M78" s="28"/>
      <c r="N78" s="30"/>
      <c r="O78" s="43"/>
      <c r="P78" s="29"/>
    </row>
    <row r="79" spans="1:16" ht="15" customHeight="1">
      <c r="A79" s="29"/>
      <c r="B79" s="29"/>
      <c r="C79" s="29"/>
      <c r="D79" s="29"/>
      <c r="E79" s="28"/>
      <c r="F79" s="29"/>
      <c r="G79" s="30"/>
      <c r="H79" s="30"/>
      <c r="I79" s="30"/>
      <c r="J79" s="30"/>
      <c r="K79" s="30"/>
      <c r="L79" s="55"/>
      <c r="M79" s="28"/>
      <c r="N79" s="30"/>
      <c r="O79" s="43"/>
      <c r="P79" s="29"/>
    </row>
    <row r="80" spans="1:16" ht="15" customHeight="1">
      <c r="A80" s="29"/>
      <c r="B80" s="29"/>
      <c r="C80" s="29"/>
      <c r="D80" s="29"/>
      <c r="E80" s="28"/>
      <c r="F80" s="29"/>
      <c r="G80" s="30"/>
      <c r="H80" s="30"/>
      <c r="I80" s="30"/>
      <c r="J80" s="30"/>
      <c r="K80" s="30"/>
      <c r="L80" s="55"/>
      <c r="M80" s="28"/>
      <c r="N80" s="30"/>
      <c r="O80" s="43"/>
      <c r="P80" s="29"/>
    </row>
    <row r="81" spans="1:16" ht="15" customHeight="1">
      <c r="A81" s="29"/>
      <c r="B81" s="29"/>
      <c r="C81" s="29"/>
      <c r="D81" s="29"/>
      <c r="E81" s="28"/>
      <c r="F81" s="29"/>
      <c r="G81" s="30"/>
      <c r="H81" s="30"/>
      <c r="I81" s="30"/>
      <c r="J81" s="30"/>
      <c r="K81" s="30"/>
      <c r="L81" s="55"/>
      <c r="M81" s="28"/>
      <c r="N81" s="30"/>
      <c r="O81" s="43"/>
      <c r="P81" s="29"/>
    </row>
    <row r="82" spans="1:16" ht="15" customHeight="1">
      <c r="A82" s="29"/>
      <c r="B82" s="29"/>
      <c r="C82" s="29"/>
      <c r="D82" s="29"/>
      <c r="E82" s="28"/>
      <c r="F82" s="29"/>
      <c r="G82" s="30"/>
      <c r="H82" s="30"/>
      <c r="I82" s="30"/>
      <c r="J82" s="30"/>
      <c r="K82" s="30"/>
      <c r="L82" s="55"/>
      <c r="M82" s="28"/>
      <c r="N82" s="30"/>
      <c r="O82" s="43"/>
      <c r="P82" s="29"/>
    </row>
    <row r="83" spans="1:16" ht="15" customHeight="1">
      <c r="A83" s="29"/>
      <c r="B83" s="29"/>
      <c r="C83" s="29"/>
      <c r="D83" s="29"/>
      <c r="E83" s="28"/>
      <c r="F83" s="29"/>
      <c r="G83" s="30"/>
      <c r="H83" s="30"/>
      <c r="I83" s="30"/>
      <c r="J83" s="30"/>
      <c r="K83" s="30"/>
      <c r="L83" s="55"/>
      <c r="M83" s="28"/>
      <c r="N83" s="30"/>
      <c r="O83" s="43"/>
      <c r="P83" s="29"/>
    </row>
    <row r="84" spans="1:16" ht="15" customHeight="1">
      <c r="A84" s="29"/>
      <c r="B84" s="29"/>
      <c r="C84" s="29"/>
      <c r="D84" s="29"/>
      <c r="E84" s="28"/>
      <c r="F84" s="29"/>
      <c r="G84" s="30"/>
      <c r="H84" s="30"/>
      <c r="I84" s="30"/>
      <c r="J84" s="30"/>
      <c r="K84" s="30"/>
      <c r="L84" s="55"/>
      <c r="M84" s="28"/>
      <c r="N84" s="30"/>
      <c r="O84" s="43"/>
      <c r="P84" s="29"/>
    </row>
    <row r="85" spans="1:16" ht="15" customHeight="1">
      <c r="A85" s="29"/>
      <c r="B85" s="29"/>
      <c r="C85" s="29"/>
      <c r="D85" s="29"/>
      <c r="E85" s="28"/>
      <c r="F85" s="29"/>
      <c r="G85" s="30"/>
      <c r="H85" s="30"/>
      <c r="I85" s="30"/>
      <c r="J85" s="30"/>
      <c r="K85" s="30"/>
      <c r="L85" s="55"/>
      <c r="M85" s="28"/>
      <c r="N85" s="30"/>
      <c r="O85" s="43"/>
      <c r="P85" s="29"/>
    </row>
    <row r="86" spans="1:16" ht="15" customHeight="1">
      <c r="A86" s="29"/>
      <c r="B86" s="29"/>
      <c r="C86" s="29"/>
      <c r="D86" s="29"/>
      <c r="E86" s="28"/>
      <c r="F86" s="29"/>
      <c r="G86" s="30"/>
      <c r="H86" s="30"/>
      <c r="I86" s="30"/>
      <c r="J86" s="30"/>
      <c r="K86" s="30"/>
      <c r="L86" s="55"/>
      <c r="M86" s="28"/>
      <c r="N86" s="30"/>
      <c r="O86" s="43"/>
      <c r="P86" s="29"/>
    </row>
    <row r="87" spans="1:16" ht="15" customHeight="1">
      <c r="A87" s="29"/>
      <c r="B87" s="29"/>
      <c r="C87" s="29"/>
      <c r="D87" s="29"/>
      <c r="E87" s="28"/>
      <c r="F87" s="29"/>
      <c r="G87" s="30"/>
      <c r="H87" s="30"/>
      <c r="I87" s="30"/>
      <c r="J87" s="30"/>
      <c r="K87" s="30"/>
      <c r="L87" s="55"/>
      <c r="M87" s="28"/>
      <c r="N87" s="30"/>
      <c r="O87" s="43"/>
      <c r="P87" s="29"/>
    </row>
    <row r="88" spans="1:16" ht="15" customHeight="1">
      <c r="A88" s="29"/>
      <c r="B88" s="29"/>
      <c r="C88" s="29"/>
      <c r="D88" s="29"/>
      <c r="E88" s="28"/>
      <c r="F88" s="29"/>
      <c r="G88" s="30"/>
      <c r="H88" s="30"/>
      <c r="I88" s="30"/>
      <c r="J88" s="30"/>
      <c r="K88" s="30"/>
      <c r="L88" s="55"/>
      <c r="M88" s="28"/>
      <c r="N88" s="30"/>
      <c r="O88" s="43"/>
      <c r="P88" s="29"/>
    </row>
    <row r="89" spans="1:16" ht="15" customHeight="1">
      <c r="A89" s="29"/>
      <c r="B89" s="29"/>
      <c r="C89" s="29"/>
      <c r="D89" s="29"/>
      <c r="E89" s="28"/>
      <c r="F89" s="29"/>
      <c r="G89" s="30"/>
      <c r="H89" s="30"/>
      <c r="I89" s="30"/>
      <c r="J89" s="30"/>
      <c r="K89" s="30"/>
      <c r="L89" s="55"/>
      <c r="M89" s="28"/>
      <c r="N89" s="30"/>
      <c r="O89" s="43"/>
      <c r="P89" s="29"/>
    </row>
    <row r="90" spans="1:16" ht="15" customHeight="1">
      <c r="A90" s="29"/>
      <c r="B90" s="29"/>
      <c r="C90" s="29"/>
      <c r="D90" s="29"/>
      <c r="E90" s="28"/>
      <c r="F90" s="29"/>
      <c r="G90" s="30"/>
      <c r="H90" s="30"/>
      <c r="I90" s="30"/>
      <c r="J90" s="30"/>
      <c r="K90" s="30"/>
      <c r="L90" s="55"/>
      <c r="M90" s="28"/>
      <c r="N90" s="30"/>
      <c r="O90" s="43"/>
      <c r="P90" s="29"/>
    </row>
    <row r="91" spans="1:16" ht="15" customHeight="1">
      <c r="A91" s="29"/>
      <c r="B91" s="29"/>
      <c r="C91" s="29"/>
      <c r="D91" s="29"/>
      <c r="E91" s="28"/>
      <c r="F91" s="29"/>
      <c r="G91" s="30"/>
      <c r="H91" s="30"/>
      <c r="I91" s="30"/>
      <c r="J91" s="30"/>
      <c r="K91" s="30"/>
      <c r="L91" s="55"/>
      <c r="M91" s="28"/>
      <c r="N91" s="30"/>
      <c r="O91" s="43"/>
      <c r="P91" s="29"/>
    </row>
    <row r="92" spans="1:16" ht="15" customHeight="1">
      <c r="A92" s="29"/>
      <c r="B92" s="29"/>
      <c r="C92" s="29"/>
      <c r="D92" s="29"/>
      <c r="E92" s="28"/>
      <c r="F92" s="29"/>
      <c r="G92" s="30"/>
      <c r="H92" s="30"/>
      <c r="I92" s="30"/>
      <c r="J92" s="30"/>
      <c r="K92" s="30"/>
      <c r="L92" s="55"/>
      <c r="M92" s="28"/>
      <c r="N92" s="30"/>
      <c r="O92" s="43"/>
      <c r="P92" s="29"/>
    </row>
    <row r="93" spans="1:16" ht="15" customHeight="1">
      <c r="A93" s="29"/>
      <c r="B93" s="29"/>
      <c r="C93" s="29"/>
      <c r="D93" s="29"/>
      <c r="E93" s="28"/>
      <c r="F93" s="29"/>
      <c r="G93" s="30"/>
      <c r="H93" s="30"/>
      <c r="I93" s="30"/>
      <c r="J93" s="30"/>
      <c r="K93" s="30"/>
      <c r="L93" s="55"/>
      <c r="M93" s="28"/>
      <c r="N93" s="30"/>
      <c r="O93" s="43"/>
      <c r="P93" s="29"/>
    </row>
    <row r="94" spans="1:16" ht="15" customHeight="1">
      <c r="A94" s="29"/>
      <c r="B94" s="29"/>
      <c r="C94" s="29"/>
      <c r="D94" s="29"/>
      <c r="E94" s="28"/>
      <c r="F94" s="29"/>
      <c r="G94" s="30"/>
      <c r="H94" s="30"/>
      <c r="I94" s="30"/>
      <c r="J94" s="30"/>
      <c r="K94" s="30"/>
      <c r="L94" s="55"/>
      <c r="M94" s="28"/>
      <c r="N94" s="30"/>
      <c r="O94" s="43"/>
      <c r="P94" s="29"/>
    </row>
    <row r="95" spans="1:16" ht="15" customHeight="1">
      <c r="A95" s="29"/>
      <c r="B95" s="29"/>
      <c r="C95" s="29"/>
      <c r="D95" s="29"/>
      <c r="E95" s="28"/>
      <c r="F95" s="29"/>
      <c r="G95" s="30"/>
      <c r="H95" s="30"/>
      <c r="I95" s="30"/>
      <c r="J95" s="30"/>
      <c r="K95" s="30"/>
      <c r="L95" s="55"/>
      <c r="M95" s="28"/>
      <c r="N95" s="30"/>
      <c r="O95" s="43"/>
      <c r="P95" s="29"/>
    </row>
    <row r="96" spans="1:16" ht="15" customHeight="1">
      <c r="A96" s="29"/>
      <c r="B96" s="29"/>
      <c r="C96" s="29"/>
      <c r="D96" s="29"/>
      <c r="E96" s="28"/>
      <c r="F96" s="29"/>
      <c r="G96" s="30"/>
      <c r="H96" s="30"/>
      <c r="I96" s="30"/>
      <c r="J96" s="30"/>
      <c r="K96" s="30"/>
      <c r="L96" s="55"/>
      <c r="M96" s="28"/>
      <c r="N96" s="30"/>
      <c r="O96" s="43"/>
      <c r="P96" s="29"/>
    </row>
    <row r="97" spans="1:16" ht="15" customHeight="1">
      <c r="A97" s="29"/>
      <c r="B97" s="29"/>
      <c r="C97" s="29"/>
      <c r="D97" s="29"/>
      <c r="E97" s="28"/>
      <c r="F97" s="29"/>
      <c r="G97" s="30"/>
      <c r="H97" s="30"/>
      <c r="I97" s="30"/>
      <c r="J97" s="30"/>
      <c r="K97" s="30"/>
      <c r="L97" s="55"/>
      <c r="M97" s="28"/>
      <c r="N97" s="30"/>
      <c r="O97" s="43"/>
      <c r="P97" s="29"/>
    </row>
    <row r="98" spans="1:16" ht="15" customHeight="1">
      <c r="A98" s="29"/>
      <c r="B98" s="29"/>
      <c r="C98" s="29"/>
      <c r="D98" s="29"/>
      <c r="E98" s="28"/>
      <c r="F98" s="29"/>
      <c r="G98" s="30"/>
      <c r="H98" s="30"/>
      <c r="I98" s="30"/>
      <c r="J98" s="30"/>
      <c r="K98" s="30"/>
      <c r="L98" s="55"/>
      <c r="M98" s="28"/>
      <c r="N98" s="30"/>
      <c r="O98" s="43"/>
      <c r="P98" s="29"/>
    </row>
    <row r="99" spans="1:16" ht="15" customHeight="1">
      <c r="A99" s="29"/>
      <c r="B99" s="29"/>
      <c r="C99" s="29"/>
      <c r="D99" s="29"/>
      <c r="E99" s="28"/>
      <c r="F99" s="29"/>
      <c r="G99" s="30"/>
      <c r="H99" s="30"/>
      <c r="I99" s="30"/>
      <c r="J99" s="30"/>
      <c r="K99" s="30"/>
      <c r="L99" s="55"/>
      <c r="M99" s="28"/>
      <c r="N99" s="30"/>
      <c r="O99" s="43"/>
      <c r="P99" s="29"/>
    </row>
    <row r="100" spans="1:16" ht="15" customHeight="1">
      <c r="A100" s="29"/>
      <c r="B100" s="29"/>
      <c r="C100" s="29"/>
      <c r="D100" s="29"/>
      <c r="E100" s="28"/>
      <c r="F100" s="29"/>
      <c r="G100" s="30"/>
      <c r="H100" s="30"/>
      <c r="I100" s="30"/>
      <c r="J100" s="30"/>
      <c r="K100" s="30"/>
      <c r="L100" s="55"/>
      <c r="M100" s="28"/>
      <c r="N100" s="30"/>
      <c r="O100" s="43"/>
      <c r="P100" s="29"/>
    </row>
    <row r="101" spans="1:16" ht="15" customHeight="1">
      <c r="A101" s="29"/>
      <c r="B101" s="29"/>
      <c r="C101" s="29"/>
      <c r="D101" s="29"/>
      <c r="E101" s="28"/>
      <c r="F101" s="29"/>
      <c r="G101" s="30"/>
      <c r="H101" s="30"/>
      <c r="I101" s="30"/>
      <c r="J101" s="30"/>
      <c r="K101" s="30"/>
      <c r="L101" s="55"/>
      <c r="M101" s="28"/>
      <c r="N101" s="30"/>
      <c r="O101" s="43"/>
      <c r="P101" s="29"/>
    </row>
    <row r="102" spans="1:16" ht="15" customHeight="1">
      <c r="A102" s="29"/>
      <c r="B102" s="29"/>
      <c r="C102" s="29"/>
      <c r="D102" s="29"/>
      <c r="E102" s="28"/>
      <c r="F102" s="29"/>
      <c r="G102" s="30"/>
      <c r="H102" s="30"/>
      <c r="I102" s="30"/>
      <c r="J102" s="30"/>
      <c r="K102" s="30"/>
      <c r="L102" s="55"/>
      <c r="M102" s="28"/>
      <c r="N102" s="30"/>
      <c r="O102" s="43"/>
      <c r="P102" s="29"/>
    </row>
    <row r="103" spans="1:16" ht="15" customHeight="1">
      <c r="A103" s="29"/>
      <c r="B103" s="29"/>
      <c r="C103" s="29"/>
      <c r="D103" s="29"/>
      <c r="E103" s="28"/>
      <c r="F103" s="29"/>
      <c r="G103" s="30"/>
      <c r="H103" s="30"/>
      <c r="I103" s="30"/>
      <c r="J103" s="30"/>
      <c r="K103" s="30"/>
      <c r="L103" s="55"/>
      <c r="M103" s="28"/>
      <c r="N103" s="30"/>
      <c r="O103" s="43"/>
      <c r="P103" s="29"/>
    </row>
    <row r="104" spans="1:16" ht="15" customHeight="1">
      <c r="A104" s="83" t="s">
        <v>44</v>
      </c>
      <c r="B104" s="83"/>
      <c r="C104" s="83"/>
      <c r="D104" s="83"/>
      <c r="E104" s="83"/>
      <c r="F104" s="83"/>
      <c r="G104" s="12">
        <f>SUM(G4:G103)</f>
        <v>0</v>
      </c>
      <c r="H104" s="12">
        <f>SUM(H4:H103)</f>
        <v>0</v>
      </c>
      <c r="I104" s="12">
        <f>SUM(I4:I103)</f>
        <v>0</v>
      </c>
      <c r="J104" s="12">
        <f>SUM(J4:J103)</f>
        <v>0</v>
      </c>
      <c r="K104" s="12">
        <f>SUM(K4:K103)</f>
        <v>0</v>
      </c>
      <c r="L104" s="32" t="str">
        <f>COUNTA(L4:L103)&amp;"件"</f>
        <v>0件</v>
      </c>
      <c r="M104" s="32" t="str">
        <f>COUNTA(M4:M103)&amp;"件予定"</f>
        <v>0件予定</v>
      </c>
      <c r="N104" s="12">
        <f>SUM(N4:N103)</f>
        <v>0</v>
      </c>
      <c r="P104" s="32"/>
    </row>
    <row r="106" spans="1:16">
      <c r="A106" s="87" t="s">
        <v>115</v>
      </c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44" t="str">
        <f>COUNTIF(O4:O103,"済")&amp;"件"</f>
        <v>0件</v>
      </c>
      <c r="N106" s="45">
        <f>SUMIF(O4:O103,"済",N4:N103)</f>
        <v>0</v>
      </c>
      <c r="O106" s="46"/>
      <c r="P106" s="46"/>
    </row>
    <row r="107" spans="1:16">
      <c r="A107" s="88" t="s">
        <v>116</v>
      </c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47" t="str">
        <f>COUNTIFS(N4:N103,"&gt;0",O4:O103,"")&amp;"件"</f>
        <v>0件</v>
      </c>
      <c r="N107" s="48">
        <f>SUMIFS(N4:N103,O4:O103,"")</f>
        <v>0</v>
      </c>
      <c r="O107" s="49"/>
      <c r="P107" s="49"/>
    </row>
    <row r="108" spans="1:16">
      <c r="A108" s="86" t="s">
        <v>117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50" t="str">
        <f>COUNTIF(O4:O103,"取消")&amp;"件"</f>
        <v>0件</v>
      </c>
      <c r="N108" s="51">
        <f>SUMIF(O4:O103,"取消",N4:N103)</f>
        <v>0</v>
      </c>
      <c r="O108" s="52"/>
      <c r="P108" s="52"/>
    </row>
  </sheetData>
  <mergeCells count="6">
    <mergeCell ref="A108:L108"/>
    <mergeCell ref="A1:P1"/>
    <mergeCell ref="G2:P2"/>
    <mergeCell ref="A104:F104"/>
    <mergeCell ref="A106:L106"/>
    <mergeCell ref="A107:L107"/>
  </mergeCells>
  <phoneticPr fontId="46"/>
  <conditionalFormatting sqref="A4:O103">
    <cfRule type="expression" dxfId="9" priority="2">
      <formula>$L4="高"</formula>
    </cfRule>
    <cfRule type="expression" dxfId="8" priority="3">
      <formula>$L4="中"</formula>
    </cfRule>
    <cfRule type="expression" dxfId="7" priority="4">
      <formula>$L4="低"</formula>
    </cfRule>
    <cfRule type="expression" dxfId="6" priority="5">
      <formula>$L4="月次"</formula>
    </cfRule>
  </conditionalFormatting>
  <conditionalFormatting sqref="A4:P103">
    <cfRule type="expression" dxfId="5" priority="10">
      <formula>$O4="済"</formula>
    </cfRule>
    <cfRule type="expression" dxfId="4" priority="11">
      <formula>$O4="取消"</formula>
    </cfRule>
  </conditionalFormatting>
  <conditionalFormatting sqref="L4:L103">
    <cfRule type="cellIs" dxfId="3" priority="6" operator="equal">
      <formula>"高"</formula>
    </cfRule>
    <cfRule type="cellIs" dxfId="2" priority="7" operator="equal">
      <formula>"中"</formula>
    </cfRule>
    <cfRule type="cellIs" dxfId="1" priority="8" operator="equal">
      <formula>"低"</formula>
    </cfRule>
    <cfRule type="cellIs" dxfId="0" priority="9" operator="equal">
      <formula>"月次"</formula>
    </cfRule>
  </conditionalFormatting>
  <dataValidations count="3">
    <dataValidation type="list" allowBlank="1" sqref="L4:L103" xr:uid="{00000000-0002-0000-1500-000000000000}">
      <formula1>"高,中,低,月次"</formula1>
      <formula2>0</formula2>
    </dataValidation>
    <dataValidation type="date" allowBlank="1" sqref="M4:M103" xr:uid="{00000000-0002-0000-1500-000001000000}">
      <formula1>0</formula1>
      <formula2>0</formula2>
    </dataValidation>
    <dataValidation type="list" allowBlank="1" prompt="支払状況を選択（済/取消）" sqref="O4:O103" xr:uid="{00000000-0002-0000-1500-000002000000}">
      <formula1>"済,取消"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2" width="24" customWidth="1"/>
    <col min="3" max="3" width="16" customWidth="1"/>
    <col min="4" max="4" width="12" customWidth="1"/>
    <col min="5" max="5" width="24" customWidth="1"/>
  </cols>
  <sheetData>
    <row r="1" spans="1:5" ht="27.75" customHeight="1">
      <c r="A1" s="93" t="s">
        <v>230</v>
      </c>
      <c r="B1" s="93"/>
      <c r="C1" s="93"/>
      <c r="D1" s="93"/>
      <c r="E1" s="93"/>
    </row>
    <row r="2" spans="1:5" ht="15" customHeight="1">
      <c r="A2" s="85" t="s">
        <v>119</v>
      </c>
      <c r="B2" s="85"/>
      <c r="C2" s="85"/>
      <c r="D2" s="85"/>
      <c r="E2" s="85"/>
    </row>
    <row r="3" spans="1:5" ht="15" customHeight="1">
      <c r="A3" s="6" t="s">
        <v>120</v>
      </c>
      <c r="B3" s="6" t="s">
        <v>121</v>
      </c>
      <c r="C3" s="6" t="s">
        <v>122</v>
      </c>
      <c r="D3" s="6" t="s">
        <v>85</v>
      </c>
      <c r="E3" s="6" t="s">
        <v>50</v>
      </c>
    </row>
    <row r="4" spans="1:5" ht="15" customHeight="1">
      <c r="A4" s="28"/>
      <c r="B4" s="29"/>
      <c r="C4" s="30"/>
      <c r="D4" s="31"/>
      <c r="E4" s="29"/>
    </row>
    <row r="5" spans="1:5" ht="15" customHeight="1">
      <c r="A5" s="28"/>
      <c r="B5" s="29"/>
      <c r="C5" s="30"/>
      <c r="D5" s="31"/>
      <c r="E5" s="29"/>
    </row>
    <row r="6" spans="1:5" ht="15" customHeight="1">
      <c r="A6" s="28"/>
      <c r="B6" s="29"/>
      <c r="C6" s="30"/>
      <c r="D6" s="31"/>
      <c r="E6" s="29"/>
    </row>
    <row r="7" spans="1:5" ht="15" customHeight="1">
      <c r="A7" s="28"/>
      <c r="B7" s="29"/>
      <c r="C7" s="30"/>
      <c r="D7" s="31"/>
      <c r="E7" s="29"/>
    </row>
    <row r="8" spans="1:5" ht="15" customHeight="1">
      <c r="A8" s="28"/>
      <c r="B8" s="29"/>
      <c r="C8" s="30"/>
      <c r="D8" s="31"/>
      <c r="E8" s="29"/>
    </row>
    <row r="9" spans="1:5" ht="15" customHeight="1">
      <c r="A9" s="28"/>
      <c r="B9" s="29"/>
      <c r="C9" s="30"/>
      <c r="D9" s="31"/>
      <c r="E9" s="29"/>
    </row>
    <row r="10" spans="1:5" ht="15" customHeight="1">
      <c r="A10" s="28"/>
      <c r="B10" s="29"/>
      <c r="C10" s="30"/>
      <c r="D10" s="31"/>
      <c r="E10" s="29"/>
    </row>
    <row r="11" spans="1:5" ht="15" customHeight="1">
      <c r="A11" s="28"/>
      <c r="B11" s="29"/>
      <c r="C11" s="30"/>
      <c r="D11" s="31"/>
      <c r="E11" s="29"/>
    </row>
    <row r="12" spans="1:5" ht="15" customHeight="1">
      <c r="A12" s="28"/>
      <c r="B12" s="29"/>
      <c r="C12" s="30"/>
      <c r="D12" s="31"/>
      <c r="E12" s="29"/>
    </row>
    <row r="13" spans="1:5" ht="15" customHeight="1">
      <c r="A13" s="28"/>
      <c r="B13" s="29"/>
      <c r="C13" s="30"/>
      <c r="D13" s="31"/>
      <c r="E13" s="29"/>
    </row>
    <row r="14" spans="1:5" ht="15" customHeight="1">
      <c r="A14" s="28"/>
      <c r="B14" s="29"/>
      <c r="C14" s="30"/>
      <c r="D14" s="31"/>
      <c r="E14" s="29"/>
    </row>
    <row r="15" spans="1:5" ht="15" customHeight="1">
      <c r="A15" s="28"/>
      <c r="B15" s="29"/>
      <c r="C15" s="30"/>
      <c r="D15" s="31"/>
      <c r="E15" s="29"/>
    </row>
    <row r="16" spans="1:5" ht="15" customHeight="1">
      <c r="A16" s="28"/>
      <c r="B16" s="29"/>
      <c r="C16" s="30"/>
      <c r="D16" s="31"/>
      <c r="E16" s="29"/>
    </row>
    <row r="17" spans="1:5" ht="15" customHeight="1">
      <c r="A17" s="28"/>
      <c r="B17" s="29"/>
      <c r="C17" s="30"/>
      <c r="D17" s="31"/>
      <c r="E17" s="29"/>
    </row>
    <row r="18" spans="1:5" ht="15" customHeight="1">
      <c r="A18" s="28"/>
      <c r="B18" s="29"/>
      <c r="C18" s="30"/>
      <c r="D18" s="31"/>
      <c r="E18" s="29"/>
    </row>
    <row r="19" spans="1:5" ht="15" customHeight="1">
      <c r="A19" s="28"/>
      <c r="B19" s="29"/>
      <c r="C19" s="30"/>
      <c r="D19" s="31"/>
      <c r="E19" s="29"/>
    </row>
    <row r="20" spans="1:5" ht="15" customHeight="1">
      <c r="A20" s="28"/>
      <c r="B20" s="29"/>
      <c r="C20" s="30"/>
      <c r="D20" s="31"/>
      <c r="E20" s="29"/>
    </row>
    <row r="21" spans="1:5" ht="15" customHeight="1">
      <c r="A21" s="28"/>
      <c r="B21" s="29"/>
      <c r="C21" s="30"/>
      <c r="D21" s="31"/>
      <c r="E21" s="29"/>
    </row>
    <row r="22" spans="1:5" ht="15" customHeight="1">
      <c r="A22" s="28"/>
      <c r="B22" s="29"/>
      <c r="C22" s="30"/>
      <c r="D22" s="31"/>
      <c r="E22" s="29"/>
    </row>
    <row r="23" spans="1:5" ht="15" customHeight="1">
      <c r="A23" s="28"/>
      <c r="B23" s="29"/>
      <c r="C23" s="30"/>
      <c r="D23" s="31"/>
      <c r="E23" s="29"/>
    </row>
    <row r="24" spans="1:5" ht="15" customHeight="1">
      <c r="A24" s="28"/>
      <c r="B24" s="29"/>
      <c r="C24" s="30"/>
      <c r="D24" s="31"/>
      <c r="E24" s="29"/>
    </row>
    <row r="25" spans="1:5" ht="15" customHeight="1">
      <c r="A25" s="28"/>
      <c r="B25" s="29"/>
      <c r="C25" s="30"/>
      <c r="D25" s="31"/>
      <c r="E25" s="29"/>
    </row>
    <row r="26" spans="1:5" ht="15" customHeight="1">
      <c r="A26" s="28"/>
      <c r="B26" s="29"/>
      <c r="C26" s="30"/>
      <c r="D26" s="31"/>
      <c r="E26" s="29"/>
    </row>
    <row r="27" spans="1:5" ht="15" customHeight="1">
      <c r="A27" s="28"/>
      <c r="B27" s="29"/>
      <c r="C27" s="30"/>
      <c r="D27" s="31"/>
      <c r="E27" s="29"/>
    </row>
    <row r="28" spans="1:5" ht="15" customHeight="1">
      <c r="A28" s="28"/>
      <c r="B28" s="29"/>
      <c r="C28" s="30"/>
      <c r="D28" s="31"/>
      <c r="E28" s="29"/>
    </row>
    <row r="29" spans="1:5" ht="15" customHeight="1">
      <c r="A29" s="28"/>
      <c r="B29" s="29"/>
      <c r="C29" s="30"/>
      <c r="D29" s="31"/>
      <c r="E29" s="29"/>
    </row>
    <row r="30" spans="1:5" ht="15" customHeight="1">
      <c r="A30" s="28"/>
      <c r="B30" s="29"/>
      <c r="C30" s="30"/>
      <c r="D30" s="31"/>
      <c r="E30" s="29"/>
    </row>
    <row r="31" spans="1:5" ht="15" customHeight="1">
      <c r="A31" s="28"/>
      <c r="B31" s="29"/>
      <c r="C31" s="30"/>
      <c r="D31" s="31"/>
      <c r="E31" s="29"/>
    </row>
    <row r="32" spans="1:5" ht="15" customHeight="1">
      <c r="A32" s="28"/>
      <c r="B32" s="29"/>
      <c r="C32" s="30"/>
      <c r="D32" s="31"/>
      <c r="E32" s="29"/>
    </row>
    <row r="33" spans="1:5" ht="15" customHeight="1">
      <c r="A33" s="28"/>
      <c r="B33" s="29"/>
      <c r="C33" s="30"/>
      <c r="D33" s="31"/>
      <c r="E33" s="29"/>
    </row>
    <row r="34" spans="1:5" ht="15" customHeight="1">
      <c r="A34" s="28"/>
      <c r="B34" s="29"/>
      <c r="C34" s="30"/>
      <c r="D34" s="31"/>
      <c r="E34" s="29"/>
    </row>
    <row r="35" spans="1:5" ht="15" customHeight="1">
      <c r="A35" s="28"/>
      <c r="B35" s="29"/>
      <c r="C35" s="30"/>
      <c r="D35" s="31"/>
      <c r="E35" s="29"/>
    </row>
    <row r="36" spans="1:5" ht="15" customHeight="1">
      <c r="A36" s="28"/>
      <c r="B36" s="29"/>
      <c r="C36" s="30"/>
      <c r="D36" s="31"/>
      <c r="E36" s="29"/>
    </row>
    <row r="37" spans="1:5" ht="15" customHeight="1">
      <c r="A37" s="28"/>
      <c r="B37" s="29"/>
      <c r="C37" s="30"/>
      <c r="D37" s="31"/>
      <c r="E37" s="29"/>
    </row>
    <row r="38" spans="1:5" ht="15" customHeight="1">
      <c r="A38" s="28"/>
      <c r="B38" s="29"/>
      <c r="C38" s="30"/>
      <c r="D38" s="31"/>
      <c r="E38" s="29"/>
    </row>
    <row r="39" spans="1:5" ht="15" customHeight="1">
      <c r="A39" s="28"/>
      <c r="B39" s="29"/>
      <c r="C39" s="30"/>
      <c r="D39" s="31"/>
      <c r="E39" s="29"/>
    </row>
    <row r="40" spans="1:5" ht="15" customHeight="1">
      <c r="A40" s="28"/>
      <c r="B40" s="29"/>
      <c r="C40" s="30"/>
      <c r="D40" s="31"/>
      <c r="E40" s="29"/>
    </row>
    <row r="41" spans="1:5" ht="15" customHeight="1">
      <c r="A41" s="28"/>
      <c r="B41" s="29"/>
      <c r="C41" s="30"/>
      <c r="D41" s="31"/>
      <c r="E41" s="29"/>
    </row>
    <row r="42" spans="1:5" ht="15" customHeight="1">
      <c r="A42" s="28"/>
      <c r="B42" s="29"/>
      <c r="C42" s="30"/>
      <c r="D42" s="31"/>
      <c r="E42" s="29"/>
    </row>
    <row r="43" spans="1:5" ht="15" customHeight="1">
      <c r="A43" s="28"/>
      <c r="B43" s="29"/>
      <c r="C43" s="30"/>
      <c r="D43" s="31"/>
      <c r="E43" s="29"/>
    </row>
    <row r="44" spans="1:5" ht="15" customHeight="1">
      <c r="A44" s="28"/>
      <c r="B44" s="29"/>
      <c r="C44" s="30"/>
      <c r="D44" s="31"/>
      <c r="E44" s="29"/>
    </row>
    <row r="45" spans="1:5" ht="15" customHeight="1">
      <c r="A45" s="28"/>
      <c r="B45" s="29"/>
      <c r="C45" s="30"/>
      <c r="D45" s="31"/>
      <c r="E45" s="29"/>
    </row>
    <row r="46" spans="1:5" ht="15" customHeight="1">
      <c r="A46" s="28"/>
      <c r="B46" s="29"/>
      <c r="C46" s="30"/>
      <c r="D46" s="31"/>
      <c r="E46" s="29"/>
    </row>
    <row r="47" spans="1:5" ht="15" customHeight="1">
      <c r="A47" s="28"/>
      <c r="B47" s="29"/>
      <c r="C47" s="30"/>
      <c r="D47" s="31"/>
      <c r="E47" s="29"/>
    </row>
    <row r="48" spans="1:5" ht="15" customHeight="1">
      <c r="A48" s="28"/>
      <c r="B48" s="29"/>
      <c r="C48" s="30"/>
      <c r="D48" s="31"/>
      <c r="E48" s="29"/>
    </row>
    <row r="49" spans="1:5" ht="15" customHeight="1">
      <c r="A49" s="28"/>
      <c r="B49" s="29"/>
      <c r="C49" s="30"/>
      <c r="D49" s="31"/>
      <c r="E49" s="29"/>
    </row>
    <row r="50" spans="1:5" ht="15" customHeight="1">
      <c r="A50" s="28"/>
      <c r="B50" s="29"/>
      <c r="C50" s="30"/>
      <c r="D50" s="31"/>
      <c r="E50" s="29"/>
    </row>
    <row r="51" spans="1:5" ht="15" customHeight="1">
      <c r="A51" s="28"/>
      <c r="B51" s="29"/>
      <c r="C51" s="30"/>
      <c r="D51" s="31"/>
      <c r="E51" s="29"/>
    </row>
    <row r="52" spans="1:5" ht="15" customHeight="1">
      <c r="A52" s="28"/>
      <c r="B52" s="29"/>
      <c r="C52" s="30"/>
      <c r="D52" s="31"/>
      <c r="E52" s="29"/>
    </row>
    <row r="53" spans="1:5" ht="15" customHeight="1">
      <c r="A53" s="28"/>
      <c r="B53" s="29"/>
      <c r="C53" s="30"/>
      <c r="D53" s="31"/>
      <c r="E53" s="29"/>
    </row>
    <row r="55" spans="1:5" ht="15" customHeight="1">
      <c r="A55" s="83" t="s">
        <v>44</v>
      </c>
      <c r="B55" s="83"/>
      <c r="C55" s="12">
        <f>SUM(C4:C53)</f>
        <v>0</v>
      </c>
      <c r="D55" s="11"/>
      <c r="E55" s="11"/>
    </row>
  </sheetData>
  <mergeCells count="3">
    <mergeCell ref="A1:E1"/>
    <mergeCell ref="A2:E2"/>
    <mergeCell ref="A55:B55"/>
  </mergeCells>
  <phoneticPr fontId="46"/>
  <dataValidations count="2">
    <dataValidation type="date" allowBlank="1" sqref="A4:A53" xr:uid="{00000000-0002-0000-1600-000000000000}">
      <formula1>0</formula1>
      <formula2>0</formula2>
    </dataValidation>
    <dataValidation type="list" allowBlank="1" sqref="D4:D53" xr:uid="{00000000-0002-0000-1600-000001000000}">
      <formula1>"通常,リボ,分割,その他"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4" t="s">
        <v>231</v>
      </c>
      <c r="B1" s="94"/>
      <c r="C1" s="94"/>
      <c r="D1" s="94"/>
      <c r="E1" s="94"/>
      <c r="F1" s="94"/>
      <c r="G1" s="94"/>
      <c r="H1" s="94"/>
    </row>
    <row r="2" spans="1:8" ht="11.25" customHeight="1">
      <c r="A2" s="95" t="s">
        <v>232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46142</v>
      </c>
      <c r="B4" s="8">
        <f>SUMIFS(入金入力_レジデンス!$D$4:$D$103,入金入力_レジデンス!$A$4:$A$103,A4)</f>
        <v>0</v>
      </c>
      <c r="C4" s="8">
        <f>SUMIFS(未払一覧_レジデンス!$N$4:$N$103,未払一覧_レジデンス!$M$4:$M$103,A4)</f>
        <v>0</v>
      </c>
      <c r="D4" s="8">
        <f t="shared" ref="D4:D35" si="0">B4-C4-F4</f>
        <v>0</v>
      </c>
      <c r="E4" s="8">
        <f>D4</f>
        <v>0</v>
      </c>
      <c r="F4" s="9">
        <f>SUMIFS(カード枠回復_レジデンス!$C$4:$C$53,カード枠回復_レジデンス!$A$4:$A$53,A4)</f>
        <v>0</v>
      </c>
      <c r="G4" s="57">
        <f>D4+F4</f>
        <v>0</v>
      </c>
      <c r="H4" s="58"/>
    </row>
    <row r="5" spans="1:8" ht="15" customHeight="1">
      <c r="A5" s="56">
        <v>46143</v>
      </c>
      <c r="B5" s="8">
        <f>SUMIFS(入金入力_レジデンス!$D$4:$D$103,入金入力_レジデンス!$A$4:$A$103,A5)</f>
        <v>0</v>
      </c>
      <c r="C5" s="8">
        <f>SUMIFS(未払一覧_レジデンス!$N$4:$N$103,未払一覧_レジデンス!$M$4:$M$103,A5)</f>
        <v>0</v>
      </c>
      <c r="D5" s="8">
        <f t="shared" si="0"/>
        <v>0</v>
      </c>
      <c r="E5" s="8">
        <f t="shared" ref="E5:E35" si="1">E4+D5</f>
        <v>0</v>
      </c>
      <c r="F5" s="9">
        <f>SUMIFS(カード枠回復_レジデンス!$C$4:$C$53,カード枠回復_レジデンス!$A$4:$A$53,A5)</f>
        <v>0</v>
      </c>
      <c r="G5" s="57">
        <f t="shared" ref="G5:G35" si="2">G4+D5+F5</f>
        <v>0</v>
      </c>
      <c r="H5" s="58"/>
    </row>
    <row r="6" spans="1:8" ht="15" customHeight="1">
      <c r="A6" s="59">
        <v>46144</v>
      </c>
      <c r="B6" s="8">
        <f>SUMIFS(入金入力_レジデンス!$D$4:$D$103,入金入力_レジデンス!$A$4:$A$103,A6)</f>
        <v>0</v>
      </c>
      <c r="C6" s="8">
        <f>SUMIFS(未払一覧_レジデンス!$N$4:$N$103,未払一覧_レジデンス!$M$4:$M$103,A6)</f>
        <v>0</v>
      </c>
      <c r="D6" s="8">
        <f t="shared" si="0"/>
        <v>0</v>
      </c>
      <c r="E6" s="8">
        <f t="shared" si="1"/>
        <v>0</v>
      </c>
      <c r="F6" s="9">
        <f>SUMIFS(カード枠回復_レジデンス!$C$4:$C$53,カード枠回復_レジデンス!$A$4:$A$53,A6)</f>
        <v>0</v>
      </c>
      <c r="G6" s="57">
        <f t="shared" si="2"/>
        <v>0</v>
      </c>
      <c r="H6" s="60" t="s">
        <v>236</v>
      </c>
    </row>
    <row r="7" spans="1:8" ht="15" customHeight="1">
      <c r="A7" s="61">
        <v>46145</v>
      </c>
      <c r="B7" s="8">
        <f>SUMIFS(入金入力_レジデンス!$D$4:$D$103,入金入力_レジデンス!$A$4:$A$103,A7)</f>
        <v>0</v>
      </c>
      <c r="C7" s="8">
        <f>SUMIFS(未払一覧_レジデンス!$N$4:$N$103,未払一覧_レジデンス!$M$4:$M$103,A7)</f>
        <v>0</v>
      </c>
      <c r="D7" s="8">
        <f t="shared" si="0"/>
        <v>0</v>
      </c>
      <c r="E7" s="8">
        <f t="shared" si="1"/>
        <v>0</v>
      </c>
      <c r="F7" s="9">
        <f>SUMIFS(カード枠回復_レジデンス!$C$4:$C$53,カード枠回復_レジデンス!$A$4:$A$53,A7)</f>
        <v>0</v>
      </c>
      <c r="G7" s="57">
        <f t="shared" si="2"/>
        <v>0</v>
      </c>
      <c r="H7" s="60" t="s">
        <v>237</v>
      </c>
    </row>
    <row r="8" spans="1:8" ht="15" customHeight="1">
      <c r="A8" s="56">
        <v>46146</v>
      </c>
      <c r="B8" s="8">
        <f>SUMIFS(入金入力_レジデンス!$D$4:$D$103,入金入力_レジデンス!$A$4:$A$103,A8)</f>
        <v>0</v>
      </c>
      <c r="C8" s="8">
        <f>SUMIFS(未払一覧_レジデンス!$N$4:$N$103,未払一覧_レジデンス!$M$4:$M$103,A8)</f>
        <v>0</v>
      </c>
      <c r="D8" s="8">
        <f t="shared" si="0"/>
        <v>0</v>
      </c>
      <c r="E8" s="8">
        <f t="shared" si="1"/>
        <v>0</v>
      </c>
      <c r="F8" s="9">
        <f>SUMIFS(カード枠回復_レジデンス!$C$4:$C$53,カード枠回復_レジデンス!$A$4:$A$53,A8)</f>
        <v>0</v>
      </c>
      <c r="G8" s="57">
        <f t="shared" si="2"/>
        <v>0</v>
      </c>
      <c r="H8" s="58"/>
    </row>
    <row r="9" spans="1:8" ht="15" customHeight="1">
      <c r="A9" s="56">
        <v>46147</v>
      </c>
      <c r="B9" s="8">
        <f>SUMIFS(入金入力_レジデンス!$D$4:$D$103,入金入力_レジデンス!$A$4:$A$103,A9)</f>
        <v>0</v>
      </c>
      <c r="C9" s="8">
        <f>SUMIFS(未払一覧_レジデンス!$N$4:$N$103,未払一覧_レジデンス!$M$4:$M$103,A9)</f>
        <v>0</v>
      </c>
      <c r="D9" s="8">
        <f t="shared" si="0"/>
        <v>0</v>
      </c>
      <c r="E9" s="8">
        <f t="shared" si="1"/>
        <v>0</v>
      </c>
      <c r="F9" s="9">
        <f>SUMIFS(カード枠回復_レジデンス!$C$4:$C$53,カード枠回復_レジデンス!$A$4:$A$53,A9)</f>
        <v>0</v>
      </c>
      <c r="G9" s="57">
        <f t="shared" si="2"/>
        <v>0</v>
      </c>
      <c r="H9" s="58"/>
    </row>
    <row r="10" spans="1:8" ht="15" customHeight="1">
      <c r="A10" s="56">
        <v>46148</v>
      </c>
      <c r="B10" s="8">
        <f>SUMIFS(入金入力_レジデンス!$D$4:$D$103,入金入力_レジデンス!$A$4:$A$103,A10)</f>
        <v>0</v>
      </c>
      <c r="C10" s="8">
        <f>SUMIFS(未払一覧_レジデンス!$N$4:$N$103,未払一覧_レジデンス!$M$4:$M$103,A10)</f>
        <v>0</v>
      </c>
      <c r="D10" s="8">
        <f t="shared" si="0"/>
        <v>0</v>
      </c>
      <c r="E10" s="8">
        <f t="shared" si="1"/>
        <v>0</v>
      </c>
      <c r="F10" s="9">
        <f>SUMIFS(カード枠回復_レジデンス!$C$4:$C$53,カード枠回復_レジデンス!$A$4:$A$53,A10)</f>
        <v>0</v>
      </c>
      <c r="G10" s="57">
        <f t="shared" si="2"/>
        <v>0</v>
      </c>
      <c r="H10" s="58"/>
    </row>
    <row r="11" spans="1:8" ht="15" customHeight="1">
      <c r="A11" s="56">
        <v>46149</v>
      </c>
      <c r="B11" s="8">
        <f>SUMIFS(入金入力_レジデンス!$D$4:$D$103,入金入力_レジデンス!$A$4:$A$103,A11)</f>
        <v>0</v>
      </c>
      <c r="C11" s="8">
        <f>SUMIFS(未払一覧_レジデンス!$N$4:$N$103,未払一覧_レジデンス!$M$4:$M$103,A11)</f>
        <v>0</v>
      </c>
      <c r="D11" s="8">
        <f t="shared" si="0"/>
        <v>0</v>
      </c>
      <c r="E11" s="8">
        <f t="shared" si="1"/>
        <v>0</v>
      </c>
      <c r="F11" s="9">
        <f>SUMIFS(カード枠回復_レジデンス!$C$4:$C$53,カード枠回復_レジデンス!$A$4:$A$53,A11)</f>
        <v>0</v>
      </c>
      <c r="G11" s="57">
        <f t="shared" si="2"/>
        <v>0</v>
      </c>
      <c r="H11" s="58"/>
    </row>
    <row r="12" spans="1:8" ht="15" customHeight="1">
      <c r="A12" s="56">
        <v>46150</v>
      </c>
      <c r="B12" s="8">
        <f>SUMIFS(入金入力_レジデンス!$D$4:$D$103,入金入力_レジデンス!$A$4:$A$103,A12)</f>
        <v>0</v>
      </c>
      <c r="C12" s="8">
        <f>SUMIFS(未払一覧_レジデンス!$N$4:$N$103,未払一覧_レジデンス!$M$4:$M$103,A12)</f>
        <v>0</v>
      </c>
      <c r="D12" s="8">
        <f t="shared" si="0"/>
        <v>0</v>
      </c>
      <c r="E12" s="8">
        <f t="shared" si="1"/>
        <v>0</v>
      </c>
      <c r="F12" s="9">
        <f>SUMIFS(カード枠回復_レジデンス!$C$4:$C$53,カード枠回復_レジデンス!$A$4:$A$53,A12)</f>
        <v>0</v>
      </c>
      <c r="G12" s="57">
        <f t="shared" si="2"/>
        <v>0</v>
      </c>
      <c r="H12" s="58"/>
    </row>
    <row r="13" spans="1:8" ht="15" customHeight="1">
      <c r="A13" s="59">
        <v>46151</v>
      </c>
      <c r="B13" s="8">
        <f>SUMIFS(入金入力_レジデンス!$D$4:$D$103,入金入力_レジデンス!$A$4:$A$103,A13)</f>
        <v>0</v>
      </c>
      <c r="C13" s="8">
        <f>SUMIFS(未払一覧_レジデンス!$N$4:$N$103,未払一覧_レジデンス!$M$4:$M$103,A13)</f>
        <v>0</v>
      </c>
      <c r="D13" s="8">
        <f t="shared" si="0"/>
        <v>0</v>
      </c>
      <c r="E13" s="8">
        <f t="shared" si="1"/>
        <v>0</v>
      </c>
      <c r="F13" s="9">
        <f>SUMIFS(カード枠回復_レジデンス!$C$4:$C$53,カード枠回復_レジデンス!$A$4:$A$53,A13)</f>
        <v>0</v>
      </c>
      <c r="G13" s="57">
        <f t="shared" si="2"/>
        <v>0</v>
      </c>
      <c r="H13" s="60" t="s">
        <v>236</v>
      </c>
    </row>
    <row r="14" spans="1:8" ht="15" customHeight="1">
      <c r="A14" s="61">
        <v>46152</v>
      </c>
      <c r="B14" s="8">
        <f>SUMIFS(入金入力_レジデンス!$D$4:$D$103,入金入力_レジデンス!$A$4:$A$103,A14)</f>
        <v>0</v>
      </c>
      <c r="C14" s="8">
        <f>SUMIFS(未払一覧_レジデンス!$N$4:$N$103,未払一覧_レジデンス!$M$4:$M$103,A14)</f>
        <v>0</v>
      </c>
      <c r="D14" s="8">
        <f t="shared" si="0"/>
        <v>0</v>
      </c>
      <c r="E14" s="8">
        <f t="shared" si="1"/>
        <v>0</v>
      </c>
      <c r="F14" s="9">
        <f>SUMIFS(カード枠回復_レジデンス!$C$4:$C$53,カード枠回復_レジデンス!$A$4:$A$53,A14)</f>
        <v>0</v>
      </c>
      <c r="G14" s="57">
        <f t="shared" si="2"/>
        <v>0</v>
      </c>
      <c r="H14" s="60" t="s">
        <v>237</v>
      </c>
    </row>
    <row r="15" spans="1:8" ht="15" customHeight="1">
      <c r="A15" s="56">
        <v>46153</v>
      </c>
      <c r="B15" s="8">
        <f>SUMIFS(入金入力_レジデンス!$D$4:$D$103,入金入力_レジデンス!$A$4:$A$103,A15)</f>
        <v>0</v>
      </c>
      <c r="C15" s="8">
        <f>SUMIFS(未払一覧_レジデンス!$N$4:$N$103,未払一覧_レジデンス!$M$4:$M$103,A15)</f>
        <v>0</v>
      </c>
      <c r="D15" s="8">
        <f t="shared" si="0"/>
        <v>0</v>
      </c>
      <c r="E15" s="8">
        <f t="shared" si="1"/>
        <v>0</v>
      </c>
      <c r="F15" s="9">
        <f>SUMIFS(カード枠回復_レジデンス!$C$4:$C$53,カード枠回復_レジデンス!$A$4:$A$53,A15)</f>
        <v>0</v>
      </c>
      <c r="G15" s="57">
        <f t="shared" si="2"/>
        <v>0</v>
      </c>
      <c r="H15" s="58"/>
    </row>
    <row r="16" spans="1:8" ht="15" customHeight="1">
      <c r="A16" s="56">
        <v>46154</v>
      </c>
      <c r="B16" s="8">
        <f>SUMIFS(入金入力_レジデンス!$D$4:$D$103,入金入力_レジデンス!$A$4:$A$103,A16)</f>
        <v>0</v>
      </c>
      <c r="C16" s="8">
        <f>SUMIFS(未払一覧_レジデンス!$N$4:$N$103,未払一覧_レジデンス!$M$4:$M$103,A16)</f>
        <v>0</v>
      </c>
      <c r="D16" s="8">
        <f t="shared" si="0"/>
        <v>0</v>
      </c>
      <c r="E16" s="8">
        <f t="shared" si="1"/>
        <v>0</v>
      </c>
      <c r="F16" s="9">
        <f>SUMIFS(カード枠回復_レジデンス!$C$4:$C$53,カード枠回復_レジデンス!$A$4:$A$53,A16)</f>
        <v>0</v>
      </c>
      <c r="G16" s="57">
        <f t="shared" si="2"/>
        <v>0</v>
      </c>
      <c r="H16" s="58"/>
    </row>
    <row r="17" spans="1:8" ht="15" customHeight="1">
      <c r="A17" s="56">
        <v>46155</v>
      </c>
      <c r="B17" s="8">
        <f>SUMIFS(入金入力_レジデンス!$D$4:$D$103,入金入力_レジデンス!$A$4:$A$103,A17)</f>
        <v>0</v>
      </c>
      <c r="C17" s="8">
        <f>SUMIFS(未払一覧_レジデンス!$N$4:$N$103,未払一覧_レジデンス!$M$4:$M$103,A17)</f>
        <v>0</v>
      </c>
      <c r="D17" s="8">
        <f t="shared" si="0"/>
        <v>0</v>
      </c>
      <c r="E17" s="8">
        <f t="shared" si="1"/>
        <v>0</v>
      </c>
      <c r="F17" s="9">
        <f>SUMIFS(カード枠回復_レジデンス!$C$4:$C$53,カード枠回復_レジデンス!$A$4:$A$53,A17)</f>
        <v>0</v>
      </c>
      <c r="G17" s="57">
        <f t="shared" si="2"/>
        <v>0</v>
      </c>
      <c r="H17" s="58"/>
    </row>
    <row r="18" spans="1:8" ht="15" customHeight="1">
      <c r="A18" s="56">
        <v>46156</v>
      </c>
      <c r="B18" s="8">
        <f>SUMIFS(入金入力_レジデンス!$D$4:$D$103,入金入力_レジデンス!$A$4:$A$103,A18)</f>
        <v>0</v>
      </c>
      <c r="C18" s="8">
        <f>SUMIFS(未払一覧_レジデンス!$N$4:$N$103,未払一覧_レジデンス!$M$4:$M$103,A18)</f>
        <v>0</v>
      </c>
      <c r="D18" s="8">
        <f t="shared" si="0"/>
        <v>0</v>
      </c>
      <c r="E18" s="8">
        <f t="shared" si="1"/>
        <v>0</v>
      </c>
      <c r="F18" s="9">
        <f>SUMIFS(カード枠回復_レジデンス!$C$4:$C$53,カード枠回復_レジデンス!$A$4:$A$53,A18)</f>
        <v>0</v>
      </c>
      <c r="G18" s="57">
        <f t="shared" si="2"/>
        <v>0</v>
      </c>
      <c r="H18" s="58"/>
    </row>
    <row r="19" spans="1:8" ht="15" customHeight="1">
      <c r="A19" s="56">
        <v>46157</v>
      </c>
      <c r="B19" s="8">
        <f>SUMIFS(入金入力_レジデンス!$D$4:$D$103,入金入力_レジデンス!$A$4:$A$103,A19)</f>
        <v>0</v>
      </c>
      <c r="C19" s="8">
        <f>SUMIFS(未払一覧_レジデンス!$N$4:$N$103,未払一覧_レジデンス!$M$4:$M$103,A19)</f>
        <v>0</v>
      </c>
      <c r="D19" s="8">
        <f t="shared" si="0"/>
        <v>0</v>
      </c>
      <c r="E19" s="8">
        <f t="shared" si="1"/>
        <v>0</v>
      </c>
      <c r="F19" s="9">
        <f>SUMIFS(カード枠回復_レジデンス!$C$4:$C$53,カード枠回復_レジデンス!$A$4:$A$53,A19)</f>
        <v>0</v>
      </c>
      <c r="G19" s="57">
        <f t="shared" si="2"/>
        <v>0</v>
      </c>
      <c r="H19" s="58"/>
    </row>
    <row r="20" spans="1:8" ht="15" customHeight="1">
      <c r="A20" s="59">
        <v>46158</v>
      </c>
      <c r="B20" s="8">
        <f>SUMIFS(入金入力_レジデンス!$D$4:$D$103,入金入力_レジデンス!$A$4:$A$103,A20)</f>
        <v>0</v>
      </c>
      <c r="C20" s="8">
        <f>SUMIFS(未払一覧_レジデンス!$N$4:$N$103,未払一覧_レジデンス!$M$4:$M$103,A20)</f>
        <v>0</v>
      </c>
      <c r="D20" s="8">
        <f t="shared" si="0"/>
        <v>0</v>
      </c>
      <c r="E20" s="8">
        <f t="shared" si="1"/>
        <v>0</v>
      </c>
      <c r="F20" s="9">
        <f>SUMIFS(カード枠回復_レジデンス!$C$4:$C$53,カード枠回復_レジデンス!$A$4:$A$53,A20)</f>
        <v>0</v>
      </c>
      <c r="G20" s="57">
        <f t="shared" si="2"/>
        <v>0</v>
      </c>
      <c r="H20" s="60" t="s">
        <v>236</v>
      </c>
    </row>
    <row r="21" spans="1:8" ht="15" customHeight="1">
      <c r="A21" s="61">
        <v>46159</v>
      </c>
      <c r="B21" s="8">
        <f>SUMIFS(入金入力_レジデンス!$D$4:$D$103,入金入力_レジデンス!$A$4:$A$103,A21)</f>
        <v>0</v>
      </c>
      <c r="C21" s="8">
        <f>SUMIFS(未払一覧_レジデンス!$N$4:$N$103,未払一覧_レジデンス!$M$4:$M$103,A21)</f>
        <v>0</v>
      </c>
      <c r="D21" s="8">
        <f t="shared" si="0"/>
        <v>0</v>
      </c>
      <c r="E21" s="8">
        <f t="shared" si="1"/>
        <v>0</v>
      </c>
      <c r="F21" s="9">
        <f>SUMIFS(カード枠回復_レジデンス!$C$4:$C$53,カード枠回復_レジデンス!$A$4:$A$53,A21)</f>
        <v>0</v>
      </c>
      <c r="G21" s="57">
        <f t="shared" si="2"/>
        <v>0</v>
      </c>
      <c r="H21" s="60" t="s">
        <v>237</v>
      </c>
    </row>
    <row r="22" spans="1:8" ht="15" customHeight="1">
      <c r="A22" s="56">
        <v>46160</v>
      </c>
      <c r="B22" s="8">
        <f>SUMIFS(入金入力_レジデンス!$D$4:$D$103,入金入力_レジデンス!$A$4:$A$103,A22)</f>
        <v>0</v>
      </c>
      <c r="C22" s="8">
        <f>SUMIFS(未払一覧_レジデンス!$N$4:$N$103,未払一覧_レジデンス!$M$4:$M$103,A22)</f>
        <v>0</v>
      </c>
      <c r="D22" s="8">
        <f t="shared" si="0"/>
        <v>0</v>
      </c>
      <c r="E22" s="8">
        <f t="shared" si="1"/>
        <v>0</v>
      </c>
      <c r="F22" s="9">
        <f>SUMIFS(カード枠回復_レジデンス!$C$4:$C$53,カード枠回復_レジデンス!$A$4:$A$53,A22)</f>
        <v>0</v>
      </c>
      <c r="G22" s="57">
        <f t="shared" si="2"/>
        <v>0</v>
      </c>
      <c r="H22" s="58"/>
    </row>
    <row r="23" spans="1:8" ht="15" customHeight="1">
      <c r="A23" s="56">
        <v>46161</v>
      </c>
      <c r="B23" s="8">
        <f>SUMIFS(入金入力_レジデンス!$D$4:$D$103,入金入力_レジデンス!$A$4:$A$103,A23)</f>
        <v>0</v>
      </c>
      <c r="C23" s="8">
        <f>SUMIFS(未払一覧_レジデンス!$N$4:$N$103,未払一覧_レジデンス!$M$4:$M$103,A23)</f>
        <v>0</v>
      </c>
      <c r="D23" s="8">
        <f t="shared" si="0"/>
        <v>0</v>
      </c>
      <c r="E23" s="8">
        <f t="shared" si="1"/>
        <v>0</v>
      </c>
      <c r="F23" s="9">
        <f>SUMIFS(カード枠回復_レジデンス!$C$4:$C$53,カード枠回復_レジデンス!$A$4:$A$53,A23)</f>
        <v>0</v>
      </c>
      <c r="G23" s="57">
        <f t="shared" si="2"/>
        <v>0</v>
      </c>
      <c r="H23" s="58"/>
    </row>
    <row r="24" spans="1:8" ht="15" customHeight="1">
      <c r="A24" s="56">
        <v>46162</v>
      </c>
      <c r="B24" s="8">
        <f>SUMIFS(入金入力_レジデンス!$D$4:$D$103,入金入力_レジデンス!$A$4:$A$103,A24)</f>
        <v>0</v>
      </c>
      <c r="C24" s="8">
        <f>SUMIFS(未払一覧_レジデンス!$N$4:$N$103,未払一覧_レジデンス!$M$4:$M$103,A24)</f>
        <v>0</v>
      </c>
      <c r="D24" s="8">
        <f t="shared" si="0"/>
        <v>0</v>
      </c>
      <c r="E24" s="8">
        <f t="shared" si="1"/>
        <v>0</v>
      </c>
      <c r="F24" s="9">
        <f>SUMIFS(カード枠回復_レジデンス!$C$4:$C$53,カード枠回復_レジデンス!$A$4:$A$53,A24)</f>
        <v>0</v>
      </c>
      <c r="G24" s="57">
        <f t="shared" si="2"/>
        <v>0</v>
      </c>
      <c r="H24" s="58"/>
    </row>
    <row r="25" spans="1:8" ht="15" customHeight="1">
      <c r="A25" s="56">
        <v>46163</v>
      </c>
      <c r="B25" s="8">
        <f>SUMIFS(入金入力_レジデンス!$D$4:$D$103,入金入力_レジデンス!$A$4:$A$103,A25)</f>
        <v>0</v>
      </c>
      <c r="C25" s="8">
        <f>SUMIFS(未払一覧_レジデンス!$N$4:$N$103,未払一覧_レジデンス!$M$4:$M$103,A25)</f>
        <v>0</v>
      </c>
      <c r="D25" s="8">
        <f t="shared" si="0"/>
        <v>0</v>
      </c>
      <c r="E25" s="8">
        <f t="shared" si="1"/>
        <v>0</v>
      </c>
      <c r="F25" s="9">
        <f>SUMIFS(カード枠回復_レジデンス!$C$4:$C$53,カード枠回復_レジデンス!$A$4:$A$53,A25)</f>
        <v>0</v>
      </c>
      <c r="G25" s="57">
        <f t="shared" si="2"/>
        <v>0</v>
      </c>
      <c r="H25" s="58"/>
    </row>
    <row r="26" spans="1:8" ht="15" customHeight="1">
      <c r="A26" s="56">
        <v>46164</v>
      </c>
      <c r="B26" s="8">
        <f>SUMIFS(入金入力_レジデンス!$D$4:$D$103,入金入力_レジデンス!$A$4:$A$103,A26)</f>
        <v>0</v>
      </c>
      <c r="C26" s="8">
        <f>SUMIFS(未払一覧_レジデンス!$N$4:$N$103,未払一覧_レジデンス!$M$4:$M$103,A26)</f>
        <v>0</v>
      </c>
      <c r="D26" s="8">
        <f t="shared" si="0"/>
        <v>0</v>
      </c>
      <c r="E26" s="8">
        <f t="shared" si="1"/>
        <v>0</v>
      </c>
      <c r="F26" s="9">
        <f>SUMIFS(カード枠回復_レジデンス!$C$4:$C$53,カード枠回復_レジデンス!$A$4:$A$53,A26)</f>
        <v>0</v>
      </c>
      <c r="G26" s="57">
        <f t="shared" si="2"/>
        <v>0</v>
      </c>
      <c r="H26" s="58"/>
    </row>
    <row r="27" spans="1:8" ht="15" customHeight="1">
      <c r="A27" s="59">
        <v>46165</v>
      </c>
      <c r="B27" s="8">
        <f>SUMIFS(入金入力_レジデンス!$D$4:$D$103,入金入力_レジデンス!$A$4:$A$103,A27)</f>
        <v>0</v>
      </c>
      <c r="C27" s="8">
        <f>SUMIFS(未払一覧_レジデンス!$N$4:$N$103,未払一覧_レジデンス!$M$4:$M$103,A27)</f>
        <v>0</v>
      </c>
      <c r="D27" s="8">
        <f t="shared" si="0"/>
        <v>0</v>
      </c>
      <c r="E27" s="8">
        <f t="shared" si="1"/>
        <v>0</v>
      </c>
      <c r="F27" s="9">
        <f>SUMIFS(カード枠回復_レジデンス!$C$4:$C$53,カード枠回復_レジデンス!$A$4:$A$53,A27)</f>
        <v>0</v>
      </c>
      <c r="G27" s="57">
        <f t="shared" si="2"/>
        <v>0</v>
      </c>
      <c r="H27" s="60" t="s">
        <v>236</v>
      </c>
    </row>
    <row r="28" spans="1:8" ht="15" customHeight="1">
      <c r="A28" s="61">
        <v>46166</v>
      </c>
      <c r="B28" s="8">
        <f>SUMIFS(入金入力_レジデンス!$D$4:$D$103,入金入力_レジデンス!$A$4:$A$103,A28)</f>
        <v>0</v>
      </c>
      <c r="C28" s="8">
        <f>SUMIFS(未払一覧_レジデンス!$N$4:$N$103,未払一覧_レジデンス!$M$4:$M$103,A28)</f>
        <v>0</v>
      </c>
      <c r="D28" s="8">
        <f t="shared" si="0"/>
        <v>0</v>
      </c>
      <c r="E28" s="8">
        <f t="shared" si="1"/>
        <v>0</v>
      </c>
      <c r="F28" s="9">
        <f>SUMIFS(カード枠回復_レジデンス!$C$4:$C$53,カード枠回復_レジデンス!$A$4:$A$53,A28)</f>
        <v>0</v>
      </c>
      <c r="G28" s="57">
        <f t="shared" si="2"/>
        <v>0</v>
      </c>
      <c r="H28" s="60" t="s">
        <v>237</v>
      </c>
    </row>
    <row r="29" spans="1:8" ht="15" customHeight="1">
      <c r="A29" s="56">
        <v>46167</v>
      </c>
      <c r="B29" s="8">
        <f>SUMIFS(入金入力_レジデンス!$D$4:$D$103,入金入力_レジデンス!$A$4:$A$103,A29)</f>
        <v>0</v>
      </c>
      <c r="C29" s="8">
        <f>SUMIFS(未払一覧_レジデンス!$N$4:$N$103,未払一覧_レジデンス!$M$4:$M$103,A29)</f>
        <v>0</v>
      </c>
      <c r="D29" s="8">
        <f t="shared" si="0"/>
        <v>0</v>
      </c>
      <c r="E29" s="8">
        <f t="shared" si="1"/>
        <v>0</v>
      </c>
      <c r="F29" s="9">
        <f>SUMIFS(カード枠回復_レジデンス!$C$4:$C$53,カード枠回復_レジデンス!$A$4:$A$53,A29)</f>
        <v>0</v>
      </c>
      <c r="G29" s="57">
        <f t="shared" si="2"/>
        <v>0</v>
      </c>
      <c r="H29" s="58"/>
    </row>
    <row r="30" spans="1:8" ht="15" customHeight="1">
      <c r="A30" s="56">
        <v>46168</v>
      </c>
      <c r="B30" s="8">
        <f>SUMIFS(入金入力_レジデンス!$D$4:$D$103,入金入力_レジデンス!$A$4:$A$103,A30)</f>
        <v>0</v>
      </c>
      <c r="C30" s="8">
        <f>SUMIFS(未払一覧_レジデンス!$N$4:$N$103,未払一覧_レジデンス!$M$4:$M$103,A30)</f>
        <v>0</v>
      </c>
      <c r="D30" s="8">
        <f t="shared" si="0"/>
        <v>0</v>
      </c>
      <c r="E30" s="8">
        <f t="shared" si="1"/>
        <v>0</v>
      </c>
      <c r="F30" s="9">
        <f>SUMIFS(カード枠回復_レジデンス!$C$4:$C$53,カード枠回復_レジデンス!$A$4:$A$53,A30)</f>
        <v>0</v>
      </c>
      <c r="G30" s="57">
        <f t="shared" si="2"/>
        <v>0</v>
      </c>
      <c r="H30" s="58"/>
    </row>
    <row r="31" spans="1:8" ht="15" customHeight="1">
      <c r="A31" s="56">
        <v>46169</v>
      </c>
      <c r="B31" s="8">
        <f>SUMIFS(入金入力_レジデンス!$D$4:$D$103,入金入力_レジデンス!$A$4:$A$103,A31)</f>
        <v>0</v>
      </c>
      <c r="C31" s="8">
        <f>SUMIFS(未払一覧_レジデンス!$N$4:$N$103,未払一覧_レジデンス!$M$4:$M$103,A31)</f>
        <v>0</v>
      </c>
      <c r="D31" s="8">
        <f t="shared" si="0"/>
        <v>0</v>
      </c>
      <c r="E31" s="8">
        <f t="shared" si="1"/>
        <v>0</v>
      </c>
      <c r="F31" s="9">
        <f>SUMIFS(カード枠回復_レジデンス!$C$4:$C$53,カード枠回復_レジデンス!$A$4:$A$53,A31)</f>
        <v>0</v>
      </c>
      <c r="G31" s="57">
        <f t="shared" si="2"/>
        <v>0</v>
      </c>
      <c r="H31" s="58"/>
    </row>
    <row r="32" spans="1:8" ht="15" customHeight="1">
      <c r="A32" s="56">
        <v>46170</v>
      </c>
      <c r="B32" s="8">
        <f>SUMIFS(入金入力_レジデンス!$D$4:$D$103,入金入力_レジデンス!$A$4:$A$103,A32)</f>
        <v>0</v>
      </c>
      <c r="C32" s="8">
        <f>SUMIFS(未払一覧_レジデンス!$N$4:$N$103,未払一覧_レジデンス!$M$4:$M$103,A32)</f>
        <v>0</v>
      </c>
      <c r="D32" s="8">
        <f t="shared" si="0"/>
        <v>0</v>
      </c>
      <c r="E32" s="8">
        <f t="shared" si="1"/>
        <v>0</v>
      </c>
      <c r="F32" s="9">
        <f>SUMIFS(カード枠回復_レジデンス!$C$4:$C$53,カード枠回復_レジデンス!$A$4:$A$53,A32)</f>
        <v>0</v>
      </c>
      <c r="G32" s="57">
        <f t="shared" si="2"/>
        <v>0</v>
      </c>
      <c r="H32" s="58"/>
    </row>
    <row r="33" spans="1:8" ht="15" customHeight="1">
      <c r="A33" s="56">
        <v>46171</v>
      </c>
      <c r="B33" s="8">
        <f>SUMIFS(入金入力_レジデンス!$D$4:$D$103,入金入力_レジデンス!$A$4:$A$103,A33)</f>
        <v>0</v>
      </c>
      <c r="C33" s="8">
        <f>SUMIFS(未払一覧_レジデンス!$N$4:$N$103,未払一覧_レジデンス!$M$4:$M$103,A33)</f>
        <v>0</v>
      </c>
      <c r="D33" s="8">
        <f t="shared" si="0"/>
        <v>0</v>
      </c>
      <c r="E33" s="8">
        <f t="shared" si="1"/>
        <v>0</v>
      </c>
      <c r="F33" s="9">
        <f>SUMIFS(カード枠回復_レジデンス!$C$4:$C$53,カード枠回復_レジデンス!$A$4:$A$53,A33)</f>
        <v>0</v>
      </c>
      <c r="G33" s="57">
        <f t="shared" si="2"/>
        <v>0</v>
      </c>
      <c r="H33" s="58"/>
    </row>
    <row r="34" spans="1:8" ht="15" customHeight="1">
      <c r="A34" s="59">
        <v>46172</v>
      </c>
      <c r="B34" s="8">
        <f>SUMIFS(入金入力_レジデンス!$D$4:$D$103,入金入力_レジデンス!$A$4:$A$103,A34)</f>
        <v>0</v>
      </c>
      <c r="C34" s="8">
        <f>SUMIFS(未払一覧_レジデンス!$N$4:$N$103,未払一覧_レジデンス!$M$4:$M$103,A34)</f>
        <v>0</v>
      </c>
      <c r="D34" s="8">
        <f t="shared" si="0"/>
        <v>0</v>
      </c>
      <c r="E34" s="8">
        <f t="shared" si="1"/>
        <v>0</v>
      </c>
      <c r="F34" s="9">
        <f>SUMIFS(カード枠回復_レジデンス!$C$4:$C$53,カード枠回復_レジデンス!$A$4:$A$53,A34)</f>
        <v>0</v>
      </c>
      <c r="G34" s="57">
        <f t="shared" si="2"/>
        <v>0</v>
      </c>
      <c r="H34" s="60" t="s">
        <v>236</v>
      </c>
    </row>
    <row r="35" spans="1:8" ht="15" customHeight="1">
      <c r="A35" s="61">
        <v>46173</v>
      </c>
      <c r="B35" s="8">
        <f>SUMIFS(入金入力_レジデンス!$D$4:$D$103,入金入力_レジデンス!$A$4:$A$103,A35)</f>
        <v>0</v>
      </c>
      <c r="C35" s="8">
        <f>SUMIFS(未払一覧_レジデンス!$N$4:$N$103,未払一覧_レジデンス!$M$4:$M$103,A35)</f>
        <v>0</v>
      </c>
      <c r="D35" s="8">
        <f t="shared" si="0"/>
        <v>0</v>
      </c>
      <c r="E35" s="8">
        <f t="shared" si="1"/>
        <v>0</v>
      </c>
      <c r="F35" s="9">
        <f>SUMIFS(カード枠回復_レジデンス!$C$4:$C$53,カード枠回復_レジデンス!$A$4:$A$53,A35)</f>
        <v>0</v>
      </c>
      <c r="G35" s="57">
        <f t="shared" si="2"/>
        <v>0</v>
      </c>
      <c r="H35" s="60" t="s">
        <v>237</v>
      </c>
    </row>
    <row r="37" spans="1:8" ht="15" customHeight="1">
      <c r="A37" s="11" t="s">
        <v>238</v>
      </c>
      <c r="B37" s="12">
        <f>SUM(B4:B35)</f>
        <v>0</v>
      </c>
      <c r="C37" s="12">
        <f>SUM(C4:C35)</f>
        <v>0</v>
      </c>
      <c r="D37" s="12">
        <f>B37-C37-F37</f>
        <v>0</v>
      </c>
      <c r="E37" s="12">
        <f>E35</f>
        <v>0</v>
      </c>
      <c r="F37" s="12">
        <f>SUM(F4:F35)</f>
        <v>0</v>
      </c>
      <c r="G37" s="12">
        <f>G35</f>
        <v>0</v>
      </c>
      <c r="H37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4" t="s">
        <v>240</v>
      </c>
      <c r="B1" s="94"/>
      <c r="C1" s="94"/>
      <c r="D1" s="94"/>
      <c r="E1" s="94"/>
      <c r="F1" s="94"/>
      <c r="G1" s="94"/>
      <c r="H1" s="94"/>
    </row>
    <row r="2" spans="1:8" ht="11.25" customHeight="1">
      <c r="A2" s="95" t="s">
        <v>232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46174</v>
      </c>
      <c r="B4" s="8">
        <f>SUMIFS(入金入力_レジデンス!$D$4:$D$103,入金入力_レジデンス!$A$4:$A$103,A4)</f>
        <v>0</v>
      </c>
      <c r="C4" s="8">
        <f>SUMIFS(未払一覧_レジデンス!$N$4:$N$103,未払一覧_レジデンス!$M$4:$M$103,A4)</f>
        <v>0</v>
      </c>
      <c r="D4" s="8">
        <f t="shared" ref="D4:D33" si="0">B4-C4-F4</f>
        <v>0</v>
      </c>
      <c r="E4" s="8">
        <f>'5月_レジデンス'!E35+D4</f>
        <v>0</v>
      </c>
      <c r="F4" s="9">
        <f>SUMIFS(カード枠回復_レジデンス!$C$4:$C$53,カード枠回復_レジデンス!$A$4:$A$53,A4)</f>
        <v>0</v>
      </c>
      <c r="G4" s="57">
        <f>'5月_レジデンス'!G35+D4+F4</f>
        <v>0</v>
      </c>
      <c r="H4" s="58"/>
    </row>
    <row r="5" spans="1:8" ht="15" customHeight="1">
      <c r="A5" s="56">
        <v>46175</v>
      </c>
      <c r="B5" s="8">
        <f>SUMIFS(入金入力_レジデンス!$D$4:$D$103,入金入力_レジデンス!$A$4:$A$103,A5)</f>
        <v>0</v>
      </c>
      <c r="C5" s="8">
        <f>SUMIFS(未払一覧_レジデンス!$N$4:$N$103,未払一覧_レジデンス!$M$4:$M$103,A5)</f>
        <v>0</v>
      </c>
      <c r="D5" s="8">
        <f t="shared" si="0"/>
        <v>0</v>
      </c>
      <c r="E5" s="8">
        <f t="shared" ref="E5:E33" si="1">E4+D5</f>
        <v>0</v>
      </c>
      <c r="F5" s="9">
        <f>SUMIFS(カード枠回復_レジデンス!$C$4:$C$53,カード枠回復_レジデンス!$A$4:$A$53,A5)</f>
        <v>0</v>
      </c>
      <c r="G5" s="57">
        <f t="shared" ref="G5:G33" si="2">G4+D5+F5</f>
        <v>0</v>
      </c>
      <c r="H5" s="58"/>
    </row>
    <row r="6" spans="1:8" ht="15" customHeight="1">
      <c r="A6" s="56">
        <v>46176</v>
      </c>
      <c r="B6" s="8">
        <f>SUMIFS(入金入力_レジデンス!$D$4:$D$103,入金入力_レジデンス!$A$4:$A$103,A6)</f>
        <v>0</v>
      </c>
      <c r="C6" s="8">
        <f>SUMIFS(未払一覧_レジデンス!$N$4:$N$103,未払一覧_レジデンス!$M$4:$M$103,A6)</f>
        <v>0</v>
      </c>
      <c r="D6" s="8">
        <f t="shared" si="0"/>
        <v>0</v>
      </c>
      <c r="E6" s="8">
        <f t="shared" si="1"/>
        <v>0</v>
      </c>
      <c r="F6" s="9">
        <f>SUMIFS(カード枠回復_レジデンス!$C$4:$C$53,カード枠回復_レジデンス!$A$4:$A$53,A6)</f>
        <v>0</v>
      </c>
      <c r="G6" s="57">
        <f t="shared" si="2"/>
        <v>0</v>
      </c>
      <c r="H6" s="58"/>
    </row>
    <row r="7" spans="1:8" ht="15" customHeight="1">
      <c r="A7" s="56">
        <v>46177</v>
      </c>
      <c r="B7" s="8">
        <f>SUMIFS(入金入力_レジデンス!$D$4:$D$103,入金入力_レジデンス!$A$4:$A$103,A7)</f>
        <v>0</v>
      </c>
      <c r="C7" s="8">
        <f>SUMIFS(未払一覧_レジデンス!$N$4:$N$103,未払一覧_レジデンス!$M$4:$M$103,A7)</f>
        <v>0</v>
      </c>
      <c r="D7" s="8">
        <f t="shared" si="0"/>
        <v>0</v>
      </c>
      <c r="E7" s="8">
        <f t="shared" si="1"/>
        <v>0</v>
      </c>
      <c r="F7" s="9">
        <f>SUMIFS(カード枠回復_レジデンス!$C$4:$C$53,カード枠回復_レジデンス!$A$4:$A$53,A7)</f>
        <v>0</v>
      </c>
      <c r="G7" s="57">
        <f t="shared" si="2"/>
        <v>0</v>
      </c>
      <c r="H7" s="58"/>
    </row>
    <row r="8" spans="1:8" ht="15" customHeight="1">
      <c r="A8" s="56">
        <v>46178</v>
      </c>
      <c r="B8" s="8">
        <f>SUMIFS(入金入力_レジデンス!$D$4:$D$103,入金入力_レジデンス!$A$4:$A$103,A8)</f>
        <v>0</v>
      </c>
      <c r="C8" s="8">
        <f>SUMIFS(未払一覧_レジデンス!$N$4:$N$103,未払一覧_レジデンス!$M$4:$M$103,A8)</f>
        <v>0</v>
      </c>
      <c r="D8" s="8">
        <f t="shared" si="0"/>
        <v>0</v>
      </c>
      <c r="E8" s="8">
        <f t="shared" si="1"/>
        <v>0</v>
      </c>
      <c r="F8" s="9">
        <f>SUMIFS(カード枠回復_レジデンス!$C$4:$C$53,カード枠回復_レジデンス!$A$4:$A$53,A8)</f>
        <v>0</v>
      </c>
      <c r="G8" s="57">
        <f t="shared" si="2"/>
        <v>0</v>
      </c>
      <c r="H8" s="58"/>
    </row>
    <row r="9" spans="1:8" ht="15" customHeight="1">
      <c r="A9" s="59">
        <v>46179</v>
      </c>
      <c r="B9" s="8">
        <f>SUMIFS(入金入力_レジデンス!$D$4:$D$103,入金入力_レジデンス!$A$4:$A$103,A9)</f>
        <v>0</v>
      </c>
      <c r="C9" s="8">
        <f>SUMIFS(未払一覧_レジデンス!$N$4:$N$103,未払一覧_レジデンス!$M$4:$M$103,A9)</f>
        <v>0</v>
      </c>
      <c r="D9" s="8">
        <f t="shared" si="0"/>
        <v>0</v>
      </c>
      <c r="E9" s="8">
        <f t="shared" si="1"/>
        <v>0</v>
      </c>
      <c r="F9" s="9">
        <f>SUMIFS(カード枠回復_レジデンス!$C$4:$C$53,カード枠回復_レジデンス!$A$4:$A$53,A9)</f>
        <v>0</v>
      </c>
      <c r="G9" s="57">
        <f t="shared" si="2"/>
        <v>0</v>
      </c>
      <c r="H9" s="60" t="s">
        <v>236</v>
      </c>
    </row>
    <row r="10" spans="1:8" ht="15" customHeight="1">
      <c r="A10" s="61">
        <v>46180</v>
      </c>
      <c r="B10" s="8">
        <f>SUMIFS(入金入力_レジデンス!$D$4:$D$103,入金入力_レジデンス!$A$4:$A$103,A10)</f>
        <v>0</v>
      </c>
      <c r="C10" s="8">
        <f>SUMIFS(未払一覧_レジデンス!$N$4:$N$103,未払一覧_レジデンス!$M$4:$M$103,A10)</f>
        <v>0</v>
      </c>
      <c r="D10" s="8">
        <f t="shared" si="0"/>
        <v>0</v>
      </c>
      <c r="E10" s="8">
        <f t="shared" si="1"/>
        <v>0</v>
      </c>
      <c r="F10" s="9">
        <f>SUMIFS(カード枠回復_レジデンス!$C$4:$C$53,カード枠回復_レジデンス!$A$4:$A$53,A10)</f>
        <v>0</v>
      </c>
      <c r="G10" s="57">
        <f t="shared" si="2"/>
        <v>0</v>
      </c>
      <c r="H10" s="60" t="s">
        <v>237</v>
      </c>
    </row>
    <row r="11" spans="1:8" ht="15" customHeight="1">
      <c r="A11" s="56">
        <v>46181</v>
      </c>
      <c r="B11" s="8">
        <f>SUMIFS(入金入力_レジデンス!$D$4:$D$103,入金入力_レジデンス!$A$4:$A$103,A11)</f>
        <v>0</v>
      </c>
      <c r="C11" s="8">
        <f>SUMIFS(未払一覧_レジデンス!$N$4:$N$103,未払一覧_レジデンス!$M$4:$M$103,A11)</f>
        <v>0</v>
      </c>
      <c r="D11" s="8">
        <f t="shared" si="0"/>
        <v>0</v>
      </c>
      <c r="E11" s="8">
        <f t="shared" si="1"/>
        <v>0</v>
      </c>
      <c r="F11" s="9">
        <f>SUMIFS(カード枠回復_レジデンス!$C$4:$C$53,カード枠回復_レジデンス!$A$4:$A$53,A11)</f>
        <v>0</v>
      </c>
      <c r="G11" s="57">
        <f t="shared" si="2"/>
        <v>0</v>
      </c>
      <c r="H11" s="58"/>
    </row>
    <row r="12" spans="1:8" ht="15" customHeight="1">
      <c r="A12" s="56">
        <v>46182</v>
      </c>
      <c r="B12" s="8">
        <f>SUMIFS(入金入力_レジデンス!$D$4:$D$103,入金入力_レジデンス!$A$4:$A$103,A12)</f>
        <v>0</v>
      </c>
      <c r="C12" s="8">
        <f>SUMIFS(未払一覧_レジデンス!$N$4:$N$103,未払一覧_レジデンス!$M$4:$M$103,A12)</f>
        <v>0</v>
      </c>
      <c r="D12" s="8">
        <f t="shared" si="0"/>
        <v>0</v>
      </c>
      <c r="E12" s="8">
        <f t="shared" si="1"/>
        <v>0</v>
      </c>
      <c r="F12" s="9">
        <f>SUMIFS(カード枠回復_レジデンス!$C$4:$C$53,カード枠回復_レジデンス!$A$4:$A$53,A12)</f>
        <v>0</v>
      </c>
      <c r="G12" s="57">
        <f t="shared" si="2"/>
        <v>0</v>
      </c>
      <c r="H12" s="58"/>
    </row>
    <row r="13" spans="1:8" ht="15" customHeight="1">
      <c r="A13" s="56">
        <v>46183</v>
      </c>
      <c r="B13" s="8">
        <f>SUMIFS(入金入力_レジデンス!$D$4:$D$103,入金入力_レジデンス!$A$4:$A$103,A13)</f>
        <v>0</v>
      </c>
      <c r="C13" s="8">
        <f>SUMIFS(未払一覧_レジデンス!$N$4:$N$103,未払一覧_レジデンス!$M$4:$M$103,A13)</f>
        <v>0</v>
      </c>
      <c r="D13" s="8">
        <f t="shared" si="0"/>
        <v>0</v>
      </c>
      <c r="E13" s="8">
        <f t="shared" si="1"/>
        <v>0</v>
      </c>
      <c r="F13" s="9">
        <f>SUMIFS(カード枠回復_レジデンス!$C$4:$C$53,カード枠回復_レジデンス!$A$4:$A$53,A13)</f>
        <v>0</v>
      </c>
      <c r="G13" s="57">
        <f t="shared" si="2"/>
        <v>0</v>
      </c>
      <c r="H13" s="58"/>
    </row>
    <row r="14" spans="1:8" ht="15" customHeight="1">
      <c r="A14" s="56">
        <v>46184</v>
      </c>
      <c r="B14" s="8">
        <f>SUMIFS(入金入力_レジデンス!$D$4:$D$103,入金入力_レジデンス!$A$4:$A$103,A14)</f>
        <v>0</v>
      </c>
      <c r="C14" s="8">
        <f>SUMIFS(未払一覧_レジデンス!$N$4:$N$103,未払一覧_レジデンス!$M$4:$M$103,A14)</f>
        <v>0</v>
      </c>
      <c r="D14" s="8">
        <f t="shared" si="0"/>
        <v>0</v>
      </c>
      <c r="E14" s="8">
        <f t="shared" si="1"/>
        <v>0</v>
      </c>
      <c r="F14" s="9">
        <f>SUMIFS(カード枠回復_レジデンス!$C$4:$C$53,カード枠回復_レジデンス!$A$4:$A$53,A14)</f>
        <v>0</v>
      </c>
      <c r="G14" s="57">
        <f t="shared" si="2"/>
        <v>0</v>
      </c>
      <c r="H14" s="58"/>
    </row>
    <row r="15" spans="1:8" ht="15" customHeight="1">
      <c r="A15" s="56">
        <v>46185</v>
      </c>
      <c r="B15" s="8">
        <f>SUMIFS(入金入力_レジデンス!$D$4:$D$103,入金入力_レジデンス!$A$4:$A$103,A15)</f>
        <v>0</v>
      </c>
      <c r="C15" s="8">
        <f>SUMIFS(未払一覧_レジデンス!$N$4:$N$103,未払一覧_レジデンス!$M$4:$M$103,A15)</f>
        <v>0</v>
      </c>
      <c r="D15" s="8">
        <f t="shared" si="0"/>
        <v>0</v>
      </c>
      <c r="E15" s="8">
        <f t="shared" si="1"/>
        <v>0</v>
      </c>
      <c r="F15" s="9">
        <f>SUMIFS(カード枠回復_レジデンス!$C$4:$C$53,カード枠回復_レジデンス!$A$4:$A$53,A15)</f>
        <v>0</v>
      </c>
      <c r="G15" s="57">
        <f t="shared" si="2"/>
        <v>0</v>
      </c>
      <c r="H15" s="58"/>
    </row>
    <row r="16" spans="1:8" ht="15" customHeight="1">
      <c r="A16" s="59">
        <v>46186</v>
      </c>
      <c r="B16" s="8">
        <f>SUMIFS(入金入力_レジデンス!$D$4:$D$103,入金入力_レジデンス!$A$4:$A$103,A16)</f>
        <v>0</v>
      </c>
      <c r="C16" s="8">
        <f>SUMIFS(未払一覧_レジデンス!$N$4:$N$103,未払一覧_レジデンス!$M$4:$M$103,A16)</f>
        <v>0</v>
      </c>
      <c r="D16" s="8">
        <f t="shared" si="0"/>
        <v>0</v>
      </c>
      <c r="E16" s="8">
        <f t="shared" si="1"/>
        <v>0</v>
      </c>
      <c r="F16" s="9">
        <f>SUMIFS(カード枠回復_レジデンス!$C$4:$C$53,カード枠回復_レジデンス!$A$4:$A$53,A16)</f>
        <v>0</v>
      </c>
      <c r="G16" s="57">
        <f t="shared" si="2"/>
        <v>0</v>
      </c>
      <c r="H16" s="60" t="s">
        <v>236</v>
      </c>
    </row>
    <row r="17" spans="1:8" ht="15" customHeight="1">
      <c r="A17" s="61">
        <v>46187</v>
      </c>
      <c r="B17" s="8">
        <f>SUMIFS(入金入力_レジデンス!$D$4:$D$103,入金入力_レジデンス!$A$4:$A$103,A17)</f>
        <v>0</v>
      </c>
      <c r="C17" s="8">
        <f>SUMIFS(未払一覧_レジデンス!$N$4:$N$103,未払一覧_レジデンス!$M$4:$M$103,A17)</f>
        <v>0</v>
      </c>
      <c r="D17" s="8">
        <f t="shared" si="0"/>
        <v>0</v>
      </c>
      <c r="E17" s="8">
        <f t="shared" si="1"/>
        <v>0</v>
      </c>
      <c r="F17" s="9">
        <f>SUMIFS(カード枠回復_レジデンス!$C$4:$C$53,カード枠回復_レジデンス!$A$4:$A$53,A17)</f>
        <v>0</v>
      </c>
      <c r="G17" s="57">
        <f t="shared" si="2"/>
        <v>0</v>
      </c>
      <c r="H17" s="60" t="s">
        <v>237</v>
      </c>
    </row>
    <row r="18" spans="1:8" ht="15" customHeight="1">
      <c r="A18" s="56">
        <v>46188</v>
      </c>
      <c r="B18" s="8">
        <f>SUMIFS(入金入力_レジデンス!$D$4:$D$103,入金入力_レジデンス!$A$4:$A$103,A18)</f>
        <v>0</v>
      </c>
      <c r="C18" s="8">
        <f>SUMIFS(未払一覧_レジデンス!$N$4:$N$103,未払一覧_レジデンス!$M$4:$M$103,A18)</f>
        <v>0</v>
      </c>
      <c r="D18" s="8">
        <f t="shared" si="0"/>
        <v>0</v>
      </c>
      <c r="E18" s="8">
        <f t="shared" si="1"/>
        <v>0</v>
      </c>
      <c r="F18" s="9">
        <f>SUMIFS(カード枠回復_レジデンス!$C$4:$C$53,カード枠回復_レジデンス!$A$4:$A$53,A18)</f>
        <v>0</v>
      </c>
      <c r="G18" s="57">
        <f t="shared" si="2"/>
        <v>0</v>
      </c>
      <c r="H18" s="58"/>
    </row>
    <row r="19" spans="1:8" ht="15" customHeight="1">
      <c r="A19" s="56">
        <v>46189</v>
      </c>
      <c r="B19" s="8">
        <f>SUMIFS(入金入力_レジデンス!$D$4:$D$103,入金入力_レジデンス!$A$4:$A$103,A19)</f>
        <v>0</v>
      </c>
      <c r="C19" s="8">
        <f>SUMIFS(未払一覧_レジデンス!$N$4:$N$103,未払一覧_レジデンス!$M$4:$M$103,A19)</f>
        <v>0</v>
      </c>
      <c r="D19" s="8">
        <f t="shared" si="0"/>
        <v>0</v>
      </c>
      <c r="E19" s="8">
        <f t="shared" si="1"/>
        <v>0</v>
      </c>
      <c r="F19" s="9">
        <f>SUMIFS(カード枠回復_レジデンス!$C$4:$C$53,カード枠回復_レジデンス!$A$4:$A$53,A19)</f>
        <v>0</v>
      </c>
      <c r="G19" s="57">
        <f t="shared" si="2"/>
        <v>0</v>
      </c>
      <c r="H19" s="58"/>
    </row>
    <row r="20" spans="1:8" ht="15" customHeight="1">
      <c r="A20" s="56">
        <v>46190</v>
      </c>
      <c r="B20" s="8">
        <f>SUMIFS(入金入力_レジデンス!$D$4:$D$103,入金入力_レジデンス!$A$4:$A$103,A20)</f>
        <v>0</v>
      </c>
      <c r="C20" s="8">
        <f>SUMIFS(未払一覧_レジデンス!$N$4:$N$103,未払一覧_レジデンス!$M$4:$M$103,A20)</f>
        <v>0</v>
      </c>
      <c r="D20" s="8">
        <f t="shared" si="0"/>
        <v>0</v>
      </c>
      <c r="E20" s="8">
        <f t="shared" si="1"/>
        <v>0</v>
      </c>
      <c r="F20" s="9">
        <f>SUMIFS(カード枠回復_レジデンス!$C$4:$C$53,カード枠回復_レジデンス!$A$4:$A$53,A20)</f>
        <v>0</v>
      </c>
      <c r="G20" s="57">
        <f t="shared" si="2"/>
        <v>0</v>
      </c>
      <c r="H20" s="58"/>
    </row>
    <row r="21" spans="1:8" ht="15" customHeight="1">
      <c r="A21" s="56">
        <v>46191</v>
      </c>
      <c r="B21" s="8">
        <f>SUMIFS(入金入力_レジデンス!$D$4:$D$103,入金入力_レジデンス!$A$4:$A$103,A21)</f>
        <v>0</v>
      </c>
      <c r="C21" s="8">
        <f>SUMIFS(未払一覧_レジデンス!$N$4:$N$103,未払一覧_レジデンス!$M$4:$M$103,A21)</f>
        <v>0</v>
      </c>
      <c r="D21" s="8">
        <f t="shared" si="0"/>
        <v>0</v>
      </c>
      <c r="E21" s="8">
        <f t="shared" si="1"/>
        <v>0</v>
      </c>
      <c r="F21" s="9">
        <f>SUMIFS(カード枠回復_レジデンス!$C$4:$C$53,カード枠回復_レジデンス!$A$4:$A$53,A21)</f>
        <v>0</v>
      </c>
      <c r="G21" s="57">
        <f t="shared" si="2"/>
        <v>0</v>
      </c>
      <c r="H21" s="58"/>
    </row>
    <row r="22" spans="1:8" ht="15" customHeight="1">
      <c r="A22" s="56">
        <v>46192</v>
      </c>
      <c r="B22" s="8">
        <f>SUMIFS(入金入力_レジデンス!$D$4:$D$103,入金入力_レジデンス!$A$4:$A$103,A22)</f>
        <v>0</v>
      </c>
      <c r="C22" s="8">
        <f>SUMIFS(未払一覧_レジデンス!$N$4:$N$103,未払一覧_レジデンス!$M$4:$M$103,A22)</f>
        <v>0</v>
      </c>
      <c r="D22" s="8">
        <f t="shared" si="0"/>
        <v>0</v>
      </c>
      <c r="E22" s="8">
        <f t="shared" si="1"/>
        <v>0</v>
      </c>
      <c r="F22" s="9">
        <f>SUMIFS(カード枠回復_レジデンス!$C$4:$C$53,カード枠回復_レジデンス!$A$4:$A$53,A22)</f>
        <v>0</v>
      </c>
      <c r="G22" s="57">
        <f t="shared" si="2"/>
        <v>0</v>
      </c>
      <c r="H22" s="58"/>
    </row>
    <row r="23" spans="1:8" ht="15" customHeight="1">
      <c r="A23" s="59">
        <v>46193</v>
      </c>
      <c r="B23" s="8">
        <f>SUMIFS(入金入力_レジデンス!$D$4:$D$103,入金入力_レジデンス!$A$4:$A$103,A23)</f>
        <v>0</v>
      </c>
      <c r="C23" s="8">
        <f>SUMIFS(未払一覧_レジデンス!$N$4:$N$103,未払一覧_レジデンス!$M$4:$M$103,A23)</f>
        <v>0</v>
      </c>
      <c r="D23" s="8">
        <f t="shared" si="0"/>
        <v>0</v>
      </c>
      <c r="E23" s="8">
        <f t="shared" si="1"/>
        <v>0</v>
      </c>
      <c r="F23" s="9">
        <f>SUMIFS(カード枠回復_レジデンス!$C$4:$C$53,カード枠回復_レジデンス!$A$4:$A$53,A23)</f>
        <v>0</v>
      </c>
      <c r="G23" s="57">
        <f t="shared" si="2"/>
        <v>0</v>
      </c>
      <c r="H23" s="60" t="s">
        <v>236</v>
      </c>
    </row>
    <row r="24" spans="1:8" ht="15" customHeight="1">
      <c r="A24" s="61">
        <v>46194</v>
      </c>
      <c r="B24" s="8">
        <f>SUMIFS(入金入力_レジデンス!$D$4:$D$103,入金入力_レジデンス!$A$4:$A$103,A24)</f>
        <v>0</v>
      </c>
      <c r="C24" s="8">
        <f>SUMIFS(未払一覧_レジデンス!$N$4:$N$103,未払一覧_レジデンス!$M$4:$M$103,A24)</f>
        <v>0</v>
      </c>
      <c r="D24" s="8">
        <f t="shared" si="0"/>
        <v>0</v>
      </c>
      <c r="E24" s="8">
        <f t="shared" si="1"/>
        <v>0</v>
      </c>
      <c r="F24" s="9">
        <f>SUMIFS(カード枠回復_レジデンス!$C$4:$C$53,カード枠回復_レジデンス!$A$4:$A$53,A24)</f>
        <v>0</v>
      </c>
      <c r="G24" s="57">
        <f t="shared" si="2"/>
        <v>0</v>
      </c>
      <c r="H24" s="60" t="s">
        <v>237</v>
      </c>
    </row>
    <row r="25" spans="1:8" ht="15" customHeight="1">
      <c r="A25" s="56">
        <v>46195</v>
      </c>
      <c r="B25" s="8">
        <f>SUMIFS(入金入力_レジデンス!$D$4:$D$103,入金入力_レジデンス!$A$4:$A$103,A25)</f>
        <v>0</v>
      </c>
      <c r="C25" s="8">
        <f>SUMIFS(未払一覧_レジデンス!$N$4:$N$103,未払一覧_レジデンス!$M$4:$M$103,A25)</f>
        <v>0</v>
      </c>
      <c r="D25" s="8">
        <f t="shared" si="0"/>
        <v>0</v>
      </c>
      <c r="E25" s="8">
        <f t="shared" si="1"/>
        <v>0</v>
      </c>
      <c r="F25" s="9">
        <f>SUMIFS(カード枠回復_レジデンス!$C$4:$C$53,カード枠回復_レジデンス!$A$4:$A$53,A25)</f>
        <v>0</v>
      </c>
      <c r="G25" s="57">
        <f t="shared" si="2"/>
        <v>0</v>
      </c>
      <c r="H25" s="58"/>
    </row>
    <row r="26" spans="1:8" ht="15" customHeight="1">
      <c r="A26" s="56">
        <v>46196</v>
      </c>
      <c r="B26" s="8">
        <f>SUMIFS(入金入力_レジデンス!$D$4:$D$103,入金入力_レジデンス!$A$4:$A$103,A26)</f>
        <v>0</v>
      </c>
      <c r="C26" s="8">
        <f>SUMIFS(未払一覧_レジデンス!$N$4:$N$103,未払一覧_レジデンス!$M$4:$M$103,A26)</f>
        <v>0</v>
      </c>
      <c r="D26" s="8">
        <f t="shared" si="0"/>
        <v>0</v>
      </c>
      <c r="E26" s="8">
        <f t="shared" si="1"/>
        <v>0</v>
      </c>
      <c r="F26" s="9">
        <f>SUMIFS(カード枠回復_レジデンス!$C$4:$C$53,カード枠回復_レジデンス!$A$4:$A$53,A26)</f>
        <v>0</v>
      </c>
      <c r="G26" s="57">
        <f t="shared" si="2"/>
        <v>0</v>
      </c>
      <c r="H26" s="58"/>
    </row>
    <row r="27" spans="1:8" ht="15" customHeight="1">
      <c r="A27" s="56">
        <v>46197</v>
      </c>
      <c r="B27" s="8">
        <f>SUMIFS(入金入力_レジデンス!$D$4:$D$103,入金入力_レジデンス!$A$4:$A$103,A27)</f>
        <v>0</v>
      </c>
      <c r="C27" s="8">
        <f>SUMIFS(未払一覧_レジデンス!$N$4:$N$103,未払一覧_レジデンス!$M$4:$M$103,A27)</f>
        <v>0</v>
      </c>
      <c r="D27" s="8">
        <f t="shared" si="0"/>
        <v>0</v>
      </c>
      <c r="E27" s="8">
        <f t="shared" si="1"/>
        <v>0</v>
      </c>
      <c r="F27" s="9">
        <f>SUMIFS(カード枠回復_レジデンス!$C$4:$C$53,カード枠回復_レジデンス!$A$4:$A$53,A27)</f>
        <v>0</v>
      </c>
      <c r="G27" s="57">
        <f t="shared" si="2"/>
        <v>0</v>
      </c>
      <c r="H27" s="58"/>
    </row>
    <row r="28" spans="1:8" ht="15" customHeight="1">
      <c r="A28" s="56">
        <v>46198</v>
      </c>
      <c r="B28" s="8">
        <f>SUMIFS(入金入力_レジデンス!$D$4:$D$103,入金入力_レジデンス!$A$4:$A$103,A28)</f>
        <v>0</v>
      </c>
      <c r="C28" s="8">
        <f>SUMIFS(未払一覧_レジデンス!$N$4:$N$103,未払一覧_レジデンス!$M$4:$M$103,A28)</f>
        <v>0</v>
      </c>
      <c r="D28" s="8">
        <f t="shared" si="0"/>
        <v>0</v>
      </c>
      <c r="E28" s="8">
        <f t="shared" si="1"/>
        <v>0</v>
      </c>
      <c r="F28" s="9">
        <f>SUMIFS(カード枠回復_レジデンス!$C$4:$C$53,カード枠回復_レジデンス!$A$4:$A$53,A28)</f>
        <v>0</v>
      </c>
      <c r="G28" s="57">
        <f t="shared" si="2"/>
        <v>0</v>
      </c>
      <c r="H28" s="58"/>
    </row>
    <row r="29" spans="1:8" ht="15" customHeight="1">
      <c r="A29" s="56">
        <v>46199</v>
      </c>
      <c r="B29" s="8">
        <f>SUMIFS(入金入力_レジデンス!$D$4:$D$103,入金入力_レジデンス!$A$4:$A$103,A29)</f>
        <v>0</v>
      </c>
      <c r="C29" s="8">
        <f>SUMIFS(未払一覧_レジデンス!$N$4:$N$103,未払一覧_レジデンス!$M$4:$M$103,A29)</f>
        <v>0</v>
      </c>
      <c r="D29" s="8">
        <f t="shared" si="0"/>
        <v>0</v>
      </c>
      <c r="E29" s="8">
        <f t="shared" si="1"/>
        <v>0</v>
      </c>
      <c r="F29" s="9">
        <f>SUMIFS(カード枠回復_レジデンス!$C$4:$C$53,カード枠回復_レジデンス!$A$4:$A$53,A29)</f>
        <v>0</v>
      </c>
      <c r="G29" s="57">
        <f t="shared" si="2"/>
        <v>0</v>
      </c>
      <c r="H29" s="58"/>
    </row>
    <row r="30" spans="1:8" ht="15" customHeight="1">
      <c r="A30" s="59">
        <v>46200</v>
      </c>
      <c r="B30" s="8">
        <f>SUMIFS(入金入力_レジデンス!$D$4:$D$103,入金入力_レジデンス!$A$4:$A$103,A30)</f>
        <v>0</v>
      </c>
      <c r="C30" s="8">
        <f>SUMIFS(未払一覧_レジデンス!$N$4:$N$103,未払一覧_レジデンス!$M$4:$M$103,A30)</f>
        <v>0</v>
      </c>
      <c r="D30" s="8">
        <f t="shared" si="0"/>
        <v>0</v>
      </c>
      <c r="E30" s="8">
        <f t="shared" si="1"/>
        <v>0</v>
      </c>
      <c r="F30" s="9">
        <f>SUMIFS(カード枠回復_レジデンス!$C$4:$C$53,カード枠回復_レジデンス!$A$4:$A$53,A30)</f>
        <v>0</v>
      </c>
      <c r="G30" s="57">
        <f t="shared" si="2"/>
        <v>0</v>
      </c>
      <c r="H30" s="60" t="s">
        <v>236</v>
      </c>
    </row>
    <row r="31" spans="1:8" ht="15" customHeight="1">
      <c r="A31" s="61">
        <v>46201</v>
      </c>
      <c r="B31" s="8">
        <f>SUMIFS(入金入力_レジデンス!$D$4:$D$103,入金入力_レジデンス!$A$4:$A$103,A31)</f>
        <v>0</v>
      </c>
      <c r="C31" s="8">
        <f>SUMIFS(未払一覧_レジデンス!$N$4:$N$103,未払一覧_レジデンス!$M$4:$M$103,A31)</f>
        <v>0</v>
      </c>
      <c r="D31" s="8">
        <f t="shared" si="0"/>
        <v>0</v>
      </c>
      <c r="E31" s="8">
        <f t="shared" si="1"/>
        <v>0</v>
      </c>
      <c r="F31" s="9">
        <f>SUMIFS(カード枠回復_レジデンス!$C$4:$C$53,カード枠回復_レジデンス!$A$4:$A$53,A31)</f>
        <v>0</v>
      </c>
      <c r="G31" s="57">
        <f t="shared" si="2"/>
        <v>0</v>
      </c>
      <c r="H31" s="60" t="s">
        <v>237</v>
      </c>
    </row>
    <row r="32" spans="1:8" ht="15" customHeight="1">
      <c r="A32" s="56">
        <v>46202</v>
      </c>
      <c r="B32" s="8">
        <f>SUMIFS(入金入力_レジデンス!$D$4:$D$103,入金入力_レジデンス!$A$4:$A$103,A32)</f>
        <v>0</v>
      </c>
      <c r="C32" s="8">
        <f>SUMIFS(未払一覧_レジデンス!$N$4:$N$103,未払一覧_レジデンス!$M$4:$M$103,A32)</f>
        <v>0</v>
      </c>
      <c r="D32" s="8">
        <f t="shared" si="0"/>
        <v>0</v>
      </c>
      <c r="E32" s="8">
        <f t="shared" si="1"/>
        <v>0</v>
      </c>
      <c r="F32" s="9">
        <f>SUMIFS(カード枠回復_レジデンス!$C$4:$C$53,カード枠回復_レジデンス!$A$4:$A$53,A32)</f>
        <v>0</v>
      </c>
      <c r="G32" s="57">
        <f t="shared" si="2"/>
        <v>0</v>
      </c>
      <c r="H32" s="58"/>
    </row>
    <row r="33" spans="1:8" ht="15" customHeight="1">
      <c r="A33" s="56">
        <v>46203</v>
      </c>
      <c r="B33" s="8">
        <f>SUMIFS(入金入力_レジデンス!$D$4:$D$103,入金入力_レジデンス!$A$4:$A$103,A33)</f>
        <v>0</v>
      </c>
      <c r="C33" s="8">
        <f>SUMIFS(未払一覧_レジデンス!$N$4:$N$103,未払一覧_レジデンス!$M$4:$M$103,A33)</f>
        <v>0</v>
      </c>
      <c r="D33" s="8">
        <f t="shared" si="0"/>
        <v>0</v>
      </c>
      <c r="E33" s="8">
        <f t="shared" si="1"/>
        <v>0</v>
      </c>
      <c r="F33" s="9">
        <f>SUMIFS(カード枠回復_レジデンス!$C$4:$C$53,カード枠回復_レジデンス!$A$4:$A$53,A33)</f>
        <v>0</v>
      </c>
      <c r="G33" s="57">
        <f t="shared" si="2"/>
        <v>0</v>
      </c>
      <c r="H33" s="58"/>
    </row>
    <row r="35" spans="1:8" ht="15" customHeight="1">
      <c r="A35" s="11" t="s">
        <v>241</v>
      </c>
      <c r="B35" s="12">
        <f>SUM(B4:B33)</f>
        <v>0</v>
      </c>
      <c r="C35" s="12">
        <f>SUM(C4:C33)</f>
        <v>0</v>
      </c>
      <c r="D35" s="12">
        <f>B35-C35-F35</f>
        <v>0</v>
      </c>
      <c r="E35" s="12">
        <f>E33</f>
        <v>0</v>
      </c>
      <c r="F35" s="12">
        <f>SUM(F4:F33)</f>
        <v>0</v>
      </c>
      <c r="G35" s="12">
        <f>G33</f>
        <v>0</v>
      </c>
      <c r="H35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4" t="s">
        <v>242</v>
      </c>
      <c r="B1" s="94"/>
      <c r="C1" s="94"/>
      <c r="D1" s="94"/>
      <c r="E1" s="94"/>
      <c r="F1" s="94"/>
      <c r="G1" s="94"/>
      <c r="H1" s="94"/>
    </row>
    <row r="2" spans="1:8" ht="11.25" customHeight="1">
      <c r="A2" s="95" t="s">
        <v>232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46204</v>
      </c>
      <c r="B4" s="8">
        <f>SUMIFS(入金入力_レジデンス!$D$4:$D$103,入金入力_レジデンス!$A$4:$A$103,A4)</f>
        <v>0</v>
      </c>
      <c r="C4" s="8">
        <f>SUMIFS(未払一覧_レジデンス!$N$4:$N$103,未払一覧_レジデンス!$M$4:$M$103,A4)</f>
        <v>0</v>
      </c>
      <c r="D4" s="8">
        <f t="shared" ref="D4:D34" si="0">B4-C4-F4</f>
        <v>0</v>
      </c>
      <c r="E4" s="8">
        <f>'6月_レジデンス'!E33+D4</f>
        <v>0</v>
      </c>
      <c r="F4" s="9">
        <f>SUMIFS(カード枠回復_レジデンス!$C$4:$C$53,カード枠回復_レジデンス!$A$4:$A$53,A4)</f>
        <v>0</v>
      </c>
      <c r="G4" s="57">
        <f>'6月_レジデンス'!G33+D4+F4</f>
        <v>0</v>
      </c>
      <c r="H4" s="58"/>
    </row>
    <row r="5" spans="1:8" ht="15" customHeight="1">
      <c r="A5" s="56">
        <v>46205</v>
      </c>
      <c r="B5" s="8">
        <f>SUMIFS(入金入力_レジデンス!$D$4:$D$103,入金入力_レジデンス!$A$4:$A$103,A5)</f>
        <v>0</v>
      </c>
      <c r="C5" s="8">
        <f>SUMIFS(未払一覧_レジデンス!$N$4:$N$103,未払一覧_レジデンス!$M$4:$M$103,A5)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SUMIFS(カード枠回復_レジデンス!$C$4:$C$53,カード枠回復_レジデンス!$A$4:$A$53,A5)</f>
        <v>0</v>
      </c>
      <c r="G5" s="57">
        <f t="shared" ref="G5:G34" si="2">G4+D5+F5</f>
        <v>0</v>
      </c>
      <c r="H5" s="58"/>
    </row>
    <row r="6" spans="1:8" ht="15" customHeight="1">
      <c r="A6" s="56">
        <v>46206</v>
      </c>
      <c r="B6" s="8">
        <f>SUMIFS(入金入力_レジデンス!$D$4:$D$103,入金入力_レジデンス!$A$4:$A$103,A6)</f>
        <v>0</v>
      </c>
      <c r="C6" s="8">
        <f>SUMIFS(未払一覧_レジデンス!$N$4:$N$103,未払一覧_レジデンス!$M$4:$M$103,A6)</f>
        <v>0</v>
      </c>
      <c r="D6" s="8">
        <f t="shared" si="0"/>
        <v>0</v>
      </c>
      <c r="E6" s="8">
        <f t="shared" si="1"/>
        <v>0</v>
      </c>
      <c r="F6" s="9">
        <f>SUMIFS(カード枠回復_レジデンス!$C$4:$C$53,カード枠回復_レジデンス!$A$4:$A$53,A6)</f>
        <v>0</v>
      </c>
      <c r="G6" s="57">
        <f t="shared" si="2"/>
        <v>0</v>
      </c>
      <c r="H6" s="58"/>
    </row>
    <row r="7" spans="1:8" ht="15" customHeight="1">
      <c r="A7" s="59">
        <v>46207</v>
      </c>
      <c r="B7" s="8">
        <f>SUMIFS(入金入力_レジデンス!$D$4:$D$103,入金入力_レジデンス!$A$4:$A$103,A7)</f>
        <v>0</v>
      </c>
      <c r="C7" s="8">
        <f>SUMIFS(未払一覧_レジデンス!$N$4:$N$103,未払一覧_レジデンス!$M$4:$M$103,A7)</f>
        <v>0</v>
      </c>
      <c r="D7" s="8">
        <f t="shared" si="0"/>
        <v>0</v>
      </c>
      <c r="E7" s="8">
        <f t="shared" si="1"/>
        <v>0</v>
      </c>
      <c r="F7" s="9">
        <f>SUMIFS(カード枠回復_レジデンス!$C$4:$C$53,カード枠回復_レジデンス!$A$4:$A$53,A7)</f>
        <v>0</v>
      </c>
      <c r="G7" s="57">
        <f t="shared" si="2"/>
        <v>0</v>
      </c>
      <c r="H7" s="60" t="s">
        <v>236</v>
      </c>
    </row>
    <row r="8" spans="1:8" ht="15" customHeight="1">
      <c r="A8" s="61">
        <v>46208</v>
      </c>
      <c r="B8" s="8">
        <f>SUMIFS(入金入力_レジデンス!$D$4:$D$103,入金入力_レジデンス!$A$4:$A$103,A8)</f>
        <v>0</v>
      </c>
      <c r="C8" s="8">
        <f>SUMIFS(未払一覧_レジデンス!$N$4:$N$103,未払一覧_レジデンス!$M$4:$M$103,A8)</f>
        <v>0</v>
      </c>
      <c r="D8" s="8">
        <f t="shared" si="0"/>
        <v>0</v>
      </c>
      <c r="E8" s="8">
        <f t="shared" si="1"/>
        <v>0</v>
      </c>
      <c r="F8" s="9">
        <f>SUMIFS(カード枠回復_レジデンス!$C$4:$C$53,カード枠回復_レジデンス!$A$4:$A$53,A8)</f>
        <v>0</v>
      </c>
      <c r="G8" s="57">
        <f t="shared" si="2"/>
        <v>0</v>
      </c>
      <c r="H8" s="60" t="s">
        <v>237</v>
      </c>
    </row>
    <row r="9" spans="1:8" ht="15" customHeight="1">
      <c r="A9" s="56">
        <v>46209</v>
      </c>
      <c r="B9" s="8">
        <f>SUMIFS(入金入力_レジデンス!$D$4:$D$103,入金入力_レジデンス!$A$4:$A$103,A9)</f>
        <v>0</v>
      </c>
      <c r="C9" s="8">
        <f>SUMIFS(未払一覧_レジデンス!$N$4:$N$103,未払一覧_レジデンス!$M$4:$M$103,A9)</f>
        <v>0</v>
      </c>
      <c r="D9" s="8">
        <f t="shared" si="0"/>
        <v>0</v>
      </c>
      <c r="E9" s="8">
        <f t="shared" si="1"/>
        <v>0</v>
      </c>
      <c r="F9" s="9">
        <f>SUMIFS(カード枠回復_レジデンス!$C$4:$C$53,カード枠回復_レジデンス!$A$4:$A$53,A9)</f>
        <v>0</v>
      </c>
      <c r="G9" s="57">
        <f t="shared" si="2"/>
        <v>0</v>
      </c>
      <c r="H9" s="58"/>
    </row>
    <row r="10" spans="1:8" ht="15" customHeight="1">
      <c r="A10" s="56">
        <v>46210</v>
      </c>
      <c r="B10" s="8">
        <f>SUMIFS(入金入力_レジデンス!$D$4:$D$103,入金入力_レジデンス!$A$4:$A$103,A10)</f>
        <v>0</v>
      </c>
      <c r="C10" s="8">
        <f>SUMIFS(未払一覧_レジデンス!$N$4:$N$103,未払一覧_レジデンス!$M$4:$M$103,A10)</f>
        <v>0</v>
      </c>
      <c r="D10" s="8">
        <f t="shared" si="0"/>
        <v>0</v>
      </c>
      <c r="E10" s="8">
        <f t="shared" si="1"/>
        <v>0</v>
      </c>
      <c r="F10" s="9">
        <f>SUMIFS(カード枠回復_レジデンス!$C$4:$C$53,カード枠回復_レジデンス!$A$4:$A$53,A10)</f>
        <v>0</v>
      </c>
      <c r="G10" s="57">
        <f t="shared" si="2"/>
        <v>0</v>
      </c>
      <c r="H10" s="58"/>
    </row>
    <row r="11" spans="1:8" ht="15" customHeight="1">
      <c r="A11" s="56">
        <v>46211</v>
      </c>
      <c r="B11" s="8">
        <f>SUMIFS(入金入力_レジデンス!$D$4:$D$103,入金入力_レジデンス!$A$4:$A$103,A11)</f>
        <v>0</v>
      </c>
      <c r="C11" s="8">
        <f>SUMIFS(未払一覧_レジデンス!$N$4:$N$103,未払一覧_レジデンス!$M$4:$M$103,A11)</f>
        <v>0</v>
      </c>
      <c r="D11" s="8">
        <f t="shared" si="0"/>
        <v>0</v>
      </c>
      <c r="E11" s="8">
        <f t="shared" si="1"/>
        <v>0</v>
      </c>
      <c r="F11" s="9">
        <f>SUMIFS(カード枠回復_レジデンス!$C$4:$C$53,カード枠回復_レジデンス!$A$4:$A$53,A11)</f>
        <v>0</v>
      </c>
      <c r="G11" s="57">
        <f t="shared" si="2"/>
        <v>0</v>
      </c>
      <c r="H11" s="58"/>
    </row>
    <row r="12" spans="1:8" ht="15" customHeight="1">
      <c r="A12" s="56">
        <v>46212</v>
      </c>
      <c r="B12" s="8">
        <f>SUMIFS(入金入力_レジデンス!$D$4:$D$103,入金入力_レジデンス!$A$4:$A$103,A12)</f>
        <v>0</v>
      </c>
      <c r="C12" s="8">
        <f>SUMIFS(未払一覧_レジデンス!$N$4:$N$103,未払一覧_レジデンス!$M$4:$M$103,A12)</f>
        <v>0</v>
      </c>
      <c r="D12" s="8">
        <f t="shared" si="0"/>
        <v>0</v>
      </c>
      <c r="E12" s="8">
        <f t="shared" si="1"/>
        <v>0</v>
      </c>
      <c r="F12" s="9">
        <f>SUMIFS(カード枠回復_レジデンス!$C$4:$C$53,カード枠回復_レジデンス!$A$4:$A$53,A12)</f>
        <v>0</v>
      </c>
      <c r="G12" s="57">
        <f t="shared" si="2"/>
        <v>0</v>
      </c>
      <c r="H12" s="58"/>
    </row>
    <row r="13" spans="1:8" ht="15" customHeight="1">
      <c r="A13" s="56">
        <v>46213</v>
      </c>
      <c r="B13" s="8">
        <f>SUMIFS(入金入力_レジデンス!$D$4:$D$103,入金入力_レジデンス!$A$4:$A$103,A13)</f>
        <v>0</v>
      </c>
      <c r="C13" s="8">
        <f>SUMIFS(未払一覧_レジデンス!$N$4:$N$103,未払一覧_レジデンス!$M$4:$M$103,A13)</f>
        <v>0</v>
      </c>
      <c r="D13" s="8">
        <f t="shared" si="0"/>
        <v>0</v>
      </c>
      <c r="E13" s="8">
        <f t="shared" si="1"/>
        <v>0</v>
      </c>
      <c r="F13" s="9">
        <f>SUMIFS(カード枠回復_レジデンス!$C$4:$C$53,カード枠回復_レジデンス!$A$4:$A$53,A13)</f>
        <v>0</v>
      </c>
      <c r="G13" s="57">
        <f t="shared" si="2"/>
        <v>0</v>
      </c>
      <c r="H13" s="58"/>
    </row>
    <row r="14" spans="1:8" ht="15" customHeight="1">
      <c r="A14" s="59">
        <v>46214</v>
      </c>
      <c r="B14" s="8">
        <f>SUMIFS(入金入力_レジデンス!$D$4:$D$103,入金入力_レジデンス!$A$4:$A$103,A14)</f>
        <v>0</v>
      </c>
      <c r="C14" s="8">
        <f>SUMIFS(未払一覧_レジデンス!$N$4:$N$103,未払一覧_レジデンス!$M$4:$M$103,A14)</f>
        <v>0</v>
      </c>
      <c r="D14" s="8">
        <f t="shared" si="0"/>
        <v>0</v>
      </c>
      <c r="E14" s="8">
        <f t="shared" si="1"/>
        <v>0</v>
      </c>
      <c r="F14" s="9">
        <f>SUMIFS(カード枠回復_レジデンス!$C$4:$C$53,カード枠回復_レジデンス!$A$4:$A$53,A14)</f>
        <v>0</v>
      </c>
      <c r="G14" s="57">
        <f t="shared" si="2"/>
        <v>0</v>
      </c>
      <c r="H14" s="60" t="s">
        <v>236</v>
      </c>
    </row>
    <row r="15" spans="1:8" ht="15" customHeight="1">
      <c r="A15" s="61">
        <v>46215</v>
      </c>
      <c r="B15" s="8">
        <f>SUMIFS(入金入力_レジデンス!$D$4:$D$103,入金入力_レジデンス!$A$4:$A$103,A15)</f>
        <v>0</v>
      </c>
      <c r="C15" s="8">
        <f>SUMIFS(未払一覧_レジデンス!$N$4:$N$103,未払一覧_レジデンス!$M$4:$M$103,A15)</f>
        <v>0</v>
      </c>
      <c r="D15" s="8">
        <f t="shared" si="0"/>
        <v>0</v>
      </c>
      <c r="E15" s="8">
        <f t="shared" si="1"/>
        <v>0</v>
      </c>
      <c r="F15" s="9">
        <f>SUMIFS(カード枠回復_レジデンス!$C$4:$C$53,カード枠回復_レジデンス!$A$4:$A$53,A15)</f>
        <v>0</v>
      </c>
      <c r="G15" s="57">
        <f t="shared" si="2"/>
        <v>0</v>
      </c>
      <c r="H15" s="60" t="s">
        <v>237</v>
      </c>
    </row>
    <row r="16" spans="1:8" ht="15" customHeight="1">
      <c r="A16" s="56">
        <v>46216</v>
      </c>
      <c r="B16" s="8">
        <f>SUMIFS(入金入力_レジデンス!$D$4:$D$103,入金入力_レジデンス!$A$4:$A$103,A16)</f>
        <v>0</v>
      </c>
      <c r="C16" s="8">
        <f>SUMIFS(未払一覧_レジデンス!$N$4:$N$103,未払一覧_レジデンス!$M$4:$M$103,A16)</f>
        <v>0</v>
      </c>
      <c r="D16" s="8">
        <f t="shared" si="0"/>
        <v>0</v>
      </c>
      <c r="E16" s="8">
        <f t="shared" si="1"/>
        <v>0</v>
      </c>
      <c r="F16" s="9">
        <f>SUMIFS(カード枠回復_レジデンス!$C$4:$C$53,カード枠回復_レジデンス!$A$4:$A$53,A16)</f>
        <v>0</v>
      </c>
      <c r="G16" s="57">
        <f t="shared" si="2"/>
        <v>0</v>
      </c>
      <c r="H16" s="58"/>
    </row>
    <row r="17" spans="1:8" ht="15" customHeight="1">
      <c r="A17" s="56">
        <v>46217</v>
      </c>
      <c r="B17" s="8">
        <f>SUMIFS(入金入力_レジデンス!$D$4:$D$103,入金入力_レジデンス!$A$4:$A$103,A17)</f>
        <v>0</v>
      </c>
      <c r="C17" s="8">
        <f>SUMIFS(未払一覧_レジデンス!$N$4:$N$103,未払一覧_レジデンス!$M$4:$M$103,A17)</f>
        <v>0</v>
      </c>
      <c r="D17" s="8">
        <f t="shared" si="0"/>
        <v>0</v>
      </c>
      <c r="E17" s="8">
        <f t="shared" si="1"/>
        <v>0</v>
      </c>
      <c r="F17" s="9">
        <f>SUMIFS(カード枠回復_レジデンス!$C$4:$C$53,カード枠回復_レジデンス!$A$4:$A$53,A17)</f>
        <v>0</v>
      </c>
      <c r="G17" s="57">
        <f t="shared" si="2"/>
        <v>0</v>
      </c>
      <c r="H17" s="58"/>
    </row>
    <row r="18" spans="1:8" ht="15" customHeight="1">
      <c r="A18" s="56">
        <v>46218</v>
      </c>
      <c r="B18" s="8">
        <f>SUMIFS(入金入力_レジデンス!$D$4:$D$103,入金入力_レジデンス!$A$4:$A$103,A18)</f>
        <v>0</v>
      </c>
      <c r="C18" s="8">
        <f>SUMIFS(未払一覧_レジデンス!$N$4:$N$103,未払一覧_レジデンス!$M$4:$M$103,A18)</f>
        <v>0</v>
      </c>
      <c r="D18" s="8">
        <f t="shared" si="0"/>
        <v>0</v>
      </c>
      <c r="E18" s="8">
        <f t="shared" si="1"/>
        <v>0</v>
      </c>
      <c r="F18" s="9">
        <f>SUMIFS(カード枠回復_レジデンス!$C$4:$C$53,カード枠回復_レジデンス!$A$4:$A$53,A18)</f>
        <v>0</v>
      </c>
      <c r="G18" s="57">
        <f t="shared" si="2"/>
        <v>0</v>
      </c>
      <c r="H18" s="58"/>
    </row>
    <row r="19" spans="1:8" ht="15" customHeight="1">
      <c r="A19" s="56">
        <v>46219</v>
      </c>
      <c r="B19" s="8">
        <f>SUMIFS(入金入力_レジデンス!$D$4:$D$103,入金入力_レジデンス!$A$4:$A$103,A19)</f>
        <v>0</v>
      </c>
      <c r="C19" s="8">
        <f>SUMIFS(未払一覧_レジデンス!$N$4:$N$103,未払一覧_レジデンス!$M$4:$M$103,A19)</f>
        <v>0</v>
      </c>
      <c r="D19" s="8">
        <f t="shared" si="0"/>
        <v>0</v>
      </c>
      <c r="E19" s="8">
        <f t="shared" si="1"/>
        <v>0</v>
      </c>
      <c r="F19" s="9">
        <f>SUMIFS(カード枠回復_レジデンス!$C$4:$C$53,カード枠回復_レジデンス!$A$4:$A$53,A19)</f>
        <v>0</v>
      </c>
      <c r="G19" s="57">
        <f t="shared" si="2"/>
        <v>0</v>
      </c>
      <c r="H19" s="58"/>
    </row>
    <row r="20" spans="1:8" ht="15" customHeight="1">
      <c r="A20" s="56">
        <v>46220</v>
      </c>
      <c r="B20" s="8">
        <f>SUMIFS(入金入力_レジデンス!$D$4:$D$103,入金入力_レジデンス!$A$4:$A$103,A20)</f>
        <v>0</v>
      </c>
      <c r="C20" s="8">
        <f>SUMIFS(未払一覧_レジデンス!$N$4:$N$103,未払一覧_レジデンス!$M$4:$M$103,A20)</f>
        <v>0</v>
      </c>
      <c r="D20" s="8">
        <f t="shared" si="0"/>
        <v>0</v>
      </c>
      <c r="E20" s="8">
        <f t="shared" si="1"/>
        <v>0</v>
      </c>
      <c r="F20" s="9">
        <f>SUMIFS(カード枠回復_レジデンス!$C$4:$C$53,カード枠回復_レジデンス!$A$4:$A$53,A20)</f>
        <v>0</v>
      </c>
      <c r="G20" s="57">
        <f t="shared" si="2"/>
        <v>0</v>
      </c>
      <c r="H20" s="58"/>
    </row>
    <row r="21" spans="1:8" ht="15" customHeight="1">
      <c r="A21" s="59">
        <v>46221</v>
      </c>
      <c r="B21" s="8">
        <f>SUMIFS(入金入力_レジデンス!$D$4:$D$103,入金入力_レジデンス!$A$4:$A$103,A21)</f>
        <v>0</v>
      </c>
      <c r="C21" s="8">
        <f>SUMIFS(未払一覧_レジデンス!$N$4:$N$103,未払一覧_レジデンス!$M$4:$M$103,A21)</f>
        <v>0</v>
      </c>
      <c r="D21" s="8">
        <f t="shared" si="0"/>
        <v>0</v>
      </c>
      <c r="E21" s="8">
        <f t="shared" si="1"/>
        <v>0</v>
      </c>
      <c r="F21" s="9">
        <f>SUMIFS(カード枠回復_レジデンス!$C$4:$C$53,カード枠回復_レジデンス!$A$4:$A$53,A21)</f>
        <v>0</v>
      </c>
      <c r="G21" s="57">
        <f t="shared" si="2"/>
        <v>0</v>
      </c>
      <c r="H21" s="60" t="s">
        <v>236</v>
      </c>
    </row>
    <row r="22" spans="1:8" ht="15" customHeight="1">
      <c r="A22" s="61">
        <v>46222</v>
      </c>
      <c r="B22" s="8">
        <f>SUMIFS(入金入力_レジデンス!$D$4:$D$103,入金入力_レジデンス!$A$4:$A$103,A22)</f>
        <v>0</v>
      </c>
      <c r="C22" s="8">
        <f>SUMIFS(未払一覧_レジデンス!$N$4:$N$103,未払一覧_レジデンス!$M$4:$M$103,A22)</f>
        <v>0</v>
      </c>
      <c r="D22" s="8">
        <f t="shared" si="0"/>
        <v>0</v>
      </c>
      <c r="E22" s="8">
        <f t="shared" si="1"/>
        <v>0</v>
      </c>
      <c r="F22" s="9">
        <f>SUMIFS(カード枠回復_レジデンス!$C$4:$C$53,カード枠回復_レジデンス!$A$4:$A$53,A22)</f>
        <v>0</v>
      </c>
      <c r="G22" s="57">
        <f t="shared" si="2"/>
        <v>0</v>
      </c>
      <c r="H22" s="60" t="s">
        <v>237</v>
      </c>
    </row>
    <row r="23" spans="1:8" ht="15" customHeight="1">
      <c r="A23" s="56">
        <v>46223</v>
      </c>
      <c r="B23" s="8">
        <f>SUMIFS(入金入力_レジデンス!$D$4:$D$103,入金入力_レジデンス!$A$4:$A$103,A23)</f>
        <v>0</v>
      </c>
      <c r="C23" s="8">
        <f>SUMIFS(未払一覧_レジデンス!$N$4:$N$103,未払一覧_レジデンス!$M$4:$M$103,A23)</f>
        <v>0</v>
      </c>
      <c r="D23" s="8">
        <f t="shared" si="0"/>
        <v>0</v>
      </c>
      <c r="E23" s="8">
        <f t="shared" si="1"/>
        <v>0</v>
      </c>
      <c r="F23" s="9">
        <f>SUMIFS(カード枠回復_レジデンス!$C$4:$C$53,カード枠回復_レジデンス!$A$4:$A$53,A23)</f>
        <v>0</v>
      </c>
      <c r="G23" s="57">
        <f t="shared" si="2"/>
        <v>0</v>
      </c>
      <c r="H23" s="58"/>
    </row>
    <row r="24" spans="1:8" ht="15" customHeight="1">
      <c r="A24" s="56">
        <v>46224</v>
      </c>
      <c r="B24" s="8">
        <f>SUMIFS(入金入力_レジデンス!$D$4:$D$103,入金入力_レジデンス!$A$4:$A$103,A24)</f>
        <v>0</v>
      </c>
      <c r="C24" s="8">
        <f>SUMIFS(未払一覧_レジデンス!$N$4:$N$103,未払一覧_レジデンス!$M$4:$M$103,A24)</f>
        <v>0</v>
      </c>
      <c r="D24" s="8">
        <f t="shared" si="0"/>
        <v>0</v>
      </c>
      <c r="E24" s="8">
        <f t="shared" si="1"/>
        <v>0</v>
      </c>
      <c r="F24" s="9">
        <f>SUMIFS(カード枠回復_レジデンス!$C$4:$C$53,カード枠回復_レジデンス!$A$4:$A$53,A24)</f>
        <v>0</v>
      </c>
      <c r="G24" s="57">
        <f t="shared" si="2"/>
        <v>0</v>
      </c>
      <c r="H24" s="58"/>
    </row>
    <row r="25" spans="1:8" ht="15" customHeight="1">
      <c r="A25" s="56">
        <v>46225</v>
      </c>
      <c r="B25" s="8">
        <f>SUMIFS(入金入力_レジデンス!$D$4:$D$103,入金入力_レジデンス!$A$4:$A$103,A25)</f>
        <v>0</v>
      </c>
      <c r="C25" s="8">
        <f>SUMIFS(未払一覧_レジデンス!$N$4:$N$103,未払一覧_レジデンス!$M$4:$M$103,A25)</f>
        <v>0</v>
      </c>
      <c r="D25" s="8">
        <f t="shared" si="0"/>
        <v>0</v>
      </c>
      <c r="E25" s="8">
        <f t="shared" si="1"/>
        <v>0</v>
      </c>
      <c r="F25" s="9">
        <f>SUMIFS(カード枠回復_レジデンス!$C$4:$C$53,カード枠回復_レジデンス!$A$4:$A$53,A25)</f>
        <v>0</v>
      </c>
      <c r="G25" s="57">
        <f t="shared" si="2"/>
        <v>0</v>
      </c>
      <c r="H25" s="58"/>
    </row>
    <row r="26" spans="1:8" ht="15" customHeight="1">
      <c r="A26" s="56">
        <v>46226</v>
      </c>
      <c r="B26" s="8">
        <f>SUMIFS(入金入力_レジデンス!$D$4:$D$103,入金入力_レジデンス!$A$4:$A$103,A26)</f>
        <v>0</v>
      </c>
      <c r="C26" s="8">
        <f>SUMIFS(未払一覧_レジデンス!$N$4:$N$103,未払一覧_レジデンス!$M$4:$M$103,A26)</f>
        <v>0</v>
      </c>
      <c r="D26" s="8">
        <f t="shared" si="0"/>
        <v>0</v>
      </c>
      <c r="E26" s="8">
        <f t="shared" si="1"/>
        <v>0</v>
      </c>
      <c r="F26" s="9">
        <f>SUMIFS(カード枠回復_レジデンス!$C$4:$C$53,カード枠回復_レジデンス!$A$4:$A$53,A26)</f>
        <v>0</v>
      </c>
      <c r="G26" s="57">
        <f t="shared" si="2"/>
        <v>0</v>
      </c>
      <c r="H26" s="58"/>
    </row>
    <row r="27" spans="1:8" ht="15" customHeight="1">
      <c r="A27" s="56">
        <v>46227</v>
      </c>
      <c r="B27" s="8">
        <f>SUMIFS(入金入力_レジデンス!$D$4:$D$103,入金入力_レジデンス!$A$4:$A$103,A27)</f>
        <v>0</v>
      </c>
      <c r="C27" s="8">
        <f>SUMIFS(未払一覧_レジデンス!$N$4:$N$103,未払一覧_レジデンス!$M$4:$M$103,A27)</f>
        <v>0</v>
      </c>
      <c r="D27" s="8">
        <f t="shared" si="0"/>
        <v>0</v>
      </c>
      <c r="E27" s="8">
        <f t="shared" si="1"/>
        <v>0</v>
      </c>
      <c r="F27" s="9">
        <f>SUMIFS(カード枠回復_レジデンス!$C$4:$C$53,カード枠回復_レジデンス!$A$4:$A$53,A27)</f>
        <v>0</v>
      </c>
      <c r="G27" s="57">
        <f t="shared" si="2"/>
        <v>0</v>
      </c>
      <c r="H27" s="58"/>
    </row>
    <row r="28" spans="1:8" ht="15" customHeight="1">
      <c r="A28" s="59">
        <v>46228</v>
      </c>
      <c r="B28" s="8">
        <f>SUMIFS(入金入力_レジデンス!$D$4:$D$103,入金入力_レジデンス!$A$4:$A$103,A28)</f>
        <v>0</v>
      </c>
      <c r="C28" s="8">
        <f>SUMIFS(未払一覧_レジデンス!$N$4:$N$103,未払一覧_レジデンス!$M$4:$M$103,A28)</f>
        <v>0</v>
      </c>
      <c r="D28" s="8">
        <f t="shared" si="0"/>
        <v>0</v>
      </c>
      <c r="E28" s="8">
        <f t="shared" si="1"/>
        <v>0</v>
      </c>
      <c r="F28" s="9">
        <f>SUMIFS(カード枠回復_レジデンス!$C$4:$C$53,カード枠回復_レジデンス!$A$4:$A$53,A28)</f>
        <v>0</v>
      </c>
      <c r="G28" s="57">
        <f t="shared" si="2"/>
        <v>0</v>
      </c>
      <c r="H28" s="60" t="s">
        <v>236</v>
      </c>
    </row>
    <row r="29" spans="1:8" ht="15" customHeight="1">
      <c r="A29" s="61">
        <v>46229</v>
      </c>
      <c r="B29" s="8">
        <f>SUMIFS(入金入力_レジデンス!$D$4:$D$103,入金入力_レジデンス!$A$4:$A$103,A29)</f>
        <v>0</v>
      </c>
      <c r="C29" s="8">
        <f>SUMIFS(未払一覧_レジデンス!$N$4:$N$103,未払一覧_レジデンス!$M$4:$M$103,A29)</f>
        <v>0</v>
      </c>
      <c r="D29" s="8">
        <f t="shared" si="0"/>
        <v>0</v>
      </c>
      <c r="E29" s="8">
        <f t="shared" si="1"/>
        <v>0</v>
      </c>
      <c r="F29" s="9">
        <f>SUMIFS(カード枠回復_レジデンス!$C$4:$C$53,カード枠回復_レジデンス!$A$4:$A$53,A29)</f>
        <v>0</v>
      </c>
      <c r="G29" s="57">
        <f t="shared" si="2"/>
        <v>0</v>
      </c>
      <c r="H29" s="60" t="s">
        <v>237</v>
      </c>
    </row>
    <row r="30" spans="1:8" ht="15" customHeight="1">
      <c r="A30" s="56">
        <v>46230</v>
      </c>
      <c r="B30" s="8">
        <f>SUMIFS(入金入力_レジデンス!$D$4:$D$103,入金入力_レジデンス!$A$4:$A$103,A30)</f>
        <v>0</v>
      </c>
      <c r="C30" s="8">
        <f>SUMIFS(未払一覧_レジデンス!$N$4:$N$103,未払一覧_レジデンス!$M$4:$M$103,A30)</f>
        <v>0</v>
      </c>
      <c r="D30" s="8">
        <f t="shared" si="0"/>
        <v>0</v>
      </c>
      <c r="E30" s="8">
        <f t="shared" si="1"/>
        <v>0</v>
      </c>
      <c r="F30" s="9">
        <f>SUMIFS(カード枠回復_レジデンス!$C$4:$C$53,カード枠回復_レジデンス!$A$4:$A$53,A30)</f>
        <v>0</v>
      </c>
      <c r="G30" s="57">
        <f t="shared" si="2"/>
        <v>0</v>
      </c>
      <c r="H30" s="58"/>
    </row>
    <row r="31" spans="1:8" ht="15" customHeight="1">
      <c r="A31" s="56">
        <v>46231</v>
      </c>
      <c r="B31" s="8">
        <f>SUMIFS(入金入力_レジデンス!$D$4:$D$103,入金入力_レジデンス!$A$4:$A$103,A31)</f>
        <v>0</v>
      </c>
      <c r="C31" s="8">
        <f>SUMIFS(未払一覧_レジデンス!$N$4:$N$103,未払一覧_レジデンス!$M$4:$M$103,A31)</f>
        <v>0</v>
      </c>
      <c r="D31" s="8">
        <f t="shared" si="0"/>
        <v>0</v>
      </c>
      <c r="E31" s="8">
        <f t="shared" si="1"/>
        <v>0</v>
      </c>
      <c r="F31" s="9">
        <f>SUMIFS(カード枠回復_レジデンス!$C$4:$C$53,カード枠回復_レジデンス!$A$4:$A$53,A31)</f>
        <v>0</v>
      </c>
      <c r="G31" s="57">
        <f t="shared" si="2"/>
        <v>0</v>
      </c>
      <c r="H31" s="58"/>
    </row>
    <row r="32" spans="1:8" ht="15" customHeight="1">
      <c r="A32" s="56">
        <v>46232</v>
      </c>
      <c r="B32" s="8">
        <f>SUMIFS(入金入力_レジデンス!$D$4:$D$103,入金入力_レジデンス!$A$4:$A$103,A32)</f>
        <v>0</v>
      </c>
      <c r="C32" s="8">
        <f>SUMIFS(未払一覧_レジデンス!$N$4:$N$103,未払一覧_レジデンス!$M$4:$M$103,A32)</f>
        <v>0</v>
      </c>
      <c r="D32" s="8">
        <f t="shared" si="0"/>
        <v>0</v>
      </c>
      <c r="E32" s="8">
        <f t="shared" si="1"/>
        <v>0</v>
      </c>
      <c r="F32" s="9">
        <f>SUMIFS(カード枠回復_レジデンス!$C$4:$C$53,カード枠回復_レジデンス!$A$4:$A$53,A32)</f>
        <v>0</v>
      </c>
      <c r="G32" s="57">
        <f t="shared" si="2"/>
        <v>0</v>
      </c>
      <c r="H32" s="58"/>
    </row>
    <row r="33" spans="1:8" ht="15" customHeight="1">
      <c r="A33" s="56">
        <v>46233</v>
      </c>
      <c r="B33" s="8">
        <f>SUMIFS(入金入力_レジデンス!$D$4:$D$103,入金入力_レジデンス!$A$4:$A$103,A33)</f>
        <v>0</v>
      </c>
      <c r="C33" s="8">
        <f>SUMIFS(未払一覧_レジデンス!$N$4:$N$103,未払一覧_レジデンス!$M$4:$M$103,A33)</f>
        <v>0</v>
      </c>
      <c r="D33" s="8">
        <f t="shared" si="0"/>
        <v>0</v>
      </c>
      <c r="E33" s="8">
        <f t="shared" si="1"/>
        <v>0</v>
      </c>
      <c r="F33" s="9">
        <f>SUMIFS(カード枠回復_レジデンス!$C$4:$C$53,カード枠回復_レジデンス!$A$4:$A$53,A33)</f>
        <v>0</v>
      </c>
      <c r="G33" s="57">
        <f t="shared" si="2"/>
        <v>0</v>
      </c>
      <c r="H33" s="58"/>
    </row>
    <row r="34" spans="1:8" ht="15" customHeight="1">
      <c r="A34" s="56">
        <v>46234</v>
      </c>
      <c r="B34" s="8">
        <f>SUMIFS(入金入力_レジデンス!$D$4:$D$103,入金入力_レジデンス!$A$4:$A$103,A34)</f>
        <v>0</v>
      </c>
      <c r="C34" s="8">
        <f>SUMIFS(未払一覧_レジデンス!$N$4:$N$103,未払一覧_レジデンス!$M$4:$M$103,A34)</f>
        <v>0</v>
      </c>
      <c r="D34" s="8">
        <f t="shared" si="0"/>
        <v>0</v>
      </c>
      <c r="E34" s="8">
        <f t="shared" si="1"/>
        <v>0</v>
      </c>
      <c r="F34" s="9">
        <f>SUMIFS(カード枠回復_レジデンス!$C$4:$C$53,カード枠回復_レジデンス!$A$4:$A$53,A34)</f>
        <v>0</v>
      </c>
      <c r="G34" s="57">
        <f t="shared" si="2"/>
        <v>0</v>
      </c>
      <c r="H34" s="58"/>
    </row>
    <row r="36" spans="1:8" ht="15" customHeight="1">
      <c r="A36" s="11" t="s">
        <v>243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4" t="s">
        <v>244</v>
      </c>
      <c r="B1" s="94"/>
      <c r="C1" s="94"/>
      <c r="D1" s="94"/>
      <c r="E1" s="94"/>
      <c r="F1" s="94"/>
      <c r="G1" s="94"/>
      <c r="H1" s="94"/>
    </row>
    <row r="2" spans="1:8" ht="11.25" customHeight="1">
      <c r="A2" s="95" t="s">
        <v>232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9">
        <v>46235</v>
      </c>
      <c r="B4" s="8">
        <f>SUMIFS(入金入力_レジデンス!$D$4:$D$103,入金入力_レジデンス!$A$4:$A$103,A4)</f>
        <v>0</v>
      </c>
      <c r="C4" s="8">
        <f>SUMIFS(未払一覧_レジデンス!$N$4:$N$103,未払一覧_レジデンス!$M$4:$M$103,A4)</f>
        <v>0</v>
      </c>
      <c r="D4" s="8">
        <f t="shared" ref="D4:D34" si="0">B4-C4-F4</f>
        <v>0</v>
      </c>
      <c r="E4" s="8">
        <f>'7月_レジデンス'!E34+D4</f>
        <v>0</v>
      </c>
      <c r="F4" s="9">
        <f>SUMIFS(カード枠回復_レジデンス!$C$4:$C$53,カード枠回復_レジデンス!$A$4:$A$53,A4)</f>
        <v>0</v>
      </c>
      <c r="G4" s="57">
        <f>'7月_レジデンス'!G34+D4+F4</f>
        <v>0</v>
      </c>
      <c r="H4" s="60" t="s">
        <v>236</v>
      </c>
    </row>
    <row r="5" spans="1:8" ht="15" customHeight="1">
      <c r="A5" s="61">
        <v>46236</v>
      </c>
      <c r="B5" s="8">
        <f>SUMIFS(入金入力_レジデンス!$D$4:$D$103,入金入力_レジデンス!$A$4:$A$103,A5)</f>
        <v>0</v>
      </c>
      <c r="C5" s="8">
        <f>SUMIFS(未払一覧_レジデンス!$N$4:$N$103,未払一覧_レジデンス!$M$4:$M$103,A5)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SUMIFS(カード枠回復_レジデンス!$C$4:$C$53,カード枠回復_レジデンス!$A$4:$A$53,A5)</f>
        <v>0</v>
      </c>
      <c r="G5" s="57">
        <f t="shared" ref="G5:G34" si="2">G4+D5+F5</f>
        <v>0</v>
      </c>
      <c r="H5" s="60" t="s">
        <v>237</v>
      </c>
    </row>
    <row r="6" spans="1:8" ht="15" customHeight="1">
      <c r="A6" s="56">
        <v>46237</v>
      </c>
      <c r="B6" s="8">
        <f>SUMIFS(入金入力_レジデンス!$D$4:$D$103,入金入力_レジデンス!$A$4:$A$103,A6)</f>
        <v>0</v>
      </c>
      <c r="C6" s="8">
        <f>SUMIFS(未払一覧_レジデンス!$N$4:$N$103,未払一覧_レジデンス!$M$4:$M$103,A6)</f>
        <v>0</v>
      </c>
      <c r="D6" s="8">
        <f t="shared" si="0"/>
        <v>0</v>
      </c>
      <c r="E6" s="8">
        <f t="shared" si="1"/>
        <v>0</v>
      </c>
      <c r="F6" s="9">
        <f>SUMIFS(カード枠回復_レジデンス!$C$4:$C$53,カード枠回復_レジデンス!$A$4:$A$53,A6)</f>
        <v>0</v>
      </c>
      <c r="G6" s="57">
        <f t="shared" si="2"/>
        <v>0</v>
      </c>
      <c r="H6" s="58"/>
    </row>
    <row r="7" spans="1:8" ht="15" customHeight="1">
      <c r="A7" s="56">
        <v>46238</v>
      </c>
      <c r="B7" s="8">
        <f>SUMIFS(入金入力_レジデンス!$D$4:$D$103,入金入力_レジデンス!$A$4:$A$103,A7)</f>
        <v>0</v>
      </c>
      <c r="C7" s="8">
        <f>SUMIFS(未払一覧_レジデンス!$N$4:$N$103,未払一覧_レジデンス!$M$4:$M$103,A7)</f>
        <v>0</v>
      </c>
      <c r="D7" s="8">
        <f t="shared" si="0"/>
        <v>0</v>
      </c>
      <c r="E7" s="8">
        <f t="shared" si="1"/>
        <v>0</v>
      </c>
      <c r="F7" s="9">
        <f>SUMIFS(カード枠回復_レジデンス!$C$4:$C$53,カード枠回復_レジデンス!$A$4:$A$53,A7)</f>
        <v>0</v>
      </c>
      <c r="G7" s="57">
        <f t="shared" si="2"/>
        <v>0</v>
      </c>
      <c r="H7" s="58"/>
    </row>
    <row r="8" spans="1:8" ht="15" customHeight="1">
      <c r="A8" s="56">
        <v>46239</v>
      </c>
      <c r="B8" s="8">
        <f>SUMIFS(入金入力_レジデンス!$D$4:$D$103,入金入力_レジデンス!$A$4:$A$103,A8)</f>
        <v>0</v>
      </c>
      <c r="C8" s="8">
        <f>SUMIFS(未払一覧_レジデンス!$N$4:$N$103,未払一覧_レジデンス!$M$4:$M$103,A8)</f>
        <v>0</v>
      </c>
      <c r="D8" s="8">
        <f t="shared" si="0"/>
        <v>0</v>
      </c>
      <c r="E8" s="8">
        <f t="shared" si="1"/>
        <v>0</v>
      </c>
      <c r="F8" s="9">
        <f>SUMIFS(カード枠回復_レジデンス!$C$4:$C$53,カード枠回復_レジデンス!$A$4:$A$53,A8)</f>
        <v>0</v>
      </c>
      <c r="G8" s="57">
        <f t="shared" si="2"/>
        <v>0</v>
      </c>
      <c r="H8" s="58"/>
    </row>
    <row r="9" spans="1:8" ht="15" customHeight="1">
      <c r="A9" s="56">
        <v>46240</v>
      </c>
      <c r="B9" s="8">
        <f>SUMIFS(入金入力_レジデンス!$D$4:$D$103,入金入力_レジデンス!$A$4:$A$103,A9)</f>
        <v>0</v>
      </c>
      <c r="C9" s="8">
        <f>SUMIFS(未払一覧_レジデンス!$N$4:$N$103,未払一覧_レジデンス!$M$4:$M$103,A9)</f>
        <v>0</v>
      </c>
      <c r="D9" s="8">
        <f t="shared" si="0"/>
        <v>0</v>
      </c>
      <c r="E9" s="8">
        <f t="shared" si="1"/>
        <v>0</v>
      </c>
      <c r="F9" s="9">
        <f>SUMIFS(カード枠回復_レジデンス!$C$4:$C$53,カード枠回復_レジデンス!$A$4:$A$53,A9)</f>
        <v>0</v>
      </c>
      <c r="G9" s="57">
        <f t="shared" si="2"/>
        <v>0</v>
      </c>
      <c r="H9" s="58"/>
    </row>
    <row r="10" spans="1:8" ht="15" customHeight="1">
      <c r="A10" s="56">
        <v>46241</v>
      </c>
      <c r="B10" s="8">
        <f>SUMIFS(入金入力_レジデンス!$D$4:$D$103,入金入力_レジデンス!$A$4:$A$103,A10)</f>
        <v>0</v>
      </c>
      <c r="C10" s="8">
        <f>SUMIFS(未払一覧_レジデンス!$N$4:$N$103,未払一覧_レジデンス!$M$4:$M$103,A10)</f>
        <v>0</v>
      </c>
      <c r="D10" s="8">
        <f t="shared" si="0"/>
        <v>0</v>
      </c>
      <c r="E10" s="8">
        <f t="shared" si="1"/>
        <v>0</v>
      </c>
      <c r="F10" s="9">
        <f>SUMIFS(カード枠回復_レジデンス!$C$4:$C$53,カード枠回復_レジデンス!$A$4:$A$53,A10)</f>
        <v>0</v>
      </c>
      <c r="G10" s="57">
        <f t="shared" si="2"/>
        <v>0</v>
      </c>
      <c r="H10" s="58"/>
    </row>
    <row r="11" spans="1:8" ht="15" customHeight="1">
      <c r="A11" s="59">
        <v>46242</v>
      </c>
      <c r="B11" s="8">
        <f>SUMIFS(入金入力_レジデンス!$D$4:$D$103,入金入力_レジデンス!$A$4:$A$103,A11)</f>
        <v>0</v>
      </c>
      <c r="C11" s="8">
        <f>SUMIFS(未払一覧_レジデンス!$N$4:$N$103,未払一覧_レジデンス!$M$4:$M$103,A11)</f>
        <v>0</v>
      </c>
      <c r="D11" s="8">
        <f t="shared" si="0"/>
        <v>0</v>
      </c>
      <c r="E11" s="8">
        <f t="shared" si="1"/>
        <v>0</v>
      </c>
      <c r="F11" s="9">
        <f>SUMIFS(カード枠回復_レジデンス!$C$4:$C$53,カード枠回復_レジデンス!$A$4:$A$53,A11)</f>
        <v>0</v>
      </c>
      <c r="G11" s="57">
        <f t="shared" si="2"/>
        <v>0</v>
      </c>
      <c r="H11" s="60" t="s">
        <v>236</v>
      </c>
    </row>
    <row r="12" spans="1:8" ht="15" customHeight="1">
      <c r="A12" s="61">
        <v>46243</v>
      </c>
      <c r="B12" s="8">
        <f>SUMIFS(入金入力_レジデンス!$D$4:$D$103,入金入力_レジデンス!$A$4:$A$103,A12)</f>
        <v>0</v>
      </c>
      <c r="C12" s="8">
        <f>SUMIFS(未払一覧_レジデンス!$N$4:$N$103,未払一覧_レジデンス!$M$4:$M$103,A12)</f>
        <v>0</v>
      </c>
      <c r="D12" s="8">
        <f t="shared" si="0"/>
        <v>0</v>
      </c>
      <c r="E12" s="8">
        <f t="shared" si="1"/>
        <v>0</v>
      </c>
      <c r="F12" s="9">
        <f>SUMIFS(カード枠回復_レジデンス!$C$4:$C$53,カード枠回復_レジデンス!$A$4:$A$53,A12)</f>
        <v>0</v>
      </c>
      <c r="G12" s="57">
        <f t="shared" si="2"/>
        <v>0</v>
      </c>
      <c r="H12" s="60" t="s">
        <v>237</v>
      </c>
    </row>
    <row r="13" spans="1:8" ht="15" customHeight="1">
      <c r="A13" s="56">
        <v>46244</v>
      </c>
      <c r="B13" s="8">
        <f>SUMIFS(入金入力_レジデンス!$D$4:$D$103,入金入力_レジデンス!$A$4:$A$103,A13)</f>
        <v>0</v>
      </c>
      <c r="C13" s="8">
        <f>SUMIFS(未払一覧_レジデンス!$N$4:$N$103,未払一覧_レジデンス!$M$4:$M$103,A13)</f>
        <v>0</v>
      </c>
      <c r="D13" s="8">
        <f t="shared" si="0"/>
        <v>0</v>
      </c>
      <c r="E13" s="8">
        <f t="shared" si="1"/>
        <v>0</v>
      </c>
      <c r="F13" s="9">
        <f>SUMIFS(カード枠回復_レジデンス!$C$4:$C$53,カード枠回復_レジデンス!$A$4:$A$53,A13)</f>
        <v>0</v>
      </c>
      <c r="G13" s="57">
        <f t="shared" si="2"/>
        <v>0</v>
      </c>
      <c r="H13" s="58"/>
    </row>
    <row r="14" spans="1:8" ht="15" customHeight="1">
      <c r="A14" s="56">
        <v>46245</v>
      </c>
      <c r="B14" s="8">
        <f>SUMIFS(入金入力_レジデンス!$D$4:$D$103,入金入力_レジデンス!$A$4:$A$103,A14)</f>
        <v>0</v>
      </c>
      <c r="C14" s="8">
        <f>SUMIFS(未払一覧_レジデンス!$N$4:$N$103,未払一覧_レジデンス!$M$4:$M$103,A14)</f>
        <v>0</v>
      </c>
      <c r="D14" s="8">
        <f t="shared" si="0"/>
        <v>0</v>
      </c>
      <c r="E14" s="8">
        <f t="shared" si="1"/>
        <v>0</v>
      </c>
      <c r="F14" s="9">
        <f>SUMIFS(カード枠回復_レジデンス!$C$4:$C$53,カード枠回復_レジデンス!$A$4:$A$53,A14)</f>
        <v>0</v>
      </c>
      <c r="G14" s="57">
        <f t="shared" si="2"/>
        <v>0</v>
      </c>
      <c r="H14" s="58"/>
    </row>
    <row r="15" spans="1:8" ht="15" customHeight="1">
      <c r="A15" s="56">
        <v>46246</v>
      </c>
      <c r="B15" s="8">
        <f>SUMIFS(入金入力_レジデンス!$D$4:$D$103,入金入力_レジデンス!$A$4:$A$103,A15)</f>
        <v>0</v>
      </c>
      <c r="C15" s="8">
        <f>SUMIFS(未払一覧_レジデンス!$N$4:$N$103,未払一覧_レジデンス!$M$4:$M$103,A15)</f>
        <v>0</v>
      </c>
      <c r="D15" s="8">
        <f t="shared" si="0"/>
        <v>0</v>
      </c>
      <c r="E15" s="8">
        <f t="shared" si="1"/>
        <v>0</v>
      </c>
      <c r="F15" s="9">
        <f>SUMIFS(カード枠回復_レジデンス!$C$4:$C$53,カード枠回復_レジデンス!$A$4:$A$53,A15)</f>
        <v>0</v>
      </c>
      <c r="G15" s="57">
        <f t="shared" si="2"/>
        <v>0</v>
      </c>
      <c r="H15" s="58"/>
    </row>
    <row r="16" spans="1:8" ht="15" customHeight="1">
      <c r="A16" s="56">
        <v>46247</v>
      </c>
      <c r="B16" s="8">
        <f>SUMIFS(入金入力_レジデンス!$D$4:$D$103,入金入力_レジデンス!$A$4:$A$103,A16)</f>
        <v>0</v>
      </c>
      <c r="C16" s="8">
        <f>SUMIFS(未払一覧_レジデンス!$N$4:$N$103,未払一覧_レジデンス!$M$4:$M$103,A16)</f>
        <v>0</v>
      </c>
      <c r="D16" s="8">
        <f t="shared" si="0"/>
        <v>0</v>
      </c>
      <c r="E16" s="8">
        <f t="shared" si="1"/>
        <v>0</v>
      </c>
      <c r="F16" s="9">
        <f>SUMIFS(カード枠回復_レジデンス!$C$4:$C$53,カード枠回復_レジデンス!$A$4:$A$53,A16)</f>
        <v>0</v>
      </c>
      <c r="G16" s="57">
        <f t="shared" si="2"/>
        <v>0</v>
      </c>
      <c r="H16" s="58"/>
    </row>
    <row r="17" spans="1:8" ht="15" customHeight="1">
      <c r="A17" s="56">
        <v>46248</v>
      </c>
      <c r="B17" s="8">
        <f>SUMIFS(入金入力_レジデンス!$D$4:$D$103,入金入力_レジデンス!$A$4:$A$103,A17)</f>
        <v>0</v>
      </c>
      <c r="C17" s="8">
        <f>SUMIFS(未払一覧_レジデンス!$N$4:$N$103,未払一覧_レジデンス!$M$4:$M$103,A17)</f>
        <v>0</v>
      </c>
      <c r="D17" s="8">
        <f t="shared" si="0"/>
        <v>0</v>
      </c>
      <c r="E17" s="8">
        <f t="shared" si="1"/>
        <v>0</v>
      </c>
      <c r="F17" s="9">
        <f>SUMIFS(カード枠回復_レジデンス!$C$4:$C$53,カード枠回復_レジデンス!$A$4:$A$53,A17)</f>
        <v>0</v>
      </c>
      <c r="G17" s="57">
        <f t="shared" si="2"/>
        <v>0</v>
      </c>
      <c r="H17" s="58"/>
    </row>
    <row r="18" spans="1:8" ht="15" customHeight="1">
      <c r="A18" s="59">
        <v>46249</v>
      </c>
      <c r="B18" s="8">
        <f>SUMIFS(入金入力_レジデンス!$D$4:$D$103,入金入力_レジデンス!$A$4:$A$103,A18)</f>
        <v>0</v>
      </c>
      <c r="C18" s="8">
        <f>SUMIFS(未払一覧_レジデンス!$N$4:$N$103,未払一覧_レジデンス!$M$4:$M$103,A18)</f>
        <v>0</v>
      </c>
      <c r="D18" s="8">
        <f t="shared" si="0"/>
        <v>0</v>
      </c>
      <c r="E18" s="8">
        <f t="shared" si="1"/>
        <v>0</v>
      </c>
      <c r="F18" s="9">
        <f>SUMIFS(カード枠回復_レジデンス!$C$4:$C$53,カード枠回復_レジデンス!$A$4:$A$53,A18)</f>
        <v>0</v>
      </c>
      <c r="G18" s="57">
        <f t="shared" si="2"/>
        <v>0</v>
      </c>
      <c r="H18" s="60" t="s">
        <v>236</v>
      </c>
    </row>
    <row r="19" spans="1:8" ht="15" customHeight="1">
      <c r="A19" s="61">
        <v>46250</v>
      </c>
      <c r="B19" s="8">
        <f>SUMIFS(入金入力_レジデンス!$D$4:$D$103,入金入力_レジデンス!$A$4:$A$103,A19)</f>
        <v>0</v>
      </c>
      <c r="C19" s="8">
        <f>SUMIFS(未払一覧_レジデンス!$N$4:$N$103,未払一覧_レジデンス!$M$4:$M$103,A19)</f>
        <v>0</v>
      </c>
      <c r="D19" s="8">
        <f t="shared" si="0"/>
        <v>0</v>
      </c>
      <c r="E19" s="8">
        <f t="shared" si="1"/>
        <v>0</v>
      </c>
      <c r="F19" s="9">
        <f>SUMIFS(カード枠回復_レジデンス!$C$4:$C$53,カード枠回復_レジデンス!$A$4:$A$53,A19)</f>
        <v>0</v>
      </c>
      <c r="G19" s="57">
        <f t="shared" si="2"/>
        <v>0</v>
      </c>
      <c r="H19" s="60" t="s">
        <v>237</v>
      </c>
    </row>
    <row r="20" spans="1:8" ht="15" customHeight="1">
      <c r="A20" s="56">
        <v>46251</v>
      </c>
      <c r="B20" s="8">
        <f>SUMIFS(入金入力_レジデンス!$D$4:$D$103,入金入力_レジデンス!$A$4:$A$103,A20)</f>
        <v>0</v>
      </c>
      <c r="C20" s="8">
        <f>SUMIFS(未払一覧_レジデンス!$N$4:$N$103,未払一覧_レジデンス!$M$4:$M$103,A20)</f>
        <v>0</v>
      </c>
      <c r="D20" s="8">
        <f t="shared" si="0"/>
        <v>0</v>
      </c>
      <c r="E20" s="8">
        <f t="shared" si="1"/>
        <v>0</v>
      </c>
      <c r="F20" s="9">
        <f>SUMIFS(カード枠回復_レジデンス!$C$4:$C$53,カード枠回復_レジデンス!$A$4:$A$53,A20)</f>
        <v>0</v>
      </c>
      <c r="G20" s="57">
        <f t="shared" si="2"/>
        <v>0</v>
      </c>
      <c r="H20" s="58"/>
    </row>
    <row r="21" spans="1:8" ht="15" customHeight="1">
      <c r="A21" s="56">
        <v>46252</v>
      </c>
      <c r="B21" s="8">
        <f>SUMIFS(入金入力_レジデンス!$D$4:$D$103,入金入力_レジデンス!$A$4:$A$103,A21)</f>
        <v>0</v>
      </c>
      <c r="C21" s="8">
        <f>SUMIFS(未払一覧_レジデンス!$N$4:$N$103,未払一覧_レジデンス!$M$4:$M$103,A21)</f>
        <v>0</v>
      </c>
      <c r="D21" s="8">
        <f t="shared" si="0"/>
        <v>0</v>
      </c>
      <c r="E21" s="8">
        <f t="shared" si="1"/>
        <v>0</v>
      </c>
      <c r="F21" s="9">
        <f>SUMIFS(カード枠回復_レジデンス!$C$4:$C$53,カード枠回復_レジデンス!$A$4:$A$53,A21)</f>
        <v>0</v>
      </c>
      <c r="G21" s="57">
        <f t="shared" si="2"/>
        <v>0</v>
      </c>
      <c r="H21" s="58"/>
    </row>
    <row r="22" spans="1:8" ht="15" customHeight="1">
      <c r="A22" s="56">
        <v>46253</v>
      </c>
      <c r="B22" s="8">
        <f>SUMIFS(入金入力_レジデンス!$D$4:$D$103,入金入力_レジデンス!$A$4:$A$103,A22)</f>
        <v>0</v>
      </c>
      <c r="C22" s="8">
        <f>SUMIFS(未払一覧_レジデンス!$N$4:$N$103,未払一覧_レジデンス!$M$4:$M$103,A22)</f>
        <v>0</v>
      </c>
      <c r="D22" s="8">
        <f t="shared" si="0"/>
        <v>0</v>
      </c>
      <c r="E22" s="8">
        <f t="shared" si="1"/>
        <v>0</v>
      </c>
      <c r="F22" s="9">
        <f>SUMIFS(カード枠回復_レジデンス!$C$4:$C$53,カード枠回復_レジデンス!$A$4:$A$53,A22)</f>
        <v>0</v>
      </c>
      <c r="G22" s="57">
        <f t="shared" si="2"/>
        <v>0</v>
      </c>
      <c r="H22" s="58"/>
    </row>
    <row r="23" spans="1:8" ht="15" customHeight="1">
      <c r="A23" s="56">
        <v>46254</v>
      </c>
      <c r="B23" s="8">
        <f>SUMIFS(入金入力_レジデンス!$D$4:$D$103,入金入力_レジデンス!$A$4:$A$103,A23)</f>
        <v>0</v>
      </c>
      <c r="C23" s="8">
        <f>SUMIFS(未払一覧_レジデンス!$N$4:$N$103,未払一覧_レジデンス!$M$4:$M$103,A23)</f>
        <v>0</v>
      </c>
      <c r="D23" s="8">
        <f t="shared" si="0"/>
        <v>0</v>
      </c>
      <c r="E23" s="8">
        <f t="shared" si="1"/>
        <v>0</v>
      </c>
      <c r="F23" s="9">
        <f>SUMIFS(カード枠回復_レジデンス!$C$4:$C$53,カード枠回復_レジデンス!$A$4:$A$53,A23)</f>
        <v>0</v>
      </c>
      <c r="G23" s="57">
        <f t="shared" si="2"/>
        <v>0</v>
      </c>
      <c r="H23" s="58"/>
    </row>
    <row r="24" spans="1:8" ht="15" customHeight="1">
      <c r="A24" s="56">
        <v>46255</v>
      </c>
      <c r="B24" s="8">
        <f>SUMIFS(入金入力_レジデンス!$D$4:$D$103,入金入力_レジデンス!$A$4:$A$103,A24)</f>
        <v>0</v>
      </c>
      <c r="C24" s="8">
        <f>SUMIFS(未払一覧_レジデンス!$N$4:$N$103,未払一覧_レジデンス!$M$4:$M$103,A24)</f>
        <v>0</v>
      </c>
      <c r="D24" s="8">
        <f t="shared" si="0"/>
        <v>0</v>
      </c>
      <c r="E24" s="8">
        <f t="shared" si="1"/>
        <v>0</v>
      </c>
      <c r="F24" s="9">
        <f>SUMIFS(カード枠回復_レジデンス!$C$4:$C$53,カード枠回復_レジデンス!$A$4:$A$53,A24)</f>
        <v>0</v>
      </c>
      <c r="G24" s="57">
        <f t="shared" si="2"/>
        <v>0</v>
      </c>
      <c r="H24" s="58"/>
    </row>
    <row r="25" spans="1:8" ht="15" customHeight="1">
      <c r="A25" s="59">
        <v>46256</v>
      </c>
      <c r="B25" s="8">
        <f>SUMIFS(入金入力_レジデンス!$D$4:$D$103,入金入力_レジデンス!$A$4:$A$103,A25)</f>
        <v>0</v>
      </c>
      <c r="C25" s="8">
        <f>SUMIFS(未払一覧_レジデンス!$N$4:$N$103,未払一覧_レジデンス!$M$4:$M$103,A25)</f>
        <v>0</v>
      </c>
      <c r="D25" s="8">
        <f t="shared" si="0"/>
        <v>0</v>
      </c>
      <c r="E25" s="8">
        <f t="shared" si="1"/>
        <v>0</v>
      </c>
      <c r="F25" s="9">
        <f>SUMIFS(カード枠回復_レジデンス!$C$4:$C$53,カード枠回復_レジデンス!$A$4:$A$53,A25)</f>
        <v>0</v>
      </c>
      <c r="G25" s="57">
        <f t="shared" si="2"/>
        <v>0</v>
      </c>
      <c r="H25" s="60" t="s">
        <v>236</v>
      </c>
    </row>
    <row r="26" spans="1:8" ht="15" customHeight="1">
      <c r="A26" s="61">
        <v>46257</v>
      </c>
      <c r="B26" s="8">
        <f>SUMIFS(入金入力_レジデンス!$D$4:$D$103,入金入力_レジデンス!$A$4:$A$103,A26)</f>
        <v>0</v>
      </c>
      <c r="C26" s="8">
        <f>SUMIFS(未払一覧_レジデンス!$N$4:$N$103,未払一覧_レジデンス!$M$4:$M$103,A26)</f>
        <v>0</v>
      </c>
      <c r="D26" s="8">
        <f t="shared" si="0"/>
        <v>0</v>
      </c>
      <c r="E26" s="8">
        <f t="shared" si="1"/>
        <v>0</v>
      </c>
      <c r="F26" s="9">
        <f>SUMIFS(カード枠回復_レジデンス!$C$4:$C$53,カード枠回復_レジデンス!$A$4:$A$53,A26)</f>
        <v>0</v>
      </c>
      <c r="G26" s="57">
        <f t="shared" si="2"/>
        <v>0</v>
      </c>
      <c r="H26" s="60" t="s">
        <v>237</v>
      </c>
    </row>
    <row r="27" spans="1:8" ht="15" customHeight="1">
      <c r="A27" s="56">
        <v>46258</v>
      </c>
      <c r="B27" s="8">
        <f>SUMIFS(入金入力_レジデンス!$D$4:$D$103,入金入力_レジデンス!$A$4:$A$103,A27)</f>
        <v>0</v>
      </c>
      <c r="C27" s="8">
        <f>SUMIFS(未払一覧_レジデンス!$N$4:$N$103,未払一覧_レジデンス!$M$4:$M$103,A27)</f>
        <v>0</v>
      </c>
      <c r="D27" s="8">
        <f t="shared" si="0"/>
        <v>0</v>
      </c>
      <c r="E27" s="8">
        <f t="shared" si="1"/>
        <v>0</v>
      </c>
      <c r="F27" s="9">
        <f>SUMIFS(カード枠回復_レジデンス!$C$4:$C$53,カード枠回復_レジデンス!$A$4:$A$53,A27)</f>
        <v>0</v>
      </c>
      <c r="G27" s="57">
        <f t="shared" si="2"/>
        <v>0</v>
      </c>
      <c r="H27" s="58"/>
    </row>
    <row r="28" spans="1:8" ht="15" customHeight="1">
      <c r="A28" s="56">
        <v>46259</v>
      </c>
      <c r="B28" s="8">
        <f>SUMIFS(入金入力_レジデンス!$D$4:$D$103,入金入力_レジデンス!$A$4:$A$103,A28)</f>
        <v>0</v>
      </c>
      <c r="C28" s="8">
        <f>SUMIFS(未払一覧_レジデンス!$N$4:$N$103,未払一覧_レジデンス!$M$4:$M$103,A28)</f>
        <v>0</v>
      </c>
      <c r="D28" s="8">
        <f t="shared" si="0"/>
        <v>0</v>
      </c>
      <c r="E28" s="8">
        <f t="shared" si="1"/>
        <v>0</v>
      </c>
      <c r="F28" s="9">
        <f>SUMIFS(カード枠回復_レジデンス!$C$4:$C$53,カード枠回復_レジデンス!$A$4:$A$53,A28)</f>
        <v>0</v>
      </c>
      <c r="G28" s="57">
        <f t="shared" si="2"/>
        <v>0</v>
      </c>
      <c r="H28" s="58"/>
    </row>
    <row r="29" spans="1:8" ht="15" customHeight="1">
      <c r="A29" s="56">
        <v>46260</v>
      </c>
      <c r="B29" s="8">
        <f>SUMIFS(入金入力_レジデンス!$D$4:$D$103,入金入力_レジデンス!$A$4:$A$103,A29)</f>
        <v>0</v>
      </c>
      <c r="C29" s="8">
        <f>SUMIFS(未払一覧_レジデンス!$N$4:$N$103,未払一覧_レジデンス!$M$4:$M$103,A29)</f>
        <v>0</v>
      </c>
      <c r="D29" s="8">
        <f t="shared" si="0"/>
        <v>0</v>
      </c>
      <c r="E29" s="8">
        <f t="shared" si="1"/>
        <v>0</v>
      </c>
      <c r="F29" s="9">
        <f>SUMIFS(カード枠回復_レジデンス!$C$4:$C$53,カード枠回復_レジデンス!$A$4:$A$53,A29)</f>
        <v>0</v>
      </c>
      <c r="G29" s="57">
        <f t="shared" si="2"/>
        <v>0</v>
      </c>
      <c r="H29" s="58"/>
    </row>
    <row r="30" spans="1:8" ht="15" customHeight="1">
      <c r="A30" s="56">
        <v>46261</v>
      </c>
      <c r="B30" s="8">
        <f>SUMIFS(入金入力_レジデンス!$D$4:$D$103,入金入力_レジデンス!$A$4:$A$103,A30)</f>
        <v>0</v>
      </c>
      <c r="C30" s="8">
        <f>SUMIFS(未払一覧_レジデンス!$N$4:$N$103,未払一覧_レジデンス!$M$4:$M$103,A30)</f>
        <v>0</v>
      </c>
      <c r="D30" s="8">
        <f t="shared" si="0"/>
        <v>0</v>
      </c>
      <c r="E30" s="8">
        <f t="shared" si="1"/>
        <v>0</v>
      </c>
      <c r="F30" s="9">
        <f>SUMIFS(カード枠回復_レジデンス!$C$4:$C$53,カード枠回復_レジデンス!$A$4:$A$53,A30)</f>
        <v>0</v>
      </c>
      <c r="G30" s="57">
        <f t="shared" si="2"/>
        <v>0</v>
      </c>
      <c r="H30" s="58"/>
    </row>
    <row r="31" spans="1:8" ht="15" customHeight="1">
      <c r="A31" s="56">
        <v>46262</v>
      </c>
      <c r="B31" s="8">
        <f>SUMIFS(入金入力_レジデンス!$D$4:$D$103,入金入力_レジデンス!$A$4:$A$103,A31)</f>
        <v>0</v>
      </c>
      <c r="C31" s="8">
        <f>SUMIFS(未払一覧_レジデンス!$N$4:$N$103,未払一覧_レジデンス!$M$4:$M$103,A31)</f>
        <v>0</v>
      </c>
      <c r="D31" s="8">
        <f t="shared" si="0"/>
        <v>0</v>
      </c>
      <c r="E31" s="8">
        <f t="shared" si="1"/>
        <v>0</v>
      </c>
      <c r="F31" s="9">
        <f>SUMIFS(カード枠回復_レジデンス!$C$4:$C$53,カード枠回復_レジデンス!$A$4:$A$53,A31)</f>
        <v>0</v>
      </c>
      <c r="G31" s="57">
        <f t="shared" si="2"/>
        <v>0</v>
      </c>
      <c r="H31" s="58"/>
    </row>
    <row r="32" spans="1:8" ht="15" customHeight="1">
      <c r="A32" s="59">
        <v>46263</v>
      </c>
      <c r="B32" s="8">
        <f>SUMIFS(入金入力_レジデンス!$D$4:$D$103,入金入力_レジデンス!$A$4:$A$103,A32)</f>
        <v>0</v>
      </c>
      <c r="C32" s="8">
        <f>SUMIFS(未払一覧_レジデンス!$N$4:$N$103,未払一覧_レジデンス!$M$4:$M$103,A32)</f>
        <v>0</v>
      </c>
      <c r="D32" s="8">
        <f t="shared" si="0"/>
        <v>0</v>
      </c>
      <c r="E32" s="8">
        <f t="shared" si="1"/>
        <v>0</v>
      </c>
      <c r="F32" s="9">
        <f>SUMIFS(カード枠回復_レジデンス!$C$4:$C$53,カード枠回復_レジデンス!$A$4:$A$53,A32)</f>
        <v>0</v>
      </c>
      <c r="G32" s="57">
        <f t="shared" si="2"/>
        <v>0</v>
      </c>
      <c r="H32" s="60" t="s">
        <v>236</v>
      </c>
    </row>
    <row r="33" spans="1:8" ht="15" customHeight="1">
      <c r="A33" s="61">
        <v>46264</v>
      </c>
      <c r="B33" s="8">
        <f>SUMIFS(入金入力_レジデンス!$D$4:$D$103,入金入力_レジデンス!$A$4:$A$103,A33)</f>
        <v>0</v>
      </c>
      <c r="C33" s="8">
        <f>SUMIFS(未払一覧_レジデンス!$N$4:$N$103,未払一覧_レジデンス!$M$4:$M$103,A33)</f>
        <v>0</v>
      </c>
      <c r="D33" s="8">
        <f t="shared" si="0"/>
        <v>0</v>
      </c>
      <c r="E33" s="8">
        <f t="shared" si="1"/>
        <v>0</v>
      </c>
      <c r="F33" s="9">
        <f>SUMIFS(カード枠回復_レジデンス!$C$4:$C$53,カード枠回復_レジデンス!$A$4:$A$53,A33)</f>
        <v>0</v>
      </c>
      <c r="G33" s="57">
        <f t="shared" si="2"/>
        <v>0</v>
      </c>
      <c r="H33" s="60" t="s">
        <v>237</v>
      </c>
    </row>
    <row r="34" spans="1:8" ht="15" customHeight="1">
      <c r="A34" s="56">
        <v>46265</v>
      </c>
      <c r="B34" s="8">
        <f>SUMIFS(入金入力_レジデンス!$D$4:$D$103,入金入力_レジデンス!$A$4:$A$103,A34)</f>
        <v>0</v>
      </c>
      <c r="C34" s="8">
        <f>SUMIFS(未払一覧_レジデンス!$N$4:$N$103,未払一覧_レジデンス!$M$4:$M$103,A34)</f>
        <v>0</v>
      </c>
      <c r="D34" s="8">
        <f t="shared" si="0"/>
        <v>0</v>
      </c>
      <c r="E34" s="8">
        <f t="shared" si="1"/>
        <v>0</v>
      </c>
      <c r="F34" s="9">
        <f>SUMIFS(カード枠回復_レジデンス!$C$4:$C$53,カード枠回復_レジデンス!$A$4:$A$53,A34)</f>
        <v>0</v>
      </c>
      <c r="G34" s="57">
        <f t="shared" si="2"/>
        <v>0</v>
      </c>
      <c r="H34" s="58"/>
    </row>
    <row r="36" spans="1:8" ht="15" customHeight="1">
      <c r="A36" s="11" t="s">
        <v>245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7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6" t="s">
        <v>246</v>
      </c>
      <c r="B1" s="96"/>
      <c r="C1" s="96"/>
      <c r="D1" s="96"/>
      <c r="E1" s="96"/>
      <c r="F1" s="96"/>
      <c r="G1" s="96"/>
      <c r="H1" s="96"/>
    </row>
    <row r="2" spans="1:8" ht="11.25" customHeight="1">
      <c r="A2" s="95" t="s">
        <v>247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46142</v>
      </c>
      <c r="B4" s="8">
        <f>SUMIFS(入金入力_リゾート!$D$4:$D$103,入金入力_リゾート!$A$4:$A$103,A4)</f>
        <v>0</v>
      </c>
      <c r="C4" s="8">
        <f>SUMIFS(未払一覧_リゾート!$N$4:$N$102,未払一覧_リゾート!$M$4:$M$102,A4)</f>
        <v>200000</v>
      </c>
      <c r="D4" s="8">
        <f t="shared" ref="D4:D35" si="0">B4-C4-F4</f>
        <v>-200000</v>
      </c>
      <c r="E4" s="8">
        <f>D4</f>
        <v>-200000</v>
      </c>
      <c r="F4" s="9">
        <f>SUMIFS(カード枠回復_リゾート!$C$4:$C$53,カード枠回復_リゾート!$A$4:$A$53,A4)</f>
        <v>0</v>
      </c>
      <c r="G4" s="57">
        <f>D4+F4</f>
        <v>-200000</v>
      </c>
      <c r="H4" s="58"/>
    </row>
    <row r="5" spans="1:8" ht="15" customHeight="1">
      <c r="A5" s="56">
        <v>46143</v>
      </c>
      <c r="B5" s="8">
        <f>SUMIFS(入金入力_リゾート!$D$4:$D$103,入金入力_リゾート!$A$4:$A$103,A5)</f>
        <v>0</v>
      </c>
      <c r="C5" s="8">
        <f>SUMIFS(未払一覧_リゾート!$N$4:$N$102,未払一覧_リゾート!$M$4:$M$102,A5)</f>
        <v>0</v>
      </c>
      <c r="D5" s="8">
        <f t="shared" si="0"/>
        <v>0</v>
      </c>
      <c r="E5" s="8">
        <f t="shared" ref="E5:E35" si="1">E4+D5</f>
        <v>-200000</v>
      </c>
      <c r="F5" s="9">
        <f>SUMIFS(カード枠回復_リゾート!$C$4:$C$53,カード枠回復_リゾート!$A$4:$A$53,A5)</f>
        <v>0</v>
      </c>
      <c r="G5" s="57">
        <f t="shared" ref="G5:G35" si="2">G4+D5+F5</f>
        <v>-200000</v>
      </c>
      <c r="H5" s="58"/>
    </row>
    <row r="6" spans="1:8" ht="15" customHeight="1">
      <c r="A6" s="59">
        <v>46144</v>
      </c>
      <c r="B6" s="8">
        <f>SUMIFS(入金入力_リゾート!$D$4:$D$103,入金入力_リゾート!$A$4:$A$103,A6)</f>
        <v>0</v>
      </c>
      <c r="C6" s="8">
        <f>SUMIFS(未払一覧_リゾート!$N$4:$N$102,未払一覧_リゾート!$M$4:$M$102,A6)</f>
        <v>0</v>
      </c>
      <c r="D6" s="8">
        <f t="shared" si="0"/>
        <v>0</v>
      </c>
      <c r="E6" s="8">
        <f t="shared" si="1"/>
        <v>-200000</v>
      </c>
      <c r="F6" s="9">
        <f>SUMIFS(カード枠回復_リゾート!$C$4:$C$53,カード枠回復_リゾート!$A$4:$A$53,A6)</f>
        <v>0</v>
      </c>
      <c r="G6" s="57">
        <f t="shared" si="2"/>
        <v>-200000</v>
      </c>
      <c r="H6" s="60" t="s">
        <v>236</v>
      </c>
    </row>
    <row r="7" spans="1:8" ht="15" customHeight="1">
      <c r="A7" s="61">
        <v>46145</v>
      </c>
      <c r="B7" s="8">
        <f>SUMIFS(入金入力_リゾート!$D$4:$D$103,入金入力_リゾート!$A$4:$A$103,A7)</f>
        <v>0</v>
      </c>
      <c r="C7" s="8">
        <f>SUMIFS(未払一覧_リゾート!$N$4:$N$102,未払一覧_リゾート!$M$4:$M$102,A7)</f>
        <v>0</v>
      </c>
      <c r="D7" s="8">
        <f t="shared" si="0"/>
        <v>0</v>
      </c>
      <c r="E7" s="8">
        <f t="shared" si="1"/>
        <v>-200000</v>
      </c>
      <c r="F7" s="9">
        <f>SUMIFS(カード枠回復_リゾート!$C$4:$C$53,カード枠回復_リゾート!$A$4:$A$53,A7)</f>
        <v>0</v>
      </c>
      <c r="G7" s="57">
        <f t="shared" si="2"/>
        <v>-200000</v>
      </c>
      <c r="H7" s="60" t="s">
        <v>237</v>
      </c>
    </row>
    <row r="8" spans="1:8" ht="15" customHeight="1">
      <c r="A8" s="56">
        <v>46146</v>
      </c>
      <c r="B8" s="8">
        <f>SUMIFS(入金入力_リゾート!$D$4:$D$103,入金入力_リゾート!$A$4:$A$103,A8)</f>
        <v>0</v>
      </c>
      <c r="C8" s="8">
        <f>SUMIFS(未払一覧_リゾート!$N$4:$N$102,未払一覧_リゾート!$M$4:$M$102,A8)</f>
        <v>0</v>
      </c>
      <c r="D8" s="8">
        <f t="shared" si="0"/>
        <v>0</v>
      </c>
      <c r="E8" s="8">
        <f t="shared" si="1"/>
        <v>-200000</v>
      </c>
      <c r="F8" s="9">
        <f>SUMIFS(カード枠回復_リゾート!$C$4:$C$53,カード枠回復_リゾート!$A$4:$A$53,A8)</f>
        <v>0</v>
      </c>
      <c r="G8" s="57">
        <f t="shared" si="2"/>
        <v>-200000</v>
      </c>
      <c r="H8" s="58"/>
    </row>
    <row r="9" spans="1:8" ht="15" customHeight="1">
      <c r="A9" s="56">
        <v>46147</v>
      </c>
      <c r="B9" s="8">
        <f>SUMIFS(入金入力_リゾート!$D$4:$D$103,入金入力_リゾート!$A$4:$A$103,A9)</f>
        <v>0</v>
      </c>
      <c r="C9" s="8">
        <f>SUMIFS(未払一覧_リゾート!$N$4:$N$102,未払一覧_リゾート!$M$4:$M$102,A9)</f>
        <v>0</v>
      </c>
      <c r="D9" s="8">
        <f t="shared" si="0"/>
        <v>0</v>
      </c>
      <c r="E9" s="8">
        <f t="shared" si="1"/>
        <v>-200000</v>
      </c>
      <c r="F9" s="9">
        <f>SUMIFS(カード枠回復_リゾート!$C$4:$C$53,カード枠回復_リゾート!$A$4:$A$53,A9)</f>
        <v>0</v>
      </c>
      <c r="G9" s="57">
        <f t="shared" si="2"/>
        <v>-200000</v>
      </c>
      <c r="H9" s="58"/>
    </row>
    <row r="10" spans="1:8" ht="15" customHeight="1">
      <c r="A10" s="56">
        <v>46148</v>
      </c>
      <c r="B10" s="8">
        <f>SUMIFS(入金入力_リゾート!$D$4:$D$103,入金入力_リゾート!$A$4:$A$103,A10)</f>
        <v>0</v>
      </c>
      <c r="C10" s="8">
        <f>SUMIFS(未払一覧_リゾート!$N$4:$N$102,未払一覧_リゾート!$M$4:$M$102,A10)</f>
        <v>0</v>
      </c>
      <c r="D10" s="8">
        <f t="shared" si="0"/>
        <v>0</v>
      </c>
      <c r="E10" s="8">
        <f t="shared" si="1"/>
        <v>-200000</v>
      </c>
      <c r="F10" s="9">
        <f>SUMIFS(カード枠回復_リゾート!$C$4:$C$53,カード枠回復_リゾート!$A$4:$A$53,A10)</f>
        <v>0</v>
      </c>
      <c r="G10" s="57">
        <f t="shared" si="2"/>
        <v>-200000</v>
      </c>
      <c r="H10" s="58"/>
    </row>
    <row r="11" spans="1:8" ht="15" customHeight="1">
      <c r="A11" s="56">
        <v>46149</v>
      </c>
      <c r="B11" s="8">
        <f>SUMIFS(入金入力_リゾート!$D$4:$D$103,入金入力_リゾート!$A$4:$A$103,A11)</f>
        <v>5350000</v>
      </c>
      <c r="C11" s="8">
        <f>SUMIFS(未払一覧_リゾート!$N$4:$N$102,未払一覧_リゾート!$M$4:$M$102,A11)</f>
        <v>6185979</v>
      </c>
      <c r="D11" s="8">
        <f t="shared" si="0"/>
        <v>-5135979</v>
      </c>
      <c r="E11" s="8">
        <f t="shared" si="1"/>
        <v>-5335979</v>
      </c>
      <c r="F11" s="9">
        <f>SUMIFS(カード枠回復_リゾート!$C$4:$C$53,カード枠回復_リゾート!$A$4:$A$53,A11)</f>
        <v>4300000</v>
      </c>
      <c r="G11" s="57">
        <f t="shared" si="2"/>
        <v>-1035979</v>
      </c>
      <c r="H11" s="58"/>
    </row>
    <row r="12" spans="1:8" ht="15" customHeight="1">
      <c r="A12" s="56">
        <v>46150</v>
      </c>
      <c r="B12" s="8">
        <f>SUMIFS(入金入力_リゾート!$D$4:$D$103,入金入力_リゾート!$A$4:$A$103,A12)</f>
        <v>0</v>
      </c>
      <c r="C12" s="8">
        <f>SUMIFS(未払一覧_リゾート!$N$4:$N$102,未払一覧_リゾート!$M$4:$M$102,A12)</f>
        <v>43896</v>
      </c>
      <c r="D12" s="8">
        <f t="shared" si="0"/>
        <v>-43896</v>
      </c>
      <c r="E12" s="8">
        <f t="shared" si="1"/>
        <v>-5379875</v>
      </c>
      <c r="F12" s="9">
        <f>SUMIFS(カード枠回復_リゾート!$C$4:$C$53,カード枠回復_リゾート!$A$4:$A$53,A12)</f>
        <v>0</v>
      </c>
      <c r="G12" s="57">
        <f t="shared" si="2"/>
        <v>-1079875</v>
      </c>
      <c r="H12" s="58"/>
    </row>
    <row r="13" spans="1:8" ht="15" customHeight="1">
      <c r="A13" s="59">
        <v>46151</v>
      </c>
      <c r="B13" s="8">
        <f>SUMIFS(入金入力_リゾート!$D$4:$D$103,入金入力_リゾート!$A$4:$A$103,A13)</f>
        <v>0</v>
      </c>
      <c r="C13" s="8">
        <f>SUMIFS(未払一覧_リゾート!$N$4:$N$102,未払一覧_リゾート!$M$4:$M$102,A13)</f>
        <v>0</v>
      </c>
      <c r="D13" s="8">
        <f t="shared" si="0"/>
        <v>0</v>
      </c>
      <c r="E13" s="8">
        <f t="shared" si="1"/>
        <v>-5379875</v>
      </c>
      <c r="F13" s="9">
        <f>SUMIFS(カード枠回復_リゾート!$C$4:$C$53,カード枠回復_リゾート!$A$4:$A$53,A13)</f>
        <v>0</v>
      </c>
      <c r="G13" s="57">
        <f t="shared" si="2"/>
        <v>-1079875</v>
      </c>
      <c r="H13" s="60" t="s">
        <v>236</v>
      </c>
    </row>
    <row r="14" spans="1:8" ht="15" customHeight="1">
      <c r="A14" s="61">
        <v>46152</v>
      </c>
      <c r="B14" s="8">
        <f>SUMIFS(入金入力_リゾート!$D$4:$D$103,入金入力_リゾート!$A$4:$A$103,A14)</f>
        <v>0</v>
      </c>
      <c r="C14" s="8">
        <f>SUMIFS(未払一覧_リゾート!$N$4:$N$102,未払一覧_リゾート!$M$4:$M$102,A14)</f>
        <v>75328</v>
      </c>
      <c r="D14" s="8">
        <f t="shared" si="0"/>
        <v>-75328</v>
      </c>
      <c r="E14" s="8">
        <f t="shared" si="1"/>
        <v>-5455203</v>
      </c>
      <c r="F14" s="9">
        <f>SUMIFS(カード枠回復_リゾート!$C$4:$C$53,カード枠回復_リゾート!$A$4:$A$53,A14)</f>
        <v>0</v>
      </c>
      <c r="G14" s="57">
        <f t="shared" si="2"/>
        <v>-1155203</v>
      </c>
      <c r="H14" s="60" t="s">
        <v>237</v>
      </c>
    </row>
    <row r="15" spans="1:8" ht="15" customHeight="1">
      <c r="A15" s="56">
        <v>46153</v>
      </c>
      <c r="B15" s="8">
        <f>SUMIFS(入金入力_リゾート!$D$4:$D$103,入金入力_リゾート!$A$4:$A$103,A15)</f>
        <v>3500000</v>
      </c>
      <c r="C15" s="8">
        <f>SUMIFS(未払一覧_リゾート!$N$4:$N$102,未払一覧_リゾート!$M$4:$M$102,A15)</f>
        <v>1393696</v>
      </c>
      <c r="D15" s="8">
        <f t="shared" si="0"/>
        <v>1136304</v>
      </c>
      <c r="E15" s="8">
        <f t="shared" si="1"/>
        <v>-4318899</v>
      </c>
      <c r="F15" s="9">
        <f>SUMIFS(カード枠回復_リゾート!$C$4:$C$53,カード枠回復_リゾート!$A$4:$A$53,A15)</f>
        <v>970000</v>
      </c>
      <c r="G15" s="57">
        <f t="shared" si="2"/>
        <v>951101</v>
      </c>
      <c r="H15" s="58"/>
    </row>
    <row r="16" spans="1:8" ht="15" customHeight="1">
      <c r="A16" s="56">
        <v>46154</v>
      </c>
      <c r="B16" s="8">
        <f>SUMIFS(入金入力_リゾート!$D$4:$D$103,入金入力_リゾート!$A$4:$A$103,A16)</f>
        <v>0</v>
      </c>
      <c r="C16" s="8">
        <f>SUMIFS(未払一覧_リゾート!$N$4:$N$102,未払一覧_リゾート!$M$4:$M$102,A16)</f>
        <v>0</v>
      </c>
      <c r="D16" s="8">
        <f t="shared" si="0"/>
        <v>0</v>
      </c>
      <c r="E16" s="8">
        <f t="shared" si="1"/>
        <v>-4318899</v>
      </c>
      <c r="F16" s="9">
        <f>SUMIFS(カード枠回復_リゾート!$C$4:$C$53,カード枠回復_リゾート!$A$4:$A$53,A16)</f>
        <v>0</v>
      </c>
      <c r="G16" s="57">
        <f t="shared" si="2"/>
        <v>951101</v>
      </c>
      <c r="H16" s="58"/>
    </row>
    <row r="17" spans="1:8" ht="15" customHeight="1">
      <c r="A17" s="56">
        <v>46155</v>
      </c>
      <c r="B17" s="8">
        <f>SUMIFS(入金入力_リゾート!$D$4:$D$103,入金入力_リゾート!$A$4:$A$103,A17)</f>
        <v>0</v>
      </c>
      <c r="C17" s="8">
        <f>SUMIFS(未払一覧_リゾート!$N$4:$N$102,未払一覧_リゾート!$M$4:$M$102,A17)</f>
        <v>254000</v>
      </c>
      <c r="D17" s="8">
        <f t="shared" si="0"/>
        <v>-254000</v>
      </c>
      <c r="E17" s="8">
        <f t="shared" si="1"/>
        <v>-4572899</v>
      </c>
      <c r="F17" s="9">
        <f>SUMIFS(カード枠回復_リゾート!$C$4:$C$53,カード枠回復_リゾート!$A$4:$A$53,A17)</f>
        <v>0</v>
      </c>
      <c r="G17" s="57">
        <f t="shared" si="2"/>
        <v>697101</v>
      </c>
      <c r="H17" s="58"/>
    </row>
    <row r="18" spans="1:8" ht="15" customHeight="1">
      <c r="A18" s="56">
        <v>46156</v>
      </c>
      <c r="B18" s="8">
        <f>SUMIFS(入金入力_リゾート!$D$4:$D$103,入金入力_リゾート!$A$4:$A$103,A18)</f>
        <v>0</v>
      </c>
      <c r="C18" s="8">
        <f>SUMIFS(未払一覧_リゾート!$N$4:$N$102,未払一覧_リゾート!$M$4:$M$102,A18)</f>
        <v>0</v>
      </c>
      <c r="D18" s="8">
        <f t="shared" si="0"/>
        <v>0</v>
      </c>
      <c r="E18" s="8">
        <f t="shared" si="1"/>
        <v>-4572899</v>
      </c>
      <c r="F18" s="9">
        <f>SUMIFS(カード枠回復_リゾート!$C$4:$C$53,カード枠回復_リゾート!$A$4:$A$53,A18)</f>
        <v>0</v>
      </c>
      <c r="G18" s="57">
        <f t="shared" si="2"/>
        <v>697101</v>
      </c>
      <c r="H18" s="58"/>
    </row>
    <row r="19" spans="1:8" ht="15" customHeight="1">
      <c r="A19" s="56">
        <v>46157</v>
      </c>
      <c r="B19" s="8">
        <f>SUMIFS(入金入力_リゾート!$D$4:$D$103,入金入力_リゾート!$A$4:$A$103,A19)</f>
        <v>3000000</v>
      </c>
      <c r="C19" s="8">
        <f>SUMIFS(未払一覧_リゾート!$N$4:$N$102,未払一覧_リゾート!$M$4:$M$102,A19)</f>
        <v>254000</v>
      </c>
      <c r="D19" s="8">
        <f t="shared" si="0"/>
        <v>2746000</v>
      </c>
      <c r="E19" s="8">
        <f t="shared" si="1"/>
        <v>-1826899</v>
      </c>
      <c r="F19" s="9">
        <f>SUMIFS(カード枠回復_リゾート!$C$4:$C$53,カード枠回復_リゾート!$A$4:$A$53,A19)</f>
        <v>0</v>
      </c>
      <c r="G19" s="57">
        <f t="shared" si="2"/>
        <v>3443101</v>
      </c>
      <c r="H19" s="58"/>
    </row>
    <row r="20" spans="1:8" ht="15" customHeight="1">
      <c r="A20" s="59">
        <v>46158</v>
      </c>
      <c r="B20" s="8">
        <f>SUMIFS(入金入力_リゾート!$D$4:$D$103,入金入力_リゾート!$A$4:$A$103,A20)</f>
        <v>0</v>
      </c>
      <c r="C20" s="8">
        <f>SUMIFS(未払一覧_リゾート!$N$4:$N$102,未払一覧_リゾート!$M$4:$M$102,A20)</f>
        <v>79492</v>
      </c>
      <c r="D20" s="8">
        <f t="shared" si="0"/>
        <v>-79492</v>
      </c>
      <c r="E20" s="8">
        <f t="shared" si="1"/>
        <v>-1906391</v>
      </c>
      <c r="F20" s="9">
        <f>SUMIFS(カード枠回復_リゾート!$C$4:$C$53,カード枠回復_リゾート!$A$4:$A$53,A20)</f>
        <v>0</v>
      </c>
      <c r="G20" s="57">
        <f t="shared" si="2"/>
        <v>3363609</v>
      </c>
      <c r="H20" s="60" t="s">
        <v>236</v>
      </c>
    </row>
    <row r="21" spans="1:8" ht="15" customHeight="1">
      <c r="A21" s="61">
        <v>46159</v>
      </c>
      <c r="B21" s="8">
        <f>SUMIFS(入金入力_リゾート!$D$4:$D$103,入金入力_リゾート!$A$4:$A$103,A21)</f>
        <v>0</v>
      </c>
      <c r="C21" s="8">
        <f>SUMIFS(未払一覧_リゾート!$N$4:$N$102,未払一覧_リゾート!$M$4:$M$102,A21)</f>
        <v>0</v>
      </c>
      <c r="D21" s="8">
        <f t="shared" si="0"/>
        <v>0</v>
      </c>
      <c r="E21" s="8">
        <f t="shared" si="1"/>
        <v>-1906391</v>
      </c>
      <c r="F21" s="9">
        <f>SUMIFS(カード枠回復_リゾート!$C$4:$C$53,カード枠回復_リゾート!$A$4:$A$53,A21)</f>
        <v>0</v>
      </c>
      <c r="G21" s="57">
        <f t="shared" si="2"/>
        <v>3363609</v>
      </c>
      <c r="H21" s="60" t="s">
        <v>237</v>
      </c>
    </row>
    <row r="22" spans="1:8" ht="15" customHeight="1">
      <c r="A22" s="56">
        <v>46160</v>
      </c>
      <c r="B22" s="8">
        <f>SUMIFS(入金入力_リゾート!$D$4:$D$103,入金入力_リゾート!$A$4:$A$103,A22)</f>
        <v>0</v>
      </c>
      <c r="C22" s="8">
        <f>SUMIFS(未払一覧_リゾート!$N$4:$N$102,未払一覧_リゾート!$M$4:$M$102,A22)</f>
        <v>949800</v>
      </c>
      <c r="D22" s="8">
        <f t="shared" si="0"/>
        <v>-949800</v>
      </c>
      <c r="E22" s="8">
        <f t="shared" si="1"/>
        <v>-2856191</v>
      </c>
      <c r="F22" s="9">
        <f>SUMIFS(カード枠回復_リゾート!$C$4:$C$53,カード枠回復_リゾート!$A$4:$A$53,A22)</f>
        <v>0</v>
      </c>
      <c r="G22" s="57">
        <f t="shared" si="2"/>
        <v>2413809</v>
      </c>
      <c r="H22" s="58"/>
    </row>
    <row r="23" spans="1:8" ht="15" customHeight="1">
      <c r="A23" s="56">
        <v>46161</v>
      </c>
      <c r="B23" s="8">
        <f>SUMIFS(入金入力_リゾート!$D$4:$D$103,入金入力_リゾート!$A$4:$A$103,A23)</f>
        <v>0</v>
      </c>
      <c r="C23" s="8">
        <f>SUMIFS(未払一覧_リゾート!$N$4:$N$102,未払一覧_リゾート!$M$4:$M$102,A23)</f>
        <v>0</v>
      </c>
      <c r="D23" s="8">
        <f t="shared" si="0"/>
        <v>0</v>
      </c>
      <c r="E23" s="8">
        <f t="shared" si="1"/>
        <v>-2856191</v>
      </c>
      <c r="F23" s="9">
        <f>SUMIFS(カード枠回復_リゾート!$C$4:$C$53,カード枠回復_リゾート!$A$4:$A$53,A23)</f>
        <v>0</v>
      </c>
      <c r="G23" s="57">
        <f t="shared" si="2"/>
        <v>2413809</v>
      </c>
      <c r="H23" s="58"/>
    </row>
    <row r="24" spans="1:8" ht="15" customHeight="1">
      <c r="A24" s="56">
        <v>46162</v>
      </c>
      <c r="B24" s="8">
        <f>SUMIFS(入金入力_リゾート!$D$4:$D$103,入金入力_リゾート!$A$4:$A$103,A24)</f>
        <v>1000000</v>
      </c>
      <c r="C24" s="8">
        <f>SUMIFS(未払一覧_リゾート!$N$4:$N$102,未払一覧_リゾート!$M$4:$M$102,A24)</f>
        <v>0</v>
      </c>
      <c r="D24" s="8">
        <f t="shared" si="0"/>
        <v>1000000</v>
      </c>
      <c r="E24" s="8">
        <f t="shared" si="1"/>
        <v>-1856191</v>
      </c>
      <c r="F24" s="9">
        <f>SUMIFS(カード枠回復_リゾート!$C$4:$C$53,カード枠回復_リゾート!$A$4:$A$53,A24)</f>
        <v>0</v>
      </c>
      <c r="G24" s="57">
        <f t="shared" si="2"/>
        <v>3413809</v>
      </c>
      <c r="H24" s="58"/>
    </row>
    <row r="25" spans="1:8" ht="15" customHeight="1">
      <c r="A25" s="56">
        <v>46163</v>
      </c>
      <c r="B25" s="8">
        <f>SUMIFS(入金入力_リゾート!$D$4:$D$103,入金入力_リゾート!$A$4:$A$103,A25)</f>
        <v>0</v>
      </c>
      <c r="C25" s="8">
        <f>SUMIFS(未払一覧_リゾート!$N$4:$N$102,未払一覧_リゾート!$M$4:$M$102,A25)</f>
        <v>0</v>
      </c>
      <c r="D25" s="8">
        <f t="shared" si="0"/>
        <v>0</v>
      </c>
      <c r="E25" s="8">
        <f t="shared" si="1"/>
        <v>-1856191</v>
      </c>
      <c r="F25" s="9">
        <f>SUMIFS(カード枠回復_リゾート!$C$4:$C$53,カード枠回復_リゾート!$A$4:$A$53,A25)</f>
        <v>0</v>
      </c>
      <c r="G25" s="57">
        <f t="shared" si="2"/>
        <v>3413809</v>
      </c>
      <c r="H25" s="58"/>
    </row>
    <row r="26" spans="1:8" ht="15" customHeight="1">
      <c r="A26" s="56">
        <v>46164</v>
      </c>
      <c r="B26" s="8">
        <f>SUMIFS(入金入力_リゾート!$D$4:$D$103,入金入力_リゾート!$A$4:$A$103,A26)</f>
        <v>0</v>
      </c>
      <c r="C26" s="8">
        <f>SUMIFS(未払一覧_リゾート!$N$4:$N$102,未払一覧_リゾート!$M$4:$M$102,A26)</f>
        <v>0</v>
      </c>
      <c r="D26" s="8">
        <f t="shared" si="0"/>
        <v>0</v>
      </c>
      <c r="E26" s="8">
        <f t="shared" si="1"/>
        <v>-1856191</v>
      </c>
      <c r="F26" s="9">
        <f>SUMIFS(カード枠回復_リゾート!$C$4:$C$53,カード枠回復_リゾート!$A$4:$A$53,A26)</f>
        <v>0</v>
      </c>
      <c r="G26" s="57">
        <f t="shared" si="2"/>
        <v>3413809</v>
      </c>
      <c r="H26" s="58"/>
    </row>
    <row r="27" spans="1:8" ht="15" customHeight="1">
      <c r="A27" s="59">
        <v>46165</v>
      </c>
      <c r="B27" s="8">
        <f>SUMIFS(入金入力_リゾート!$D$4:$D$103,入金入力_リゾート!$A$4:$A$103,A27)</f>
        <v>0</v>
      </c>
      <c r="C27" s="8">
        <f>SUMIFS(未払一覧_リゾート!$N$4:$N$102,未払一覧_リゾート!$M$4:$M$102,A27)</f>
        <v>0</v>
      </c>
      <c r="D27" s="8">
        <f t="shared" si="0"/>
        <v>0</v>
      </c>
      <c r="E27" s="8">
        <f t="shared" si="1"/>
        <v>-1856191</v>
      </c>
      <c r="F27" s="9">
        <f>SUMIFS(カード枠回復_リゾート!$C$4:$C$53,カード枠回復_リゾート!$A$4:$A$53,A27)</f>
        <v>0</v>
      </c>
      <c r="G27" s="57">
        <f t="shared" si="2"/>
        <v>3413809</v>
      </c>
      <c r="H27" s="60" t="s">
        <v>236</v>
      </c>
    </row>
    <row r="28" spans="1:8" ht="15" customHeight="1">
      <c r="A28" s="61">
        <v>46166</v>
      </c>
      <c r="B28" s="8">
        <f>SUMIFS(入金入力_リゾート!$D$4:$D$103,入金入力_リゾート!$A$4:$A$103,A28)</f>
        <v>0</v>
      </c>
      <c r="C28" s="8">
        <f>SUMIFS(未払一覧_リゾート!$N$4:$N$102,未払一覧_リゾート!$M$4:$M$102,A28)</f>
        <v>0</v>
      </c>
      <c r="D28" s="8">
        <f t="shared" si="0"/>
        <v>0</v>
      </c>
      <c r="E28" s="8">
        <f t="shared" si="1"/>
        <v>-1856191</v>
      </c>
      <c r="F28" s="9">
        <f>SUMIFS(カード枠回復_リゾート!$C$4:$C$53,カード枠回復_リゾート!$A$4:$A$53,A28)</f>
        <v>0</v>
      </c>
      <c r="G28" s="57">
        <f t="shared" si="2"/>
        <v>3413809</v>
      </c>
      <c r="H28" s="60" t="s">
        <v>237</v>
      </c>
    </row>
    <row r="29" spans="1:8" ht="15" customHeight="1">
      <c r="A29" s="56">
        <v>46167</v>
      </c>
      <c r="B29" s="8">
        <f>SUMIFS(入金入力_リゾート!$D$4:$D$103,入金入力_リゾート!$A$4:$A$103,A29)</f>
        <v>1800000</v>
      </c>
      <c r="C29" s="8">
        <f>SUMIFS(未払一覧_リゾート!$N$4:$N$102,未払一覧_リゾート!$M$4:$M$102,A29)</f>
        <v>0</v>
      </c>
      <c r="D29" s="8">
        <f t="shared" si="0"/>
        <v>1800000</v>
      </c>
      <c r="E29" s="8">
        <f t="shared" si="1"/>
        <v>-56191</v>
      </c>
      <c r="F29" s="9">
        <f>SUMIFS(カード枠回復_リゾート!$C$4:$C$53,カード枠回復_リゾート!$A$4:$A$53,A29)</f>
        <v>0</v>
      </c>
      <c r="G29" s="57">
        <f t="shared" si="2"/>
        <v>5213809</v>
      </c>
      <c r="H29" s="58"/>
    </row>
    <row r="30" spans="1:8" ht="15" customHeight="1">
      <c r="A30" s="56">
        <v>46168</v>
      </c>
      <c r="B30" s="8">
        <f>SUMIFS(入金入力_リゾート!$D$4:$D$103,入金入力_リゾート!$A$4:$A$103,A30)</f>
        <v>0</v>
      </c>
      <c r="C30" s="8">
        <f>SUMIFS(未払一覧_リゾート!$N$4:$N$102,未払一覧_リゾート!$M$4:$M$102,A30)</f>
        <v>0</v>
      </c>
      <c r="D30" s="8">
        <f t="shared" si="0"/>
        <v>0</v>
      </c>
      <c r="E30" s="8">
        <f t="shared" si="1"/>
        <v>-56191</v>
      </c>
      <c r="F30" s="9">
        <f>SUMIFS(カード枠回復_リゾート!$C$4:$C$53,カード枠回復_リゾート!$A$4:$A$53,A30)</f>
        <v>0</v>
      </c>
      <c r="G30" s="57">
        <f t="shared" si="2"/>
        <v>5213809</v>
      </c>
      <c r="H30" s="58"/>
    </row>
    <row r="31" spans="1:8" ht="15" customHeight="1">
      <c r="A31" s="56">
        <v>46169</v>
      </c>
      <c r="B31" s="8">
        <f>SUMIFS(入金入力_リゾート!$D$4:$D$103,入金入力_リゾート!$A$4:$A$103,A31)</f>
        <v>0</v>
      </c>
      <c r="C31" s="8">
        <f>SUMIFS(未払一覧_リゾート!$N$4:$N$102,未払一覧_リゾート!$M$4:$M$102,A31)</f>
        <v>0</v>
      </c>
      <c r="D31" s="8">
        <f t="shared" si="0"/>
        <v>0</v>
      </c>
      <c r="E31" s="8">
        <f t="shared" si="1"/>
        <v>-56191</v>
      </c>
      <c r="F31" s="9">
        <f>SUMIFS(カード枠回復_リゾート!$C$4:$C$53,カード枠回復_リゾート!$A$4:$A$53,A31)</f>
        <v>0</v>
      </c>
      <c r="G31" s="57">
        <f t="shared" si="2"/>
        <v>5213809</v>
      </c>
      <c r="H31" s="58"/>
    </row>
    <row r="32" spans="1:8" ht="15" customHeight="1">
      <c r="A32" s="56">
        <v>46170</v>
      </c>
      <c r="B32" s="8">
        <f>SUMIFS(入金入力_リゾート!$D$4:$D$103,入金入力_リゾート!$A$4:$A$103,A32)</f>
        <v>0</v>
      </c>
      <c r="C32" s="8">
        <f>SUMIFS(未払一覧_リゾート!$N$4:$N$102,未払一覧_リゾート!$M$4:$M$102,A32)</f>
        <v>0</v>
      </c>
      <c r="D32" s="8">
        <f t="shared" si="0"/>
        <v>0</v>
      </c>
      <c r="E32" s="8">
        <f t="shared" si="1"/>
        <v>-56191</v>
      </c>
      <c r="F32" s="9">
        <f>SUMIFS(カード枠回復_リゾート!$C$4:$C$53,カード枠回復_リゾート!$A$4:$A$53,A32)</f>
        <v>0</v>
      </c>
      <c r="G32" s="57">
        <f t="shared" si="2"/>
        <v>5213809</v>
      </c>
      <c r="H32" s="58"/>
    </row>
    <row r="33" spans="1:8" ht="15" customHeight="1">
      <c r="A33" s="56">
        <v>46171</v>
      </c>
      <c r="B33" s="8">
        <f>SUMIFS(入金入力_リゾート!$D$4:$D$103,入金入力_リゾート!$A$4:$A$103,A33)</f>
        <v>6450000</v>
      </c>
      <c r="C33" s="8">
        <f>SUMIFS(未払一覧_リゾート!$N$4:$N$102,未払一覧_リゾート!$M$4:$M$102,A33)</f>
        <v>0</v>
      </c>
      <c r="D33" s="8">
        <f t="shared" si="0"/>
        <v>6450000</v>
      </c>
      <c r="E33" s="8">
        <f t="shared" si="1"/>
        <v>6393809</v>
      </c>
      <c r="F33" s="9">
        <f>SUMIFS(カード枠回復_リゾート!$C$4:$C$53,カード枠回復_リゾート!$A$4:$A$53,A33)</f>
        <v>0</v>
      </c>
      <c r="G33" s="57">
        <f t="shared" si="2"/>
        <v>11663809</v>
      </c>
      <c r="H33" s="58"/>
    </row>
    <row r="34" spans="1:8" ht="15" customHeight="1">
      <c r="A34" s="59">
        <v>46172</v>
      </c>
      <c r="B34" s="8">
        <f>SUMIFS(入金入力_リゾート!$D$4:$D$103,入金入力_リゾート!$A$4:$A$103,A34)</f>
        <v>0</v>
      </c>
      <c r="C34" s="8">
        <f>SUMIFS(未払一覧_リゾート!$N$4:$N$102,未払一覧_リゾート!$M$4:$M$102,A34)</f>
        <v>1042200</v>
      </c>
      <c r="D34" s="8">
        <f t="shared" si="0"/>
        <v>-1042200</v>
      </c>
      <c r="E34" s="8">
        <f t="shared" si="1"/>
        <v>5351609</v>
      </c>
      <c r="F34" s="9">
        <f>SUMIFS(カード枠回復_リゾート!$C$4:$C$53,カード枠回復_リゾート!$A$4:$A$53,A34)</f>
        <v>0</v>
      </c>
      <c r="G34" s="57">
        <f t="shared" si="2"/>
        <v>10621609</v>
      </c>
      <c r="H34" s="60" t="s">
        <v>236</v>
      </c>
    </row>
    <row r="35" spans="1:8" ht="15" customHeight="1">
      <c r="A35" s="61">
        <v>46173</v>
      </c>
      <c r="B35" s="8">
        <f>SUMIFS(入金入力_リゾート!$D$4:$D$103,入金入力_リゾート!$A$4:$A$103,A35)</f>
        <v>0</v>
      </c>
      <c r="C35" s="8">
        <f>SUMIFS(未払一覧_リゾート!$N$4:$N$102,未払一覧_リゾート!$M$4:$M$102,A35)</f>
        <v>0</v>
      </c>
      <c r="D35" s="8">
        <f t="shared" si="0"/>
        <v>0</v>
      </c>
      <c r="E35" s="8">
        <f t="shared" si="1"/>
        <v>5351609</v>
      </c>
      <c r="F35" s="9">
        <f>SUMIFS(カード枠回復_リゾート!$C$4:$C$53,カード枠回復_リゾート!$A$4:$A$53,A35)</f>
        <v>0</v>
      </c>
      <c r="G35" s="57">
        <f t="shared" si="2"/>
        <v>10621609</v>
      </c>
      <c r="H35" s="60" t="s">
        <v>237</v>
      </c>
    </row>
    <row r="37" spans="1:8" ht="15" customHeight="1">
      <c r="A37" s="11" t="s">
        <v>238</v>
      </c>
      <c r="B37" s="12">
        <f>SUM(B4:B35)</f>
        <v>21100000</v>
      </c>
      <c r="C37" s="12">
        <f>SUM(C4:C35)</f>
        <v>10478391</v>
      </c>
      <c r="D37" s="12">
        <f>B37-C37-F37</f>
        <v>5351609</v>
      </c>
      <c r="E37" s="12">
        <f>E35</f>
        <v>5351609</v>
      </c>
      <c r="F37" s="12">
        <f>SUM(F4:F35)</f>
        <v>5270000</v>
      </c>
      <c r="G37" s="12">
        <f>G35</f>
        <v>10621609</v>
      </c>
      <c r="H37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5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6" t="s">
        <v>248</v>
      </c>
      <c r="B1" s="96"/>
      <c r="C1" s="96"/>
      <c r="D1" s="96"/>
      <c r="E1" s="96"/>
      <c r="F1" s="96"/>
      <c r="G1" s="96"/>
      <c r="H1" s="96"/>
    </row>
    <row r="2" spans="1:8" ht="11.25" customHeight="1">
      <c r="A2" s="95" t="s">
        <v>247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46174</v>
      </c>
      <c r="B4" s="8">
        <f>SUMIFS(入金入力_リゾート!$D$4:$D$103,入金入力_リゾート!$A$4:$A$103,A4)</f>
        <v>0</v>
      </c>
      <c r="C4" s="8">
        <f>SUMIFS(未払一覧_リゾート!$N$4:$N$102,未払一覧_リゾート!$M$4:$M$102,A4)</f>
        <v>0</v>
      </c>
      <c r="D4" s="8">
        <f t="shared" ref="D4:D33" si="0">B4-C4-F4</f>
        <v>0</v>
      </c>
      <c r="E4" s="8">
        <f>'5月_リゾート'!E35+D4</f>
        <v>5351609</v>
      </c>
      <c r="F4" s="9">
        <f>SUMIFS(カード枠回復_リゾート!$C$4:$C$53,カード枠回復_リゾート!$A$4:$A$53,A4)</f>
        <v>0</v>
      </c>
      <c r="G4" s="57">
        <f>'5月_リゾート'!G35+D4+F4</f>
        <v>10621609</v>
      </c>
      <c r="H4" s="58"/>
    </row>
    <row r="5" spans="1:8" ht="15" customHeight="1">
      <c r="A5" s="56">
        <v>46175</v>
      </c>
      <c r="B5" s="8">
        <f>SUMIFS(入金入力_リゾート!$D$4:$D$103,入金入力_リゾート!$A$4:$A$103,A5)</f>
        <v>0</v>
      </c>
      <c r="C5" s="8">
        <f>SUMIFS(未払一覧_リゾート!$N$4:$N$102,未払一覧_リゾート!$M$4:$M$102,A5)</f>
        <v>0</v>
      </c>
      <c r="D5" s="8">
        <f t="shared" si="0"/>
        <v>0</v>
      </c>
      <c r="E5" s="8">
        <f t="shared" ref="E5:E33" si="1">E4+D5</f>
        <v>5351609</v>
      </c>
      <c r="F5" s="9">
        <f>SUMIFS(カード枠回復_リゾート!$C$4:$C$53,カード枠回復_リゾート!$A$4:$A$53,A5)</f>
        <v>0</v>
      </c>
      <c r="G5" s="57">
        <f t="shared" ref="G5:G33" si="2">G4+D5+F5</f>
        <v>10621609</v>
      </c>
      <c r="H5" s="58"/>
    </row>
    <row r="6" spans="1:8" ht="15" customHeight="1">
      <c r="A6" s="56">
        <v>46176</v>
      </c>
      <c r="B6" s="8">
        <f>SUMIFS(入金入力_リゾート!$D$4:$D$103,入金入力_リゾート!$A$4:$A$103,A6)</f>
        <v>0</v>
      </c>
      <c r="C6" s="8">
        <f>SUMIFS(未払一覧_リゾート!$N$4:$N$102,未払一覧_リゾート!$M$4:$M$102,A6)</f>
        <v>0</v>
      </c>
      <c r="D6" s="8">
        <f t="shared" si="0"/>
        <v>0</v>
      </c>
      <c r="E6" s="8">
        <f t="shared" si="1"/>
        <v>5351609</v>
      </c>
      <c r="F6" s="9">
        <f>SUMIFS(カード枠回復_リゾート!$C$4:$C$53,カード枠回復_リゾート!$A$4:$A$53,A6)</f>
        <v>0</v>
      </c>
      <c r="G6" s="57">
        <f t="shared" si="2"/>
        <v>10621609</v>
      </c>
      <c r="H6" s="58"/>
    </row>
    <row r="7" spans="1:8" ht="15" customHeight="1">
      <c r="A7" s="56">
        <v>46177</v>
      </c>
      <c r="B7" s="8">
        <f>SUMIFS(入金入力_リゾート!$D$4:$D$103,入金入力_リゾート!$A$4:$A$103,A7)</f>
        <v>0</v>
      </c>
      <c r="C7" s="8">
        <f>SUMIFS(未払一覧_リゾート!$N$4:$N$102,未払一覧_リゾート!$M$4:$M$102,A7)</f>
        <v>0</v>
      </c>
      <c r="D7" s="8">
        <f t="shared" si="0"/>
        <v>0</v>
      </c>
      <c r="E7" s="8">
        <f t="shared" si="1"/>
        <v>5351609</v>
      </c>
      <c r="F7" s="9">
        <f>SUMIFS(カード枠回復_リゾート!$C$4:$C$53,カード枠回復_リゾート!$A$4:$A$53,A7)</f>
        <v>0</v>
      </c>
      <c r="G7" s="57">
        <f t="shared" si="2"/>
        <v>10621609</v>
      </c>
      <c r="H7" s="58"/>
    </row>
    <row r="8" spans="1:8" ht="15" customHeight="1">
      <c r="A8" s="56">
        <v>46178</v>
      </c>
      <c r="B8" s="8">
        <f>SUMIFS(入金入力_リゾート!$D$4:$D$103,入金入力_リゾート!$A$4:$A$103,A8)</f>
        <v>0</v>
      </c>
      <c r="C8" s="8">
        <f>SUMIFS(未払一覧_リゾート!$N$4:$N$102,未払一覧_リゾート!$M$4:$M$102,A8)</f>
        <v>0</v>
      </c>
      <c r="D8" s="8">
        <f t="shared" si="0"/>
        <v>0</v>
      </c>
      <c r="E8" s="8">
        <f t="shared" si="1"/>
        <v>5351609</v>
      </c>
      <c r="F8" s="9">
        <f>SUMIFS(カード枠回復_リゾート!$C$4:$C$53,カード枠回復_リゾート!$A$4:$A$53,A8)</f>
        <v>0</v>
      </c>
      <c r="G8" s="57">
        <f t="shared" si="2"/>
        <v>10621609</v>
      </c>
      <c r="H8" s="58"/>
    </row>
    <row r="9" spans="1:8" ht="15" customHeight="1">
      <c r="A9" s="59">
        <v>46179</v>
      </c>
      <c r="B9" s="8">
        <f>SUMIFS(入金入力_リゾート!$D$4:$D$103,入金入力_リゾート!$A$4:$A$103,A9)</f>
        <v>0</v>
      </c>
      <c r="C9" s="8">
        <f>SUMIFS(未払一覧_リゾート!$N$4:$N$102,未払一覧_リゾート!$M$4:$M$102,A9)</f>
        <v>0</v>
      </c>
      <c r="D9" s="8">
        <f t="shared" si="0"/>
        <v>0</v>
      </c>
      <c r="E9" s="8">
        <f t="shared" si="1"/>
        <v>5351609</v>
      </c>
      <c r="F9" s="9">
        <f>SUMIFS(カード枠回復_リゾート!$C$4:$C$53,カード枠回復_リゾート!$A$4:$A$53,A9)</f>
        <v>0</v>
      </c>
      <c r="G9" s="57">
        <f t="shared" si="2"/>
        <v>10621609</v>
      </c>
      <c r="H9" s="60" t="s">
        <v>236</v>
      </c>
    </row>
    <row r="10" spans="1:8" ht="15" customHeight="1">
      <c r="A10" s="61">
        <v>46180</v>
      </c>
      <c r="B10" s="8">
        <f>SUMIFS(入金入力_リゾート!$D$4:$D$103,入金入力_リゾート!$A$4:$A$103,A10)</f>
        <v>0</v>
      </c>
      <c r="C10" s="8">
        <f>SUMIFS(未払一覧_リゾート!$N$4:$N$102,未払一覧_リゾート!$M$4:$M$102,A10)</f>
        <v>0</v>
      </c>
      <c r="D10" s="8">
        <f t="shared" si="0"/>
        <v>0</v>
      </c>
      <c r="E10" s="8">
        <f t="shared" si="1"/>
        <v>5351609</v>
      </c>
      <c r="F10" s="9">
        <f>SUMIFS(カード枠回復_リゾート!$C$4:$C$53,カード枠回復_リゾート!$A$4:$A$53,A10)</f>
        <v>0</v>
      </c>
      <c r="G10" s="57">
        <f t="shared" si="2"/>
        <v>10621609</v>
      </c>
      <c r="H10" s="60" t="s">
        <v>237</v>
      </c>
    </row>
    <row r="11" spans="1:8" ht="15" customHeight="1">
      <c r="A11" s="56">
        <v>46181</v>
      </c>
      <c r="B11" s="8">
        <f>SUMIFS(入金入力_リゾート!$D$4:$D$103,入金入力_リゾート!$A$4:$A$103,A11)</f>
        <v>0</v>
      </c>
      <c r="C11" s="8">
        <f>SUMIFS(未払一覧_リゾート!$N$4:$N$102,未払一覧_リゾート!$M$4:$M$102,A11)</f>
        <v>0</v>
      </c>
      <c r="D11" s="8">
        <f t="shared" si="0"/>
        <v>0</v>
      </c>
      <c r="E11" s="8">
        <f t="shared" si="1"/>
        <v>5351609</v>
      </c>
      <c r="F11" s="9">
        <f>SUMIFS(カード枠回復_リゾート!$C$4:$C$53,カード枠回復_リゾート!$A$4:$A$53,A11)</f>
        <v>0</v>
      </c>
      <c r="G11" s="57">
        <f t="shared" si="2"/>
        <v>10621609</v>
      </c>
      <c r="H11" s="58"/>
    </row>
    <row r="12" spans="1:8" ht="15" customHeight="1">
      <c r="A12" s="56">
        <v>46182</v>
      </c>
      <c r="B12" s="8">
        <f>SUMIFS(入金入力_リゾート!$D$4:$D$103,入金入力_リゾート!$A$4:$A$103,A12)</f>
        <v>0</v>
      </c>
      <c r="C12" s="8">
        <f>SUMIFS(未払一覧_リゾート!$N$4:$N$102,未払一覧_リゾート!$M$4:$M$102,A12)</f>
        <v>0</v>
      </c>
      <c r="D12" s="8">
        <f t="shared" si="0"/>
        <v>0</v>
      </c>
      <c r="E12" s="8">
        <f t="shared" si="1"/>
        <v>5351609</v>
      </c>
      <c r="F12" s="9">
        <f>SUMIFS(カード枠回復_リゾート!$C$4:$C$53,カード枠回復_リゾート!$A$4:$A$53,A12)</f>
        <v>0</v>
      </c>
      <c r="G12" s="57">
        <f t="shared" si="2"/>
        <v>10621609</v>
      </c>
      <c r="H12" s="58"/>
    </row>
    <row r="13" spans="1:8" ht="15" customHeight="1">
      <c r="A13" s="56">
        <v>46183</v>
      </c>
      <c r="B13" s="8">
        <f>SUMIFS(入金入力_リゾート!$D$4:$D$103,入金入力_リゾート!$A$4:$A$103,A13)</f>
        <v>0</v>
      </c>
      <c r="C13" s="8">
        <f>SUMIFS(未払一覧_リゾート!$N$4:$N$102,未払一覧_リゾート!$M$4:$M$102,A13)</f>
        <v>0</v>
      </c>
      <c r="D13" s="8">
        <f t="shared" si="0"/>
        <v>0</v>
      </c>
      <c r="E13" s="8">
        <f t="shared" si="1"/>
        <v>5351609</v>
      </c>
      <c r="F13" s="9">
        <f>SUMIFS(カード枠回復_リゾート!$C$4:$C$53,カード枠回復_リゾート!$A$4:$A$53,A13)</f>
        <v>0</v>
      </c>
      <c r="G13" s="57">
        <f t="shared" si="2"/>
        <v>10621609</v>
      </c>
      <c r="H13" s="58"/>
    </row>
    <row r="14" spans="1:8" ht="15" customHeight="1">
      <c r="A14" s="56">
        <v>46184</v>
      </c>
      <c r="B14" s="8">
        <f>SUMIFS(入金入力_リゾート!$D$4:$D$103,入金入力_リゾート!$A$4:$A$103,A14)</f>
        <v>0</v>
      </c>
      <c r="C14" s="8">
        <f>SUMIFS(未払一覧_リゾート!$N$4:$N$102,未払一覧_リゾート!$M$4:$M$102,A14)</f>
        <v>0</v>
      </c>
      <c r="D14" s="8">
        <f t="shared" si="0"/>
        <v>0</v>
      </c>
      <c r="E14" s="8">
        <f t="shared" si="1"/>
        <v>5351609</v>
      </c>
      <c r="F14" s="9">
        <f>SUMIFS(カード枠回復_リゾート!$C$4:$C$53,カード枠回復_リゾート!$A$4:$A$53,A14)</f>
        <v>0</v>
      </c>
      <c r="G14" s="57">
        <f t="shared" si="2"/>
        <v>10621609</v>
      </c>
      <c r="H14" s="58"/>
    </row>
    <row r="15" spans="1:8" ht="15" customHeight="1">
      <c r="A15" s="56">
        <v>46185</v>
      </c>
      <c r="B15" s="8">
        <f>SUMIFS(入金入力_リゾート!$D$4:$D$103,入金入力_リゾート!$A$4:$A$103,A15)</f>
        <v>0</v>
      </c>
      <c r="C15" s="8">
        <f>SUMIFS(未払一覧_リゾート!$N$4:$N$102,未払一覧_リゾート!$M$4:$M$102,A15)</f>
        <v>0</v>
      </c>
      <c r="D15" s="8">
        <f t="shared" si="0"/>
        <v>0</v>
      </c>
      <c r="E15" s="8">
        <f t="shared" si="1"/>
        <v>5351609</v>
      </c>
      <c r="F15" s="9">
        <f>SUMIFS(カード枠回復_リゾート!$C$4:$C$53,カード枠回復_リゾート!$A$4:$A$53,A15)</f>
        <v>0</v>
      </c>
      <c r="G15" s="57">
        <f t="shared" si="2"/>
        <v>10621609</v>
      </c>
      <c r="H15" s="58"/>
    </row>
    <row r="16" spans="1:8" ht="15" customHeight="1">
      <c r="A16" s="59">
        <v>46186</v>
      </c>
      <c r="B16" s="8">
        <f>SUMIFS(入金入力_リゾート!$D$4:$D$103,入金入力_リゾート!$A$4:$A$103,A16)</f>
        <v>0</v>
      </c>
      <c r="C16" s="8">
        <f>SUMIFS(未払一覧_リゾート!$N$4:$N$102,未払一覧_リゾート!$M$4:$M$102,A16)</f>
        <v>0</v>
      </c>
      <c r="D16" s="8">
        <f t="shared" si="0"/>
        <v>0</v>
      </c>
      <c r="E16" s="8">
        <f t="shared" si="1"/>
        <v>5351609</v>
      </c>
      <c r="F16" s="9">
        <f>SUMIFS(カード枠回復_リゾート!$C$4:$C$53,カード枠回復_リゾート!$A$4:$A$53,A16)</f>
        <v>0</v>
      </c>
      <c r="G16" s="57">
        <f t="shared" si="2"/>
        <v>10621609</v>
      </c>
      <c r="H16" s="60" t="s">
        <v>236</v>
      </c>
    </row>
    <row r="17" spans="1:8" ht="15" customHeight="1">
      <c r="A17" s="61">
        <v>46187</v>
      </c>
      <c r="B17" s="8">
        <f>SUMIFS(入金入力_リゾート!$D$4:$D$103,入金入力_リゾート!$A$4:$A$103,A17)</f>
        <v>0</v>
      </c>
      <c r="C17" s="8">
        <f>SUMIFS(未払一覧_リゾート!$N$4:$N$102,未払一覧_リゾート!$M$4:$M$102,A17)</f>
        <v>0</v>
      </c>
      <c r="D17" s="8">
        <f t="shared" si="0"/>
        <v>0</v>
      </c>
      <c r="E17" s="8">
        <f t="shared" si="1"/>
        <v>5351609</v>
      </c>
      <c r="F17" s="9">
        <f>SUMIFS(カード枠回復_リゾート!$C$4:$C$53,カード枠回復_リゾート!$A$4:$A$53,A17)</f>
        <v>0</v>
      </c>
      <c r="G17" s="57">
        <f t="shared" si="2"/>
        <v>10621609</v>
      </c>
      <c r="H17" s="60" t="s">
        <v>237</v>
      </c>
    </row>
    <row r="18" spans="1:8" ht="15" customHeight="1">
      <c r="A18" s="56">
        <v>46188</v>
      </c>
      <c r="B18" s="8">
        <f>SUMIFS(入金入力_リゾート!$D$4:$D$103,入金入力_リゾート!$A$4:$A$103,A18)</f>
        <v>0</v>
      </c>
      <c r="C18" s="8">
        <f>SUMIFS(未払一覧_リゾート!$N$4:$N$102,未払一覧_リゾート!$M$4:$M$102,A18)</f>
        <v>0</v>
      </c>
      <c r="D18" s="8">
        <f t="shared" si="0"/>
        <v>0</v>
      </c>
      <c r="E18" s="8">
        <f t="shared" si="1"/>
        <v>5351609</v>
      </c>
      <c r="F18" s="9">
        <f>SUMIFS(カード枠回復_リゾート!$C$4:$C$53,カード枠回復_リゾート!$A$4:$A$53,A18)</f>
        <v>0</v>
      </c>
      <c r="G18" s="57">
        <f t="shared" si="2"/>
        <v>10621609</v>
      </c>
      <c r="H18" s="58"/>
    </row>
    <row r="19" spans="1:8" ht="15" customHeight="1">
      <c r="A19" s="56">
        <v>46189</v>
      </c>
      <c r="B19" s="8">
        <f>SUMIFS(入金入力_リゾート!$D$4:$D$103,入金入力_リゾート!$A$4:$A$103,A19)</f>
        <v>0</v>
      </c>
      <c r="C19" s="8">
        <f>SUMIFS(未払一覧_リゾート!$N$4:$N$102,未払一覧_リゾート!$M$4:$M$102,A19)</f>
        <v>0</v>
      </c>
      <c r="D19" s="8">
        <f t="shared" si="0"/>
        <v>0</v>
      </c>
      <c r="E19" s="8">
        <f t="shared" si="1"/>
        <v>5351609</v>
      </c>
      <c r="F19" s="9">
        <f>SUMIFS(カード枠回復_リゾート!$C$4:$C$53,カード枠回復_リゾート!$A$4:$A$53,A19)</f>
        <v>0</v>
      </c>
      <c r="G19" s="57">
        <f t="shared" si="2"/>
        <v>10621609</v>
      </c>
      <c r="H19" s="58"/>
    </row>
    <row r="20" spans="1:8" ht="15" customHeight="1">
      <c r="A20" s="56">
        <v>46190</v>
      </c>
      <c r="B20" s="8">
        <f>SUMIFS(入金入力_リゾート!$D$4:$D$103,入金入力_リゾート!$A$4:$A$103,A20)</f>
        <v>0</v>
      </c>
      <c r="C20" s="8">
        <f>SUMIFS(未払一覧_リゾート!$N$4:$N$102,未払一覧_リゾート!$M$4:$M$102,A20)</f>
        <v>0</v>
      </c>
      <c r="D20" s="8">
        <f t="shared" si="0"/>
        <v>0</v>
      </c>
      <c r="E20" s="8">
        <f t="shared" si="1"/>
        <v>5351609</v>
      </c>
      <c r="F20" s="9">
        <f>SUMIFS(カード枠回復_リゾート!$C$4:$C$53,カード枠回復_リゾート!$A$4:$A$53,A20)</f>
        <v>0</v>
      </c>
      <c r="G20" s="57">
        <f t="shared" si="2"/>
        <v>10621609</v>
      </c>
      <c r="H20" s="58"/>
    </row>
    <row r="21" spans="1:8" ht="15" customHeight="1">
      <c r="A21" s="56">
        <v>46191</v>
      </c>
      <c r="B21" s="8">
        <f>SUMIFS(入金入力_リゾート!$D$4:$D$103,入金入力_リゾート!$A$4:$A$103,A21)</f>
        <v>0</v>
      </c>
      <c r="C21" s="8">
        <f>SUMIFS(未払一覧_リゾート!$N$4:$N$102,未払一覧_リゾート!$M$4:$M$102,A21)</f>
        <v>0</v>
      </c>
      <c r="D21" s="8">
        <f t="shared" si="0"/>
        <v>0</v>
      </c>
      <c r="E21" s="8">
        <f t="shared" si="1"/>
        <v>5351609</v>
      </c>
      <c r="F21" s="9">
        <f>SUMIFS(カード枠回復_リゾート!$C$4:$C$53,カード枠回復_リゾート!$A$4:$A$53,A21)</f>
        <v>0</v>
      </c>
      <c r="G21" s="57">
        <f t="shared" si="2"/>
        <v>10621609</v>
      </c>
      <c r="H21" s="58"/>
    </row>
    <row r="22" spans="1:8" ht="15" customHeight="1">
      <c r="A22" s="56">
        <v>46192</v>
      </c>
      <c r="B22" s="8">
        <f>SUMIFS(入金入力_リゾート!$D$4:$D$103,入金入力_リゾート!$A$4:$A$103,A22)</f>
        <v>0</v>
      </c>
      <c r="C22" s="8">
        <f>SUMIFS(未払一覧_リゾート!$N$4:$N$102,未払一覧_リゾート!$M$4:$M$102,A22)</f>
        <v>0</v>
      </c>
      <c r="D22" s="8">
        <f t="shared" si="0"/>
        <v>0</v>
      </c>
      <c r="E22" s="8">
        <f t="shared" si="1"/>
        <v>5351609</v>
      </c>
      <c r="F22" s="9">
        <f>SUMIFS(カード枠回復_リゾート!$C$4:$C$53,カード枠回復_リゾート!$A$4:$A$53,A22)</f>
        <v>0</v>
      </c>
      <c r="G22" s="57">
        <f t="shared" si="2"/>
        <v>10621609</v>
      </c>
      <c r="H22" s="58"/>
    </row>
    <row r="23" spans="1:8" ht="15" customHeight="1">
      <c r="A23" s="59">
        <v>46193</v>
      </c>
      <c r="B23" s="8">
        <f>SUMIFS(入金入力_リゾート!$D$4:$D$103,入金入力_リゾート!$A$4:$A$103,A23)</f>
        <v>0</v>
      </c>
      <c r="C23" s="8">
        <f>SUMIFS(未払一覧_リゾート!$N$4:$N$102,未払一覧_リゾート!$M$4:$M$102,A23)</f>
        <v>0</v>
      </c>
      <c r="D23" s="8">
        <f t="shared" si="0"/>
        <v>0</v>
      </c>
      <c r="E23" s="8">
        <f t="shared" si="1"/>
        <v>5351609</v>
      </c>
      <c r="F23" s="9">
        <f>SUMIFS(カード枠回復_リゾート!$C$4:$C$53,カード枠回復_リゾート!$A$4:$A$53,A23)</f>
        <v>0</v>
      </c>
      <c r="G23" s="57">
        <f t="shared" si="2"/>
        <v>10621609</v>
      </c>
      <c r="H23" s="60" t="s">
        <v>236</v>
      </c>
    </row>
    <row r="24" spans="1:8" ht="15" customHeight="1">
      <c r="A24" s="61">
        <v>46194</v>
      </c>
      <c r="B24" s="8">
        <f>SUMIFS(入金入力_リゾート!$D$4:$D$103,入金入力_リゾート!$A$4:$A$103,A24)</f>
        <v>0</v>
      </c>
      <c r="C24" s="8">
        <f>SUMIFS(未払一覧_リゾート!$N$4:$N$102,未払一覧_リゾート!$M$4:$M$102,A24)</f>
        <v>0</v>
      </c>
      <c r="D24" s="8">
        <f t="shared" si="0"/>
        <v>0</v>
      </c>
      <c r="E24" s="8">
        <f t="shared" si="1"/>
        <v>5351609</v>
      </c>
      <c r="F24" s="9">
        <f>SUMIFS(カード枠回復_リゾート!$C$4:$C$53,カード枠回復_リゾート!$A$4:$A$53,A24)</f>
        <v>0</v>
      </c>
      <c r="G24" s="57">
        <f t="shared" si="2"/>
        <v>10621609</v>
      </c>
      <c r="H24" s="60" t="s">
        <v>237</v>
      </c>
    </row>
    <row r="25" spans="1:8" ht="15" customHeight="1">
      <c r="A25" s="56">
        <v>46195</v>
      </c>
      <c r="B25" s="8">
        <f>SUMIFS(入金入力_リゾート!$D$4:$D$103,入金入力_リゾート!$A$4:$A$103,A25)</f>
        <v>0</v>
      </c>
      <c r="C25" s="8">
        <f>SUMIFS(未払一覧_リゾート!$N$4:$N$102,未払一覧_リゾート!$M$4:$M$102,A25)</f>
        <v>0</v>
      </c>
      <c r="D25" s="8">
        <f t="shared" si="0"/>
        <v>0</v>
      </c>
      <c r="E25" s="8">
        <f t="shared" si="1"/>
        <v>5351609</v>
      </c>
      <c r="F25" s="9">
        <f>SUMIFS(カード枠回復_リゾート!$C$4:$C$53,カード枠回復_リゾート!$A$4:$A$53,A25)</f>
        <v>0</v>
      </c>
      <c r="G25" s="57">
        <f t="shared" si="2"/>
        <v>10621609</v>
      </c>
      <c r="H25" s="58"/>
    </row>
    <row r="26" spans="1:8" ht="15" customHeight="1">
      <c r="A26" s="56">
        <v>46196</v>
      </c>
      <c r="B26" s="8">
        <f>SUMIFS(入金入力_リゾート!$D$4:$D$103,入金入力_リゾート!$A$4:$A$103,A26)</f>
        <v>0</v>
      </c>
      <c r="C26" s="8">
        <f>SUMIFS(未払一覧_リゾート!$N$4:$N$102,未払一覧_リゾート!$M$4:$M$102,A26)</f>
        <v>0</v>
      </c>
      <c r="D26" s="8">
        <f t="shared" si="0"/>
        <v>0</v>
      </c>
      <c r="E26" s="8">
        <f t="shared" si="1"/>
        <v>5351609</v>
      </c>
      <c r="F26" s="9">
        <f>SUMIFS(カード枠回復_リゾート!$C$4:$C$53,カード枠回復_リゾート!$A$4:$A$53,A26)</f>
        <v>0</v>
      </c>
      <c r="G26" s="57">
        <f t="shared" si="2"/>
        <v>10621609</v>
      </c>
      <c r="H26" s="58"/>
    </row>
    <row r="27" spans="1:8" ht="15" customHeight="1">
      <c r="A27" s="56">
        <v>46197</v>
      </c>
      <c r="B27" s="8">
        <f>SUMIFS(入金入力_リゾート!$D$4:$D$103,入金入力_リゾート!$A$4:$A$103,A27)</f>
        <v>0</v>
      </c>
      <c r="C27" s="8">
        <f>SUMIFS(未払一覧_リゾート!$N$4:$N$102,未払一覧_リゾート!$M$4:$M$102,A27)</f>
        <v>0</v>
      </c>
      <c r="D27" s="8">
        <f t="shared" si="0"/>
        <v>0</v>
      </c>
      <c r="E27" s="8">
        <f t="shared" si="1"/>
        <v>5351609</v>
      </c>
      <c r="F27" s="9">
        <f>SUMIFS(カード枠回復_リゾート!$C$4:$C$53,カード枠回復_リゾート!$A$4:$A$53,A27)</f>
        <v>0</v>
      </c>
      <c r="G27" s="57">
        <f t="shared" si="2"/>
        <v>10621609</v>
      </c>
      <c r="H27" s="58"/>
    </row>
    <row r="28" spans="1:8" ht="15" customHeight="1">
      <c r="A28" s="56">
        <v>46198</v>
      </c>
      <c r="B28" s="8">
        <f>SUMIFS(入金入力_リゾート!$D$4:$D$103,入金入力_リゾート!$A$4:$A$103,A28)</f>
        <v>0</v>
      </c>
      <c r="C28" s="8">
        <f>SUMIFS(未払一覧_リゾート!$N$4:$N$102,未払一覧_リゾート!$M$4:$M$102,A28)</f>
        <v>0</v>
      </c>
      <c r="D28" s="8">
        <f t="shared" si="0"/>
        <v>0</v>
      </c>
      <c r="E28" s="8">
        <f t="shared" si="1"/>
        <v>5351609</v>
      </c>
      <c r="F28" s="9">
        <f>SUMIFS(カード枠回復_リゾート!$C$4:$C$53,カード枠回復_リゾート!$A$4:$A$53,A28)</f>
        <v>0</v>
      </c>
      <c r="G28" s="57">
        <f t="shared" si="2"/>
        <v>10621609</v>
      </c>
      <c r="H28" s="58"/>
    </row>
    <row r="29" spans="1:8" ht="15" customHeight="1">
      <c r="A29" s="56">
        <v>46199</v>
      </c>
      <c r="B29" s="8">
        <f>SUMIFS(入金入力_リゾート!$D$4:$D$103,入金入力_リゾート!$A$4:$A$103,A29)</f>
        <v>0</v>
      </c>
      <c r="C29" s="8">
        <f>SUMIFS(未払一覧_リゾート!$N$4:$N$102,未払一覧_リゾート!$M$4:$M$102,A29)</f>
        <v>0</v>
      </c>
      <c r="D29" s="8">
        <f t="shared" si="0"/>
        <v>0</v>
      </c>
      <c r="E29" s="8">
        <f t="shared" si="1"/>
        <v>5351609</v>
      </c>
      <c r="F29" s="9">
        <f>SUMIFS(カード枠回復_リゾート!$C$4:$C$53,カード枠回復_リゾート!$A$4:$A$53,A29)</f>
        <v>0</v>
      </c>
      <c r="G29" s="57">
        <f t="shared" si="2"/>
        <v>10621609</v>
      </c>
      <c r="H29" s="58"/>
    </row>
    <row r="30" spans="1:8" ht="15" customHeight="1">
      <c r="A30" s="59">
        <v>46200</v>
      </c>
      <c r="B30" s="8">
        <f>SUMIFS(入金入力_リゾート!$D$4:$D$103,入金入力_リゾート!$A$4:$A$103,A30)</f>
        <v>0</v>
      </c>
      <c r="C30" s="8">
        <f>SUMIFS(未払一覧_リゾート!$N$4:$N$102,未払一覧_リゾート!$M$4:$M$102,A30)</f>
        <v>0</v>
      </c>
      <c r="D30" s="8">
        <f t="shared" si="0"/>
        <v>0</v>
      </c>
      <c r="E30" s="8">
        <f t="shared" si="1"/>
        <v>5351609</v>
      </c>
      <c r="F30" s="9">
        <f>SUMIFS(カード枠回復_リゾート!$C$4:$C$53,カード枠回復_リゾート!$A$4:$A$53,A30)</f>
        <v>0</v>
      </c>
      <c r="G30" s="57">
        <f t="shared" si="2"/>
        <v>10621609</v>
      </c>
      <c r="H30" s="60" t="s">
        <v>236</v>
      </c>
    </row>
    <row r="31" spans="1:8" ht="15" customHeight="1">
      <c r="A31" s="61">
        <v>46201</v>
      </c>
      <c r="B31" s="8">
        <f>SUMIFS(入金入力_リゾート!$D$4:$D$103,入金入力_リゾート!$A$4:$A$103,A31)</f>
        <v>0</v>
      </c>
      <c r="C31" s="8">
        <f>SUMIFS(未払一覧_リゾート!$N$4:$N$102,未払一覧_リゾート!$M$4:$M$102,A31)</f>
        <v>0</v>
      </c>
      <c r="D31" s="8">
        <f t="shared" si="0"/>
        <v>0</v>
      </c>
      <c r="E31" s="8">
        <f t="shared" si="1"/>
        <v>5351609</v>
      </c>
      <c r="F31" s="9">
        <f>SUMIFS(カード枠回復_リゾート!$C$4:$C$53,カード枠回復_リゾート!$A$4:$A$53,A31)</f>
        <v>0</v>
      </c>
      <c r="G31" s="57">
        <f t="shared" si="2"/>
        <v>10621609</v>
      </c>
      <c r="H31" s="60" t="s">
        <v>237</v>
      </c>
    </row>
    <row r="32" spans="1:8" ht="15" customHeight="1">
      <c r="A32" s="56">
        <v>46202</v>
      </c>
      <c r="B32" s="8">
        <f>SUMIFS(入金入力_リゾート!$D$4:$D$103,入金入力_リゾート!$A$4:$A$103,A32)</f>
        <v>0</v>
      </c>
      <c r="C32" s="8">
        <f>SUMIFS(未払一覧_リゾート!$N$4:$N$102,未払一覧_リゾート!$M$4:$M$102,A32)</f>
        <v>0</v>
      </c>
      <c r="D32" s="8">
        <f t="shared" si="0"/>
        <v>0</v>
      </c>
      <c r="E32" s="8">
        <f t="shared" si="1"/>
        <v>5351609</v>
      </c>
      <c r="F32" s="9">
        <f>SUMIFS(カード枠回復_リゾート!$C$4:$C$53,カード枠回復_リゾート!$A$4:$A$53,A32)</f>
        <v>0</v>
      </c>
      <c r="G32" s="57">
        <f t="shared" si="2"/>
        <v>10621609</v>
      </c>
      <c r="H32" s="58"/>
    </row>
    <row r="33" spans="1:8" ht="15" customHeight="1">
      <c r="A33" s="56">
        <v>46203</v>
      </c>
      <c r="B33" s="8">
        <f>SUMIFS(入金入力_リゾート!$D$4:$D$103,入金入力_リゾート!$A$4:$A$103,A33)</f>
        <v>0</v>
      </c>
      <c r="C33" s="8">
        <f>SUMIFS(未払一覧_リゾート!$N$4:$N$102,未払一覧_リゾート!$M$4:$M$102,A33)</f>
        <v>0</v>
      </c>
      <c r="D33" s="8">
        <f t="shared" si="0"/>
        <v>0</v>
      </c>
      <c r="E33" s="8">
        <f t="shared" si="1"/>
        <v>5351609</v>
      </c>
      <c r="F33" s="9">
        <f>SUMIFS(カード枠回復_リゾート!$C$4:$C$53,カード枠回復_リゾート!$A$4:$A$53,A33)</f>
        <v>0</v>
      </c>
      <c r="G33" s="57">
        <f t="shared" si="2"/>
        <v>10621609</v>
      </c>
      <c r="H33" s="58"/>
    </row>
    <row r="35" spans="1:8" ht="15" customHeight="1">
      <c r="A35" s="11" t="s">
        <v>241</v>
      </c>
      <c r="B35" s="12">
        <f>SUM(B4:B33)</f>
        <v>0</v>
      </c>
      <c r="C35" s="12">
        <f>SUM(C4:C33)</f>
        <v>0</v>
      </c>
      <c r="D35" s="12">
        <f>B35-C35-F35</f>
        <v>0</v>
      </c>
      <c r="E35" s="12">
        <f>E33</f>
        <v>5351609</v>
      </c>
      <c r="F35" s="12">
        <f>SUM(F4:F33)</f>
        <v>0</v>
      </c>
      <c r="G35" s="12">
        <f>G33</f>
        <v>10621609</v>
      </c>
      <c r="H35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6" t="s">
        <v>249</v>
      </c>
      <c r="B1" s="96"/>
      <c r="C1" s="96"/>
      <c r="D1" s="96"/>
      <c r="E1" s="96"/>
      <c r="F1" s="96"/>
      <c r="G1" s="96"/>
      <c r="H1" s="96"/>
    </row>
    <row r="2" spans="1:8" ht="11.25" customHeight="1">
      <c r="A2" s="95" t="s">
        <v>247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46204</v>
      </c>
      <c r="B4" s="8">
        <f>SUMIFS(入金入力_リゾート!$D$4:$D$103,入金入力_リゾート!$A$4:$A$103,A4)</f>
        <v>0</v>
      </c>
      <c r="C4" s="8">
        <f>SUMIFS(未払一覧_リゾート!$N$4:$N$102,未払一覧_リゾート!$M$4:$M$102,A4)</f>
        <v>0</v>
      </c>
      <c r="D4" s="8">
        <f t="shared" ref="D4:D34" si="0">B4-C4-F4</f>
        <v>0</v>
      </c>
      <c r="E4" s="8">
        <f>'6月_リゾート'!E33+D4</f>
        <v>5351609</v>
      </c>
      <c r="F4" s="9">
        <f>SUMIFS(カード枠回復_リゾート!$C$4:$C$53,カード枠回復_リゾート!$A$4:$A$53,A4)</f>
        <v>0</v>
      </c>
      <c r="G4" s="57">
        <f>'6月_リゾート'!G33+D4+F4</f>
        <v>10621609</v>
      </c>
      <c r="H4" s="58"/>
    </row>
    <row r="5" spans="1:8" ht="15" customHeight="1">
      <c r="A5" s="56">
        <v>46205</v>
      </c>
      <c r="B5" s="8">
        <f>SUMIFS(入金入力_リゾート!$D$4:$D$103,入金入力_リゾート!$A$4:$A$103,A5)</f>
        <v>0</v>
      </c>
      <c r="C5" s="8">
        <f>SUMIFS(未払一覧_リゾート!$N$4:$N$102,未払一覧_リゾート!$M$4:$M$102,A5)</f>
        <v>0</v>
      </c>
      <c r="D5" s="8">
        <f t="shared" si="0"/>
        <v>0</v>
      </c>
      <c r="E5" s="8">
        <f t="shared" ref="E5:E34" si="1">E4+D5</f>
        <v>5351609</v>
      </c>
      <c r="F5" s="9">
        <f>SUMIFS(カード枠回復_リゾート!$C$4:$C$53,カード枠回復_リゾート!$A$4:$A$53,A5)</f>
        <v>0</v>
      </c>
      <c r="G5" s="57">
        <f t="shared" ref="G5:G34" si="2">G4+D5+F5</f>
        <v>10621609</v>
      </c>
      <c r="H5" s="58"/>
    </row>
    <row r="6" spans="1:8" ht="15" customHeight="1">
      <c r="A6" s="56">
        <v>46206</v>
      </c>
      <c r="B6" s="8">
        <f>SUMIFS(入金入力_リゾート!$D$4:$D$103,入金入力_リゾート!$A$4:$A$103,A6)</f>
        <v>0</v>
      </c>
      <c r="C6" s="8">
        <f>SUMIFS(未払一覧_リゾート!$N$4:$N$102,未払一覧_リゾート!$M$4:$M$102,A6)</f>
        <v>0</v>
      </c>
      <c r="D6" s="8">
        <f t="shared" si="0"/>
        <v>0</v>
      </c>
      <c r="E6" s="8">
        <f t="shared" si="1"/>
        <v>5351609</v>
      </c>
      <c r="F6" s="9">
        <f>SUMIFS(カード枠回復_リゾート!$C$4:$C$53,カード枠回復_リゾート!$A$4:$A$53,A6)</f>
        <v>0</v>
      </c>
      <c r="G6" s="57">
        <f t="shared" si="2"/>
        <v>10621609</v>
      </c>
      <c r="H6" s="58"/>
    </row>
    <row r="7" spans="1:8" ht="15" customHeight="1">
      <c r="A7" s="59">
        <v>46207</v>
      </c>
      <c r="B7" s="8">
        <f>SUMIFS(入金入力_リゾート!$D$4:$D$103,入金入力_リゾート!$A$4:$A$103,A7)</f>
        <v>0</v>
      </c>
      <c r="C7" s="8">
        <f>SUMIFS(未払一覧_リゾート!$N$4:$N$102,未払一覧_リゾート!$M$4:$M$102,A7)</f>
        <v>0</v>
      </c>
      <c r="D7" s="8">
        <f t="shared" si="0"/>
        <v>0</v>
      </c>
      <c r="E7" s="8">
        <f t="shared" si="1"/>
        <v>5351609</v>
      </c>
      <c r="F7" s="9">
        <f>SUMIFS(カード枠回復_リゾート!$C$4:$C$53,カード枠回復_リゾート!$A$4:$A$53,A7)</f>
        <v>0</v>
      </c>
      <c r="G7" s="57">
        <f t="shared" si="2"/>
        <v>10621609</v>
      </c>
      <c r="H7" s="60" t="s">
        <v>236</v>
      </c>
    </row>
    <row r="8" spans="1:8" ht="15" customHeight="1">
      <c r="A8" s="61">
        <v>46208</v>
      </c>
      <c r="B8" s="8">
        <f>SUMIFS(入金入力_リゾート!$D$4:$D$103,入金入力_リゾート!$A$4:$A$103,A8)</f>
        <v>0</v>
      </c>
      <c r="C8" s="8">
        <f>SUMIFS(未払一覧_リゾート!$N$4:$N$102,未払一覧_リゾート!$M$4:$M$102,A8)</f>
        <v>0</v>
      </c>
      <c r="D8" s="8">
        <f t="shared" si="0"/>
        <v>0</v>
      </c>
      <c r="E8" s="8">
        <f t="shared" si="1"/>
        <v>5351609</v>
      </c>
      <c r="F8" s="9">
        <f>SUMIFS(カード枠回復_リゾート!$C$4:$C$53,カード枠回復_リゾート!$A$4:$A$53,A8)</f>
        <v>0</v>
      </c>
      <c r="G8" s="57">
        <f t="shared" si="2"/>
        <v>10621609</v>
      </c>
      <c r="H8" s="60" t="s">
        <v>237</v>
      </c>
    </row>
    <row r="9" spans="1:8" ht="15" customHeight="1">
      <c r="A9" s="56">
        <v>46209</v>
      </c>
      <c r="B9" s="8">
        <f>SUMIFS(入金入力_リゾート!$D$4:$D$103,入金入力_リゾート!$A$4:$A$103,A9)</f>
        <v>0</v>
      </c>
      <c r="C9" s="8">
        <f>SUMIFS(未払一覧_リゾート!$N$4:$N$102,未払一覧_リゾート!$M$4:$M$102,A9)</f>
        <v>0</v>
      </c>
      <c r="D9" s="8">
        <f t="shared" si="0"/>
        <v>0</v>
      </c>
      <c r="E9" s="8">
        <f t="shared" si="1"/>
        <v>5351609</v>
      </c>
      <c r="F9" s="9">
        <f>SUMIFS(カード枠回復_リゾート!$C$4:$C$53,カード枠回復_リゾート!$A$4:$A$53,A9)</f>
        <v>0</v>
      </c>
      <c r="G9" s="57">
        <f t="shared" si="2"/>
        <v>10621609</v>
      </c>
      <c r="H9" s="58"/>
    </row>
    <row r="10" spans="1:8" ht="15" customHeight="1">
      <c r="A10" s="56">
        <v>46210</v>
      </c>
      <c r="B10" s="8">
        <f>SUMIFS(入金入力_リゾート!$D$4:$D$103,入金入力_リゾート!$A$4:$A$103,A10)</f>
        <v>0</v>
      </c>
      <c r="C10" s="8">
        <f>SUMIFS(未払一覧_リゾート!$N$4:$N$102,未払一覧_リゾート!$M$4:$M$102,A10)</f>
        <v>0</v>
      </c>
      <c r="D10" s="8">
        <f t="shared" si="0"/>
        <v>0</v>
      </c>
      <c r="E10" s="8">
        <f t="shared" si="1"/>
        <v>5351609</v>
      </c>
      <c r="F10" s="9">
        <f>SUMIFS(カード枠回復_リゾート!$C$4:$C$53,カード枠回復_リゾート!$A$4:$A$53,A10)</f>
        <v>0</v>
      </c>
      <c r="G10" s="57">
        <f t="shared" si="2"/>
        <v>10621609</v>
      </c>
      <c r="H10" s="58"/>
    </row>
    <row r="11" spans="1:8" ht="15" customHeight="1">
      <c r="A11" s="56">
        <v>46211</v>
      </c>
      <c r="B11" s="8">
        <f>SUMIFS(入金入力_リゾート!$D$4:$D$103,入金入力_リゾート!$A$4:$A$103,A11)</f>
        <v>0</v>
      </c>
      <c r="C11" s="8">
        <f>SUMIFS(未払一覧_リゾート!$N$4:$N$102,未払一覧_リゾート!$M$4:$M$102,A11)</f>
        <v>0</v>
      </c>
      <c r="D11" s="8">
        <f t="shared" si="0"/>
        <v>0</v>
      </c>
      <c r="E11" s="8">
        <f t="shared" si="1"/>
        <v>5351609</v>
      </c>
      <c r="F11" s="9">
        <f>SUMIFS(カード枠回復_リゾート!$C$4:$C$53,カード枠回復_リゾート!$A$4:$A$53,A11)</f>
        <v>0</v>
      </c>
      <c r="G11" s="57">
        <f t="shared" si="2"/>
        <v>10621609</v>
      </c>
      <c r="H11" s="58"/>
    </row>
    <row r="12" spans="1:8" ht="15" customHeight="1">
      <c r="A12" s="56">
        <v>46212</v>
      </c>
      <c r="B12" s="8">
        <f>SUMIFS(入金入力_リゾート!$D$4:$D$103,入金入力_リゾート!$A$4:$A$103,A12)</f>
        <v>0</v>
      </c>
      <c r="C12" s="8">
        <f>SUMIFS(未払一覧_リゾート!$N$4:$N$102,未払一覧_リゾート!$M$4:$M$102,A12)</f>
        <v>0</v>
      </c>
      <c r="D12" s="8">
        <f t="shared" si="0"/>
        <v>0</v>
      </c>
      <c r="E12" s="8">
        <f t="shared" si="1"/>
        <v>5351609</v>
      </c>
      <c r="F12" s="9">
        <f>SUMIFS(カード枠回復_リゾート!$C$4:$C$53,カード枠回復_リゾート!$A$4:$A$53,A12)</f>
        <v>0</v>
      </c>
      <c r="G12" s="57">
        <f t="shared" si="2"/>
        <v>10621609</v>
      </c>
      <c r="H12" s="58"/>
    </row>
    <row r="13" spans="1:8" ht="15" customHeight="1">
      <c r="A13" s="56">
        <v>46213</v>
      </c>
      <c r="B13" s="8">
        <f>SUMIFS(入金入力_リゾート!$D$4:$D$103,入金入力_リゾート!$A$4:$A$103,A13)</f>
        <v>0</v>
      </c>
      <c r="C13" s="8">
        <f>SUMIFS(未払一覧_リゾート!$N$4:$N$102,未払一覧_リゾート!$M$4:$M$102,A13)</f>
        <v>0</v>
      </c>
      <c r="D13" s="8">
        <f t="shared" si="0"/>
        <v>0</v>
      </c>
      <c r="E13" s="8">
        <f t="shared" si="1"/>
        <v>5351609</v>
      </c>
      <c r="F13" s="9">
        <f>SUMIFS(カード枠回復_リゾート!$C$4:$C$53,カード枠回復_リゾート!$A$4:$A$53,A13)</f>
        <v>0</v>
      </c>
      <c r="G13" s="57">
        <f t="shared" si="2"/>
        <v>10621609</v>
      </c>
      <c r="H13" s="58"/>
    </row>
    <row r="14" spans="1:8" ht="15" customHeight="1">
      <c r="A14" s="59">
        <v>46214</v>
      </c>
      <c r="B14" s="8">
        <f>SUMIFS(入金入力_リゾート!$D$4:$D$103,入金入力_リゾート!$A$4:$A$103,A14)</f>
        <v>0</v>
      </c>
      <c r="C14" s="8">
        <f>SUMIFS(未払一覧_リゾート!$N$4:$N$102,未払一覧_リゾート!$M$4:$M$102,A14)</f>
        <v>0</v>
      </c>
      <c r="D14" s="8">
        <f t="shared" si="0"/>
        <v>0</v>
      </c>
      <c r="E14" s="8">
        <f t="shared" si="1"/>
        <v>5351609</v>
      </c>
      <c r="F14" s="9">
        <f>SUMIFS(カード枠回復_リゾート!$C$4:$C$53,カード枠回復_リゾート!$A$4:$A$53,A14)</f>
        <v>0</v>
      </c>
      <c r="G14" s="57">
        <f t="shared" si="2"/>
        <v>10621609</v>
      </c>
      <c r="H14" s="60" t="s">
        <v>236</v>
      </c>
    </row>
    <row r="15" spans="1:8" ht="15" customHeight="1">
      <c r="A15" s="61">
        <v>46215</v>
      </c>
      <c r="B15" s="8">
        <f>SUMIFS(入金入力_リゾート!$D$4:$D$103,入金入力_リゾート!$A$4:$A$103,A15)</f>
        <v>0</v>
      </c>
      <c r="C15" s="8">
        <f>SUMIFS(未払一覧_リゾート!$N$4:$N$102,未払一覧_リゾート!$M$4:$M$102,A15)</f>
        <v>0</v>
      </c>
      <c r="D15" s="8">
        <f t="shared" si="0"/>
        <v>0</v>
      </c>
      <c r="E15" s="8">
        <f t="shared" si="1"/>
        <v>5351609</v>
      </c>
      <c r="F15" s="9">
        <f>SUMIFS(カード枠回復_リゾート!$C$4:$C$53,カード枠回復_リゾート!$A$4:$A$53,A15)</f>
        <v>0</v>
      </c>
      <c r="G15" s="57">
        <f t="shared" si="2"/>
        <v>10621609</v>
      </c>
      <c r="H15" s="60" t="s">
        <v>237</v>
      </c>
    </row>
    <row r="16" spans="1:8" ht="15" customHeight="1">
      <c r="A16" s="56">
        <v>46216</v>
      </c>
      <c r="B16" s="8">
        <f>SUMIFS(入金入力_リゾート!$D$4:$D$103,入金入力_リゾート!$A$4:$A$103,A16)</f>
        <v>0</v>
      </c>
      <c r="C16" s="8">
        <f>SUMIFS(未払一覧_リゾート!$N$4:$N$102,未払一覧_リゾート!$M$4:$M$102,A16)</f>
        <v>0</v>
      </c>
      <c r="D16" s="8">
        <f t="shared" si="0"/>
        <v>0</v>
      </c>
      <c r="E16" s="8">
        <f t="shared" si="1"/>
        <v>5351609</v>
      </c>
      <c r="F16" s="9">
        <f>SUMIFS(カード枠回復_リゾート!$C$4:$C$53,カード枠回復_リゾート!$A$4:$A$53,A16)</f>
        <v>0</v>
      </c>
      <c r="G16" s="57">
        <f t="shared" si="2"/>
        <v>10621609</v>
      </c>
      <c r="H16" s="58"/>
    </row>
    <row r="17" spans="1:8" ht="15" customHeight="1">
      <c r="A17" s="56">
        <v>46217</v>
      </c>
      <c r="B17" s="8">
        <f>SUMIFS(入金入力_リゾート!$D$4:$D$103,入金入力_リゾート!$A$4:$A$103,A17)</f>
        <v>0</v>
      </c>
      <c r="C17" s="8">
        <f>SUMIFS(未払一覧_リゾート!$N$4:$N$102,未払一覧_リゾート!$M$4:$M$102,A17)</f>
        <v>0</v>
      </c>
      <c r="D17" s="8">
        <f t="shared" si="0"/>
        <v>0</v>
      </c>
      <c r="E17" s="8">
        <f t="shared" si="1"/>
        <v>5351609</v>
      </c>
      <c r="F17" s="9">
        <f>SUMIFS(カード枠回復_リゾート!$C$4:$C$53,カード枠回復_リゾート!$A$4:$A$53,A17)</f>
        <v>0</v>
      </c>
      <c r="G17" s="57">
        <f t="shared" si="2"/>
        <v>10621609</v>
      </c>
      <c r="H17" s="58"/>
    </row>
    <row r="18" spans="1:8" ht="15" customHeight="1">
      <c r="A18" s="56">
        <v>46218</v>
      </c>
      <c r="B18" s="8">
        <f>SUMIFS(入金入力_リゾート!$D$4:$D$103,入金入力_リゾート!$A$4:$A$103,A18)</f>
        <v>0</v>
      </c>
      <c r="C18" s="8">
        <f>SUMIFS(未払一覧_リゾート!$N$4:$N$102,未払一覧_リゾート!$M$4:$M$102,A18)</f>
        <v>0</v>
      </c>
      <c r="D18" s="8">
        <f t="shared" si="0"/>
        <v>0</v>
      </c>
      <c r="E18" s="8">
        <f t="shared" si="1"/>
        <v>5351609</v>
      </c>
      <c r="F18" s="9">
        <f>SUMIFS(カード枠回復_リゾート!$C$4:$C$53,カード枠回復_リゾート!$A$4:$A$53,A18)</f>
        <v>0</v>
      </c>
      <c r="G18" s="57">
        <f t="shared" si="2"/>
        <v>10621609</v>
      </c>
      <c r="H18" s="58"/>
    </row>
    <row r="19" spans="1:8" ht="15" customHeight="1">
      <c r="A19" s="56">
        <v>46219</v>
      </c>
      <c r="B19" s="8">
        <f>SUMIFS(入金入力_リゾート!$D$4:$D$103,入金入力_リゾート!$A$4:$A$103,A19)</f>
        <v>0</v>
      </c>
      <c r="C19" s="8">
        <f>SUMIFS(未払一覧_リゾート!$N$4:$N$102,未払一覧_リゾート!$M$4:$M$102,A19)</f>
        <v>0</v>
      </c>
      <c r="D19" s="8">
        <f t="shared" si="0"/>
        <v>0</v>
      </c>
      <c r="E19" s="8">
        <f t="shared" si="1"/>
        <v>5351609</v>
      </c>
      <c r="F19" s="9">
        <f>SUMIFS(カード枠回復_リゾート!$C$4:$C$53,カード枠回復_リゾート!$A$4:$A$53,A19)</f>
        <v>0</v>
      </c>
      <c r="G19" s="57">
        <f t="shared" si="2"/>
        <v>10621609</v>
      </c>
      <c r="H19" s="58"/>
    </row>
    <row r="20" spans="1:8" ht="15" customHeight="1">
      <c r="A20" s="56">
        <v>46220</v>
      </c>
      <c r="B20" s="8">
        <f>SUMIFS(入金入力_リゾート!$D$4:$D$103,入金入力_リゾート!$A$4:$A$103,A20)</f>
        <v>0</v>
      </c>
      <c r="C20" s="8">
        <f>SUMIFS(未払一覧_リゾート!$N$4:$N$102,未払一覧_リゾート!$M$4:$M$102,A20)</f>
        <v>0</v>
      </c>
      <c r="D20" s="8">
        <f t="shared" si="0"/>
        <v>0</v>
      </c>
      <c r="E20" s="8">
        <f t="shared" si="1"/>
        <v>5351609</v>
      </c>
      <c r="F20" s="9">
        <f>SUMIFS(カード枠回復_リゾート!$C$4:$C$53,カード枠回復_リゾート!$A$4:$A$53,A20)</f>
        <v>0</v>
      </c>
      <c r="G20" s="57">
        <f t="shared" si="2"/>
        <v>10621609</v>
      </c>
      <c r="H20" s="58"/>
    </row>
    <row r="21" spans="1:8" ht="15" customHeight="1">
      <c r="A21" s="59">
        <v>46221</v>
      </c>
      <c r="B21" s="8">
        <f>SUMIFS(入金入力_リゾート!$D$4:$D$103,入金入力_リゾート!$A$4:$A$103,A21)</f>
        <v>0</v>
      </c>
      <c r="C21" s="8">
        <f>SUMIFS(未払一覧_リゾート!$N$4:$N$102,未払一覧_リゾート!$M$4:$M$102,A21)</f>
        <v>0</v>
      </c>
      <c r="D21" s="8">
        <f t="shared" si="0"/>
        <v>0</v>
      </c>
      <c r="E21" s="8">
        <f t="shared" si="1"/>
        <v>5351609</v>
      </c>
      <c r="F21" s="9">
        <f>SUMIFS(カード枠回復_リゾート!$C$4:$C$53,カード枠回復_リゾート!$A$4:$A$53,A21)</f>
        <v>0</v>
      </c>
      <c r="G21" s="57">
        <f t="shared" si="2"/>
        <v>10621609</v>
      </c>
      <c r="H21" s="60" t="s">
        <v>236</v>
      </c>
    </row>
    <row r="22" spans="1:8" ht="15" customHeight="1">
      <c r="A22" s="61">
        <v>46222</v>
      </c>
      <c r="B22" s="8">
        <f>SUMIFS(入金入力_リゾート!$D$4:$D$103,入金入力_リゾート!$A$4:$A$103,A22)</f>
        <v>0</v>
      </c>
      <c r="C22" s="8">
        <f>SUMIFS(未払一覧_リゾート!$N$4:$N$102,未払一覧_リゾート!$M$4:$M$102,A22)</f>
        <v>0</v>
      </c>
      <c r="D22" s="8">
        <f t="shared" si="0"/>
        <v>0</v>
      </c>
      <c r="E22" s="8">
        <f t="shared" si="1"/>
        <v>5351609</v>
      </c>
      <c r="F22" s="9">
        <f>SUMIFS(カード枠回復_リゾート!$C$4:$C$53,カード枠回復_リゾート!$A$4:$A$53,A22)</f>
        <v>0</v>
      </c>
      <c r="G22" s="57">
        <f t="shared" si="2"/>
        <v>10621609</v>
      </c>
      <c r="H22" s="60" t="s">
        <v>237</v>
      </c>
    </row>
    <row r="23" spans="1:8" ht="15" customHeight="1">
      <c r="A23" s="56">
        <v>46223</v>
      </c>
      <c r="B23" s="8">
        <f>SUMIFS(入金入力_リゾート!$D$4:$D$103,入金入力_リゾート!$A$4:$A$103,A23)</f>
        <v>0</v>
      </c>
      <c r="C23" s="8">
        <f>SUMIFS(未払一覧_リゾート!$N$4:$N$102,未払一覧_リゾート!$M$4:$M$102,A23)</f>
        <v>0</v>
      </c>
      <c r="D23" s="8">
        <f t="shared" si="0"/>
        <v>0</v>
      </c>
      <c r="E23" s="8">
        <f t="shared" si="1"/>
        <v>5351609</v>
      </c>
      <c r="F23" s="9">
        <f>SUMIFS(カード枠回復_リゾート!$C$4:$C$53,カード枠回復_リゾート!$A$4:$A$53,A23)</f>
        <v>0</v>
      </c>
      <c r="G23" s="57">
        <f t="shared" si="2"/>
        <v>10621609</v>
      </c>
      <c r="H23" s="58"/>
    </row>
    <row r="24" spans="1:8" ht="15" customHeight="1">
      <c r="A24" s="56">
        <v>46224</v>
      </c>
      <c r="B24" s="8">
        <f>SUMIFS(入金入力_リゾート!$D$4:$D$103,入金入力_リゾート!$A$4:$A$103,A24)</f>
        <v>0</v>
      </c>
      <c r="C24" s="8">
        <f>SUMIFS(未払一覧_リゾート!$N$4:$N$102,未払一覧_リゾート!$M$4:$M$102,A24)</f>
        <v>0</v>
      </c>
      <c r="D24" s="8">
        <f t="shared" si="0"/>
        <v>0</v>
      </c>
      <c r="E24" s="8">
        <f t="shared" si="1"/>
        <v>5351609</v>
      </c>
      <c r="F24" s="9">
        <f>SUMIFS(カード枠回復_リゾート!$C$4:$C$53,カード枠回復_リゾート!$A$4:$A$53,A24)</f>
        <v>0</v>
      </c>
      <c r="G24" s="57">
        <f t="shared" si="2"/>
        <v>10621609</v>
      </c>
      <c r="H24" s="58"/>
    </row>
    <row r="25" spans="1:8" ht="15" customHeight="1">
      <c r="A25" s="56">
        <v>46225</v>
      </c>
      <c r="B25" s="8">
        <f>SUMIFS(入金入力_リゾート!$D$4:$D$103,入金入力_リゾート!$A$4:$A$103,A25)</f>
        <v>0</v>
      </c>
      <c r="C25" s="8">
        <f>SUMIFS(未払一覧_リゾート!$N$4:$N$102,未払一覧_リゾート!$M$4:$M$102,A25)</f>
        <v>0</v>
      </c>
      <c r="D25" s="8">
        <f t="shared" si="0"/>
        <v>0</v>
      </c>
      <c r="E25" s="8">
        <f t="shared" si="1"/>
        <v>5351609</v>
      </c>
      <c r="F25" s="9">
        <f>SUMIFS(カード枠回復_リゾート!$C$4:$C$53,カード枠回復_リゾート!$A$4:$A$53,A25)</f>
        <v>0</v>
      </c>
      <c r="G25" s="57">
        <f t="shared" si="2"/>
        <v>10621609</v>
      </c>
      <c r="H25" s="58"/>
    </row>
    <row r="26" spans="1:8" ht="15" customHeight="1">
      <c r="A26" s="56">
        <v>46226</v>
      </c>
      <c r="B26" s="8">
        <f>SUMIFS(入金入力_リゾート!$D$4:$D$103,入金入力_リゾート!$A$4:$A$103,A26)</f>
        <v>0</v>
      </c>
      <c r="C26" s="8">
        <f>SUMIFS(未払一覧_リゾート!$N$4:$N$102,未払一覧_リゾート!$M$4:$M$102,A26)</f>
        <v>0</v>
      </c>
      <c r="D26" s="8">
        <f t="shared" si="0"/>
        <v>0</v>
      </c>
      <c r="E26" s="8">
        <f t="shared" si="1"/>
        <v>5351609</v>
      </c>
      <c r="F26" s="9">
        <f>SUMIFS(カード枠回復_リゾート!$C$4:$C$53,カード枠回復_リゾート!$A$4:$A$53,A26)</f>
        <v>0</v>
      </c>
      <c r="G26" s="57">
        <f t="shared" si="2"/>
        <v>10621609</v>
      </c>
      <c r="H26" s="58"/>
    </row>
    <row r="27" spans="1:8" ht="15" customHeight="1">
      <c r="A27" s="56">
        <v>46227</v>
      </c>
      <c r="B27" s="8">
        <f>SUMIFS(入金入力_リゾート!$D$4:$D$103,入金入力_リゾート!$A$4:$A$103,A27)</f>
        <v>0</v>
      </c>
      <c r="C27" s="8">
        <f>SUMIFS(未払一覧_リゾート!$N$4:$N$102,未払一覧_リゾート!$M$4:$M$102,A27)</f>
        <v>0</v>
      </c>
      <c r="D27" s="8">
        <f t="shared" si="0"/>
        <v>0</v>
      </c>
      <c r="E27" s="8">
        <f t="shared" si="1"/>
        <v>5351609</v>
      </c>
      <c r="F27" s="9">
        <f>SUMIFS(カード枠回復_リゾート!$C$4:$C$53,カード枠回復_リゾート!$A$4:$A$53,A27)</f>
        <v>0</v>
      </c>
      <c r="G27" s="57">
        <f t="shared" si="2"/>
        <v>10621609</v>
      </c>
      <c r="H27" s="58"/>
    </row>
    <row r="28" spans="1:8" ht="15" customHeight="1">
      <c r="A28" s="59">
        <v>46228</v>
      </c>
      <c r="B28" s="8">
        <f>SUMIFS(入金入力_リゾート!$D$4:$D$103,入金入力_リゾート!$A$4:$A$103,A28)</f>
        <v>0</v>
      </c>
      <c r="C28" s="8">
        <f>SUMIFS(未払一覧_リゾート!$N$4:$N$102,未払一覧_リゾート!$M$4:$M$102,A28)</f>
        <v>0</v>
      </c>
      <c r="D28" s="8">
        <f t="shared" si="0"/>
        <v>0</v>
      </c>
      <c r="E28" s="8">
        <f t="shared" si="1"/>
        <v>5351609</v>
      </c>
      <c r="F28" s="9">
        <f>SUMIFS(カード枠回復_リゾート!$C$4:$C$53,カード枠回復_リゾート!$A$4:$A$53,A28)</f>
        <v>0</v>
      </c>
      <c r="G28" s="57">
        <f t="shared" si="2"/>
        <v>10621609</v>
      </c>
      <c r="H28" s="60" t="s">
        <v>236</v>
      </c>
    </row>
    <row r="29" spans="1:8" ht="15" customHeight="1">
      <c r="A29" s="61">
        <v>46229</v>
      </c>
      <c r="B29" s="8">
        <f>SUMIFS(入金入力_リゾート!$D$4:$D$103,入金入力_リゾート!$A$4:$A$103,A29)</f>
        <v>0</v>
      </c>
      <c r="C29" s="8">
        <f>SUMIFS(未払一覧_リゾート!$N$4:$N$102,未払一覧_リゾート!$M$4:$M$102,A29)</f>
        <v>0</v>
      </c>
      <c r="D29" s="8">
        <f t="shared" si="0"/>
        <v>0</v>
      </c>
      <c r="E29" s="8">
        <f t="shared" si="1"/>
        <v>5351609</v>
      </c>
      <c r="F29" s="9">
        <f>SUMIFS(カード枠回復_リゾート!$C$4:$C$53,カード枠回復_リゾート!$A$4:$A$53,A29)</f>
        <v>0</v>
      </c>
      <c r="G29" s="57">
        <f t="shared" si="2"/>
        <v>10621609</v>
      </c>
      <c r="H29" s="60" t="s">
        <v>237</v>
      </c>
    </row>
    <row r="30" spans="1:8" ht="15" customHeight="1">
      <c r="A30" s="56">
        <v>46230</v>
      </c>
      <c r="B30" s="8">
        <f>SUMIFS(入金入力_リゾート!$D$4:$D$103,入金入力_リゾート!$A$4:$A$103,A30)</f>
        <v>0</v>
      </c>
      <c r="C30" s="8">
        <f>SUMIFS(未払一覧_リゾート!$N$4:$N$102,未払一覧_リゾート!$M$4:$M$102,A30)</f>
        <v>0</v>
      </c>
      <c r="D30" s="8">
        <f t="shared" si="0"/>
        <v>0</v>
      </c>
      <c r="E30" s="8">
        <f t="shared" si="1"/>
        <v>5351609</v>
      </c>
      <c r="F30" s="9">
        <f>SUMIFS(カード枠回復_リゾート!$C$4:$C$53,カード枠回復_リゾート!$A$4:$A$53,A30)</f>
        <v>0</v>
      </c>
      <c r="G30" s="57">
        <f t="shared" si="2"/>
        <v>10621609</v>
      </c>
      <c r="H30" s="58"/>
    </row>
    <row r="31" spans="1:8" ht="15" customHeight="1">
      <c r="A31" s="56">
        <v>46231</v>
      </c>
      <c r="B31" s="8">
        <f>SUMIFS(入金入力_リゾート!$D$4:$D$103,入金入力_リゾート!$A$4:$A$103,A31)</f>
        <v>0</v>
      </c>
      <c r="C31" s="8">
        <f>SUMIFS(未払一覧_リゾート!$N$4:$N$102,未払一覧_リゾート!$M$4:$M$102,A31)</f>
        <v>0</v>
      </c>
      <c r="D31" s="8">
        <f t="shared" si="0"/>
        <v>0</v>
      </c>
      <c r="E31" s="8">
        <f t="shared" si="1"/>
        <v>5351609</v>
      </c>
      <c r="F31" s="9">
        <f>SUMIFS(カード枠回復_リゾート!$C$4:$C$53,カード枠回復_リゾート!$A$4:$A$53,A31)</f>
        <v>0</v>
      </c>
      <c r="G31" s="57">
        <f t="shared" si="2"/>
        <v>10621609</v>
      </c>
      <c r="H31" s="58"/>
    </row>
    <row r="32" spans="1:8" ht="15" customHeight="1">
      <c r="A32" s="56">
        <v>46232</v>
      </c>
      <c r="B32" s="8">
        <f>SUMIFS(入金入力_リゾート!$D$4:$D$103,入金入力_リゾート!$A$4:$A$103,A32)</f>
        <v>0</v>
      </c>
      <c r="C32" s="8">
        <f>SUMIFS(未払一覧_リゾート!$N$4:$N$102,未払一覧_リゾート!$M$4:$M$102,A32)</f>
        <v>0</v>
      </c>
      <c r="D32" s="8">
        <f t="shared" si="0"/>
        <v>0</v>
      </c>
      <c r="E32" s="8">
        <f t="shared" si="1"/>
        <v>5351609</v>
      </c>
      <c r="F32" s="9">
        <f>SUMIFS(カード枠回復_リゾート!$C$4:$C$53,カード枠回復_リゾート!$A$4:$A$53,A32)</f>
        <v>0</v>
      </c>
      <c r="G32" s="57">
        <f t="shared" si="2"/>
        <v>10621609</v>
      </c>
      <c r="H32" s="58"/>
    </row>
    <row r="33" spans="1:8" ht="15" customHeight="1">
      <c r="A33" s="56">
        <v>46233</v>
      </c>
      <c r="B33" s="8">
        <f>SUMIFS(入金入力_リゾート!$D$4:$D$103,入金入力_リゾート!$A$4:$A$103,A33)</f>
        <v>0</v>
      </c>
      <c r="C33" s="8">
        <f>SUMIFS(未払一覧_リゾート!$N$4:$N$102,未払一覧_リゾート!$M$4:$M$102,A33)</f>
        <v>0</v>
      </c>
      <c r="D33" s="8">
        <f t="shared" si="0"/>
        <v>0</v>
      </c>
      <c r="E33" s="8">
        <f t="shared" si="1"/>
        <v>5351609</v>
      </c>
      <c r="F33" s="9">
        <f>SUMIFS(カード枠回復_リゾート!$C$4:$C$53,カード枠回復_リゾート!$A$4:$A$53,A33)</f>
        <v>0</v>
      </c>
      <c r="G33" s="57">
        <f t="shared" si="2"/>
        <v>10621609</v>
      </c>
      <c r="H33" s="58"/>
    </row>
    <row r="34" spans="1:8" ht="15" customHeight="1">
      <c r="A34" s="56">
        <v>46234</v>
      </c>
      <c r="B34" s="8">
        <f>SUMIFS(入金入力_リゾート!$D$4:$D$103,入金入力_リゾート!$A$4:$A$103,A34)</f>
        <v>0</v>
      </c>
      <c r="C34" s="8">
        <f>SUMIFS(未払一覧_リゾート!$N$4:$N$102,未払一覧_リゾート!$M$4:$M$102,A34)</f>
        <v>0</v>
      </c>
      <c r="D34" s="8">
        <f t="shared" si="0"/>
        <v>0</v>
      </c>
      <c r="E34" s="8">
        <f t="shared" si="1"/>
        <v>5351609</v>
      </c>
      <c r="F34" s="9">
        <f>SUMIFS(カード枠回復_リゾート!$C$4:$C$53,カード枠回復_リゾート!$A$4:$A$53,A34)</f>
        <v>0</v>
      </c>
      <c r="G34" s="57">
        <f t="shared" si="2"/>
        <v>10621609</v>
      </c>
      <c r="H34" s="58"/>
    </row>
    <row r="36" spans="1:8" ht="15" customHeight="1">
      <c r="A36" s="11" t="s">
        <v>243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5351609</v>
      </c>
      <c r="F36" s="12">
        <f>SUM(F4:F34)</f>
        <v>0</v>
      </c>
      <c r="G36" s="12">
        <f>G34</f>
        <v>10621609</v>
      </c>
      <c r="H36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6" t="s">
        <v>250</v>
      </c>
      <c r="B1" s="96"/>
      <c r="C1" s="96"/>
      <c r="D1" s="96"/>
      <c r="E1" s="96"/>
      <c r="F1" s="96"/>
      <c r="G1" s="96"/>
      <c r="H1" s="96"/>
    </row>
    <row r="2" spans="1:8" ht="11.25" customHeight="1">
      <c r="A2" s="95" t="s">
        <v>247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9">
        <v>46235</v>
      </c>
      <c r="B4" s="8">
        <f>SUMIFS(入金入力_リゾート!$D$4:$D$103,入金入力_リゾート!$A$4:$A$103,A4)</f>
        <v>0</v>
      </c>
      <c r="C4" s="8">
        <f>SUMIFS(未払一覧_リゾート!$N$4:$N$102,未払一覧_リゾート!$M$4:$M$102,A4)</f>
        <v>0</v>
      </c>
      <c r="D4" s="8">
        <f t="shared" ref="D4:D34" si="0">B4-C4-F4</f>
        <v>0</v>
      </c>
      <c r="E4" s="8">
        <f>'7月_リゾート'!E34+D4</f>
        <v>5351609</v>
      </c>
      <c r="F4" s="9">
        <f>SUMIFS(カード枠回復_リゾート!$C$4:$C$53,カード枠回復_リゾート!$A$4:$A$53,A4)</f>
        <v>0</v>
      </c>
      <c r="G4" s="57">
        <f>'7月_リゾート'!G34+D4+F4</f>
        <v>10621609</v>
      </c>
      <c r="H4" s="60" t="s">
        <v>236</v>
      </c>
    </row>
    <row r="5" spans="1:8" ht="15" customHeight="1">
      <c r="A5" s="61">
        <v>46236</v>
      </c>
      <c r="B5" s="8">
        <f>SUMIFS(入金入力_リゾート!$D$4:$D$103,入金入力_リゾート!$A$4:$A$103,A5)</f>
        <v>0</v>
      </c>
      <c r="C5" s="8">
        <f>SUMIFS(未払一覧_リゾート!$N$4:$N$102,未払一覧_リゾート!$M$4:$M$102,A5)</f>
        <v>0</v>
      </c>
      <c r="D5" s="8">
        <f t="shared" si="0"/>
        <v>0</v>
      </c>
      <c r="E5" s="8">
        <f t="shared" ref="E5:E34" si="1">E4+D5</f>
        <v>5351609</v>
      </c>
      <c r="F5" s="9">
        <f>SUMIFS(カード枠回復_リゾート!$C$4:$C$53,カード枠回復_リゾート!$A$4:$A$53,A5)</f>
        <v>0</v>
      </c>
      <c r="G5" s="57">
        <f t="shared" ref="G5:G34" si="2">G4+D5+F5</f>
        <v>10621609</v>
      </c>
      <c r="H5" s="60" t="s">
        <v>237</v>
      </c>
    </row>
    <row r="6" spans="1:8" ht="15" customHeight="1">
      <c r="A6" s="56">
        <v>46237</v>
      </c>
      <c r="B6" s="8">
        <f>SUMIFS(入金入力_リゾート!$D$4:$D$103,入金入力_リゾート!$A$4:$A$103,A6)</f>
        <v>0</v>
      </c>
      <c r="C6" s="8">
        <f>SUMIFS(未払一覧_リゾート!$N$4:$N$102,未払一覧_リゾート!$M$4:$M$102,A6)</f>
        <v>0</v>
      </c>
      <c r="D6" s="8">
        <f t="shared" si="0"/>
        <v>0</v>
      </c>
      <c r="E6" s="8">
        <f t="shared" si="1"/>
        <v>5351609</v>
      </c>
      <c r="F6" s="9">
        <f>SUMIFS(カード枠回復_リゾート!$C$4:$C$53,カード枠回復_リゾート!$A$4:$A$53,A6)</f>
        <v>0</v>
      </c>
      <c r="G6" s="57">
        <f t="shared" si="2"/>
        <v>10621609</v>
      </c>
      <c r="H6" s="58"/>
    </row>
    <row r="7" spans="1:8" ht="15" customHeight="1">
      <c r="A7" s="56">
        <v>46238</v>
      </c>
      <c r="B7" s="8">
        <f>SUMIFS(入金入力_リゾート!$D$4:$D$103,入金入力_リゾート!$A$4:$A$103,A7)</f>
        <v>0</v>
      </c>
      <c r="C7" s="8">
        <f>SUMIFS(未払一覧_リゾート!$N$4:$N$102,未払一覧_リゾート!$M$4:$M$102,A7)</f>
        <v>0</v>
      </c>
      <c r="D7" s="8">
        <f t="shared" si="0"/>
        <v>0</v>
      </c>
      <c r="E7" s="8">
        <f t="shared" si="1"/>
        <v>5351609</v>
      </c>
      <c r="F7" s="9">
        <f>SUMIFS(カード枠回復_リゾート!$C$4:$C$53,カード枠回復_リゾート!$A$4:$A$53,A7)</f>
        <v>0</v>
      </c>
      <c r="G7" s="57">
        <f t="shared" si="2"/>
        <v>10621609</v>
      </c>
      <c r="H7" s="58"/>
    </row>
    <row r="8" spans="1:8" ht="15" customHeight="1">
      <c r="A8" s="56">
        <v>46239</v>
      </c>
      <c r="B8" s="8">
        <f>SUMIFS(入金入力_リゾート!$D$4:$D$103,入金入力_リゾート!$A$4:$A$103,A8)</f>
        <v>0</v>
      </c>
      <c r="C8" s="8">
        <f>SUMIFS(未払一覧_リゾート!$N$4:$N$102,未払一覧_リゾート!$M$4:$M$102,A8)</f>
        <v>0</v>
      </c>
      <c r="D8" s="8">
        <f t="shared" si="0"/>
        <v>0</v>
      </c>
      <c r="E8" s="8">
        <f t="shared" si="1"/>
        <v>5351609</v>
      </c>
      <c r="F8" s="9">
        <f>SUMIFS(カード枠回復_リゾート!$C$4:$C$53,カード枠回復_リゾート!$A$4:$A$53,A8)</f>
        <v>0</v>
      </c>
      <c r="G8" s="57">
        <f t="shared" si="2"/>
        <v>10621609</v>
      </c>
      <c r="H8" s="58"/>
    </row>
    <row r="9" spans="1:8" ht="15" customHeight="1">
      <c r="A9" s="56">
        <v>46240</v>
      </c>
      <c r="B9" s="8">
        <f>SUMIFS(入金入力_リゾート!$D$4:$D$103,入金入力_リゾート!$A$4:$A$103,A9)</f>
        <v>0</v>
      </c>
      <c r="C9" s="8">
        <f>SUMIFS(未払一覧_リゾート!$N$4:$N$102,未払一覧_リゾート!$M$4:$M$102,A9)</f>
        <v>0</v>
      </c>
      <c r="D9" s="8">
        <f t="shared" si="0"/>
        <v>0</v>
      </c>
      <c r="E9" s="8">
        <f t="shared" si="1"/>
        <v>5351609</v>
      </c>
      <c r="F9" s="9">
        <f>SUMIFS(カード枠回復_リゾート!$C$4:$C$53,カード枠回復_リゾート!$A$4:$A$53,A9)</f>
        <v>0</v>
      </c>
      <c r="G9" s="57">
        <f t="shared" si="2"/>
        <v>10621609</v>
      </c>
      <c r="H9" s="58"/>
    </row>
    <row r="10" spans="1:8" ht="15" customHeight="1">
      <c r="A10" s="56">
        <v>46241</v>
      </c>
      <c r="B10" s="8">
        <f>SUMIFS(入金入力_リゾート!$D$4:$D$103,入金入力_リゾート!$A$4:$A$103,A10)</f>
        <v>0</v>
      </c>
      <c r="C10" s="8">
        <f>SUMIFS(未払一覧_リゾート!$N$4:$N$102,未払一覧_リゾート!$M$4:$M$102,A10)</f>
        <v>0</v>
      </c>
      <c r="D10" s="8">
        <f t="shared" si="0"/>
        <v>0</v>
      </c>
      <c r="E10" s="8">
        <f t="shared" si="1"/>
        <v>5351609</v>
      </c>
      <c r="F10" s="9">
        <f>SUMIFS(カード枠回復_リゾート!$C$4:$C$53,カード枠回復_リゾート!$A$4:$A$53,A10)</f>
        <v>0</v>
      </c>
      <c r="G10" s="57">
        <f t="shared" si="2"/>
        <v>10621609</v>
      </c>
      <c r="H10" s="58"/>
    </row>
    <row r="11" spans="1:8" ht="15" customHeight="1">
      <c r="A11" s="59">
        <v>46242</v>
      </c>
      <c r="B11" s="8">
        <f>SUMIFS(入金入力_リゾート!$D$4:$D$103,入金入力_リゾート!$A$4:$A$103,A11)</f>
        <v>0</v>
      </c>
      <c r="C11" s="8">
        <f>SUMIFS(未払一覧_リゾート!$N$4:$N$102,未払一覧_リゾート!$M$4:$M$102,A11)</f>
        <v>0</v>
      </c>
      <c r="D11" s="8">
        <f t="shared" si="0"/>
        <v>0</v>
      </c>
      <c r="E11" s="8">
        <f t="shared" si="1"/>
        <v>5351609</v>
      </c>
      <c r="F11" s="9">
        <f>SUMIFS(カード枠回復_リゾート!$C$4:$C$53,カード枠回復_リゾート!$A$4:$A$53,A11)</f>
        <v>0</v>
      </c>
      <c r="G11" s="57">
        <f t="shared" si="2"/>
        <v>10621609</v>
      </c>
      <c r="H11" s="60" t="s">
        <v>236</v>
      </c>
    </row>
    <row r="12" spans="1:8" ht="15" customHeight="1">
      <c r="A12" s="61">
        <v>46243</v>
      </c>
      <c r="B12" s="8">
        <f>SUMIFS(入金入力_リゾート!$D$4:$D$103,入金入力_リゾート!$A$4:$A$103,A12)</f>
        <v>0</v>
      </c>
      <c r="C12" s="8">
        <f>SUMIFS(未払一覧_リゾート!$N$4:$N$102,未払一覧_リゾート!$M$4:$M$102,A12)</f>
        <v>0</v>
      </c>
      <c r="D12" s="8">
        <f t="shared" si="0"/>
        <v>0</v>
      </c>
      <c r="E12" s="8">
        <f t="shared" si="1"/>
        <v>5351609</v>
      </c>
      <c r="F12" s="9">
        <f>SUMIFS(カード枠回復_リゾート!$C$4:$C$53,カード枠回復_リゾート!$A$4:$A$53,A12)</f>
        <v>0</v>
      </c>
      <c r="G12" s="57">
        <f t="shared" si="2"/>
        <v>10621609</v>
      </c>
      <c r="H12" s="60" t="s">
        <v>237</v>
      </c>
    </row>
    <row r="13" spans="1:8" ht="15" customHeight="1">
      <c r="A13" s="56">
        <v>46244</v>
      </c>
      <c r="B13" s="8">
        <f>SUMIFS(入金入力_リゾート!$D$4:$D$103,入金入力_リゾート!$A$4:$A$103,A13)</f>
        <v>0</v>
      </c>
      <c r="C13" s="8">
        <f>SUMIFS(未払一覧_リゾート!$N$4:$N$102,未払一覧_リゾート!$M$4:$M$102,A13)</f>
        <v>0</v>
      </c>
      <c r="D13" s="8">
        <f t="shared" si="0"/>
        <v>0</v>
      </c>
      <c r="E13" s="8">
        <f t="shared" si="1"/>
        <v>5351609</v>
      </c>
      <c r="F13" s="9">
        <f>SUMIFS(カード枠回復_リゾート!$C$4:$C$53,カード枠回復_リゾート!$A$4:$A$53,A13)</f>
        <v>0</v>
      </c>
      <c r="G13" s="57">
        <f t="shared" si="2"/>
        <v>10621609</v>
      </c>
      <c r="H13" s="58"/>
    </row>
    <row r="14" spans="1:8" ht="15" customHeight="1">
      <c r="A14" s="56">
        <v>46245</v>
      </c>
      <c r="B14" s="8">
        <f>SUMIFS(入金入力_リゾート!$D$4:$D$103,入金入力_リゾート!$A$4:$A$103,A14)</f>
        <v>0</v>
      </c>
      <c r="C14" s="8">
        <f>SUMIFS(未払一覧_リゾート!$N$4:$N$102,未払一覧_リゾート!$M$4:$M$102,A14)</f>
        <v>0</v>
      </c>
      <c r="D14" s="8">
        <f t="shared" si="0"/>
        <v>0</v>
      </c>
      <c r="E14" s="8">
        <f t="shared" si="1"/>
        <v>5351609</v>
      </c>
      <c r="F14" s="9">
        <f>SUMIFS(カード枠回復_リゾート!$C$4:$C$53,カード枠回復_リゾート!$A$4:$A$53,A14)</f>
        <v>0</v>
      </c>
      <c r="G14" s="57">
        <f t="shared" si="2"/>
        <v>10621609</v>
      </c>
      <c r="H14" s="58"/>
    </row>
    <row r="15" spans="1:8" ht="15" customHeight="1">
      <c r="A15" s="56">
        <v>46246</v>
      </c>
      <c r="B15" s="8">
        <f>SUMIFS(入金入力_リゾート!$D$4:$D$103,入金入力_リゾート!$A$4:$A$103,A15)</f>
        <v>0</v>
      </c>
      <c r="C15" s="8">
        <f>SUMIFS(未払一覧_リゾート!$N$4:$N$102,未払一覧_リゾート!$M$4:$M$102,A15)</f>
        <v>0</v>
      </c>
      <c r="D15" s="8">
        <f t="shared" si="0"/>
        <v>0</v>
      </c>
      <c r="E15" s="8">
        <f t="shared" si="1"/>
        <v>5351609</v>
      </c>
      <c r="F15" s="9">
        <f>SUMIFS(カード枠回復_リゾート!$C$4:$C$53,カード枠回復_リゾート!$A$4:$A$53,A15)</f>
        <v>0</v>
      </c>
      <c r="G15" s="57">
        <f t="shared" si="2"/>
        <v>10621609</v>
      </c>
      <c r="H15" s="58"/>
    </row>
    <row r="16" spans="1:8" ht="15" customHeight="1">
      <c r="A16" s="56">
        <v>46247</v>
      </c>
      <c r="B16" s="8">
        <f>SUMIFS(入金入力_リゾート!$D$4:$D$103,入金入力_リゾート!$A$4:$A$103,A16)</f>
        <v>0</v>
      </c>
      <c r="C16" s="8">
        <f>SUMIFS(未払一覧_リゾート!$N$4:$N$102,未払一覧_リゾート!$M$4:$M$102,A16)</f>
        <v>0</v>
      </c>
      <c r="D16" s="8">
        <f t="shared" si="0"/>
        <v>0</v>
      </c>
      <c r="E16" s="8">
        <f t="shared" si="1"/>
        <v>5351609</v>
      </c>
      <c r="F16" s="9">
        <f>SUMIFS(カード枠回復_リゾート!$C$4:$C$53,カード枠回復_リゾート!$A$4:$A$53,A16)</f>
        <v>0</v>
      </c>
      <c r="G16" s="57">
        <f t="shared" si="2"/>
        <v>10621609</v>
      </c>
      <c r="H16" s="58"/>
    </row>
    <row r="17" spans="1:8" ht="15" customHeight="1">
      <c r="A17" s="56">
        <v>46248</v>
      </c>
      <c r="B17" s="8">
        <f>SUMIFS(入金入力_リゾート!$D$4:$D$103,入金入力_リゾート!$A$4:$A$103,A17)</f>
        <v>0</v>
      </c>
      <c r="C17" s="8">
        <f>SUMIFS(未払一覧_リゾート!$N$4:$N$102,未払一覧_リゾート!$M$4:$M$102,A17)</f>
        <v>0</v>
      </c>
      <c r="D17" s="8">
        <f t="shared" si="0"/>
        <v>0</v>
      </c>
      <c r="E17" s="8">
        <f t="shared" si="1"/>
        <v>5351609</v>
      </c>
      <c r="F17" s="9">
        <f>SUMIFS(カード枠回復_リゾート!$C$4:$C$53,カード枠回復_リゾート!$A$4:$A$53,A17)</f>
        <v>0</v>
      </c>
      <c r="G17" s="57">
        <f t="shared" si="2"/>
        <v>10621609</v>
      </c>
      <c r="H17" s="58"/>
    </row>
    <row r="18" spans="1:8" ht="15" customHeight="1">
      <c r="A18" s="59">
        <v>46249</v>
      </c>
      <c r="B18" s="8">
        <f>SUMIFS(入金入力_リゾート!$D$4:$D$103,入金入力_リゾート!$A$4:$A$103,A18)</f>
        <v>0</v>
      </c>
      <c r="C18" s="8">
        <f>SUMIFS(未払一覧_リゾート!$N$4:$N$102,未払一覧_リゾート!$M$4:$M$102,A18)</f>
        <v>0</v>
      </c>
      <c r="D18" s="8">
        <f t="shared" si="0"/>
        <v>0</v>
      </c>
      <c r="E18" s="8">
        <f t="shared" si="1"/>
        <v>5351609</v>
      </c>
      <c r="F18" s="9">
        <f>SUMIFS(カード枠回復_リゾート!$C$4:$C$53,カード枠回復_リゾート!$A$4:$A$53,A18)</f>
        <v>0</v>
      </c>
      <c r="G18" s="57">
        <f t="shared" si="2"/>
        <v>10621609</v>
      </c>
      <c r="H18" s="60" t="s">
        <v>236</v>
      </c>
    </row>
    <row r="19" spans="1:8" ht="15" customHeight="1">
      <c r="A19" s="61">
        <v>46250</v>
      </c>
      <c r="B19" s="8">
        <f>SUMIFS(入金入力_リゾート!$D$4:$D$103,入金入力_リゾート!$A$4:$A$103,A19)</f>
        <v>0</v>
      </c>
      <c r="C19" s="8">
        <f>SUMIFS(未払一覧_リゾート!$N$4:$N$102,未払一覧_リゾート!$M$4:$M$102,A19)</f>
        <v>0</v>
      </c>
      <c r="D19" s="8">
        <f t="shared" si="0"/>
        <v>0</v>
      </c>
      <c r="E19" s="8">
        <f t="shared" si="1"/>
        <v>5351609</v>
      </c>
      <c r="F19" s="9">
        <f>SUMIFS(カード枠回復_リゾート!$C$4:$C$53,カード枠回復_リゾート!$A$4:$A$53,A19)</f>
        <v>0</v>
      </c>
      <c r="G19" s="57">
        <f t="shared" si="2"/>
        <v>10621609</v>
      </c>
      <c r="H19" s="60" t="s">
        <v>237</v>
      </c>
    </row>
    <row r="20" spans="1:8" ht="15" customHeight="1">
      <c r="A20" s="56">
        <v>46251</v>
      </c>
      <c r="B20" s="8">
        <f>SUMIFS(入金入力_リゾート!$D$4:$D$103,入金入力_リゾート!$A$4:$A$103,A20)</f>
        <v>0</v>
      </c>
      <c r="C20" s="8">
        <f>SUMIFS(未払一覧_リゾート!$N$4:$N$102,未払一覧_リゾート!$M$4:$M$102,A20)</f>
        <v>0</v>
      </c>
      <c r="D20" s="8">
        <f t="shared" si="0"/>
        <v>0</v>
      </c>
      <c r="E20" s="8">
        <f t="shared" si="1"/>
        <v>5351609</v>
      </c>
      <c r="F20" s="9">
        <f>SUMIFS(カード枠回復_リゾート!$C$4:$C$53,カード枠回復_リゾート!$A$4:$A$53,A20)</f>
        <v>0</v>
      </c>
      <c r="G20" s="57">
        <f t="shared" si="2"/>
        <v>10621609</v>
      </c>
      <c r="H20" s="58"/>
    </row>
    <row r="21" spans="1:8" ht="15" customHeight="1">
      <c r="A21" s="56">
        <v>46252</v>
      </c>
      <c r="B21" s="8">
        <f>SUMIFS(入金入力_リゾート!$D$4:$D$103,入金入力_リゾート!$A$4:$A$103,A21)</f>
        <v>0</v>
      </c>
      <c r="C21" s="8">
        <f>SUMIFS(未払一覧_リゾート!$N$4:$N$102,未払一覧_リゾート!$M$4:$M$102,A21)</f>
        <v>0</v>
      </c>
      <c r="D21" s="8">
        <f t="shared" si="0"/>
        <v>0</v>
      </c>
      <c r="E21" s="8">
        <f t="shared" si="1"/>
        <v>5351609</v>
      </c>
      <c r="F21" s="9">
        <f>SUMIFS(カード枠回復_リゾート!$C$4:$C$53,カード枠回復_リゾート!$A$4:$A$53,A21)</f>
        <v>0</v>
      </c>
      <c r="G21" s="57">
        <f t="shared" si="2"/>
        <v>10621609</v>
      </c>
      <c r="H21" s="58"/>
    </row>
    <row r="22" spans="1:8" ht="15" customHeight="1">
      <c r="A22" s="56">
        <v>46253</v>
      </c>
      <c r="B22" s="8">
        <f>SUMIFS(入金入力_リゾート!$D$4:$D$103,入金入力_リゾート!$A$4:$A$103,A22)</f>
        <v>0</v>
      </c>
      <c r="C22" s="8">
        <f>SUMIFS(未払一覧_リゾート!$N$4:$N$102,未払一覧_リゾート!$M$4:$M$102,A22)</f>
        <v>0</v>
      </c>
      <c r="D22" s="8">
        <f t="shared" si="0"/>
        <v>0</v>
      </c>
      <c r="E22" s="8">
        <f t="shared" si="1"/>
        <v>5351609</v>
      </c>
      <c r="F22" s="9">
        <f>SUMIFS(カード枠回復_リゾート!$C$4:$C$53,カード枠回復_リゾート!$A$4:$A$53,A22)</f>
        <v>0</v>
      </c>
      <c r="G22" s="57">
        <f t="shared" si="2"/>
        <v>10621609</v>
      </c>
      <c r="H22" s="58"/>
    </row>
    <row r="23" spans="1:8" ht="15" customHeight="1">
      <c r="A23" s="56">
        <v>46254</v>
      </c>
      <c r="B23" s="8">
        <f>SUMIFS(入金入力_リゾート!$D$4:$D$103,入金入力_リゾート!$A$4:$A$103,A23)</f>
        <v>0</v>
      </c>
      <c r="C23" s="8">
        <f>SUMIFS(未払一覧_リゾート!$N$4:$N$102,未払一覧_リゾート!$M$4:$M$102,A23)</f>
        <v>0</v>
      </c>
      <c r="D23" s="8">
        <f t="shared" si="0"/>
        <v>0</v>
      </c>
      <c r="E23" s="8">
        <f t="shared" si="1"/>
        <v>5351609</v>
      </c>
      <c r="F23" s="9">
        <f>SUMIFS(カード枠回復_リゾート!$C$4:$C$53,カード枠回復_リゾート!$A$4:$A$53,A23)</f>
        <v>0</v>
      </c>
      <c r="G23" s="57">
        <f t="shared" si="2"/>
        <v>10621609</v>
      </c>
      <c r="H23" s="58"/>
    </row>
    <row r="24" spans="1:8" ht="15" customHeight="1">
      <c r="A24" s="56">
        <v>46255</v>
      </c>
      <c r="B24" s="8">
        <f>SUMIFS(入金入力_リゾート!$D$4:$D$103,入金入力_リゾート!$A$4:$A$103,A24)</f>
        <v>0</v>
      </c>
      <c r="C24" s="8">
        <f>SUMIFS(未払一覧_リゾート!$N$4:$N$102,未払一覧_リゾート!$M$4:$M$102,A24)</f>
        <v>0</v>
      </c>
      <c r="D24" s="8">
        <f t="shared" si="0"/>
        <v>0</v>
      </c>
      <c r="E24" s="8">
        <f t="shared" si="1"/>
        <v>5351609</v>
      </c>
      <c r="F24" s="9">
        <f>SUMIFS(カード枠回復_リゾート!$C$4:$C$53,カード枠回復_リゾート!$A$4:$A$53,A24)</f>
        <v>0</v>
      </c>
      <c r="G24" s="57">
        <f t="shared" si="2"/>
        <v>10621609</v>
      </c>
      <c r="H24" s="58"/>
    </row>
    <row r="25" spans="1:8" ht="15" customHeight="1">
      <c r="A25" s="59">
        <v>46256</v>
      </c>
      <c r="B25" s="8">
        <f>SUMIFS(入金入力_リゾート!$D$4:$D$103,入金入力_リゾート!$A$4:$A$103,A25)</f>
        <v>0</v>
      </c>
      <c r="C25" s="8">
        <f>SUMIFS(未払一覧_リゾート!$N$4:$N$102,未払一覧_リゾート!$M$4:$M$102,A25)</f>
        <v>0</v>
      </c>
      <c r="D25" s="8">
        <f t="shared" si="0"/>
        <v>0</v>
      </c>
      <c r="E25" s="8">
        <f t="shared" si="1"/>
        <v>5351609</v>
      </c>
      <c r="F25" s="9">
        <f>SUMIFS(カード枠回復_リゾート!$C$4:$C$53,カード枠回復_リゾート!$A$4:$A$53,A25)</f>
        <v>0</v>
      </c>
      <c r="G25" s="57">
        <f t="shared" si="2"/>
        <v>10621609</v>
      </c>
      <c r="H25" s="60" t="s">
        <v>236</v>
      </c>
    </row>
    <row r="26" spans="1:8" ht="15" customHeight="1">
      <c r="A26" s="61">
        <v>46257</v>
      </c>
      <c r="B26" s="8">
        <f>SUMIFS(入金入力_リゾート!$D$4:$D$103,入金入力_リゾート!$A$4:$A$103,A26)</f>
        <v>0</v>
      </c>
      <c r="C26" s="8">
        <f>SUMIFS(未払一覧_リゾート!$N$4:$N$102,未払一覧_リゾート!$M$4:$M$102,A26)</f>
        <v>0</v>
      </c>
      <c r="D26" s="8">
        <f t="shared" si="0"/>
        <v>0</v>
      </c>
      <c r="E26" s="8">
        <f t="shared" si="1"/>
        <v>5351609</v>
      </c>
      <c r="F26" s="9">
        <f>SUMIFS(カード枠回復_リゾート!$C$4:$C$53,カード枠回復_リゾート!$A$4:$A$53,A26)</f>
        <v>0</v>
      </c>
      <c r="G26" s="57">
        <f t="shared" si="2"/>
        <v>10621609</v>
      </c>
      <c r="H26" s="60" t="s">
        <v>237</v>
      </c>
    </row>
    <row r="27" spans="1:8" ht="15" customHeight="1">
      <c r="A27" s="56">
        <v>46258</v>
      </c>
      <c r="B27" s="8">
        <f>SUMIFS(入金入力_リゾート!$D$4:$D$103,入金入力_リゾート!$A$4:$A$103,A27)</f>
        <v>0</v>
      </c>
      <c r="C27" s="8">
        <f>SUMIFS(未払一覧_リゾート!$N$4:$N$102,未払一覧_リゾート!$M$4:$M$102,A27)</f>
        <v>0</v>
      </c>
      <c r="D27" s="8">
        <f t="shared" si="0"/>
        <v>0</v>
      </c>
      <c r="E27" s="8">
        <f t="shared" si="1"/>
        <v>5351609</v>
      </c>
      <c r="F27" s="9">
        <f>SUMIFS(カード枠回復_リゾート!$C$4:$C$53,カード枠回復_リゾート!$A$4:$A$53,A27)</f>
        <v>0</v>
      </c>
      <c r="G27" s="57">
        <f t="shared" si="2"/>
        <v>10621609</v>
      </c>
      <c r="H27" s="58"/>
    </row>
    <row r="28" spans="1:8" ht="15" customHeight="1">
      <c r="A28" s="56">
        <v>46259</v>
      </c>
      <c r="B28" s="8">
        <f>SUMIFS(入金入力_リゾート!$D$4:$D$103,入金入力_リゾート!$A$4:$A$103,A28)</f>
        <v>0</v>
      </c>
      <c r="C28" s="8">
        <f>SUMIFS(未払一覧_リゾート!$N$4:$N$102,未払一覧_リゾート!$M$4:$M$102,A28)</f>
        <v>0</v>
      </c>
      <c r="D28" s="8">
        <f t="shared" si="0"/>
        <v>0</v>
      </c>
      <c r="E28" s="8">
        <f t="shared" si="1"/>
        <v>5351609</v>
      </c>
      <c r="F28" s="9">
        <f>SUMIFS(カード枠回復_リゾート!$C$4:$C$53,カード枠回復_リゾート!$A$4:$A$53,A28)</f>
        <v>0</v>
      </c>
      <c r="G28" s="57">
        <f t="shared" si="2"/>
        <v>10621609</v>
      </c>
      <c r="H28" s="58"/>
    </row>
    <row r="29" spans="1:8" ht="15" customHeight="1">
      <c r="A29" s="56">
        <v>46260</v>
      </c>
      <c r="B29" s="8">
        <f>SUMIFS(入金入力_リゾート!$D$4:$D$103,入金入力_リゾート!$A$4:$A$103,A29)</f>
        <v>0</v>
      </c>
      <c r="C29" s="8">
        <f>SUMIFS(未払一覧_リゾート!$N$4:$N$102,未払一覧_リゾート!$M$4:$M$102,A29)</f>
        <v>0</v>
      </c>
      <c r="D29" s="8">
        <f t="shared" si="0"/>
        <v>0</v>
      </c>
      <c r="E29" s="8">
        <f t="shared" si="1"/>
        <v>5351609</v>
      </c>
      <c r="F29" s="9">
        <f>SUMIFS(カード枠回復_リゾート!$C$4:$C$53,カード枠回復_リゾート!$A$4:$A$53,A29)</f>
        <v>0</v>
      </c>
      <c r="G29" s="57">
        <f t="shared" si="2"/>
        <v>10621609</v>
      </c>
      <c r="H29" s="58"/>
    </row>
    <row r="30" spans="1:8" ht="15" customHeight="1">
      <c r="A30" s="56">
        <v>46261</v>
      </c>
      <c r="B30" s="8">
        <f>SUMIFS(入金入力_リゾート!$D$4:$D$103,入金入力_リゾート!$A$4:$A$103,A30)</f>
        <v>0</v>
      </c>
      <c r="C30" s="8">
        <f>SUMIFS(未払一覧_リゾート!$N$4:$N$102,未払一覧_リゾート!$M$4:$M$102,A30)</f>
        <v>0</v>
      </c>
      <c r="D30" s="8">
        <f t="shared" si="0"/>
        <v>0</v>
      </c>
      <c r="E30" s="8">
        <f t="shared" si="1"/>
        <v>5351609</v>
      </c>
      <c r="F30" s="9">
        <f>SUMIFS(カード枠回復_リゾート!$C$4:$C$53,カード枠回復_リゾート!$A$4:$A$53,A30)</f>
        <v>0</v>
      </c>
      <c r="G30" s="57">
        <f t="shared" si="2"/>
        <v>10621609</v>
      </c>
      <c r="H30" s="58"/>
    </row>
    <row r="31" spans="1:8" ht="15" customHeight="1">
      <c r="A31" s="56">
        <v>46262</v>
      </c>
      <c r="B31" s="8">
        <f>SUMIFS(入金入力_リゾート!$D$4:$D$103,入金入力_リゾート!$A$4:$A$103,A31)</f>
        <v>0</v>
      </c>
      <c r="C31" s="8">
        <f>SUMIFS(未払一覧_リゾート!$N$4:$N$102,未払一覧_リゾート!$M$4:$M$102,A31)</f>
        <v>0</v>
      </c>
      <c r="D31" s="8">
        <f t="shared" si="0"/>
        <v>0</v>
      </c>
      <c r="E31" s="8">
        <f t="shared" si="1"/>
        <v>5351609</v>
      </c>
      <c r="F31" s="9">
        <f>SUMIFS(カード枠回復_リゾート!$C$4:$C$53,カード枠回復_リゾート!$A$4:$A$53,A31)</f>
        <v>0</v>
      </c>
      <c r="G31" s="57">
        <f t="shared" si="2"/>
        <v>10621609</v>
      </c>
      <c r="H31" s="58"/>
    </row>
    <row r="32" spans="1:8" ht="15" customHeight="1">
      <c r="A32" s="59">
        <v>46263</v>
      </c>
      <c r="B32" s="8">
        <f>SUMIFS(入金入力_リゾート!$D$4:$D$103,入金入力_リゾート!$A$4:$A$103,A32)</f>
        <v>0</v>
      </c>
      <c r="C32" s="8">
        <f>SUMIFS(未払一覧_リゾート!$N$4:$N$102,未払一覧_リゾート!$M$4:$M$102,A32)</f>
        <v>0</v>
      </c>
      <c r="D32" s="8">
        <f t="shared" si="0"/>
        <v>0</v>
      </c>
      <c r="E32" s="8">
        <f t="shared" si="1"/>
        <v>5351609</v>
      </c>
      <c r="F32" s="9">
        <f>SUMIFS(カード枠回復_リゾート!$C$4:$C$53,カード枠回復_リゾート!$A$4:$A$53,A32)</f>
        <v>0</v>
      </c>
      <c r="G32" s="57">
        <f t="shared" si="2"/>
        <v>10621609</v>
      </c>
      <c r="H32" s="60" t="s">
        <v>236</v>
      </c>
    </row>
    <row r="33" spans="1:8" ht="15" customHeight="1">
      <c r="A33" s="61">
        <v>46264</v>
      </c>
      <c r="B33" s="8">
        <f>SUMIFS(入金入力_リゾート!$D$4:$D$103,入金入力_リゾート!$A$4:$A$103,A33)</f>
        <v>0</v>
      </c>
      <c r="C33" s="8">
        <f>SUMIFS(未払一覧_リゾート!$N$4:$N$102,未払一覧_リゾート!$M$4:$M$102,A33)</f>
        <v>0</v>
      </c>
      <c r="D33" s="8">
        <f t="shared" si="0"/>
        <v>0</v>
      </c>
      <c r="E33" s="8">
        <f t="shared" si="1"/>
        <v>5351609</v>
      </c>
      <c r="F33" s="9">
        <f>SUMIFS(カード枠回復_リゾート!$C$4:$C$53,カード枠回復_リゾート!$A$4:$A$53,A33)</f>
        <v>0</v>
      </c>
      <c r="G33" s="57">
        <f t="shared" si="2"/>
        <v>10621609</v>
      </c>
      <c r="H33" s="60" t="s">
        <v>237</v>
      </c>
    </row>
    <row r="34" spans="1:8" ht="15" customHeight="1">
      <c r="A34" s="56">
        <v>46265</v>
      </c>
      <c r="B34" s="8">
        <f>SUMIFS(入金入力_リゾート!$D$4:$D$103,入金入力_リゾート!$A$4:$A$103,A34)</f>
        <v>0</v>
      </c>
      <c r="C34" s="8">
        <f>SUMIFS(未払一覧_リゾート!$N$4:$N$102,未払一覧_リゾート!$M$4:$M$102,A34)</f>
        <v>0</v>
      </c>
      <c r="D34" s="8">
        <f t="shared" si="0"/>
        <v>0</v>
      </c>
      <c r="E34" s="8">
        <f t="shared" si="1"/>
        <v>5351609</v>
      </c>
      <c r="F34" s="9">
        <f>SUMIFS(カード枠回復_リゾート!$C$4:$C$53,カード枠回復_リゾート!$A$4:$A$53,A34)</f>
        <v>0</v>
      </c>
      <c r="G34" s="57">
        <f t="shared" si="2"/>
        <v>10621609</v>
      </c>
      <c r="H34" s="58"/>
    </row>
    <row r="36" spans="1:8" ht="15" customHeight="1">
      <c r="A36" s="11" t="s">
        <v>245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5351609</v>
      </c>
      <c r="F36" s="12">
        <f>SUM(F4:F34)</f>
        <v>0</v>
      </c>
      <c r="G36" s="12">
        <f>G34</f>
        <v>10621609</v>
      </c>
      <c r="H36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7" t="s">
        <v>251</v>
      </c>
      <c r="B1" s="97"/>
      <c r="C1" s="97"/>
      <c r="D1" s="97"/>
      <c r="E1" s="97"/>
      <c r="F1" s="97"/>
      <c r="G1" s="97"/>
      <c r="H1" s="97"/>
    </row>
    <row r="2" spans="1:8" ht="11.25" customHeight="1">
      <c r="A2" s="95" t="s">
        <v>252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46142</v>
      </c>
      <c r="B4" s="8">
        <f>SUMIFS(入金入力_モーテル!$D$4:$D$103,入金入力_モーテル!$A$4:$A$103,A4)</f>
        <v>0</v>
      </c>
      <c r="C4" s="8">
        <f>SUMIFS(未払一覧_モーテル!$N$4:$N$103,未払一覧_モーテル!$M$4:$M$103,A4)</f>
        <v>0</v>
      </c>
      <c r="D4" s="8">
        <f t="shared" ref="D4:D35" si="0">B4-C4-F4</f>
        <v>0</v>
      </c>
      <c r="E4" s="8">
        <f>D4</f>
        <v>0</v>
      </c>
      <c r="F4" s="9">
        <f>SUMIFS(カード枠回復_モーテル!$C$4:$C$53,カード枠回復_モーテル!$A$4:$A$53,A4)</f>
        <v>0</v>
      </c>
      <c r="G4" s="57">
        <f>D4+F4</f>
        <v>0</v>
      </c>
      <c r="H4" s="58"/>
    </row>
    <row r="5" spans="1:8" ht="15" customHeight="1">
      <c r="A5" s="56">
        <v>46143</v>
      </c>
      <c r="B5" s="8">
        <f>SUMIFS(入金入力_モーテル!$D$4:$D$103,入金入力_モーテル!$A$4:$A$103,A5)</f>
        <v>0</v>
      </c>
      <c r="C5" s="8">
        <f>SUMIFS(未払一覧_モーテル!$N$4:$N$103,未払一覧_モーテル!$M$4:$M$103,A5)</f>
        <v>0</v>
      </c>
      <c r="D5" s="8">
        <f t="shared" si="0"/>
        <v>0</v>
      </c>
      <c r="E5" s="8">
        <f t="shared" ref="E5:E35" si="1">E4+D5</f>
        <v>0</v>
      </c>
      <c r="F5" s="9">
        <f>SUMIFS(カード枠回復_モーテル!$C$4:$C$53,カード枠回復_モーテル!$A$4:$A$53,A5)</f>
        <v>0</v>
      </c>
      <c r="G5" s="57">
        <f t="shared" ref="G5:G35" si="2">G4+D5+F5</f>
        <v>0</v>
      </c>
      <c r="H5" s="58"/>
    </row>
    <row r="6" spans="1:8" ht="15" customHeight="1">
      <c r="A6" s="59">
        <v>46144</v>
      </c>
      <c r="B6" s="8">
        <f>SUMIFS(入金入力_モーテル!$D$4:$D$103,入金入力_モーテル!$A$4:$A$103,A6)</f>
        <v>0</v>
      </c>
      <c r="C6" s="8">
        <f>SUMIFS(未払一覧_モーテル!$N$4:$N$103,未払一覧_モーテル!$M$4:$M$103,A6)</f>
        <v>0</v>
      </c>
      <c r="D6" s="8">
        <f t="shared" si="0"/>
        <v>0</v>
      </c>
      <c r="E6" s="8">
        <f t="shared" si="1"/>
        <v>0</v>
      </c>
      <c r="F6" s="9">
        <f>SUMIFS(カード枠回復_モーテル!$C$4:$C$53,カード枠回復_モーテル!$A$4:$A$53,A6)</f>
        <v>0</v>
      </c>
      <c r="G6" s="57">
        <f t="shared" si="2"/>
        <v>0</v>
      </c>
      <c r="H6" s="60" t="s">
        <v>236</v>
      </c>
    </row>
    <row r="7" spans="1:8" ht="15" customHeight="1">
      <c r="A7" s="61">
        <v>46145</v>
      </c>
      <c r="B7" s="8">
        <f>SUMIFS(入金入力_モーテル!$D$4:$D$103,入金入力_モーテル!$A$4:$A$103,A7)</f>
        <v>0</v>
      </c>
      <c r="C7" s="8">
        <f>SUMIFS(未払一覧_モーテル!$N$4:$N$103,未払一覧_モーテル!$M$4:$M$103,A7)</f>
        <v>0</v>
      </c>
      <c r="D7" s="8">
        <f t="shared" si="0"/>
        <v>0</v>
      </c>
      <c r="E7" s="8">
        <f t="shared" si="1"/>
        <v>0</v>
      </c>
      <c r="F7" s="9">
        <f>SUMIFS(カード枠回復_モーテル!$C$4:$C$53,カード枠回復_モーテル!$A$4:$A$53,A7)</f>
        <v>0</v>
      </c>
      <c r="G7" s="57">
        <f t="shared" si="2"/>
        <v>0</v>
      </c>
      <c r="H7" s="60" t="s">
        <v>237</v>
      </c>
    </row>
    <row r="8" spans="1:8" ht="15" customHeight="1">
      <c r="A8" s="56">
        <v>46146</v>
      </c>
      <c r="B8" s="8">
        <f>SUMIFS(入金入力_モーテル!$D$4:$D$103,入金入力_モーテル!$A$4:$A$103,A8)</f>
        <v>0</v>
      </c>
      <c r="C8" s="8">
        <f>SUMIFS(未払一覧_モーテル!$N$4:$N$103,未払一覧_モーテル!$M$4:$M$103,A8)</f>
        <v>0</v>
      </c>
      <c r="D8" s="8">
        <f t="shared" si="0"/>
        <v>0</v>
      </c>
      <c r="E8" s="8">
        <f t="shared" si="1"/>
        <v>0</v>
      </c>
      <c r="F8" s="9">
        <f>SUMIFS(カード枠回復_モーテル!$C$4:$C$53,カード枠回復_モーテル!$A$4:$A$53,A8)</f>
        <v>0</v>
      </c>
      <c r="G8" s="57">
        <f t="shared" si="2"/>
        <v>0</v>
      </c>
      <c r="H8" s="58"/>
    </row>
    <row r="9" spans="1:8" ht="15" customHeight="1">
      <c r="A9" s="56">
        <v>46147</v>
      </c>
      <c r="B9" s="8">
        <f>SUMIFS(入金入力_モーテル!$D$4:$D$103,入金入力_モーテル!$A$4:$A$103,A9)</f>
        <v>0</v>
      </c>
      <c r="C9" s="8">
        <f>SUMIFS(未払一覧_モーテル!$N$4:$N$103,未払一覧_モーテル!$M$4:$M$103,A9)</f>
        <v>0</v>
      </c>
      <c r="D9" s="8">
        <f t="shared" si="0"/>
        <v>0</v>
      </c>
      <c r="E9" s="8">
        <f t="shared" si="1"/>
        <v>0</v>
      </c>
      <c r="F9" s="9">
        <f>SUMIFS(カード枠回復_モーテル!$C$4:$C$53,カード枠回復_モーテル!$A$4:$A$53,A9)</f>
        <v>0</v>
      </c>
      <c r="G9" s="57">
        <f t="shared" si="2"/>
        <v>0</v>
      </c>
      <c r="H9" s="58"/>
    </row>
    <row r="10" spans="1:8" ht="15" customHeight="1">
      <c r="A10" s="56">
        <v>46148</v>
      </c>
      <c r="B10" s="8">
        <f>SUMIFS(入金入力_モーテル!$D$4:$D$103,入金入力_モーテル!$A$4:$A$103,A10)</f>
        <v>0</v>
      </c>
      <c r="C10" s="8">
        <f>SUMIFS(未払一覧_モーテル!$N$4:$N$103,未払一覧_モーテル!$M$4:$M$103,A10)</f>
        <v>0</v>
      </c>
      <c r="D10" s="8">
        <f t="shared" si="0"/>
        <v>0</v>
      </c>
      <c r="E10" s="8">
        <f t="shared" si="1"/>
        <v>0</v>
      </c>
      <c r="F10" s="9">
        <f>SUMIFS(カード枠回復_モーテル!$C$4:$C$53,カード枠回復_モーテル!$A$4:$A$53,A10)</f>
        <v>0</v>
      </c>
      <c r="G10" s="57">
        <f t="shared" si="2"/>
        <v>0</v>
      </c>
      <c r="H10" s="58"/>
    </row>
    <row r="11" spans="1:8" ht="15" customHeight="1">
      <c r="A11" s="56">
        <v>46149</v>
      </c>
      <c r="B11" s="8">
        <f>SUMIFS(入金入力_モーテル!$D$4:$D$103,入金入力_モーテル!$A$4:$A$103,A11)</f>
        <v>0</v>
      </c>
      <c r="C11" s="8">
        <f>SUMIFS(未払一覧_モーテル!$N$4:$N$103,未払一覧_モーテル!$M$4:$M$103,A11)</f>
        <v>0</v>
      </c>
      <c r="D11" s="8">
        <f t="shared" si="0"/>
        <v>0</v>
      </c>
      <c r="E11" s="8">
        <f t="shared" si="1"/>
        <v>0</v>
      </c>
      <c r="F11" s="9">
        <f>SUMIFS(カード枠回復_モーテル!$C$4:$C$53,カード枠回復_モーテル!$A$4:$A$53,A11)</f>
        <v>0</v>
      </c>
      <c r="G11" s="57">
        <f t="shared" si="2"/>
        <v>0</v>
      </c>
      <c r="H11" s="58"/>
    </row>
    <row r="12" spans="1:8" ht="15" customHeight="1">
      <c r="A12" s="56">
        <v>46150</v>
      </c>
      <c r="B12" s="8">
        <f>SUMIFS(入金入力_モーテル!$D$4:$D$103,入金入力_モーテル!$A$4:$A$103,A12)</f>
        <v>0</v>
      </c>
      <c r="C12" s="8">
        <f>SUMIFS(未払一覧_モーテル!$N$4:$N$103,未払一覧_モーテル!$M$4:$M$103,A12)</f>
        <v>0</v>
      </c>
      <c r="D12" s="8">
        <f t="shared" si="0"/>
        <v>0</v>
      </c>
      <c r="E12" s="8">
        <f t="shared" si="1"/>
        <v>0</v>
      </c>
      <c r="F12" s="9">
        <f>SUMIFS(カード枠回復_モーテル!$C$4:$C$53,カード枠回復_モーテル!$A$4:$A$53,A12)</f>
        <v>0</v>
      </c>
      <c r="G12" s="57">
        <f t="shared" si="2"/>
        <v>0</v>
      </c>
      <c r="H12" s="58"/>
    </row>
    <row r="13" spans="1:8" ht="15" customHeight="1">
      <c r="A13" s="59">
        <v>46151</v>
      </c>
      <c r="B13" s="8">
        <f>SUMIFS(入金入力_モーテル!$D$4:$D$103,入金入力_モーテル!$A$4:$A$103,A13)</f>
        <v>0</v>
      </c>
      <c r="C13" s="8">
        <f>SUMIFS(未払一覧_モーテル!$N$4:$N$103,未払一覧_モーテル!$M$4:$M$103,A13)</f>
        <v>0</v>
      </c>
      <c r="D13" s="8">
        <f t="shared" si="0"/>
        <v>0</v>
      </c>
      <c r="E13" s="8">
        <f t="shared" si="1"/>
        <v>0</v>
      </c>
      <c r="F13" s="9">
        <f>SUMIFS(カード枠回復_モーテル!$C$4:$C$53,カード枠回復_モーテル!$A$4:$A$53,A13)</f>
        <v>0</v>
      </c>
      <c r="G13" s="57">
        <f t="shared" si="2"/>
        <v>0</v>
      </c>
      <c r="H13" s="60" t="s">
        <v>236</v>
      </c>
    </row>
    <row r="14" spans="1:8" ht="15" customHeight="1">
      <c r="A14" s="61">
        <v>46152</v>
      </c>
      <c r="B14" s="8">
        <f>SUMIFS(入金入力_モーテル!$D$4:$D$103,入金入力_モーテル!$A$4:$A$103,A14)</f>
        <v>0</v>
      </c>
      <c r="C14" s="8">
        <f>SUMIFS(未払一覧_モーテル!$N$4:$N$103,未払一覧_モーテル!$M$4:$M$103,A14)</f>
        <v>0</v>
      </c>
      <c r="D14" s="8">
        <f t="shared" si="0"/>
        <v>0</v>
      </c>
      <c r="E14" s="8">
        <f t="shared" si="1"/>
        <v>0</v>
      </c>
      <c r="F14" s="9">
        <f>SUMIFS(カード枠回復_モーテル!$C$4:$C$53,カード枠回復_モーテル!$A$4:$A$53,A14)</f>
        <v>0</v>
      </c>
      <c r="G14" s="57">
        <f t="shared" si="2"/>
        <v>0</v>
      </c>
      <c r="H14" s="60" t="s">
        <v>237</v>
      </c>
    </row>
    <row r="15" spans="1:8" ht="15" customHeight="1">
      <c r="A15" s="56">
        <v>46153</v>
      </c>
      <c r="B15" s="8">
        <f>SUMIFS(入金入力_モーテル!$D$4:$D$103,入金入力_モーテル!$A$4:$A$103,A15)</f>
        <v>0</v>
      </c>
      <c r="C15" s="8">
        <f>SUMIFS(未払一覧_モーテル!$N$4:$N$103,未払一覧_モーテル!$M$4:$M$103,A15)</f>
        <v>0</v>
      </c>
      <c r="D15" s="8">
        <f t="shared" si="0"/>
        <v>0</v>
      </c>
      <c r="E15" s="8">
        <f t="shared" si="1"/>
        <v>0</v>
      </c>
      <c r="F15" s="9">
        <f>SUMIFS(カード枠回復_モーテル!$C$4:$C$53,カード枠回復_モーテル!$A$4:$A$53,A15)</f>
        <v>0</v>
      </c>
      <c r="G15" s="57">
        <f t="shared" si="2"/>
        <v>0</v>
      </c>
      <c r="H15" s="58"/>
    </row>
    <row r="16" spans="1:8" ht="15" customHeight="1">
      <c r="A16" s="56">
        <v>46154</v>
      </c>
      <c r="B16" s="8">
        <f>SUMIFS(入金入力_モーテル!$D$4:$D$103,入金入力_モーテル!$A$4:$A$103,A16)</f>
        <v>0</v>
      </c>
      <c r="C16" s="8">
        <f>SUMIFS(未払一覧_モーテル!$N$4:$N$103,未払一覧_モーテル!$M$4:$M$103,A16)</f>
        <v>0</v>
      </c>
      <c r="D16" s="8">
        <f t="shared" si="0"/>
        <v>0</v>
      </c>
      <c r="E16" s="8">
        <f t="shared" si="1"/>
        <v>0</v>
      </c>
      <c r="F16" s="9">
        <f>SUMIFS(カード枠回復_モーテル!$C$4:$C$53,カード枠回復_モーテル!$A$4:$A$53,A16)</f>
        <v>0</v>
      </c>
      <c r="G16" s="57">
        <f t="shared" si="2"/>
        <v>0</v>
      </c>
      <c r="H16" s="58"/>
    </row>
    <row r="17" spans="1:8" ht="15" customHeight="1">
      <c r="A17" s="56">
        <v>46155</v>
      </c>
      <c r="B17" s="8">
        <f>SUMIFS(入金入力_モーテル!$D$4:$D$103,入金入力_モーテル!$A$4:$A$103,A17)</f>
        <v>0</v>
      </c>
      <c r="C17" s="8">
        <f>SUMIFS(未払一覧_モーテル!$N$4:$N$103,未払一覧_モーテル!$M$4:$M$103,A17)</f>
        <v>0</v>
      </c>
      <c r="D17" s="8">
        <f t="shared" si="0"/>
        <v>0</v>
      </c>
      <c r="E17" s="8">
        <f t="shared" si="1"/>
        <v>0</v>
      </c>
      <c r="F17" s="9">
        <f>SUMIFS(カード枠回復_モーテル!$C$4:$C$53,カード枠回復_モーテル!$A$4:$A$53,A17)</f>
        <v>0</v>
      </c>
      <c r="G17" s="57">
        <f t="shared" si="2"/>
        <v>0</v>
      </c>
      <c r="H17" s="58"/>
    </row>
    <row r="18" spans="1:8" ht="15" customHeight="1">
      <c r="A18" s="56">
        <v>46156</v>
      </c>
      <c r="B18" s="8">
        <f>SUMIFS(入金入力_モーテル!$D$4:$D$103,入金入力_モーテル!$A$4:$A$103,A18)</f>
        <v>0</v>
      </c>
      <c r="C18" s="8">
        <f>SUMIFS(未払一覧_モーテル!$N$4:$N$103,未払一覧_モーテル!$M$4:$M$103,A18)</f>
        <v>0</v>
      </c>
      <c r="D18" s="8">
        <f t="shared" si="0"/>
        <v>0</v>
      </c>
      <c r="E18" s="8">
        <f t="shared" si="1"/>
        <v>0</v>
      </c>
      <c r="F18" s="9">
        <f>SUMIFS(カード枠回復_モーテル!$C$4:$C$53,カード枠回復_モーテル!$A$4:$A$53,A18)</f>
        <v>0</v>
      </c>
      <c r="G18" s="57">
        <f t="shared" si="2"/>
        <v>0</v>
      </c>
      <c r="H18" s="58"/>
    </row>
    <row r="19" spans="1:8" ht="15" customHeight="1">
      <c r="A19" s="56">
        <v>46157</v>
      </c>
      <c r="B19" s="8">
        <f>SUMIFS(入金入力_モーテル!$D$4:$D$103,入金入力_モーテル!$A$4:$A$103,A19)</f>
        <v>0</v>
      </c>
      <c r="C19" s="8">
        <f>SUMIFS(未払一覧_モーテル!$N$4:$N$103,未払一覧_モーテル!$M$4:$M$103,A19)</f>
        <v>0</v>
      </c>
      <c r="D19" s="8">
        <f t="shared" si="0"/>
        <v>0</v>
      </c>
      <c r="E19" s="8">
        <f t="shared" si="1"/>
        <v>0</v>
      </c>
      <c r="F19" s="9">
        <f>SUMIFS(カード枠回復_モーテル!$C$4:$C$53,カード枠回復_モーテル!$A$4:$A$53,A19)</f>
        <v>0</v>
      </c>
      <c r="G19" s="57">
        <f t="shared" si="2"/>
        <v>0</v>
      </c>
      <c r="H19" s="58"/>
    </row>
    <row r="20" spans="1:8" ht="15" customHeight="1">
      <c r="A20" s="59">
        <v>46158</v>
      </c>
      <c r="B20" s="8">
        <f>SUMIFS(入金入力_モーテル!$D$4:$D$103,入金入力_モーテル!$A$4:$A$103,A20)</f>
        <v>0</v>
      </c>
      <c r="C20" s="8">
        <f>SUMIFS(未払一覧_モーテル!$N$4:$N$103,未払一覧_モーテル!$M$4:$M$103,A20)</f>
        <v>0</v>
      </c>
      <c r="D20" s="8">
        <f t="shared" si="0"/>
        <v>0</v>
      </c>
      <c r="E20" s="8">
        <f t="shared" si="1"/>
        <v>0</v>
      </c>
      <c r="F20" s="9">
        <f>SUMIFS(カード枠回復_モーテル!$C$4:$C$53,カード枠回復_モーテル!$A$4:$A$53,A20)</f>
        <v>0</v>
      </c>
      <c r="G20" s="57">
        <f t="shared" si="2"/>
        <v>0</v>
      </c>
      <c r="H20" s="60" t="s">
        <v>236</v>
      </c>
    </row>
    <row r="21" spans="1:8" ht="15" customHeight="1">
      <c r="A21" s="61">
        <v>46159</v>
      </c>
      <c r="B21" s="8">
        <f>SUMIFS(入金入力_モーテル!$D$4:$D$103,入金入力_モーテル!$A$4:$A$103,A21)</f>
        <v>0</v>
      </c>
      <c r="C21" s="8">
        <f>SUMIFS(未払一覧_モーテル!$N$4:$N$103,未払一覧_モーテル!$M$4:$M$103,A21)</f>
        <v>0</v>
      </c>
      <c r="D21" s="8">
        <f t="shared" si="0"/>
        <v>0</v>
      </c>
      <c r="E21" s="8">
        <f t="shared" si="1"/>
        <v>0</v>
      </c>
      <c r="F21" s="9">
        <f>SUMIFS(カード枠回復_モーテル!$C$4:$C$53,カード枠回復_モーテル!$A$4:$A$53,A21)</f>
        <v>0</v>
      </c>
      <c r="G21" s="57">
        <f t="shared" si="2"/>
        <v>0</v>
      </c>
      <c r="H21" s="60" t="s">
        <v>237</v>
      </c>
    </row>
    <row r="22" spans="1:8" ht="15" customHeight="1">
      <c r="A22" s="56">
        <v>46160</v>
      </c>
      <c r="B22" s="8">
        <f>SUMIFS(入金入力_モーテル!$D$4:$D$103,入金入力_モーテル!$A$4:$A$103,A22)</f>
        <v>0</v>
      </c>
      <c r="C22" s="8">
        <f>SUMIFS(未払一覧_モーテル!$N$4:$N$103,未払一覧_モーテル!$M$4:$M$103,A22)</f>
        <v>0</v>
      </c>
      <c r="D22" s="8">
        <f t="shared" si="0"/>
        <v>0</v>
      </c>
      <c r="E22" s="8">
        <f t="shared" si="1"/>
        <v>0</v>
      </c>
      <c r="F22" s="9">
        <f>SUMIFS(カード枠回復_モーテル!$C$4:$C$53,カード枠回復_モーテル!$A$4:$A$53,A22)</f>
        <v>0</v>
      </c>
      <c r="G22" s="57">
        <f t="shared" si="2"/>
        <v>0</v>
      </c>
      <c r="H22" s="58"/>
    </row>
    <row r="23" spans="1:8" ht="15" customHeight="1">
      <c r="A23" s="56">
        <v>46161</v>
      </c>
      <c r="B23" s="8">
        <f>SUMIFS(入金入力_モーテル!$D$4:$D$103,入金入力_モーテル!$A$4:$A$103,A23)</f>
        <v>0</v>
      </c>
      <c r="C23" s="8">
        <f>SUMIFS(未払一覧_モーテル!$N$4:$N$103,未払一覧_モーテル!$M$4:$M$103,A23)</f>
        <v>0</v>
      </c>
      <c r="D23" s="8">
        <f t="shared" si="0"/>
        <v>0</v>
      </c>
      <c r="E23" s="8">
        <f t="shared" si="1"/>
        <v>0</v>
      </c>
      <c r="F23" s="9">
        <f>SUMIFS(カード枠回復_モーテル!$C$4:$C$53,カード枠回復_モーテル!$A$4:$A$53,A23)</f>
        <v>0</v>
      </c>
      <c r="G23" s="57">
        <f t="shared" si="2"/>
        <v>0</v>
      </c>
      <c r="H23" s="58"/>
    </row>
    <row r="24" spans="1:8" ht="15" customHeight="1">
      <c r="A24" s="56">
        <v>46162</v>
      </c>
      <c r="B24" s="8">
        <f>SUMIFS(入金入力_モーテル!$D$4:$D$103,入金入力_モーテル!$A$4:$A$103,A24)</f>
        <v>0</v>
      </c>
      <c r="C24" s="8">
        <f>SUMIFS(未払一覧_モーテル!$N$4:$N$103,未払一覧_モーテル!$M$4:$M$103,A24)</f>
        <v>0</v>
      </c>
      <c r="D24" s="8">
        <f t="shared" si="0"/>
        <v>0</v>
      </c>
      <c r="E24" s="8">
        <f t="shared" si="1"/>
        <v>0</v>
      </c>
      <c r="F24" s="9">
        <f>SUMIFS(カード枠回復_モーテル!$C$4:$C$53,カード枠回復_モーテル!$A$4:$A$53,A24)</f>
        <v>0</v>
      </c>
      <c r="G24" s="57">
        <f t="shared" si="2"/>
        <v>0</v>
      </c>
      <c r="H24" s="58"/>
    </row>
    <row r="25" spans="1:8" ht="15" customHeight="1">
      <c r="A25" s="56">
        <v>46163</v>
      </c>
      <c r="B25" s="8">
        <f>SUMIFS(入金入力_モーテル!$D$4:$D$103,入金入力_モーテル!$A$4:$A$103,A25)</f>
        <v>0</v>
      </c>
      <c r="C25" s="8">
        <f>SUMIFS(未払一覧_モーテル!$N$4:$N$103,未払一覧_モーテル!$M$4:$M$103,A25)</f>
        <v>0</v>
      </c>
      <c r="D25" s="8">
        <f t="shared" si="0"/>
        <v>0</v>
      </c>
      <c r="E25" s="8">
        <f t="shared" si="1"/>
        <v>0</v>
      </c>
      <c r="F25" s="9">
        <f>SUMIFS(カード枠回復_モーテル!$C$4:$C$53,カード枠回復_モーテル!$A$4:$A$53,A25)</f>
        <v>0</v>
      </c>
      <c r="G25" s="57">
        <f t="shared" si="2"/>
        <v>0</v>
      </c>
      <c r="H25" s="58"/>
    </row>
    <row r="26" spans="1:8" ht="15" customHeight="1">
      <c r="A26" s="56">
        <v>46164</v>
      </c>
      <c r="B26" s="8">
        <f>SUMIFS(入金入力_モーテル!$D$4:$D$103,入金入力_モーテル!$A$4:$A$103,A26)</f>
        <v>0</v>
      </c>
      <c r="C26" s="8">
        <f>SUMIFS(未払一覧_モーテル!$N$4:$N$103,未払一覧_モーテル!$M$4:$M$103,A26)</f>
        <v>0</v>
      </c>
      <c r="D26" s="8">
        <f t="shared" si="0"/>
        <v>0</v>
      </c>
      <c r="E26" s="8">
        <f t="shared" si="1"/>
        <v>0</v>
      </c>
      <c r="F26" s="9">
        <f>SUMIFS(カード枠回復_モーテル!$C$4:$C$53,カード枠回復_モーテル!$A$4:$A$53,A26)</f>
        <v>0</v>
      </c>
      <c r="G26" s="57">
        <f t="shared" si="2"/>
        <v>0</v>
      </c>
      <c r="H26" s="58"/>
    </row>
    <row r="27" spans="1:8" ht="15" customHeight="1">
      <c r="A27" s="59">
        <v>46165</v>
      </c>
      <c r="B27" s="8">
        <f>SUMIFS(入金入力_モーテル!$D$4:$D$103,入金入力_モーテル!$A$4:$A$103,A27)</f>
        <v>0</v>
      </c>
      <c r="C27" s="8">
        <f>SUMIFS(未払一覧_モーテル!$N$4:$N$103,未払一覧_モーテル!$M$4:$M$103,A27)</f>
        <v>0</v>
      </c>
      <c r="D27" s="8">
        <f t="shared" si="0"/>
        <v>0</v>
      </c>
      <c r="E27" s="8">
        <f t="shared" si="1"/>
        <v>0</v>
      </c>
      <c r="F27" s="9">
        <f>SUMIFS(カード枠回復_モーテル!$C$4:$C$53,カード枠回復_モーテル!$A$4:$A$53,A27)</f>
        <v>0</v>
      </c>
      <c r="G27" s="57">
        <f t="shared" si="2"/>
        <v>0</v>
      </c>
      <c r="H27" s="60" t="s">
        <v>236</v>
      </c>
    </row>
    <row r="28" spans="1:8" ht="15" customHeight="1">
      <c r="A28" s="61">
        <v>46166</v>
      </c>
      <c r="B28" s="8">
        <f>SUMIFS(入金入力_モーテル!$D$4:$D$103,入金入力_モーテル!$A$4:$A$103,A28)</f>
        <v>0</v>
      </c>
      <c r="C28" s="8">
        <f>SUMIFS(未払一覧_モーテル!$N$4:$N$103,未払一覧_モーテル!$M$4:$M$103,A28)</f>
        <v>0</v>
      </c>
      <c r="D28" s="8">
        <f t="shared" si="0"/>
        <v>0</v>
      </c>
      <c r="E28" s="8">
        <f t="shared" si="1"/>
        <v>0</v>
      </c>
      <c r="F28" s="9">
        <f>SUMIFS(カード枠回復_モーテル!$C$4:$C$53,カード枠回復_モーテル!$A$4:$A$53,A28)</f>
        <v>0</v>
      </c>
      <c r="G28" s="57">
        <f t="shared" si="2"/>
        <v>0</v>
      </c>
      <c r="H28" s="60" t="s">
        <v>237</v>
      </c>
    </row>
    <row r="29" spans="1:8" ht="15" customHeight="1">
      <c r="A29" s="56">
        <v>46167</v>
      </c>
      <c r="B29" s="8">
        <f>SUMIFS(入金入力_モーテル!$D$4:$D$103,入金入力_モーテル!$A$4:$A$103,A29)</f>
        <v>0</v>
      </c>
      <c r="C29" s="8">
        <f>SUMIFS(未払一覧_モーテル!$N$4:$N$103,未払一覧_モーテル!$M$4:$M$103,A29)</f>
        <v>0</v>
      </c>
      <c r="D29" s="8">
        <f t="shared" si="0"/>
        <v>0</v>
      </c>
      <c r="E29" s="8">
        <f t="shared" si="1"/>
        <v>0</v>
      </c>
      <c r="F29" s="9">
        <f>SUMIFS(カード枠回復_モーテル!$C$4:$C$53,カード枠回復_モーテル!$A$4:$A$53,A29)</f>
        <v>0</v>
      </c>
      <c r="G29" s="57">
        <f t="shared" si="2"/>
        <v>0</v>
      </c>
      <c r="H29" s="58"/>
    </row>
    <row r="30" spans="1:8" ht="15" customHeight="1">
      <c r="A30" s="56">
        <v>46168</v>
      </c>
      <c r="B30" s="8">
        <f>SUMIFS(入金入力_モーテル!$D$4:$D$103,入金入力_モーテル!$A$4:$A$103,A30)</f>
        <v>0</v>
      </c>
      <c r="C30" s="8">
        <f>SUMIFS(未払一覧_モーテル!$N$4:$N$103,未払一覧_モーテル!$M$4:$M$103,A30)</f>
        <v>0</v>
      </c>
      <c r="D30" s="8">
        <f t="shared" si="0"/>
        <v>0</v>
      </c>
      <c r="E30" s="8">
        <f t="shared" si="1"/>
        <v>0</v>
      </c>
      <c r="F30" s="9">
        <f>SUMIFS(カード枠回復_モーテル!$C$4:$C$53,カード枠回復_モーテル!$A$4:$A$53,A30)</f>
        <v>0</v>
      </c>
      <c r="G30" s="57">
        <f t="shared" si="2"/>
        <v>0</v>
      </c>
      <c r="H30" s="58"/>
    </row>
    <row r="31" spans="1:8" ht="15" customHeight="1">
      <c r="A31" s="56">
        <v>46169</v>
      </c>
      <c r="B31" s="8">
        <f>SUMIFS(入金入力_モーテル!$D$4:$D$103,入金入力_モーテル!$A$4:$A$103,A31)</f>
        <v>0</v>
      </c>
      <c r="C31" s="8">
        <f>SUMIFS(未払一覧_モーテル!$N$4:$N$103,未払一覧_モーテル!$M$4:$M$103,A31)</f>
        <v>0</v>
      </c>
      <c r="D31" s="8">
        <f t="shared" si="0"/>
        <v>0</v>
      </c>
      <c r="E31" s="8">
        <f t="shared" si="1"/>
        <v>0</v>
      </c>
      <c r="F31" s="9">
        <f>SUMIFS(カード枠回復_モーテル!$C$4:$C$53,カード枠回復_モーテル!$A$4:$A$53,A31)</f>
        <v>0</v>
      </c>
      <c r="G31" s="57">
        <f t="shared" si="2"/>
        <v>0</v>
      </c>
      <c r="H31" s="58"/>
    </row>
    <row r="32" spans="1:8" ht="15" customHeight="1">
      <c r="A32" s="56">
        <v>46170</v>
      </c>
      <c r="B32" s="8">
        <f>SUMIFS(入金入力_モーテル!$D$4:$D$103,入金入力_モーテル!$A$4:$A$103,A32)</f>
        <v>0</v>
      </c>
      <c r="C32" s="8">
        <f>SUMIFS(未払一覧_モーテル!$N$4:$N$103,未払一覧_モーテル!$M$4:$M$103,A32)</f>
        <v>0</v>
      </c>
      <c r="D32" s="8">
        <f t="shared" si="0"/>
        <v>0</v>
      </c>
      <c r="E32" s="8">
        <f t="shared" si="1"/>
        <v>0</v>
      </c>
      <c r="F32" s="9">
        <f>SUMIFS(カード枠回復_モーテル!$C$4:$C$53,カード枠回復_モーテル!$A$4:$A$53,A32)</f>
        <v>0</v>
      </c>
      <c r="G32" s="57">
        <f t="shared" si="2"/>
        <v>0</v>
      </c>
      <c r="H32" s="58"/>
    </row>
    <row r="33" spans="1:8" ht="15" customHeight="1">
      <c r="A33" s="56">
        <v>46171</v>
      </c>
      <c r="B33" s="8">
        <f>SUMIFS(入金入力_モーテル!$D$4:$D$103,入金入力_モーテル!$A$4:$A$103,A33)</f>
        <v>0</v>
      </c>
      <c r="C33" s="8">
        <f>SUMIFS(未払一覧_モーテル!$N$4:$N$103,未払一覧_モーテル!$M$4:$M$103,A33)</f>
        <v>0</v>
      </c>
      <c r="D33" s="8">
        <f t="shared" si="0"/>
        <v>0</v>
      </c>
      <c r="E33" s="8">
        <f t="shared" si="1"/>
        <v>0</v>
      </c>
      <c r="F33" s="9">
        <f>SUMIFS(カード枠回復_モーテル!$C$4:$C$53,カード枠回復_モーテル!$A$4:$A$53,A33)</f>
        <v>0</v>
      </c>
      <c r="G33" s="57">
        <f t="shared" si="2"/>
        <v>0</v>
      </c>
      <c r="H33" s="58"/>
    </row>
    <row r="34" spans="1:8" ht="15" customHeight="1">
      <c r="A34" s="59">
        <v>46172</v>
      </c>
      <c r="B34" s="8">
        <f>SUMIFS(入金入力_モーテル!$D$4:$D$103,入金入力_モーテル!$A$4:$A$103,A34)</f>
        <v>0</v>
      </c>
      <c r="C34" s="8">
        <f>SUMIFS(未払一覧_モーテル!$N$4:$N$103,未払一覧_モーテル!$M$4:$M$103,A34)</f>
        <v>0</v>
      </c>
      <c r="D34" s="8">
        <f t="shared" si="0"/>
        <v>0</v>
      </c>
      <c r="E34" s="8">
        <f t="shared" si="1"/>
        <v>0</v>
      </c>
      <c r="F34" s="9">
        <f>SUMIFS(カード枠回復_モーテル!$C$4:$C$53,カード枠回復_モーテル!$A$4:$A$53,A34)</f>
        <v>0</v>
      </c>
      <c r="G34" s="57">
        <f t="shared" si="2"/>
        <v>0</v>
      </c>
      <c r="H34" s="60" t="s">
        <v>236</v>
      </c>
    </row>
    <row r="35" spans="1:8" ht="15" customHeight="1">
      <c r="A35" s="61">
        <v>46173</v>
      </c>
      <c r="B35" s="8">
        <f>SUMIFS(入金入力_モーテル!$D$4:$D$103,入金入力_モーテル!$A$4:$A$103,A35)</f>
        <v>0</v>
      </c>
      <c r="C35" s="8">
        <f>SUMIFS(未払一覧_モーテル!$N$4:$N$103,未払一覧_モーテル!$M$4:$M$103,A35)</f>
        <v>0</v>
      </c>
      <c r="D35" s="8">
        <f t="shared" si="0"/>
        <v>0</v>
      </c>
      <c r="E35" s="8">
        <f t="shared" si="1"/>
        <v>0</v>
      </c>
      <c r="F35" s="9">
        <f>SUMIFS(カード枠回復_モーテル!$C$4:$C$53,カード枠回復_モーテル!$A$4:$A$53,A35)</f>
        <v>0</v>
      </c>
      <c r="G35" s="57">
        <f t="shared" si="2"/>
        <v>0</v>
      </c>
      <c r="H35" s="60" t="s">
        <v>237</v>
      </c>
    </row>
    <row r="37" spans="1:8" ht="15" customHeight="1">
      <c r="A37" s="11" t="s">
        <v>238</v>
      </c>
      <c r="B37" s="12">
        <f>SUM(B4:B35)</f>
        <v>0</v>
      </c>
      <c r="C37" s="12">
        <f>SUM(C4:C35)</f>
        <v>0</v>
      </c>
      <c r="D37" s="12">
        <f>B37-C37-F37</f>
        <v>0</v>
      </c>
      <c r="E37" s="12">
        <f>E35</f>
        <v>0</v>
      </c>
      <c r="F37" s="12">
        <f>SUM(F4:F35)</f>
        <v>0</v>
      </c>
      <c r="G37" s="12">
        <f>G35</f>
        <v>0</v>
      </c>
      <c r="H37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7" t="s">
        <v>253</v>
      </c>
      <c r="B1" s="97"/>
      <c r="C1" s="97"/>
      <c r="D1" s="97"/>
      <c r="E1" s="97"/>
      <c r="F1" s="97"/>
      <c r="G1" s="97"/>
      <c r="H1" s="97"/>
    </row>
    <row r="2" spans="1:8" ht="11.25" customHeight="1">
      <c r="A2" s="95" t="s">
        <v>252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46174</v>
      </c>
      <c r="B4" s="8">
        <f>SUMIFS(入金入力_モーテル!$D$4:$D$103,入金入力_モーテル!$A$4:$A$103,A4)</f>
        <v>0</v>
      </c>
      <c r="C4" s="8">
        <f>SUMIFS(未払一覧_モーテル!$N$4:$N$103,未払一覧_モーテル!$M$4:$M$103,A4)</f>
        <v>0</v>
      </c>
      <c r="D4" s="8">
        <f t="shared" ref="D4:D33" si="0">B4-C4-F4</f>
        <v>0</v>
      </c>
      <c r="E4" s="8">
        <f>'5月_モーテル'!E35+D4</f>
        <v>0</v>
      </c>
      <c r="F4" s="9">
        <f>SUMIFS(カード枠回復_モーテル!$C$4:$C$53,カード枠回復_モーテル!$A$4:$A$53,A4)</f>
        <v>0</v>
      </c>
      <c r="G4" s="57">
        <f>'5月_モーテル'!G35+D4+F4</f>
        <v>0</v>
      </c>
      <c r="H4" s="58"/>
    </row>
    <row r="5" spans="1:8" ht="15" customHeight="1">
      <c r="A5" s="56">
        <v>46175</v>
      </c>
      <c r="B5" s="8">
        <f>SUMIFS(入金入力_モーテル!$D$4:$D$103,入金入力_モーテル!$A$4:$A$103,A5)</f>
        <v>0</v>
      </c>
      <c r="C5" s="8">
        <f>SUMIFS(未払一覧_モーテル!$N$4:$N$103,未払一覧_モーテル!$M$4:$M$103,A5)</f>
        <v>0</v>
      </c>
      <c r="D5" s="8">
        <f t="shared" si="0"/>
        <v>0</v>
      </c>
      <c r="E5" s="8">
        <f t="shared" ref="E5:E33" si="1">E4+D5</f>
        <v>0</v>
      </c>
      <c r="F5" s="9">
        <f>SUMIFS(カード枠回復_モーテル!$C$4:$C$53,カード枠回復_モーテル!$A$4:$A$53,A5)</f>
        <v>0</v>
      </c>
      <c r="G5" s="57">
        <f t="shared" ref="G5:G33" si="2">G4+D5+F5</f>
        <v>0</v>
      </c>
      <c r="H5" s="58"/>
    </row>
    <row r="6" spans="1:8" ht="15" customHeight="1">
      <c r="A6" s="56">
        <v>46176</v>
      </c>
      <c r="B6" s="8">
        <f>SUMIFS(入金入力_モーテル!$D$4:$D$103,入金入力_モーテル!$A$4:$A$103,A6)</f>
        <v>0</v>
      </c>
      <c r="C6" s="8">
        <f>SUMIFS(未払一覧_モーテル!$N$4:$N$103,未払一覧_モーテル!$M$4:$M$103,A6)</f>
        <v>0</v>
      </c>
      <c r="D6" s="8">
        <f t="shared" si="0"/>
        <v>0</v>
      </c>
      <c r="E6" s="8">
        <f t="shared" si="1"/>
        <v>0</v>
      </c>
      <c r="F6" s="9">
        <f>SUMIFS(カード枠回復_モーテル!$C$4:$C$53,カード枠回復_モーテル!$A$4:$A$53,A6)</f>
        <v>0</v>
      </c>
      <c r="G6" s="57">
        <f t="shared" si="2"/>
        <v>0</v>
      </c>
      <c r="H6" s="58"/>
    </row>
    <row r="7" spans="1:8" ht="15" customHeight="1">
      <c r="A7" s="56">
        <v>46177</v>
      </c>
      <c r="B7" s="8">
        <f>SUMIFS(入金入力_モーテル!$D$4:$D$103,入金入力_モーテル!$A$4:$A$103,A7)</f>
        <v>0</v>
      </c>
      <c r="C7" s="8">
        <f>SUMIFS(未払一覧_モーテル!$N$4:$N$103,未払一覧_モーテル!$M$4:$M$103,A7)</f>
        <v>0</v>
      </c>
      <c r="D7" s="8">
        <f t="shared" si="0"/>
        <v>0</v>
      </c>
      <c r="E7" s="8">
        <f t="shared" si="1"/>
        <v>0</v>
      </c>
      <c r="F7" s="9">
        <f>SUMIFS(カード枠回復_モーテル!$C$4:$C$53,カード枠回復_モーテル!$A$4:$A$53,A7)</f>
        <v>0</v>
      </c>
      <c r="G7" s="57">
        <f t="shared" si="2"/>
        <v>0</v>
      </c>
      <c r="H7" s="58"/>
    </row>
    <row r="8" spans="1:8" ht="15" customHeight="1">
      <c r="A8" s="56">
        <v>46178</v>
      </c>
      <c r="B8" s="8">
        <f>SUMIFS(入金入力_モーテル!$D$4:$D$103,入金入力_モーテル!$A$4:$A$103,A8)</f>
        <v>0</v>
      </c>
      <c r="C8" s="8">
        <f>SUMIFS(未払一覧_モーテル!$N$4:$N$103,未払一覧_モーテル!$M$4:$M$103,A8)</f>
        <v>0</v>
      </c>
      <c r="D8" s="8">
        <f t="shared" si="0"/>
        <v>0</v>
      </c>
      <c r="E8" s="8">
        <f t="shared" si="1"/>
        <v>0</v>
      </c>
      <c r="F8" s="9">
        <f>SUMIFS(カード枠回復_モーテル!$C$4:$C$53,カード枠回復_モーテル!$A$4:$A$53,A8)</f>
        <v>0</v>
      </c>
      <c r="G8" s="57">
        <f t="shared" si="2"/>
        <v>0</v>
      </c>
      <c r="H8" s="58"/>
    </row>
    <row r="9" spans="1:8" ht="15" customHeight="1">
      <c r="A9" s="59">
        <v>46179</v>
      </c>
      <c r="B9" s="8">
        <f>SUMIFS(入金入力_モーテル!$D$4:$D$103,入金入力_モーテル!$A$4:$A$103,A9)</f>
        <v>0</v>
      </c>
      <c r="C9" s="8">
        <f>SUMIFS(未払一覧_モーテル!$N$4:$N$103,未払一覧_モーテル!$M$4:$M$103,A9)</f>
        <v>0</v>
      </c>
      <c r="D9" s="8">
        <f t="shared" si="0"/>
        <v>0</v>
      </c>
      <c r="E9" s="8">
        <f t="shared" si="1"/>
        <v>0</v>
      </c>
      <c r="F9" s="9">
        <f>SUMIFS(カード枠回復_モーテル!$C$4:$C$53,カード枠回復_モーテル!$A$4:$A$53,A9)</f>
        <v>0</v>
      </c>
      <c r="G9" s="57">
        <f t="shared" si="2"/>
        <v>0</v>
      </c>
      <c r="H9" s="60" t="s">
        <v>236</v>
      </c>
    </row>
    <row r="10" spans="1:8" ht="15" customHeight="1">
      <c r="A10" s="61">
        <v>46180</v>
      </c>
      <c r="B10" s="8">
        <f>SUMIFS(入金入力_モーテル!$D$4:$D$103,入金入力_モーテル!$A$4:$A$103,A10)</f>
        <v>0</v>
      </c>
      <c r="C10" s="8">
        <f>SUMIFS(未払一覧_モーテル!$N$4:$N$103,未払一覧_モーテル!$M$4:$M$103,A10)</f>
        <v>0</v>
      </c>
      <c r="D10" s="8">
        <f t="shared" si="0"/>
        <v>0</v>
      </c>
      <c r="E10" s="8">
        <f t="shared" si="1"/>
        <v>0</v>
      </c>
      <c r="F10" s="9">
        <f>SUMIFS(カード枠回復_モーテル!$C$4:$C$53,カード枠回復_モーテル!$A$4:$A$53,A10)</f>
        <v>0</v>
      </c>
      <c r="G10" s="57">
        <f t="shared" si="2"/>
        <v>0</v>
      </c>
      <c r="H10" s="60" t="s">
        <v>237</v>
      </c>
    </row>
    <row r="11" spans="1:8" ht="15" customHeight="1">
      <c r="A11" s="56">
        <v>46181</v>
      </c>
      <c r="B11" s="8">
        <f>SUMIFS(入金入力_モーテル!$D$4:$D$103,入金入力_モーテル!$A$4:$A$103,A11)</f>
        <v>0</v>
      </c>
      <c r="C11" s="8">
        <f>SUMIFS(未払一覧_モーテル!$N$4:$N$103,未払一覧_モーテル!$M$4:$M$103,A11)</f>
        <v>0</v>
      </c>
      <c r="D11" s="8">
        <f t="shared" si="0"/>
        <v>0</v>
      </c>
      <c r="E11" s="8">
        <f t="shared" si="1"/>
        <v>0</v>
      </c>
      <c r="F11" s="9">
        <f>SUMIFS(カード枠回復_モーテル!$C$4:$C$53,カード枠回復_モーテル!$A$4:$A$53,A11)</f>
        <v>0</v>
      </c>
      <c r="G11" s="57">
        <f t="shared" si="2"/>
        <v>0</v>
      </c>
      <c r="H11" s="58"/>
    </row>
    <row r="12" spans="1:8" ht="15" customHeight="1">
      <c r="A12" s="56">
        <v>46182</v>
      </c>
      <c r="B12" s="8">
        <f>SUMIFS(入金入力_モーテル!$D$4:$D$103,入金入力_モーテル!$A$4:$A$103,A12)</f>
        <v>0</v>
      </c>
      <c r="C12" s="8">
        <f>SUMIFS(未払一覧_モーテル!$N$4:$N$103,未払一覧_モーテル!$M$4:$M$103,A12)</f>
        <v>0</v>
      </c>
      <c r="D12" s="8">
        <f t="shared" si="0"/>
        <v>0</v>
      </c>
      <c r="E12" s="8">
        <f t="shared" si="1"/>
        <v>0</v>
      </c>
      <c r="F12" s="9">
        <f>SUMIFS(カード枠回復_モーテル!$C$4:$C$53,カード枠回復_モーテル!$A$4:$A$53,A12)</f>
        <v>0</v>
      </c>
      <c r="G12" s="57">
        <f t="shared" si="2"/>
        <v>0</v>
      </c>
      <c r="H12" s="58"/>
    </row>
    <row r="13" spans="1:8" ht="15" customHeight="1">
      <c r="A13" s="56">
        <v>46183</v>
      </c>
      <c r="B13" s="8">
        <f>SUMIFS(入金入力_モーテル!$D$4:$D$103,入金入力_モーテル!$A$4:$A$103,A13)</f>
        <v>0</v>
      </c>
      <c r="C13" s="8">
        <f>SUMIFS(未払一覧_モーテル!$N$4:$N$103,未払一覧_モーテル!$M$4:$M$103,A13)</f>
        <v>0</v>
      </c>
      <c r="D13" s="8">
        <f t="shared" si="0"/>
        <v>0</v>
      </c>
      <c r="E13" s="8">
        <f t="shared" si="1"/>
        <v>0</v>
      </c>
      <c r="F13" s="9">
        <f>SUMIFS(カード枠回復_モーテル!$C$4:$C$53,カード枠回復_モーテル!$A$4:$A$53,A13)</f>
        <v>0</v>
      </c>
      <c r="G13" s="57">
        <f t="shared" si="2"/>
        <v>0</v>
      </c>
      <c r="H13" s="58"/>
    </row>
    <row r="14" spans="1:8" ht="15" customHeight="1">
      <c r="A14" s="56">
        <v>46184</v>
      </c>
      <c r="B14" s="8">
        <f>SUMIFS(入金入力_モーテル!$D$4:$D$103,入金入力_モーテル!$A$4:$A$103,A14)</f>
        <v>0</v>
      </c>
      <c r="C14" s="8">
        <f>SUMIFS(未払一覧_モーテル!$N$4:$N$103,未払一覧_モーテル!$M$4:$M$103,A14)</f>
        <v>0</v>
      </c>
      <c r="D14" s="8">
        <f t="shared" si="0"/>
        <v>0</v>
      </c>
      <c r="E14" s="8">
        <f t="shared" si="1"/>
        <v>0</v>
      </c>
      <c r="F14" s="9">
        <f>SUMIFS(カード枠回復_モーテル!$C$4:$C$53,カード枠回復_モーテル!$A$4:$A$53,A14)</f>
        <v>0</v>
      </c>
      <c r="G14" s="57">
        <f t="shared" si="2"/>
        <v>0</v>
      </c>
      <c r="H14" s="58"/>
    </row>
    <row r="15" spans="1:8" ht="15" customHeight="1">
      <c r="A15" s="56">
        <v>46185</v>
      </c>
      <c r="B15" s="8">
        <f>SUMIFS(入金入力_モーテル!$D$4:$D$103,入金入力_モーテル!$A$4:$A$103,A15)</f>
        <v>0</v>
      </c>
      <c r="C15" s="8">
        <f>SUMIFS(未払一覧_モーテル!$N$4:$N$103,未払一覧_モーテル!$M$4:$M$103,A15)</f>
        <v>0</v>
      </c>
      <c r="D15" s="8">
        <f t="shared" si="0"/>
        <v>0</v>
      </c>
      <c r="E15" s="8">
        <f t="shared" si="1"/>
        <v>0</v>
      </c>
      <c r="F15" s="9">
        <f>SUMIFS(カード枠回復_モーテル!$C$4:$C$53,カード枠回復_モーテル!$A$4:$A$53,A15)</f>
        <v>0</v>
      </c>
      <c r="G15" s="57">
        <f t="shared" si="2"/>
        <v>0</v>
      </c>
      <c r="H15" s="58"/>
    </row>
    <row r="16" spans="1:8" ht="15" customHeight="1">
      <c r="A16" s="59">
        <v>46186</v>
      </c>
      <c r="B16" s="8">
        <f>SUMIFS(入金入力_モーテル!$D$4:$D$103,入金入力_モーテル!$A$4:$A$103,A16)</f>
        <v>0</v>
      </c>
      <c r="C16" s="8">
        <f>SUMIFS(未払一覧_モーテル!$N$4:$N$103,未払一覧_モーテル!$M$4:$M$103,A16)</f>
        <v>0</v>
      </c>
      <c r="D16" s="8">
        <f t="shared" si="0"/>
        <v>0</v>
      </c>
      <c r="E16" s="8">
        <f t="shared" si="1"/>
        <v>0</v>
      </c>
      <c r="F16" s="9">
        <f>SUMIFS(カード枠回復_モーテル!$C$4:$C$53,カード枠回復_モーテル!$A$4:$A$53,A16)</f>
        <v>0</v>
      </c>
      <c r="G16" s="57">
        <f t="shared" si="2"/>
        <v>0</v>
      </c>
      <c r="H16" s="60" t="s">
        <v>236</v>
      </c>
    </row>
    <row r="17" spans="1:8" ht="15" customHeight="1">
      <c r="A17" s="61">
        <v>46187</v>
      </c>
      <c r="B17" s="8">
        <f>SUMIFS(入金入力_モーテル!$D$4:$D$103,入金入力_モーテル!$A$4:$A$103,A17)</f>
        <v>0</v>
      </c>
      <c r="C17" s="8">
        <f>SUMIFS(未払一覧_モーテル!$N$4:$N$103,未払一覧_モーテル!$M$4:$M$103,A17)</f>
        <v>0</v>
      </c>
      <c r="D17" s="8">
        <f t="shared" si="0"/>
        <v>0</v>
      </c>
      <c r="E17" s="8">
        <f t="shared" si="1"/>
        <v>0</v>
      </c>
      <c r="F17" s="9">
        <f>SUMIFS(カード枠回復_モーテル!$C$4:$C$53,カード枠回復_モーテル!$A$4:$A$53,A17)</f>
        <v>0</v>
      </c>
      <c r="G17" s="57">
        <f t="shared" si="2"/>
        <v>0</v>
      </c>
      <c r="H17" s="60" t="s">
        <v>237</v>
      </c>
    </row>
    <row r="18" spans="1:8" ht="15" customHeight="1">
      <c r="A18" s="56">
        <v>46188</v>
      </c>
      <c r="B18" s="8">
        <f>SUMIFS(入金入力_モーテル!$D$4:$D$103,入金入力_モーテル!$A$4:$A$103,A18)</f>
        <v>0</v>
      </c>
      <c r="C18" s="8">
        <f>SUMIFS(未払一覧_モーテル!$N$4:$N$103,未払一覧_モーテル!$M$4:$M$103,A18)</f>
        <v>0</v>
      </c>
      <c r="D18" s="8">
        <f t="shared" si="0"/>
        <v>0</v>
      </c>
      <c r="E18" s="8">
        <f t="shared" si="1"/>
        <v>0</v>
      </c>
      <c r="F18" s="9">
        <f>SUMIFS(カード枠回復_モーテル!$C$4:$C$53,カード枠回復_モーテル!$A$4:$A$53,A18)</f>
        <v>0</v>
      </c>
      <c r="G18" s="57">
        <f t="shared" si="2"/>
        <v>0</v>
      </c>
      <c r="H18" s="58"/>
    </row>
    <row r="19" spans="1:8" ht="15" customHeight="1">
      <c r="A19" s="56">
        <v>46189</v>
      </c>
      <c r="B19" s="8">
        <f>SUMIFS(入金入力_モーテル!$D$4:$D$103,入金入力_モーテル!$A$4:$A$103,A19)</f>
        <v>0</v>
      </c>
      <c r="C19" s="8">
        <f>SUMIFS(未払一覧_モーテル!$N$4:$N$103,未払一覧_モーテル!$M$4:$M$103,A19)</f>
        <v>0</v>
      </c>
      <c r="D19" s="8">
        <f t="shared" si="0"/>
        <v>0</v>
      </c>
      <c r="E19" s="8">
        <f t="shared" si="1"/>
        <v>0</v>
      </c>
      <c r="F19" s="9">
        <f>SUMIFS(カード枠回復_モーテル!$C$4:$C$53,カード枠回復_モーテル!$A$4:$A$53,A19)</f>
        <v>0</v>
      </c>
      <c r="G19" s="57">
        <f t="shared" si="2"/>
        <v>0</v>
      </c>
      <c r="H19" s="58"/>
    </row>
    <row r="20" spans="1:8" ht="15" customHeight="1">
      <c r="A20" s="56">
        <v>46190</v>
      </c>
      <c r="B20" s="8">
        <f>SUMIFS(入金入力_モーテル!$D$4:$D$103,入金入力_モーテル!$A$4:$A$103,A20)</f>
        <v>0</v>
      </c>
      <c r="C20" s="8">
        <f>SUMIFS(未払一覧_モーテル!$N$4:$N$103,未払一覧_モーテル!$M$4:$M$103,A20)</f>
        <v>0</v>
      </c>
      <c r="D20" s="8">
        <f t="shared" si="0"/>
        <v>0</v>
      </c>
      <c r="E20" s="8">
        <f t="shared" si="1"/>
        <v>0</v>
      </c>
      <c r="F20" s="9">
        <f>SUMIFS(カード枠回復_モーテル!$C$4:$C$53,カード枠回復_モーテル!$A$4:$A$53,A20)</f>
        <v>0</v>
      </c>
      <c r="G20" s="57">
        <f t="shared" si="2"/>
        <v>0</v>
      </c>
      <c r="H20" s="58"/>
    </row>
    <row r="21" spans="1:8" ht="15" customHeight="1">
      <c r="A21" s="56">
        <v>46191</v>
      </c>
      <c r="B21" s="8">
        <f>SUMIFS(入金入力_モーテル!$D$4:$D$103,入金入力_モーテル!$A$4:$A$103,A21)</f>
        <v>0</v>
      </c>
      <c r="C21" s="8">
        <f>SUMIFS(未払一覧_モーテル!$N$4:$N$103,未払一覧_モーテル!$M$4:$M$103,A21)</f>
        <v>0</v>
      </c>
      <c r="D21" s="8">
        <f t="shared" si="0"/>
        <v>0</v>
      </c>
      <c r="E21" s="8">
        <f t="shared" si="1"/>
        <v>0</v>
      </c>
      <c r="F21" s="9">
        <f>SUMIFS(カード枠回復_モーテル!$C$4:$C$53,カード枠回復_モーテル!$A$4:$A$53,A21)</f>
        <v>0</v>
      </c>
      <c r="G21" s="57">
        <f t="shared" si="2"/>
        <v>0</v>
      </c>
      <c r="H21" s="58"/>
    </row>
    <row r="22" spans="1:8" ht="15" customHeight="1">
      <c r="A22" s="56">
        <v>46192</v>
      </c>
      <c r="B22" s="8">
        <f>SUMIFS(入金入力_モーテル!$D$4:$D$103,入金入力_モーテル!$A$4:$A$103,A22)</f>
        <v>0</v>
      </c>
      <c r="C22" s="8">
        <f>SUMIFS(未払一覧_モーテル!$N$4:$N$103,未払一覧_モーテル!$M$4:$M$103,A22)</f>
        <v>0</v>
      </c>
      <c r="D22" s="8">
        <f t="shared" si="0"/>
        <v>0</v>
      </c>
      <c r="E22" s="8">
        <f t="shared" si="1"/>
        <v>0</v>
      </c>
      <c r="F22" s="9">
        <f>SUMIFS(カード枠回復_モーテル!$C$4:$C$53,カード枠回復_モーテル!$A$4:$A$53,A22)</f>
        <v>0</v>
      </c>
      <c r="G22" s="57">
        <f t="shared" si="2"/>
        <v>0</v>
      </c>
      <c r="H22" s="58"/>
    </row>
    <row r="23" spans="1:8" ht="15" customHeight="1">
      <c r="A23" s="59">
        <v>46193</v>
      </c>
      <c r="B23" s="8">
        <f>SUMIFS(入金入力_モーテル!$D$4:$D$103,入金入力_モーテル!$A$4:$A$103,A23)</f>
        <v>0</v>
      </c>
      <c r="C23" s="8">
        <f>SUMIFS(未払一覧_モーテル!$N$4:$N$103,未払一覧_モーテル!$M$4:$M$103,A23)</f>
        <v>0</v>
      </c>
      <c r="D23" s="8">
        <f t="shared" si="0"/>
        <v>0</v>
      </c>
      <c r="E23" s="8">
        <f t="shared" si="1"/>
        <v>0</v>
      </c>
      <c r="F23" s="9">
        <f>SUMIFS(カード枠回復_モーテル!$C$4:$C$53,カード枠回復_モーテル!$A$4:$A$53,A23)</f>
        <v>0</v>
      </c>
      <c r="G23" s="57">
        <f t="shared" si="2"/>
        <v>0</v>
      </c>
      <c r="H23" s="60" t="s">
        <v>236</v>
      </c>
    </row>
    <row r="24" spans="1:8" ht="15" customHeight="1">
      <c r="A24" s="61">
        <v>46194</v>
      </c>
      <c r="B24" s="8">
        <f>SUMIFS(入金入力_モーテル!$D$4:$D$103,入金入力_モーテル!$A$4:$A$103,A24)</f>
        <v>0</v>
      </c>
      <c r="C24" s="8">
        <f>SUMIFS(未払一覧_モーテル!$N$4:$N$103,未払一覧_モーテル!$M$4:$M$103,A24)</f>
        <v>0</v>
      </c>
      <c r="D24" s="8">
        <f t="shared" si="0"/>
        <v>0</v>
      </c>
      <c r="E24" s="8">
        <f t="shared" si="1"/>
        <v>0</v>
      </c>
      <c r="F24" s="9">
        <f>SUMIFS(カード枠回復_モーテル!$C$4:$C$53,カード枠回復_モーテル!$A$4:$A$53,A24)</f>
        <v>0</v>
      </c>
      <c r="G24" s="57">
        <f t="shared" si="2"/>
        <v>0</v>
      </c>
      <c r="H24" s="60" t="s">
        <v>237</v>
      </c>
    </row>
    <row r="25" spans="1:8" ht="15" customHeight="1">
      <c r="A25" s="56">
        <v>46195</v>
      </c>
      <c r="B25" s="8">
        <f>SUMIFS(入金入力_モーテル!$D$4:$D$103,入金入力_モーテル!$A$4:$A$103,A25)</f>
        <v>0</v>
      </c>
      <c r="C25" s="8">
        <f>SUMIFS(未払一覧_モーテル!$N$4:$N$103,未払一覧_モーテル!$M$4:$M$103,A25)</f>
        <v>0</v>
      </c>
      <c r="D25" s="8">
        <f t="shared" si="0"/>
        <v>0</v>
      </c>
      <c r="E25" s="8">
        <f t="shared" si="1"/>
        <v>0</v>
      </c>
      <c r="F25" s="9">
        <f>SUMIFS(カード枠回復_モーテル!$C$4:$C$53,カード枠回復_モーテル!$A$4:$A$53,A25)</f>
        <v>0</v>
      </c>
      <c r="G25" s="57">
        <f t="shared" si="2"/>
        <v>0</v>
      </c>
      <c r="H25" s="58"/>
    </row>
    <row r="26" spans="1:8" ht="15" customHeight="1">
      <c r="A26" s="56">
        <v>46196</v>
      </c>
      <c r="B26" s="8">
        <f>SUMIFS(入金入力_モーテル!$D$4:$D$103,入金入力_モーテル!$A$4:$A$103,A26)</f>
        <v>0</v>
      </c>
      <c r="C26" s="8">
        <f>SUMIFS(未払一覧_モーテル!$N$4:$N$103,未払一覧_モーテル!$M$4:$M$103,A26)</f>
        <v>0</v>
      </c>
      <c r="D26" s="8">
        <f t="shared" si="0"/>
        <v>0</v>
      </c>
      <c r="E26" s="8">
        <f t="shared" si="1"/>
        <v>0</v>
      </c>
      <c r="F26" s="9">
        <f>SUMIFS(カード枠回復_モーテル!$C$4:$C$53,カード枠回復_モーテル!$A$4:$A$53,A26)</f>
        <v>0</v>
      </c>
      <c r="G26" s="57">
        <f t="shared" si="2"/>
        <v>0</v>
      </c>
      <c r="H26" s="58"/>
    </row>
    <row r="27" spans="1:8" ht="15" customHeight="1">
      <c r="A27" s="56">
        <v>46197</v>
      </c>
      <c r="B27" s="8">
        <f>SUMIFS(入金入力_モーテル!$D$4:$D$103,入金入力_モーテル!$A$4:$A$103,A27)</f>
        <v>0</v>
      </c>
      <c r="C27" s="8">
        <f>SUMIFS(未払一覧_モーテル!$N$4:$N$103,未払一覧_モーテル!$M$4:$M$103,A27)</f>
        <v>0</v>
      </c>
      <c r="D27" s="8">
        <f t="shared" si="0"/>
        <v>0</v>
      </c>
      <c r="E27" s="8">
        <f t="shared" si="1"/>
        <v>0</v>
      </c>
      <c r="F27" s="9">
        <f>SUMIFS(カード枠回復_モーテル!$C$4:$C$53,カード枠回復_モーテル!$A$4:$A$53,A27)</f>
        <v>0</v>
      </c>
      <c r="G27" s="57">
        <f t="shared" si="2"/>
        <v>0</v>
      </c>
      <c r="H27" s="58"/>
    </row>
    <row r="28" spans="1:8" ht="15" customHeight="1">
      <c r="A28" s="56">
        <v>46198</v>
      </c>
      <c r="B28" s="8">
        <f>SUMIFS(入金入力_モーテル!$D$4:$D$103,入金入力_モーテル!$A$4:$A$103,A28)</f>
        <v>0</v>
      </c>
      <c r="C28" s="8">
        <f>SUMIFS(未払一覧_モーテル!$N$4:$N$103,未払一覧_モーテル!$M$4:$M$103,A28)</f>
        <v>0</v>
      </c>
      <c r="D28" s="8">
        <f t="shared" si="0"/>
        <v>0</v>
      </c>
      <c r="E28" s="8">
        <f t="shared" si="1"/>
        <v>0</v>
      </c>
      <c r="F28" s="9">
        <f>SUMIFS(カード枠回復_モーテル!$C$4:$C$53,カード枠回復_モーテル!$A$4:$A$53,A28)</f>
        <v>0</v>
      </c>
      <c r="G28" s="57">
        <f t="shared" si="2"/>
        <v>0</v>
      </c>
      <c r="H28" s="58"/>
    </row>
    <row r="29" spans="1:8" ht="15" customHeight="1">
      <c r="A29" s="56">
        <v>46199</v>
      </c>
      <c r="B29" s="8">
        <f>SUMIFS(入金入力_モーテル!$D$4:$D$103,入金入力_モーテル!$A$4:$A$103,A29)</f>
        <v>0</v>
      </c>
      <c r="C29" s="8">
        <f>SUMIFS(未払一覧_モーテル!$N$4:$N$103,未払一覧_モーテル!$M$4:$M$103,A29)</f>
        <v>0</v>
      </c>
      <c r="D29" s="8">
        <f t="shared" si="0"/>
        <v>0</v>
      </c>
      <c r="E29" s="8">
        <f t="shared" si="1"/>
        <v>0</v>
      </c>
      <c r="F29" s="9">
        <f>SUMIFS(カード枠回復_モーテル!$C$4:$C$53,カード枠回復_モーテル!$A$4:$A$53,A29)</f>
        <v>0</v>
      </c>
      <c r="G29" s="57">
        <f t="shared" si="2"/>
        <v>0</v>
      </c>
      <c r="H29" s="58"/>
    </row>
    <row r="30" spans="1:8" ht="15" customHeight="1">
      <c r="A30" s="59">
        <v>46200</v>
      </c>
      <c r="B30" s="8">
        <f>SUMIFS(入金入力_モーテル!$D$4:$D$103,入金入力_モーテル!$A$4:$A$103,A30)</f>
        <v>0</v>
      </c>
      <c r="C30" s="8">
        <f>SUMIFS(未払一覧_モーテル!$N$4:$N$103,未払一覧_モーテル!$M$4:$M$103,A30)</f>
        <v>0</v>
      </c>
      <c r="D30" s="8">
        <f t="shared" si="0"/>
        <v>0</v>
      </c>
      <c r="E30" s="8">
        <f t="shared" si="1"/>
        <v>0</v>
      </c>
      <c r="F30" s="9">
        <f>SUMIFS(カード枠回復_モーテル!$C$4:$C$53,カード枠回復_モーテル!$A$4:$A$53,A30)</f>
        <v>0</v>
      </c>
      <c r="G30" s="57">
        <f t="shared" si="2"/>
        <v>0</v>
      </c>
      <c r="H30" s="60" t="s">
        <v>236</v>
      </c>
    </row>
    <row r="31" spans="1:8" ht="15" customHeight="1">
      <c r="A31" s="61">
        <v>46201</v>
      </c>
      <c r="B31" s="8">
        <f>SUMIFS(入金入力_モーテル!$D$4:$D$103,入金入力_モーテル!$A$4:$A$103,A31)</f>
        <v>0</v>
      </c>
      <c r="C31" s="8">
        <f>SUMIFS(未払一覧_モーテル!$N$4:$N$103,未払一覧_モーテル!$M$4:$M$103,A31)</f>
        <v>0</v>
      </c>
      <c r="D31" s="8">
        <f t="shared" si="0"/>
        <v>0</v>
      </c>
      <c r="E31" s="8">
        <f t="shared" si="1"/>
        <v>0</v>
      </c>
      <c r="F31" s="9">
        <f>SUMIFS(カード枠回復_モーテル!$C$4:$C$53,カード枠回復_モーテル!$A$4:$A$53,A31)</f>
        <v>0</v>
      </c>
      <c r="G31" s="57">
        <f t="shared" si="2"/>
        <v>0</v>
      </c>
      <c r="H31" s="60" t="s">
        <v>237</v>
      </c>
    </row>
    <row r="32" spans="1:8" ht="15" customHeight="1">
      <c r="A32" s="56">
        <v>46202</v>
      </c>
      <c r="B32" s="8">
        <f>SUMIFS(入金入力_モーテル!$D$4:$D$103,入金入力_モーテル!$A$4:$A$103,A32)</f>
        <v>0</v>
      </c>
      <c r="C32" s="8">
        <f>SUMIFS(未払一覧_モーテル!$N$4:$N$103,未払一覧_モーテル!$M$4:$M$103,A32)</f>
        <v>0</v>
      </c>
      <c r="D32" s="8">
        <f t="shared" si="0"/>
        <v>0</v>
      </c>
      <c r="E32" s="8">
        <f t="shared" si="1"/>
        <v>0</v>
      </c>
      <c r="F32" s="9">
        <f>SUMIFS(カード枠回復_モーテル!$C$4:$C$53,カード枠回復_モーテル!$A$4:$A$53,A32)</f>
        <v>0</v>
      </c>
      <c r="G32" s="57">
        <f t="shared" si="2"/>
        <v>0</v>
      </c>
      <c r="H32" s="58"/>
    </row>
    <row r="33" spans="1:8" ht="15" customHeight="1">
      <c r="A33" s="56">
        <v>46203</v>
      </c>
      <c r="B33" s="8">
        <f>SUMIFS(入金入力_モーテル!$D$4:$D$103,入金入力_モーテル!$A$4:$A$103,A33)</f>
        <v>0</v>
      </c>
      <c r="C33" s="8">
        <f>SUMIFS(未払一覧_モーテル!$N$4:$N$103,未払一覧_モーテル!$M$4:$M$103,A33)</f>
        <v>0</v>
      </c>
      <c r="D33" s="8">
        <f t="shared" si="0"/>
        <v>0</v>
      </c>
      <c r="E33" s="8">
        <f t="shared" si="1"/>
        <v>0</v>
      </c>
      <c r="F33" s="9">
        <f>SUMIFS(カード枠回復_モーテル!$C$4:$C$53,カード枠回復_モーテル!$A$4:$A$53,A33)</f>
        <v>0</v>
      </c>
      <c r="G33" s="57">
        <f t="shared" si="2"/>
        <v>0</v>
      </c>
      <c r="H33" s="58"/>
    </row>
    <row r="35" spans="1:8" ht="15" customHeight="1">
      <c r="A35" s="11" t="s">
        <v>241</v>
      </c>
      <c r="B35" s="12">
        <f>SUM(B4:B33)</f>
        <v>0</v>
      </c>
      <c r="C35" s="12">
        <f>SUM(C4:C33)</f>
        <v>0</v>
      </c>
      <c r="D35" s="12">
        <f>B35-C35-F35</f>
        <v>0</v>
      </c>
      <c r="E35" s="12">
        <f>E33</f>
        <v>0</v>
      </c>
      <c r="F35" s="12">
        <f>SUM(F4:F33)</f>
        <v>0</v>
      </c>
      <c r="G35" s="12">
        <f>G33</f>
        <v>0</v>
      </c>
      <c r="H35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7" t="s">
        <v>254</v>
      </c>
      <c r="B1" s="97"/>
      <c r="C1" s="97"/>
      <c r="D1" s="97"/>
      <c r="E1" s="97"/>
      <c r="F1" s="97"/>
      <c r="G1" s="97"/>
      <c r="H1" s="97"/>
    </row>
    <row r="2" spans="1:8" ht="11.25" customHeight="1">
      <c r="A2" s="95" t="s">
        <v>252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46204</v>
      </c>
      <c r="B4" s="8">
        <f>SUMIFS(入金入力_モーテル!$D$4:$D$103,入金入力_モーテル!$A$4:$A$103,A4)</f>
        <v>0</v>
      </c>
      <c r="C4" s="8">
        <f>SUMIFS(未払一覧_モーテル!$N$4:$N$103,未払一覧_モーテル!$M$4:$M$103,A4)</f>
        <v>0</v>
      </c>
      <c r="D4" s="8">
        <f t="shared" ref="D4:D34" si="0">B4-C4-F4</f>
        <v>0</v>
      </c>
      <c r="E4" s="8">
        <f>'6月_モーテル'!E33+D4</f>
        <v>0</v>
      </c>
      <c r="F4" s="9">
        <f>SUMIFS(カード枠回復_モーテル!$C$4:$C$53,カード枠回復_モーテル!$A$4:$A$53,A4)</f>
        <v>0</v>
      </c>
      <c r="G4" s="57">
        <f>'6月_モーテル'!G33+D4+F4</f>
        <v>0</v>
      </c>
      <c r="H4" s="58"/>
    </row>
    <row r="5" spans="1:8" ht="15" customHeight="1">
      <c r="A5" s="56">
        <v>46205</v>
      </c>
      <c r="B5" s="8">
        <f>SUMIFS(入金入力_モーテル!$D$4:$D$103,入金入力_モーテル!$A$4:$A$103,A5)</f>
        <v>0</v>
      </c>
      <c r="C5" s="8">
        <f>SUMIFS(未払一覧_モーテル!$N$4:$N$103,未払一覧_モーテル!$M$4:$M$103,A5)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SUMIFS(カード枠回復_モーテル!$C$4:$C$53,カード枠回復_モーテル!$A$4:$A$53,A5)</f>
        <v>0</v>
      </c>
      <c r="G5" s="57">
        <f t="shared" ref="G5:G34" si="2">G4+D5+F5</f>
        <v>0</v>
      </c>
      <c r="H5" s="58"/>
    </row>
    <row r="6" spans="1:8" ht="15" customHeight="1">
      <c r="A6" s="56">
        <v>46206</v>
      </c>
      <c r="B6" s="8">
        <f>SUMIFS(入金入力_モーテル!$D$4:$D$103,入金入力_モーテル!$A$4:$A$103,A6)</f>
        <v>0</v>
      </c>
      <c r="C6" s="8">
        <f>SUMIFS(未払一覧_モーテル!$N$4:$N$103,未払一覧_モーテル!$M$4:$M$103,A6)</f>
        <v>0</v>
      </c>
      <c r="D6" s="8">
        <f t="shared" si="0"/>
        <v>0</v>
      </c>
      <c r="E6" s="8">
        <f t="shared" si="1"/>
        <v>0</v>
      </c>
      <c r="F6" s="9">
        <f>SUMIFS(カード枠回復_モーテル!$C$4:$C$53,カード枠回復_モーテル!$A$4:$A$53,A6)</f>
        <v>0</v>
      </c>
      <c r="G6" s="57">
        <f t="shared" si="2"/>
        <v>0</v>
      </c>
      <c r="H6" s="58"/>
    </row>
    <row r="7" spans="1:8" ht="15" customHeight="1">
      <c r="A7" s="59">
        <v>46207</v>
      </c>
      <c r="B7" s="8">
        <f>SUMIFS(入金入力_モーテル!$D$4:$D$103,入金入力_モーテル!$A$4:$A$103,A7)</f>
        <v>0</v>
      </c>
      <c r="C7" s="8">
        <f>SUMIFS(未払一覧_モーテル!$N$4:$N$103,未払一覧_モーテル!$M$4:$M$103,A7)</f>
        <v>0</v>
      </c>
      <c r="D7" s="8">
        <f t="shared" si="0"/>
        <v>0</v>
      </c>
      <c r="E7" s="8">
        <f t="shared" si="1"/>
        <v>0</v>
      </c>
      <c r="F7" s="9">
        <f>SUMIFS(カード枠回復_モーテル!$C$4:$C$53,カード枠回復_モーテル!$A$4:$A$53,A7)</f>
        <v>0</v>
      </c>
      <c r="G7" s="57">
        <f t="shared" si="2"/>
        <v>0</v>
      </c>
      <c r="H7" s="60" t="s">
        <v>236</v>
      </c>
    </row>
    <row r="8" spans="1:8" ht="15" customHeight="1">
      <c r="A8" s="61">
        <v>46208</v>
      </c>
      <c r="B8" s="8">
        <f>SUMIFS(入金入力_モーテル!$D$4:$D$103,入金入力_モーテル!$A$4:$A$103,A8)</f>
        <v>0</v>
      </c>
      <c r="C8" s="8">
        <f>SUMIFS(未払一覧_モーテル!$N$4:$N$103,未払一覧_モーテル!$M$4:$M$103,A8)</f>
        <v>0</v>
      </c>
      <c r="D8" s="8">
        <f t="shared" si="0"/>
        <v>0</v>
      </c>
      <c r="E8" s="8">
        <f t="shared" si="1"/>
        <v>0</v>
      </c>
      <c r="F8" s="9">
        <f>SUMIFS(カード枠回復_モーテル!$C$4:$C$53,カード枠回復_モーテル!$A$4:$A$53,A8)</f>
        <v>0</v>
      </c>
      <c r="G8" s="57">
        <f t="shared" si="2"/>
        <v>0</v>
      </c>
      <c r="H8" s="60" t="s">
        <v>237</v>
      </c>
    </row>
    <row r="9" spans="1:8" ht="15" customHeight="1">
      <c r="A9" s="56">
        <v>46209</v>
      </c>
      <c r="B9" s="8">
        <f>SUMIFS(入金入力_モーテル!$D$4:$D$103,入金入力_モーテル!$A$4:$A$103,A9)</f>
        <v>0</v>
      </c>
      <c r="C9" s="8">
        <f>SUMIFS(未払一覧_モーテル!$N$4:$N$103,未払一覧_モーテル!$M$4:$M$103,A9)</f>
        <v>0</v>
      </c>
      <c r="D9" s="8">
        <f t="shared" si="0"/>
        <v>0</v>
      </c>
      <c r="E9" s="8">
        <f t="shared" si="1"/>
        <v>0</v>
      </c>
      <c r="F9" s="9">
        <f>SUMIFS(カード枠回復_モーテル!$C$4:$C$53,カード枠回復_モーテル!$A$4:$A$53,A9)</f>
        <v>0</v>
      </c>
      <c r="G9" s="57">
        <f t="shared" si="2"/>
        <v>0</v>
      </c>
      <c r="H9" s="58"/>
    </row>
    <row r="10" spans="1:8" ht="15" customHeight="1">
      <c r="A10" s="56">
        <v>46210</v>
      </c>
      <c r="B10" s="8">
        <f>SUMIFS(入金入力_モーテル!$D$4:$D$103,入金入力_モーテル!$A$4:$A$103,A10)</f>
        <v>0</v>
      </c>
      <c r="C10" s="8">
        <f>SUMIFS(未払一覧_モーテル!$N$4:$N$103,未払一覧_モーテル!$M$4:$M$103,A10)</f>
        <v>0</v>
      </c>
      <c r="D10" s="8">
        <f t="shared" si="0"/>
        <v>0</v>
      </c>
      <c r="E10" s="8">
        <f t="shared" si="1"/>
        <v>0</v>
      </c>
      <c r="F10" s="9">
        <f>SUMIFS(カード枠回復_モーテル!$C$4:$C$53,カード枠回復_モーテル!$A$4:$A$53,A10)</f>
        <v>0</v>
      </c>
      <c r="G10" s="57">
        <f t="shared" si="2"/>
        <v>0</v>
      </c>
      <c r="H10" s="58"/>
    </row>
    <row r="11" spans="1:8" ht="15" customHeight="1">
      <c r="A11" s="56">
        <v>46211</v>
      </c>
      <c r="B11" s="8">
        <f>SUMIFS(入金入力_モーテル!$D$4:$D$103,入金入力_モーテル!$A$4:$A$103,A11)</f>
        <v>0</v>
      </c>
      <c r="C11" s="8">
        <f>SUMIFS(未払一覧_モーテル!$N$4:$N$103,未払一覧_モーテル!$M$4:$M$103,A11)</f>
        <v>0</v>
      </c>
      <c r="D11" s="8">
        <f t="shared" si="0"/>
        <v>0</v>
      </c>
      <c r="E11" s="8">
        <f t="shared" si="1"/>
        <v>0</v>
      </c>
      <c r="F11" s="9">
        <f>SUMIFS(カード枠回復_モーテル!$C$4:$C$53,カード枠回復_モーテル!$A$4:$A$53,A11)</f>
        <v>0</v>
      </c>
      <c r="G11" s="57">
        <f t="shared" si="2"/>
        <v>0</v>
      </c>
      <c r="H11" s="58"/>
    </row>
    <row r="12" spans="1:8" ht="15" customHeight="1">
      <c r="A12" s="56">
        <v>46212</v>
      </c>
      <c r="B12" s="8">
        <f>SUMIFS(入金入力_モーテル!$D$4:$D$103,入金入力_モーテル!$A$4:$A$103,A12)</f>
        <v>0</v>
      </c>
      <c r="C12" s="8">
        <f>SUMIFS(未払一覧_モーテル!$N$4:$N$103,未払一覧_モーテル!$M$4:$M$103,A12)</f>
        <v>0</v>
      </c>
      <c r="D12" s="8">
        <f t="shared" si="0"/>
        <v>0</v>
      </c>
      <c r="E12" s="8">
        <f t="shared" si="1"/>
        <v>0</v>
      </c>
      <c r="F12" s="9">
        <f>SUMIFS(カード枠回復_モーテル!$C$4:$C$53,カード枠回復_モーテル!$A$4:$A$53,A12)</f>
        <v>0</v>
      </c>
      <c r="G12" s="57">
        <f t="shared" si="2"/>
        <v>0</v>
      </c>
      <c r="H12" s="58"/>
    </row>
    <row r="13" spans="1:8" ht="15" customHeight="1">
      <c r="A13" s="56">
        <v>46213</v>
      </c>
      <c r="B13" s="8">
        <f>SUMIFS(入金入力_モーテル!$D$4:$D$103,入金入力_モーテル!$A$4:$A$103,A13)</f>
        <v>0</v>
      </c>
      <c r="C13" s="8">
        <f>SUMIFS(未払一覧_モーテル!$N$4:$N$103,未払一覧_モーテル!$M$4:$M$103,A13)</f>
        <v>0</v>
      </c>
      <c r="D13" s="8">
        <f t="shared" si="0"/>
        <v>0</v>
      </c>
      <c r="E13" s="8">
        <f t="shared" si="1"/>
        <v>0</v>
      </c>
      <c r="F13" s="9">
        <f>SUMIFS(カード枠回復_モーテル!$C$4:$C$53,カード枠回復_モーテル!$A$4:$A$53,A13)</f>
        <v>0</v>
      </c>
      <c r="G13" s="57">
        <f t="shared" si="2"/>
        <v>0</v>
      </c>
      <c r="H13" s="58"/>
    </row>
    <row r="14" spans="1:8" ht="15" customHeight="1">
      <c r="A14" s="59">
        <v>46214</v>
      </c>
      <c r="B14" s="8">
        <f>SUMIFS(入金入力_モーテル!$D$4:$D$103,入金入力_モーテル!$A$4:$A$103,A14)</f>
        <v>0</v>
      </c>
      <c r="C14" s="8">
        <f>SUMIFS(未払一覧_モーテル!$N$4:$N$103,未払一覧_モーテル!$M$4:$M$103,A14)</f>
        <v>0</v>
      </c>
      <c r="D14" s="8">
        <f t="shared" si="0"/>
        <v>0</v>
      </c>
      <c r="E14" s="8">
        <f t="shared" si="1"/>
        <v>0</v>
      </c>
      <c r="F14" s="9">
        <f>SUMIFS(カード枠回復_モーテル!$C$4:$C$53,カード枠回復_モーテル!$A$4:$A$53,A14)</f>
        <v>0</v>
      </c>
      <c r="G14" s="57">
        <f t="shared" si="2"/>
        <v>0</v>
      </c>
      <c r="H14" s="60" t="s">
        <v>236</v>
      </c>
    </row>
    <row r="15" spans="1:8" ht="15" customHeight="1">
      <c r="A15" s="61">
        <v>46215</v>
      </c>
      <c r="B15" s="8">
        <f>SUMIFS(入金入力_モーテル!$D$4:$D$103,入金入力_モーテル!$A$4:$A$103,A15)</f>
        <v>0</v>
      </c>
      <c r="C15" s="8">
        <f>SUMIFS(未払一覧_モーテル!$N$4:$N$103,未払一覧_モーテル!$M$4:$M$103,A15)</f>
        <v>0</v>
      </c>
      <c r="D15" s="8">
        <f t="shared" si="0"/>
        <v>0</v>
      </c>
      <c r="E15" s="8">
        <f t="shared" si="1"/>
        <v>0</v>
      </c>
      <c r="F15" s="9">
        <f>SUMIFS(カード枠回復_モーテル!$C$4:$C$53,カード枠回復_モーテル!$A$4:$A$53,A15)</f>
        <v>0</v>
      </c>
      <c r="G15" s="57">
        <f t="shared" si="2"/>
        <v>0</v>
      </c>
      <c r="H15" s="60" t="s">
        <v>237</v>
      </c>
    </row>
    <row r="16" spans="1:8" ht="15" customHeight="1">
      <c r="A16" s="56">
        <v>46216</v>
      </c>
      <c r="B16" s="8">
        <f>SUMIFS(入金入力_モーテル!$D$4:$D$103,入金入力_モーテル!$A$4:$A$103,A16)</f>
        <v>0</v>
      </c>
      <c r="C16" s="8">
        <f>SUMIFS(未払一覧_モーテル!$N$4:$N$103,未払一覧_モーテル!$M$4:$M$103,A16)</f>
        <v>0</v>
      </c>
      <c r="D16" s="8">
        <f t="shared" si="0"/>
        <v>0</v>
      </c>
      <c r="E16" s="8">
        <f t="shared" si="1"/>
        <v>0</v>
      </c>
      <c r="F16" s="9">
        <f>SUMIFS(カード枠回復_モーテル!$C$4:$C$53,カード枠回復_モーテル!$A$4:$A$53,A16)</f>
        <v>0</v>
      </c>
      <c r="G16" s="57">
        <f t="shared" si="2"/>
        <v>0</v>
      </c>
      <c r="H16" s="58"/>
    </row>
    <row r="17" spans="1:8" ht="15" customHeight="1">
      <c r="A17" s="56">
        <v>46217</v>
      </c>
      <c r="B17" s="8">
        <f>SUMIFS(入金入力_モーテル!$D$4:$D$103,入金入力_モーテル!$A$4:$A$103,A17)</f>
        <v>0</v>
      </c>
      <c r="C17" s="8">
        <f>SUMIFS(未払一覧_モーテル!$N$4:$N$103,未払一覧_モーテル!$M$4:$M$103,A17)</f>
        <v>0</v>
      </c>
      <c r="D17" s="8">
        <f t="shared" si="0"/>
        <v>0</v>
      </c>
      <c r="E17" s="8">
        <f t="shared" si="1"/>
        <v>0</v>
      </c>
      <c r="F17" s="9">
        <f>SUMIFS(カード枠回復_モーテル!$C$4:$C$53,カード枠回復_モーテル!$A$4:$A$53,A17)</f>
        <v>0</v>
      </c>
      <c r="G17" s="57">
        <f t="shared" si="2"/>
        <v>0</v>
      </c>
      <c r="H17" s="58"/>
    </row>
    <row r="18" spans="1:8" ht="15" customHeight="1">
      <c r="A18" s="56">
        <v>46218</v>
      </c>
      <c r="B18" s="8">
        <f>SUMIFS(入金入力_モーテル!$D$4:$D$103,入金入力_モーテル!$A$4:$A$103,A18)</f>
        <v>0</v>
      </c>
      <c r="C18" s="8">
        <f>SUMIFS(未払一覧_モーテル!$N$4:$N$103,未払一覧_モーテル!$M$4:$M$103,A18)</f>
        <v>0</v>
      </c>
      <c r="D18" s="8">
        <f t="shared" si="0"/>
        <v>0</v>
      </c>
      <c r="E18" s="8">
        <f t="shared" si="1"/>
        <v>0</v>
      </c>
      <c r="F18" s="9">
        <f>SUMIFS(カード枠回復_モーテル!$C$4:$C$53,カード枠回復_モーテル!$A$4:$A$53,A18)</f>
        <v>0</v>
      </c>
      <c r="G18" s="57">
        <f t="shared" si="2"/>
        <v>0</v>
      </c>
      <c r="H18" s="58"/>
    </row>
    <row r="19" spans="1:8" ht="15" customHeight="1">
      <c r="A19" s="56">
        <v>46219</v>
      </c>
      <c r="B19" s="8">
        <f>SUMIFS(入金入力_モーテル!$D$4:$D$103,入金入力_モーテル!$A$4:$A$103,A19)</f>
        <v>0</v>
      </c>
      <c r="C19" s="8">
        <f>SUMIFS(未払一覧_モーテル!$N$4:$N$103,未払一覧_モーテル!$M$4:$M$103,A19)</f>
        <v>0</v>
      </c>
      <c r="D19" s="8">
        <f t="shared" si="0"/>
        <v>0</v>
      </c>
      <c r="E19" s="8">
        <f t="shared" si="1"/>
        <v>0</v>
      </c>
      <c r="F19" s="9">
        <f>SUMIFS(カード枠回復_モーテル!$C$4:$C$53,カード枠回復_モーテル!$A$4:$A$53,A19)</f>
        <v>0</v>
      </c>
      <c r="G19" s="57">
        <f t="shared" si="2"/>
        <v>0</v>
      </c>
      <c r="H19" s="58"/>
    </row>
    <row r="20" spans="1:8" ht="15" customHeight="1">
      <c r="A20" s="56">
        <v>46220</v>
      </c>
      <c r="B20" s="8">
        <f>SUMIFS(入金入力_モーテル!$D$4:$D$103,入金入力_モーテル!$A$4:$A$103,A20)</f>
        <v>0</v>
      </c>
      <c r="C20" s="8">
        <f>SUMIFS(未払一覧_モーテル!$N$4:$N$103,未払一覧_モーテル!$M$4:$M$103,A20)</f>
        <v>0</v>
      </c>
      <c r="D20" s="8">
        <f t="shared" si="0"/>
        <v>0</v>
      </c>
      <c r="E20" s="8">
        <f t="shared" si="1"/>
        <v>0</v>
      </c>
      <c r="F20" s="9">
        <f>SUMIFS(カード枠回復_モーテル!$C$4:$C$53,カード枠回復_モーテル!$A$4:$A$53,A20)</f>
        <v>0</v>
      </c>
      <c r="G20" s="57">
        <f t="shared" si="2"/>
        <v>0</v>
      </c>
      <c r="H20" s="58"/>
    </row>
    <row r="21" spans="1:8" ht="15" customHeight="1">
      <c r="A21" s="59">
        <v>46221</v>
      </c>
      <c r="B21" s="8">
        <f>SUMIFS(入金入力_モーテル!$D$4:$D$103,入金入力_モーテル!$A$4:$A$103,A21)</f>
        <v>0</v>
      </c>
      <c r="C21" s="8">
        <f>SUMIFS(未払一覧_モーテル!$N$4:$N$103,未払一覧_モーテル!$M$4:$M$103,A21)</f>
        <v>0</v>
      </c>
      <c r="D21" s="8">
        <f t="shared" si="0"/>
        <v>0</v>
      </c>
      <c r="E21" s="8">
        <f t="shared" si="1"/>
        <v>0</v>
      </c>
      <c r="F21" s="9">
        <f>SUMIFS(カード枠回復_モーテル!$C$4:$C$53,カード枠回復_モーテル!$A$4:$A$53,A21)</f>
        <v>0</v>
      </c>
      <c r="G21" s="57">
        <f t="shared" si="2"/>
        <v>0</v>
      </c>
      <c r="H21" s="60" t="s">
        <v>236</v>
      </c>
    </row>
    <row r="22" spans="1:8" ht="15" customHeight="1">
      <c r="A22" s="61">
        <v>46222</v>
      </c>
      <c r="B22" s="8">
        <f>SUMIFS(入金入力_モーテル!$D$4:$D$103,入金入力_モーテル!$A$4:$A$103,A22)</f>
        <v>0</v>
      </c>
      <c r="C22" s="8">
        <f>SUMIFS(未払一覧_モーテル!$N$4:$N$103,未払一覧_モーテル!$M$4:$M$103,A22)</f>
        <v>0</v>
      </c>
      <c r="D22" s="8">
        <f t="shared" si="0"/>
        <v>0</v>
      </c>
      <c r="E22" s="8">
        <f t="shared" si="1"/>
        <v>0</v>
      </c>
      <c r="F22" s="9">
        <f>SUMIFS(カード枠回復_モーテル!$C$4:$C$53,カード枠回復_モーテル!$A$4:$A$53,A22)</f>
        <v>0</v>
      </c>
      <c r="G22" s="57">
        <f t="shared" si="2"/>
        <v>0</v>
      </c>
      <c r="H22" s="60" t="s">
        <v>237</v>
      </c>
    </row>
    <row r="23" spans="1:8" ht="15" customHeight="1">
      <c r="A23" s="56">
        <v>46223</v>
      </c>
      <c r="B23" s="8">
        <f>SUMIFS(入金入力_モーテル!$D$4:$D$103,入金入力_モーテル!$A$4:$A$103,A23)</f>
        <v>0</v>
      </c>
      <c r="C23" s="8">
        <f>SUMIFS(未払一覧_モーテル!$N$4:$N$103,未払一覧_モーテル!$M$4:$M$103,A23)</f>
        <v>0</v>
      </c>
      <c r="D23" s="8">
        <f t="shared" si="0"/>
        <v>0</v>
      </c>
      <c r="E23" s="8">
        <f t="shared" si="1"/>
        <v>0</v>
      </c>
      <c r="F23" s="9">
        <f>SUMIFS(カード枠回復_モーテル!$C$4:$C$53,カード枠回復_モーテル!$A$4:$A$53,A23)</f>
        <v>0</v>
      </c>
      <c r="G23" s="57">
        <f t="shared" si="2"/>
        <v>0</v>
      </c>
      <c r="H23" s="58"/>
    </row>
    <row r="24" spans="1:8" ht="15" customHeight="1">
      <c r="A24" s="56">
        <v>46224</v>
      </c>
      <c r="B24" s="8">
        <f>SUMIFS(入金入力_モーテル!$D$4:$D$103,入金入力_モーテル!$A$4:$A$103,A24)</f>
        <v>0</v>
      </c>
      <c r="C24" s="8">
        <f>SUMIFS(未払一覧_モーテル!$N$4:$N$103,未払一覧_モーテル!$M$4:$M$103,A24)</f>
        <v>0</v>
      </c>
      <c r="D24" s="8">
        <f t="shared" si="0"/>
        <v>0</v>
      </c>
      <c r="E24" s="8">
        <f t="shared" si="1"/>
        <v>0</v>
      </c>
      <c r="F24" s="9">
        <f>SUMIFS(カード枠回復_モーテル!$C$4:$C$53,カード枠回復_モーテル!$A$4:$A$53,A24)</f>
        <v>0</v>
      </c>
      <c r="G24" s="57">
        <f t="shared" si="2"/>
        <v>0</v>
      </c>
      <c r="H24" s="58"/>
    </row>
    <row r="25" spans="1:8" ht="15" customHeight="1">
      <c r="A25" s="56">
        <v>46225</v>
      </c>
      <c r="B25" s="8">
        <f>SUMIFS(入金入力_モーテル!$D$4:$D$103,入金入力_モーテル!$A$4:$A$103,A25)</f>
        <v>0</v>
      </c>
      <c r="C25" s="8">
        <f>SUMIFS(未払一覧_モーテル!$N$4:$N$103,未払一覧_モーテル!$M$4:$M$103,A25)</f>
        <v>0</v>
      </c>
      <c r="D25" s="8">
        <f t="shared" si="0"/>
        <v>0</v>
      </c>
      <c r="E25" s="8">
        <f t="shared" si="1"/>
        <v>0</v>
      </c>
      <c r="F25" s="9">
        <f>SUMIFS(カード枠回復_モーテル!$C$4:$C$53,カード枠回復_モーテル!$A$4:$A$53,A25)</f>
        <v>0</v>
      </c>
      <c r="G25" s="57">
        <f t="shared" si="2"/>
        <v>0</v>
      </c>
      <c r="H25" s="58"/>
    </row>
    <row r="26" spans="1:8" ht="15" customHeight="1">
      <c r="A26" s="56">
        <v>46226</v>
      </c>
      <c r="B26" s="8">
        <f>SUMIFS(入金入力_モーテル!$D$4:$D$103,入金入力_モーテル!$A$4:$A$103,A26)</f>
        <v>0</v>
      </c>
      <c r="C26" s="8">
        <f>SUMIFS(未払一覧_モーテル!$N$4:$N$103,未払一覧_モーテル!$M$4:$M$103,A26)</f>
        <v>0</v>
      </c>
      <c r="D26" s="8">
        <f t="shared" si="0"/>
        <v>0</v>
      </c>
      <c r="E26" s="8">
        <f t="shared" si="1"/>
        <v>0</v>
      </c>
      <c r="F26" s="9">
        <f>SUMIFS(カード枠回復_モーテル!$C$4:$C$53,カード枠回復_モーテル!$A$4:$A$53,A26)</f>
        <v>0</v>
      </c>
      <c r="G26" s="57">
        <f t="shared" si="2"/>
        <v>0</v>
      </c>
      <c r="H26" s="58"/>
    </row>
    <row r="27" spans="1:8" ht="15" customHeight="1">
      <c r="A27" s="56">
        <v>46227</v>
      </c>
      <c r="B27" s="8">
        <f>SUMIFS(入金入力_モーテル!$D$4:$D$103,入金入力_モーテル!$A$4:$A$103,A27)</f>
        <v>0</v>
      </c>
      <c r="C27" s="8">
        <f>SUMIFS(未払一覧_モーテル!$N$4:$N$103,未払一覧_モーテル!$M$4:$M$103,A27)</f>
        <v>0</v>
      </c>
      <c r="D27" s="8">
        <f t="shared" si="0"/>
        <v>0</v>
      </c>
      <c r="E27" s="8">
        <f t="shared" si="1"/>
        <v>0</v>
      </c>
      <c r="F27" s="9">
        <f>SUMIFS(カード枠回復_モーテル!$C$4:$C$53,カード枠回復_モーテル!$A$4:$A$53,A27)</f>
        <v>0</v>
      </c>
      <c r="G27" s="57">
        <f t="shared" si="2"/>
        <v>0</v>
      </c>
      <c r="H27" s="58"/>
    </row>
    <row r="28" spans="1:8" ht="15" customHeight="1">
      <c r="A28" s="59">
        <v>46228</v>
      </c>
      <c r="B28" s="8">
        <f>SUMIFS(入金入力_モーテル!$D$4:$D$103,入金入力_モーテル!$A$4:$A$103,A28)</f>
        <v>0</v>
      </c>
      <c r="C28" s="8">
        <f>SUMIFS(未払一覧_モーテル!$N$4:$N$103,未払一覧_モーテル!$M$4:$M$103,A28)</f>
        <v>0</v>
      </c>
      <c r="D28" s="8">
        <f t="shared" si="0"/>
        <v>0</v>
      </c>
      <c r="E28" s="8">
        <f t="shared" si="1"/>
        <v>0</v>
      </c>
      <c r="F28" s="9">
        <f>SUMIFS(カード枠回復_モーテル!$C$4:$C$53,カード枠回復_モーテル!$A$4:$A$53,A28)</f>
        <v>0</v>
      </c>
      <c r="G28" s="57">
        <f t="shared" si="2"/>
        <v>0</v>
      </c>
      <c r="H28" s="60" t="s">
        <v>236</v>
      </c>
    </row>
    <row r="29" spans="1:8" ht="15" customHeight="1">
      <c r="A29" s="61">
        <v>46229</v>
      </c>
      <c r="B29" s="8">
        <f>SUMIFS(入金入力_モーテル!$D$4:$D$103,入金入力_モーテル!$A$4:$A$103,A29)</f>
        <v>0</v>
      </c>
      <c r="C29" s="8">
        <f>SUMIFS(未払一覧_モーテル!$N$4:$N$103,未払一覧_モーテル!$M$4:$M$103,A29)</f>
        <v>0</v>
      </c>
      <c r="D29" s="8">
        <f t="shared" si="0"/>
        <v>0</v>
      </c>
      <c r="E29" s="8">
        <f t="shared" si="1"/>
        <v>0</v>
      </c>
      <c r="F29" s="9">
        <f>SUMIFS(カード枠回復_モーテル!$C$4:$C$53,カード枠回復_モーテル!$A$4:$A$53,A29)</f>
        <v>0</v>
      </c>
      <c r="G29" s="57">
        <f t="shared" si="2"/>
        <v>0</v>
      </c>
      <c r="H29" s="60" t="s">
        <v>237</v>
      </c>
    </row>
    <row r="30" spans="1:8" ht="15" customHeight="1">
      <c r="A30" s="56">
        <v>46230</v>
      </c>
      <c r="B30" s="8">
        <f>SUMIFS(入金入力_モーテル!$D$4:$D$103,入金入力_モーテル!$A$4:$A$103,A30)</f>
        <v>0</v>
      </c>
      <c r="C30" s="8">
        <f>SUMIFS(未払一覧_モーテル!$N$4:$N$103,未払一覧_モーテル!$M$4:$M$103,A30)</f>
        <v>0</v>
      </c>
      <c r="D30" s="8">
        <f t="shared" si="0"/>
        <v>0</v>
      </c>
      <c r="E30" s="8">
        <f t="shared" si="1"/>
        <v>0</v>
      </c>
      <c r="F30" s="9">
        <f>SUMIFS(カード枠回復_モーテル!$C$4:$C$53,カード枠回復_モーテル!$A$4:$A$53,A30)</f>
        <v>0</v>
      </c>
      <c r="G30" s="57">
        <f t="shared" si="2"/>
        <v>0</v>
      </c>
      <c r="H30" s="58"/>
    </row>
    <row r="31" spans="1:8" ht="15" customHeight="1">
      <c r="A31" s="56">
        <v>46231</v>
      </c>
      <c r="B31" s="8">
        <f>SUMIFS(入金入力_モーテル!$D$4:$D$103,入金入力_モーテル!$A$4:$A$103,A31)</f>
        <v>0</v>
      </c>
      <c r="C31" s="8">
        <f>SUMIFS(未払一覧_モーテル!$N$4:$N$103,未払一覧_モーテル!$M$4:$M$103,A31)</f>
        <v>0</v>
      </c>
      <c r="D31" s="8">
        <f t="shared" si="0"/>
        <v>0</v>
      </c>
      <c r="E31" s="8">
        <f t="shared" si="1"/>
        <v>0</v>
      </c>
      <c r="F31" s="9">
        <f>SUMIFS(カード枠回復_モーテル!$C$4:$C$53,カード枠回復_モーテル!$A$4:$A$53,A31)</f>
        <v>0</v>
      </c>
      <c r="G31" s="57">
        <f t="shared" si="2"/>
        <v>0</v>
      </c>
      <c r="H31" s="58"/>
    </row>
    <row r="32" spans="1:8" ht="15" customHeight="1">
      <c r="A32" s="56">
        <v>46232</v>
      </c>
      <c r="B32" s="8">
        <f>SUMIFS(入金入力_モーテル!$D$4:$D$103,入金入力_モーテル!$A$4:$A$103,A32)</f>
        <v>0</v>
      </c>
      <c r="C32" s="8">
        <f>SUMIFS(未払一覧_モーテル!$N$4:$N$103,未払一覧_モーテル!$M$4:$M$103,A32)</f>
        <v>0</v>
      </c>
      <c r="D32" s="8">
        <f t="shared" si="0"/>
        <v>0</v>
      </c>
      <c r="E32" s="8">
        <f t="shared" si="1"/>
        <v>0</v>
      </c>
      <c r="F32" s="9">
        <f>SUMIFS(カード枠回復_モーテル!$C$4:$C$53,カード枠回復_モーテル!$A$4:$A$53,A32)</f>
        <v>0</v>
      </c>
      <c r="G32" s="57">
        <f t="shared" si="2"/>
        <v>0</v>
      </c>
      <c r="H32" s="58"/>
    </row>
    <row r="33" spans="1:8" ht="15" customHeight="1">
      <c r="A33" s="56">
        <v>46233</v>
      </c>
      <c r="B33" s="8">
        <f>SUMIFS(入金入力_モーテル!$D$4:$D$103,入金入力_モーテル!$A$4:$A$103,A33)</f>
        <v>0</v>
      </c>
      <c r="C33" s="8">
        <f>SUMIFS(未払一覧_モーテル!$N$4:$N$103,未払一覧_モーテル!$M$4:$M$103,A33)</f>
        <v>0</v>
      </c>
      <c r="D33" s="8">
        <f t="shared" si="0"/>
        <v>0</v>
      </c>
      <c r="E33" s="8">
        <f t="shared" si="1"/>
        <v>0</v>
      </c>
      <c r="F33" s="9">
        <f>SUMIFS(カード枠回復_モーテル!$C$4:$C$53,カード枠回復_モーテル!$A$4:$A$53,A33)</f>
        <v>0</v>
      </c>
      <c r="G33" s="57">
        <f t="shared" si="2"/>
        <v>0</v>
      </c>
      <c r="H33" s="58"/>
    </row>
    <row r="34" spans="1:8" ht="15" customHeight="1">
      <c r="A34" s="56">
        <v>46234</v>
      </c>
      <c r="B34" s="8">
        <f>SUMIFS(入金入力_モーテル!$D$4:$D$103,入金入力_モーテル!$A$4:$A$103,A34)</f>
        <v>0</v>
      </c>
      <c r="C34" s="8">
        <f>SUMIFS(未払一覧_モーテル!$N$4:$N$103,未払一覧_モーテル!$M$4:$M$103,A34)</f>
        <v>0</v>
      </c>
      <c r="D34" s="8">
        <f t="shared" si="0"/>
        <v>0</v>
      </c>
      <c r="E34" s="8">
        <f t="shared" si="1"/>
        <v>0</v>
      </c>
      <c r="F34" s="9">
        <f>SUMIFS(カード枠回復_モーテル!$C$4:$C$53,カード枠回復_モーテル!$A$4:$A$53,A34)</f>
        <v>0</v>
      </c>
      <c r="G34" s="57">
        <f t="shared" si="2"/>
        <v>0</v>
      </c>
      <c r="H34" s="58"/>
    </row>
    <row r="36" spans="1:8" ht="15" customHeight="1">
      <c r="A36" s="11" t="s">
        <v>243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7" t="s">
        <v>255</v>
      </c>
      <c r="B1" s="97"/>
      <c r="C1" s="97"/>
      <c r="D1" s="97"/>
      <c r="E1" s="97"/>
      <c r="F1" s="97"/>
      <c r="G1" s="97"/>
      <c r="H1" s="97"/>
    </row>
    <row r="2" spans="1:8" ht="11.25" customHeight="1">
      <c r="A2" s="95" t="s">
        <v>252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9">
        <v>46235</v>
      </c>
      <c r="B4" s="8">
        <f>SUMIFS(入金入力_モーテル!$D$4:$D$103,入金入力_モーテル!$A$4:$A$103,A4)</f>
        <v>0</v>
      </c>
      <c r="C4" s="8">
        <f>SUMIFS(未払一覧_モーテル!$N$4:$N$103,未払一覧_モーテル!$M$4:$M$103,A4)</f>
        <v>0</v>
      </c>
      <c r="D4" s="8">
        <f t="shared" ref="D4:D34" si="0">B4-C4-F4</f>
        <v>0</v>
      </c>
      <c r="E4" s="8">
        <f>'7月_モーテル'!E34+D4</f>
        <v>0</v>
      </c>
      <c r="F4" s="9">
        <f>SUMIFS(カード枠回復_モーテル!$C$4:$C$53,カード枠回復_モーテル!$A$4:$A$53,A4)</f>
        <v>0</v>
      </c>
      <c r="G4" s="57">
        <f>'7月_モーテル'!G34+D4+F4</f>
        <v>0</v>
      </c>
      <c r="H4" s="60" t="s">
        <v>236</v>
      </c>
    </row>
    <row r="5" spans="1:8" ht="15" customHeight="1">
      <c r="A5" s="61">
        <v>46236</v>
      </c>
      <c r="B5" s="8">
        <f>SUMIFS(入金入力_モーテル!$D$4:$D$103,入金入力_モーテル!$A$4:$A$103,A5)</f>
        <v>0</v>
      </c>
      <c r="C5" s="8">
        <f>SUMIFS(未払一覧_モーテル!$N$4:$N$103,未払一覧_モーテル!$M$4:$M$103,A5)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SUMIFS(カード枠回復_モーテル!$C$4:$C$53,カード枠回復_モーテル!$A$4:$A$53,A5)</f>
        <v>0</v>
      </c>
      <c r="G5" s="57">
        <f t="shared" ref="G5:G34" si="2">G4+D5+F5</f>
        <v>0</v>
      </c>
      <c r="H5" s="60" t="s">
        <v>237</v>
      </c>
    </row>
    <row r="6" spans="1:8" ht="15" customHeight="1">
      <c r="A6" s="56">
        <v>46237</v>
      </c>
      <c r="B6" s="8">
        <f>SUMIFS(入金入力_モーテル!$D$4:$D$103,入金入力_モーテル!$A$4:$A$103,A6)</f>
        <v>0</v>
      </c>
      <c r="C6" s="8">
        <f>SUMIFS(未払一覧_モーテル!$N$4:$N$103,未払一覧_モーテル!$M$4:$M$103,A6)</f>
        <v>0</v>
      </c>
      <c r="D6" s="8">
        <f t="shared" si="0"/>
        <v>0</v>
      </c>
      <c r="E6" s="8">
        <f t="shared" si="1"/>
        <v>0</v>
      </c>
      <c r="F6" s="9">
        <f>SUMIFS(カード枠回復_モーテル!$C$4:$C$53,カード枠回復_モーテル!$A$4:$A$53,A6)</f>
        <v>0</v>
      </c>
      <c r="G6" s="57">
        <f t="shared" si="2"/>
        <v>0</v>
      </c>
      <c r="H6" s="58"/>
    </row>
    <row r="7" spans="1:8" ht="15" customHeight="1">
      <c r="A7" s="56">
        <v>46238</v>
      </c>
      <c r="B7" s="8">
        <f>SUMIFS(入金入力_モーテル!$D$4:$D$103,入金入力_モーテル!$A$4:$A$103,A7)</f>
        <v>0</v>
      </c>
      <c r="C7" s="8">
        <f>SUMIFS(未払一覧_モーテル!$N$4:$N$103,未払一覧_モーテル!$M$4:$M$103,A7)</f>
        <v>0</v>
      </c>
      <c r="D7" s="8">
        <f t="shared" si="0"/>
        <v>0</v>
      </c>
      <c r="E7" s="8">
        <f t="shared" si="1"/>
        <v>0</v>
      </c>
      <c r="F7" s="9">
        <f>SUMIFS(カード枠回復_モーテル!$C$4:$C$53,カード枠回復_モーテル!$A$4:$A$53,A7)</f>
        <v>0</v>
      </c>
      <c r="G7" s="57">
        <f t="shared" si="2"/>
        <v>0</v>
      </c>
      <c r="H7" s="58"/>
    </row>
    <row r="8" spans="1:8" ht="15" customHeight="1">
      <c r="A8" s="56">
        <v>46239</v>
      </c>
      <c r="B8" s="8">
        <f>SUMIFS(入金入力_モーテル!$D$4:$D$103,入金入力_モーテル!$A$4:$A$103,A8)</f>
        <v>0</v>
      </c>
      <c r="C8" s="8">
        <f>SUMIFS(未払一覧_モーテル!$N$4:$N$103,未払一覧_モーテル!$M$4:$M$103,A8)</f>
        <v>0</v>
      </c>
      <c r="D8" s="8">
        <f t="shared" si="0"/>
        <v>0</v>
      </c>
      <c r="E8" s="8">
        <f t="shared" si="1"/>
        <v>0</v>
      </c>
      <c r="F8" s="9">
        <f>SUMIFS(カード枠回復_モーテル!$C$4:$C$53,カード枠回復_モーテル!$A$4:$A$53,A8)</f>
        <v>0</v>
      </c>
      <c r="G8" s="57">
        <f t="shared" si="2"/>
        <v>0</v>
      </c>
      <c r="H8" s="58"/>
    </row>
    <row r="9" spans="1:8" ht="15" customHeight="1">
      <c r="A9" s="56">
        <v>46240</v>
      </c>
      <c r="B9" s="8">
        <f>SUMIFS(入金入力_モーテル!$D$4:$D$103,入金入力_モーテル!$A$4:$A$103,A9)</f>
        <v>0</v>
      </c>
      <c r="C9" s="8">
        <f>SUMIFS(未払一覧_モーテル!$N$4:$N$103,未払一覧_モーテル!$M$4:$M$103,A9)</f>
        <v>0</v>
      </c>
      <c r="D9" s="8">
        <f t="shared" si="0"/>
        <v>0</v>
      </c>
      <c r="E9" s="8">
        <f t="shared" si="1"/>
        <v>0</v>
      </c>
      <c r="F9" s="9">
        <f>SUMIFS(カード枠回復_モーテル!$C$4:$C$53,カード枠回復_モーテル!$A$4:$A$53,A9)</f>
        <v>0</v>
      </c>
      <c r="G9" s="57">
        <f t="shared" si="2"/>
        <v>0</v>
      </c>
      <c r="H9" s="58"/>
    </row>
    <row r="10" spans="1:8" ht="15" customHeight="1">
      <c r="A10" s="56">
        <v>46241</v>
      </c>
      <c r="B10" s="8">
        <f>SUMIFS(入金入力_モーテル!$D$4:$D$103,入金入力_モーテル!$A$4:$A$103,A10)</f>
        <v>0</v>
      </c>
      <c r="C10" s="8">
        <f>SUMIFS(未払一覧_モーテル!$N$4:$N$103,未払一覧_モーテル!$M$4:$M$103,A10)</f>
        <v>0</v>
      </c>
      <c r="D10" s="8">
        <f t="shared" si="0"/>
        <v>0</v>
      </c>
      <c r="E10" s="8">
        <f t="shared" si="1"/>
        <v>0</v>
      </c>
      <c r="F10" s="9">
        <f>SUMIFS(カード枠回復_モーテル!$C$4:$C$53,カード枠回復_モーテル!$A$4:$A$53,A10)</f>
        <v>0</v>
      </c>
      <c r="G10" s="57">
        <f t="shared" si="2"/>
        <v>0</v>
      </c>
      <c r="H10" s="58"/>
    </row>
    <row r="11" spans="1:8" ht="15" customHeight="1">
      <c r="A11" s="59">
        <v>46242</v>
      </c>
      <c r="B11" s="8">
        <f>SUMIFS(入金入力_モーテル!$D$4:$D$103,入金入力_モーテル!$A$4:$A$103,A11)</f>
        <v>0</v>
      </c>
      <c r="C11" s="8">
        <f>SUMIFS(未払一覧_モーテル!$N$4:$N$103,未払一覧_モーテル!$M$4:$M$103,A11)</f>
        <v>0</v>
      </c>
      <c r="D11" s="8">
        <f t="shared" si="0"/>
        <v>0</v>
      </c>
      <c r="E11" s="8">
        <f t="shared" si="1"/>
        <v>0</v>
      </c>
      <c r="F11" s="9">
        <f>SUMIFS(カード枠回復_モーテル!$C$4:$C$53,カード枠回復_モーテル!$A$4:$A$53,A11)</f>
        <v>0</v>
      </c>
      <c r="G11" s="57">
        <f t="shared" si="2"/>
        <v>0</v>
      </c>
      <c r="H11" s="60" t="s">
        <v>236</v>
      </c>
    </row>
    <row r="12" spans="1:8" ht="15" customHeight="1">
      <c r="A12" s="61">
        <v>46243</v>
      </c>
      <c r="B12" s="8">
        <f>SUMIFS(入金入力_モーテル!$D$4:$D$103,入金入力_モーテル!$A$4:$A$103,A12)</f>
        <v>0</v>
      </c>
      <c r="C12" s="8">
        <f>SUMIFS(未払一覧_モーテル!$N$4:$N$103,未払一覧_モーテル!$M$4:$M$103,A12)</f>
        <v>0</v>
      </c>
      <c r="D12" s="8">
        <f t="shared" si="0"/>
        <v>0</v>
      </c>
      <c r="E12" s="8">
        <f t="shared" si="1"/>
        <v>0</v>
      </c>
      <c r="F12" s="9">
        <f>SUMIFS(カード枠回復_モーテル!$C$4:$C$53,カード枠回復_モーテル!$A$4:$A$53,A12)</f>
        <v>0</v>
      </c>
      <c r="G12" s="57">
        <f t="shared" si="2"/>
        <v>0</v>
      </c>
      <c r="H12" s="60" t="s">
        <v>237</v>
      </c>
    </row>
    <row r="13" spans="1:8" ht="15" customHeight="1">
      <c r="A13" s="56">
        <v>46244</v>
      </c>
      <c r="B13" s="8">
        <f>SUMIFS(入金入力_モーテル!$D$4:$D$103,入金入力_モーテル!$A$4:$A$103,A13)</f>
        <v>0</v>
      </c>
      <c r="C13" s="8">
        <f>SUMIFS(未払一覧_モーテル!$N$4:$N$103,未払一覧_モーテル!$M$4:$M$103,A13)</f>
        <v>0</v>
      </c>
      <c r="D13" s="8">
        <f t="shared" si="0"/>
        <v>0</v>
      </c>
      <c r="E13" s="8">
        <f t="shared" si="1"/>
        <v>0</v>
      </c>
      <c r="F13" s="9">
        <f>SUMIFS(カード枠回復_モーテル!$C$4:$C$53,カード枠回復_モーテル!$A$4:$A$53,A13)</f>
        <v>0</v>
      </c>
      <c r="G13" s="57">
        <f t="shared" si="2"/>
        <v>0</v>
      </c>
      <c r="H13" s="58"/>
    </row>
    <row r="14" spans="1:8" ht="15" customHeight="1">
      <c r="A14" s="56">
        <v>46245</v>
      </c>
      <c r="B14" s="8">
        <f>SUMIFS(入金入力_モーテル!$D$4:$D$103,入金入力_モーテル!$A$4:$A$103,A14)</f>
        <v>0</v>
      </c>
      <c r="C14" s="8">
        <f>SUMIFS(未払一覧_モーテル!$N$4:$N$103,未払一覧_モーテル!$M$4:$M$103,A14)</f>
        <v>0</v>
      </c>
      <c r="D14" s="8">
        <f t="shared" si="0"/>
        <v>0</v>
      </c>
      <c r="E14" s="8">
        <f t="shared" si="1"/>
        <v>0</v>
      </c>
      <c r="F14" s="9">
        <f>SUMIFS(カード枠回復_モーテル!$C$4:$C$53,カード枠回復_モーテル!$A$4:$A$53,A14)</f>
        <v>0</v>
      </c>
      <c r="G14" s="57">
        <f t="shared" si="2"/>
        <v>0</v>
      </c>
      <c r="H14" s="58"/>
    </row>
    <row r="15" spans="1:8" ht="15" customHeight="1">
      <c r="A15" s="56">
        <v>46246</v>
      </c>
      <c r="B15" s="8">
        <f>SUMIFS(入金入力_モーテル!$D$4:$D$103,入金入力_モーテル!$A$4:$A$103,A15)</f>
        <v>0</v>
      </c>
      <c r="C15" s="8">
        <f>SUMIFS(未払一覧_モーテル!$N$4:$N$103,未払一覧_モーテル!$M$4:$M$103,A15)</f>
        <v>0</v>
      </c>
      <c r="D15" s="8">
        <f t="shared" si="0"/>
        <v>0</v>
      </c>
      <c r="E15" s="8">
        <f t="shared" si="1"/>
        <v>0</v>
      </c>
      <c r="F15" s="9">
        <f>SUMIFS(カード枠回復_モーテル!$C$4:$C$53,カード枠回復_モーテル!$A$4:$A$53,A15)</f>
        <v>0</v>
      </c>
      <c r="G15" s="57">
        <f t="shared" si="2"/>
        <v>0</v>
      </c>
      <c r="H15" s="58"/>
    </row>
    <row r="16" spans="1:8" ht="15" customHeight="1">
      <c r="A16" s="56">
        <v>46247</v>
      </c>
      <c r="B16" s="8">
        <f>SUMIFS(入金入力_モーテル!$D$4:$D$103,入金入力_モーテル!$A$4:$A$103,A16)</f>
        <v>0</v>
      </c>
      <c r="C16" s="8">
        <f>SUMIFS(未払一覧_モーテル!$N$4:$N$103,未払一覧_モーテル!$M$4:$M$103,A16)</f>
        <v>0</v>
      </c>
      <c r="D16" s="8">
        <f t="shared" si="0"/>
        <v>0</v>
      </c>
      <c r="E16" s="8">
        <f t="shared" si="1"/>
        <v>0</v>
      </c>
      <c r="F16" s="9">
        <f>SUMIFS(カード枠回復_モーテル!$C$4:$C$53,カード枠回復_モーテル!$A$4:$A$53,A16)</f>
        <v>0</v>
      </c>
      <c r="G16" s="57">
        <f t="shared" si="2"/>
        <v>0</v>
      </c>
      <c r="H16" s="58"/>
    </row>
    <row r="17" spans="1:8" ht="15" customHeight="1">
      <c r="A17" s="56">
        <v>46248</v>
      </c>
      <c r="B17" s="8">
        <f>SUMIFS(入金入力_モーテル!$D$4:$D$103,入金入力_モーテル!$A$4:$A$103,A17)</f>
        <v>0</v>
      </c>
      <c r="C17" s="8">
        <f>SUMIFS(未払一覧_モーテル!$N$4:$N$103,未払一覧_モーテル!$M$4:$M$103,A17)</f>
        <v>0</v>
      </c>
      <c r="D17" s="8">
        <f t="shared" si="0"/>
        <v>0</v>
      </c>
      <c r="E17" s="8">
        <f t="shared" si="1"/>
        <v>0</v>
      </c>
      <c r="F17" s="9">
        <f>SUMIFS(カード枠回復_モーテル!$C$4:$C$53,カード枠回復_モーテル!$A$4:$A$53,A17)</f>
        <v>0</v>
      </c>
      <c r="G17" s="57">
        <f t="shared" si="2"/>
        <v>0</v>
      </c>
      <c r="H17" s="58"/>
    </row>
    <row r="18" spans="1:8" ht="15" customHeight="1">
      <c r="A18" s="59">
        <v>46249</v>
      </c>
      <c r="B18" s="8">
        <f>SUMIFS(入金入力_モーテル!$D$4:$D$103,入金入力_モーテル!$A$4:$A$103,A18)</f>
        <v>0</v>
      </c>
      <c r="C18" s="8">
        <f>SUMIFS(未払一覧_モーテル!$N$4:$N$103,未払一覧_モーテル!$M$4:$M$103,A18)</f>
        <v>0</v>
      </c>
      <c r="D18" s="8">
        <f t="shared" si="0"/>
        <v>0</v>
      </c>
      <c r="E18" s="8">
        <f t="shared" si="1"/>
        <v>0</v>
      </c>
      <c r="F18" s="9">
        <f>SUMIFS(カード枠回復_モーテル!$C$4:$C$53,カード枠回復_モーテル!$A$4:$A$53,A18)</f>
        <v>0</v>
      </c>
      <c r="G18" s="57">
        <f t="shared" si="2"/>
        <v>0</v>
      </c>
      <c r="H18" s="60" t="s">
        <v>236</v>
      </c>
    </row>
    <row r="19" spans="1:8" ht="15" customHeight="1">
      <c r="A19" s="61">
        <v>46250</v>
      </c>
      <c r="B19" s="8">
        <f>SUMIFS(入金入力_モーテル!$D$4:$D$103,入金入力_モーテル!$A$4:$A$103,A19)</f>
        <v>0</v>
      </c>
      <c r="C19" s="8">
        <f>SUMIFS(未払一覧_モーテル!$N$4:$N$103,未払一覧_モーテル!$M$4:$M$103,A19)</f>
        <v>0</v>
      </c>
      <c r="D19" s="8">
        <f t="shared" si="0"/>
        <v>0</v>
      </c>
      <c r="E19" s="8">
        <f t="shared" si="1"/>
        <v>0</v>
      </c>
      <c r="F19" s="9">
        <f>SUMIFS(カード枠回復_モーテル!$C$4:$C$53,カード枠回復_モーテル!$A$4:$A$53,A19)</f>
        <v>0</v>
      </c>
      <c r="G19" s="57">
        <f t="shared" si="2"/>
        <v>0</v>
      </c>
      <c r="H19" s="60" t="s">
        <v>237</v>
      </c>
    </row>
    <row r="20" spans="1:8" ht="15" customHeight="1">
      <c r="A20" s="56">
        <v>46251</v>
      </c>
      <c r="B20" s="8">
        <f>SUMIFS(入金入力_モーテル!$D$4:$D$103,入金入力_モーテル!$A$4:$A$103,A20)</f>
        <v>0</v>
      </c>
      <c r="C20" s="8">
        <f>SUMIFS(未払一覧_モーテル!$N$4:$N$103,未払一覧_モーテル!$M$4:$M$103,A20)</f>
        <v>0</v>
      </c>
      <c r="D20" s="8">
        <f t="shared" si="0"/>
        <v>0</v>
      </c>
      <c r="E20" s="8">
        <f t="shared" si="1"/>
        <v>0</v>
      </c>
      <c r="F20" s="9">
        <f>SUMIFS(カード枠回復_モーテル!$C$4:$C$53,カード枠回復_モーテル!$A$4:$A$53,A20)</f>
        <v>0</v>
      </c>
      <c r="G20" s="57">
        <f t="shared" si="2"/>
        <v>0</v>
      </c>
      <c r="H20" s="58"/>
    </row>
    <row r="21" spans="1:8" ht="15" customHeight="1">
      <c r="A21" s="56">
        <v>46252</v>
      </c>
      <c r="B21" s="8">
        <f>SUMIFS(入金入力_モーテル!$D$4:$D$103,入金入力_モーテル!$A$4:$A$103,A21)</f>
        <v>0</v>
      </c>
      <c r="C21" s="8">
        <f>SUMIFS(未払一覧_モーテル!$N$4:$N$103,未払一覧_モーテル!$M$4:$M$103,A21)</f>
        <v>0</v>
      </c>
      <c r="D21" s="8">
        <f t="shared" si="0"/>
        <v>0</v>
      </c>
      <c r="E21" s="8">
        <f t="shared" si="1"/>
        <v>0</v>
      </c>
      <c r="F21" s="9">
        <f>SUMIFS(カード枠回復_モーテル!$C$4:$C$53,カード枠回復_モーテル!$A$4:$A$53,A21)</f>
        <v>0</v>
      </c>
      <c r="G21" s="57">
        <f t="shared" si="2"/>
        <v>0</v>
      </c>
      <c r="H21" s="58"/>
    </row>
    <row r="22" spans="1:8" ht="15" customHeight="1">
      <c r="A22" s="56">
        <v>46253</v>
      </c>
      <c r="B22" s="8">
        <f>SUMIFS(入金入力_モーテル!$D$4:$D$103,入金入力_モーテル!$A$4:$A$103,A22)</f>
        <v>0</v>
      </c>
      <c r="C22" s="8">
        <f>SUMIFS(未払一覧_モーテル!$N$4:$N$103,未払一覧_モーテル!$M$4:$M$103,A22)</f>
        <v>0</v>
      </c>
      <c r="D22" s="8">
        <f t="shared" si="0"/>
        <v>0</v>
      </c>
      <c r="E22" s="8">
        <f t="shared" si="1"/>
        <v>0</v>
      </c>
      <c r="F22" s="9">
        <f>SUMIFS(カード枠回復_モーテル!$C$4:$C$53,カード枠回復_モーテル!$A$4:$A$53,A22)</f>
        <v>0</v>
      </c>
      <c r="G22" s="57">
        <f t="shared" si="2"/>
        <v>0</v>
      </c>
      <c r="H22" s="58"/>
    </row>
    <row r="23" spans="1:8" ht="15" customHeight="1">
      <c r="A23" s="56">
        <v>46254</v>
      </c>
      <c r="B23" s="8">
        <f>SUMIFS(入金入力_モーテル!$D$4:$D$103,入金入力_モーテル!$A$4:$A$103,A23)</f>
        <v>0</v>
      </c>
      <c r="C23" s="8">
        <f>SUMIFS(未払一覧_モーテル!$N$4:$N$103,未払一覧_モーテル!$M$4:$M$103,A23)</f>
        <v>0</v>
      </c>
      <c r="D23" s="8">
        <f t="shared" si="0"/>
        <v>0</v>
      </c>
      <c r="E23" s="8">
        <f t="shared" si="1"/>
        <v>0</v>
      </c>
      <c r="F23" s="9">
        <f>SUMIFS(カード枠回復_モーテル!$C$4:$C$53,カード枠回復_モーテル!$A$4:$A$53,A23)</f>
        <v>0</v>
      </c>
      <c r="G23" s="57">
        <f t="shared" si="2"/>
        <v>0</v>
      </c>
      <c r="H23" s="58"/>
    </row>
    <row r="24" spans="1:8" ht="15" customHeight="1">
      <c r="A24" s="56">
        <v>46255</v>
      </c>
      <c r="B24" s="8">
        <f>SUMIFS(入金入力_モーテル!$D$4:$D$103,入金入力_モーテル!$A$4:$A$103,A24)</f>
        <v>0</v>
      </c>
      <c r="C24" s="8">
        <f>SUMIFS(未払一覧_モーテル!$N$4:$N$103,未払一覧_モーテル!$M$4:$M$103,A24)</f>
        <v>0</v>
      </c>
      <c r="D24" s="8">
        <f t="shared" si="0"/>
        <v>0</v>
      </c>
      <c r="E24" s="8">
        <f t="shared" si="1"/>
        <v>0</v>
      </c>
      <c r="F24" s="9">
        <f>SUMIFS(カード枠回復_モーテル!$C$4:$C$53,カード枠回復_モーテル!$A$4:$A$53,A24)</f>
        <v>0</v>
      </c>
      <c r="G24" s="57">
        <f t="shared" si="2"/>
        <v>0</v>
      </c>
      <c r="H24" s="58"/>
    </row>
    <row r="25" spans="1:8" ht="15" customHeight="1">
      <c r="A25" s="59">
        <v>46256</v>
      </c>
      <c r="B25" s="8">
        <f>SUMIFS(入金入力_モーテル!$D$4:$D$103,入金入力_モーテル!$A$4:$A$103,A25)</f>
        <v>0</v>
      </c>
      <c r="C25" s="8">
        <f>SUMIFS(未払一覧_モーテル!$N$4:$N$103,未払一覧_モーテル!$M$4:$M$103,A25)</f>
        <v>0</v>
      </c>
      <c r="D25" s="8">
        <f t="shared" si="0"/>
        <v>0</v>
      </c>
      <c r="E25" s="8">
        <f t="shared" si="1"/>
        <v>0</v>
      </c>
      <c r="F25" s="9">
        <f>SUMIFS(カード枠回復_モーテル!$C$4:$C$53,カード枠回復_モーテル!$A$4:$A$53,A25)</f>
        <v>0</v>
      </c>
      <c r="G25" s="57">
        <f t="shared" si="2"/>
        <v>0</v>
      </c>
      <c r="H25" s="60" t="s">
        <v>236</v>
      </c>
    </row>
    <row r="26" spans="1:8" ht="15" customHeight="1">
      <c r="A26" s="61">
        <v>46257</v>
      </c>
      <c r="B26" s="8">
        <f>SUMIFS(入金入力_モーテル!$D$4:$D$103,入金入力_モーテル!$A$4:$A$103,A26)</f>
        <v>0</v>
      </c>
      <c r="C26" s="8">
        <f>SUMIFS(未払一覧_モーテル!$N$4:$N$103,未払一覧_モーテル!$M$4:$M$103,A26)</f>
        <v>0</v>
      </c>
      <c r="D26" s="8">
        <f t="shared" si="0"/>
        <v>0</v>
      </c>
      <c r="E26" s="8">
        <f t="shared" si="1"/>
        <v>0</v>
      </c>
      <c r="F26" s="9">
        <f>SUMIFS(カード枠回復_モーテル!$C$4:$C$53,カード枠回復_モーテル!$A$4:$A$53,A26)</f>
        <v>0</v>
      </c>
      <c r="G26" s="57">
        <f t="shared" si="2"/>
        <v>0</v>
      </c>
      <c r="H26" s="60" t="s">
        <v>237</v>
      </c>
    </row>
    <row r="27" spans="1:8" ht="15" customHeight="1">
      <c r="A27" s="56">
        <v>46258</v>
      </c>
      <c r="B27" s="8">
        <f>SUMIFS(入金入力_モーテル!$D$4:$D$103,入金入力_モーテル!$A$4:$A$103,A27)</f>
        <v>0</v>
      </c>
      <c r="C27" s="8">
        <f>SUMIFS(未払一覧_モーテル!$N$4:$N$103,未払一覧_モーテル!$M$4:$M$103,A27)</f>
        <v>0</v>
      </c>
      <c r="D27" s="8">
        <f t="shared" si="0"/>
        <v>0</v>
      </c>
      <c r="E27" s="8">
        <f t="shared" si="1"/>
        <v>0</v>
      </c>
      <c r="F27" s="9">
        <f>SUMIFS(カード枠回復_モーテル!$C$4:$C$53,カード枠回復_モーテル!$A$4:$A$53,A27)</f>
        <v>0</v>
      </c>
      <c r="G27" s="57">
        <f t="shared" si="2"/>
        <v>0</v>
      </c>
      <c r="H27" s="58"/>
    </row>
    <row r="28" spans="1:8" ht="15" customHeight="1">
      <c r="A28" s="56">
        <v>46259</v>
      </c>
      <c r="B28" s="8">
        <f>SUMIFS(入金入力_モーテル!$D$4:$D$103,入金入力_モーテル!$A$4:$A$103,A28)</f>
        <v>0</v>
      </c>
      <c r="C28" s="8">
        <f>SUMIFS(未払一覧_モーテル!$N$4:$N$103,未払一覧_モーテル!$M$4:$M$103,A28)</f>
        <v>0</v>
      </c>
      <c r="D28" s="8">
        <f t="shared" si="0"/>
        <v>0</v>
      </c>
      <c r="E28" s="8">
        <f t="shared" si="1"/>
        <v>0</v>
      </c>
      <c r="F28" s="9">
        <f>SUMIFS(カード枠回復_モーテル!$C$4:$C$53,カード枠回復_モーテル!$A$4:$A$53,A28)</f>
        <v>0</v>
      </c>
      <c r="G28" s="57">
        <f t="shared" si="2"/>
        <v>0</v>
      </c>
      <c r="H28" s="58"/>
    </row>
    <row r="29" spans="1:8" ht="15" customHeight="1">
      <c r="A29" s="56">
        <v>46260</v>
      </c>
      <c r="B29" s="8">
        <f>SUMIFS(入金入力_モーテル!$D$4:$D$103,入金入力_モーテル!$A$4:$A$103,A29)</f>
        <v>0</v>
      </c>
      <c r="C29" s="8">
        <f>SUMIFS(未払一覧_モーテル!$N$4:$N$103,未払一覧_モーテル!$M$4:$M$103,A29)</f>
        <v>0</v>
      </c>
      <c r="D29" s="8">
        <f t="shared" si="0"/>
        <v>0</v>
      </c>
      <c r="E29" s="8">
        <f t="shared" si="1"/>
        <v>0</v>
      </c>
      <c r="F29" s="9">
        <f>SUMIFS(カード枠回復_モーテル!$C$4:$C$53,カード枠回復_モーテル!$A$4:$A$53,A29)</f>
        <v>0</v>
      </c>
      <c r="G29" s="57">
        <f t="shared" si="2"/>
        <v>0</v>
      </c>
      <c r="H29" s="58"/>
    </row>
    <row r="30" spans="1:8" ht="15" customHeight="1">
      <c r="A30" s="56">
        <v>46261</v>
      </c>
      <c r="B30" s="8">
        <f>SUMIFS(入金入力_モーテル!$D$4:$D$103,入金入力_モーテル!$A$4:$A$103,A30)</f>
        <v>0</v>
      </c>
      <c r="C30" s="8">
        <f>SUMIFS(未払一覧_モーテル!$N$4:$N$103,未払一覧_モーテル!$M$4:$M$103,A30)</f>
        <v>0</v>
      </c>
      <c r="D30" s="8">
        <f t="shared" si="0"/>
        <v>0</v>
      </c>
      <c r="E30" s="8">
        <f t="shared" si="1"/>
        <v>0</v>
      </c>
      <c r="F30" s="9">
        <f>SUMIFS(カード枠回復_モーテル!$C$4:$C$53,カード枠回復_モーテル!$A$4:$A$53,A30)</f>
        <v>0</v>
      </c>
      <c r="G30" s="57">
        <f t="shared" si="2"/>
        <v>0</v>
      </c>
      <c r="H30" s="58"/>
    </row>
    <row r="31" spans="1:8" ht="15" customHeight="1">
      <c r="A31" s="56">
        <v>46262</v>
      </c>
      <c r="B31" s="8">
        <f>SUMIFS(入金入力_モーテル!$D$4:$D$103,入金入力_モーテル!$A$4:$A$103,A31)</f>
        <v>0</v>
      </c>
      <c r="C31" s="8">
        <f>SUMIFS(未払一覧_モーテル!$N$4:$N$103,未払一覧_モーテル!$M$4:$M$103,A31)</f>
        <v>0</v>
      </c>
      <c r="D31" s="8">
        <f t="shared" si="0"/>
        <v>0</v>
      </c>
      <c r="E31" s="8">
        <f t="shared" si="1"/>
        <v>0</v>
      </c>
      <c r="F31" s="9">
        <f>SUMIFS(カード枠回復_モーテル!$C$4:$C$53,カード枠回復_モーテル!$A$4:$A$53,A31)</f>
        <v>0</v>
      </c>
      <c r="G31" s="57">
        <f t="shared" si="2"/>
        <v>0</v>
      </c>
      <c r="H31" s="58"/>
    </row>
    <row r="32" spans="1:8" ht="15" customHeight="1">
      <c r="A32" s="59">
        <v>46263</v>
      </c>
      <c r="B32" s="8">
        <f>SUMIFS(入金入力_モーテル!$D$4:$D$103,入金入力_モーテル!$A$4:$A$103,A32)</f>
        <v>0</v>
      </c>
      <c r="C32" s="8">
        <f>SUMIFS(未払一覧_モーテル!$N$4:$N$103,未払一覧_モーテル!$M$4:$M$103,A32)</f>
        <v>0</v>
      </c>
      <c r="D32" s="8">
        <f t="shared" si="0"/>
        <v>0</v>
      </c>
      <c r="E32" s="8">
        <f t="shared" si="1"/>
        <v>0</v>
      </c>
      <c r="F32" s="9">
        <f>SUMIFS(カード枠回復_モーテル!$C$4:$C$53,カード枠回復_モーテル!$A$4:$A$53,A32)</f>
        <v>0</v>
      </c>
      <c r="G32" s="57">
        <f t="shared" si="2"/>
        <v>0</v>
      </c>
      <c r="H32" s="60" t="s">
        <v>236</v>
      </c>
    </row>
    <row r="33" spans="1:8" ht="15" customHeight="1">
      <c r="A33" s="61">
        <v>46264</v>
      </c>
      <c r="B33" s="8">
        <f>SUMIFS(入金入力_モーテル!$D$4:$D$103,入金入力_モーテル!$A$4:$A$103,A33)</f>
        <v>0</v>
      </c>
      <c r="C33" s="8">
        <f>SUMIFS(未払一覧_モーテル!$N$4:$N$103,未払一覧_モーテル!$M$4:$M$103,A33)</f>
        <v>0</v>
      </c>
      <c r="D33" s="8">
        <f t="shared" si="0"/>
        <v>0</v>
      </c>
      <c r="E33" s="8">
        <f t="shared" si="1"/>
        <v>0</v>
      </c>
      <c r="F33" s="9">
        <f>SUMIFS(カード枠回復_モーテル!$C$4:$C$53,カード枠回復_モーテル!$A$4:$A$53,A33)</f>
        <v>0</v>
      </c>
      <c r="G33" s="57">
        <f t="shared" si="2"/>
        <v>0</v>
      </c>
      <c r="H33" s="60" t="s">
        <v>237</v>
      </c>
    </row>
    <row r="34" spans="1:8" ht="15" customHeight="1">
      <c r="A34" s="56">
        <v>46265</v>
      </c>
      <c r="B34" s="8">
        <f>SUMIFS(入金入力_モーテル!$D$4:$D$103,入金入力_モーテル!$A$4:$A$103,A34)</f>
        <v>0</v>
      </c>
      <c r="C34" s="8">
        <f>SUMIFS(未払一覧_モーテル!$N$4:$N$103,未払一覧_モーテル!$M$4:$M$103,A34)</f>
        <v>0</v>
      </c>
      <c r="D34" s="8">
        <f t="shared" si="0"/>
        <v>0</v>
      </c>
      <c r="E34" s="8">
        <f t="shared" si="1"/>
        <v>0</v>
      </c>
      <c r="F34" s="9">
        <f>SUMIFS(カード枠回復_モーテル!$C$4:$C$53,カード枠回復_モーテル!$A$4:$A$53,A34)</f>
        <v>0</v>
      </c>
      <c r="G34" s="57">
        <f t="shared" si="2"/>
        <v>0</v>
      </c>
      <c r="H34" s="58"/>
    </row>
    <row r="36" spans="1:8" ht="15" customHeight="1">
      <c r="A36" s="11" t="s">
        <v>245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8" t="s">
        <v>256</v>
      </c>
      <c r="B1" s="98"/>
      <c r="C1" s="98"/>
      <c r="D1" s="98"/>
      <c r="E1" s="98"/>
      <c r="F1" s="98"/>
      <c r="G1" s="98"/>
      <c r="H1" s="98"/>
    </row>
    <row r="2" spans="1:8" ht="11.25" customHeight="1">
      <c r="A2" s="95" t="s">
        <v>257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46142</v>
      </c>
      <c r="B4" s="8">
        <f>SUMIFS(入金入力_ザック!$D$4:$D$103,入金入力_ザック!$A$4:$A$103,A4)</f>
        <v>0</v>
      </c>
      <c r="C4" s="8">
        <f>SUMIFS(未払一覧_ザック!$N$4:$N$103,未払一覧_ザック!$M$4:$M$103,A4)</f>
        <v>0</v>
      </c>
      <c r="D4" s="8">
        <f t="shared" ref="D4:D35" si="0">B4-C4-F4</f>
        <v>0</v>
      </c>
      <c r="E4" s="8">
        <f>D4</f>
        <v>0</v>
      </c>
      <c r="F4" s="9">
        <f>SUMIFS(カード枠回復_ザック!$C$4:$C$53,カード枠回復_ザック!$A$4:$A$53,A4)</f>
        <v>0</v>
      </c>
      <c r="G4" s="57">
        <f>D4+F4</f>
        <v>0</v>
      </c>
      <c r="H4" s="58"/>
    </row>
    <row r="5" spans="1:8" ht="15" customHeight="1">
      <c r="A5" s="56">
        <v>46143</v>
      </c>
      <c r="B5" s="8">
        <f>SUMIFS(入金入力_ザック!$D$4:$D$103,入金入力_ザック!$A$4:$A$103,A5)</f>
        <v>0</v>
      </c>
      <c r="C5" s="8">
        <f>SUMIFS(未払一覧_ザック!$N$4:$N$103,未払一覧_ザック!$M$4:$M$103,A5)</f>
        <v>0</v>
      </c>
      <c r="D5" s="8">
        <f t="shared" si="0"/>
        <v>0</v>
      </c>
      <c r="E5" s="8">
        <f t="shared" ref="E5:E35" si="1">E4+D5</f>
        <v>0</v>
      </c>
      <c r="F5" s="9">
        <f>SUMIFS(カード枠回復_ザック!$C$4:$C$53,カード枠回復_ザック!$A$4:$A$53,A5)</f>
        <v>0</v>
      </c>
      <c r="G5" s="57">
        <f t="shared" ref="G5:G35" si="2">G4+D5+F5</f>
        <v>0</v>
      </c>
      <c r="H5" s="58"/>
    </row>
    <row r="6" spans="1:8" ht="15" customHeight="1">
      <c r="A6" s="59">
        <v>46144</v>
      </c>
      <c r="B6" s="8">
        <f>SUMIFS(入金入力_ザック!$D$4:$D$103,入金入力_ザック!$A$4:$A$103,A6)</f>
        <v>0</v>
      </c>
      <c r="C6" s="8">
        <f>SUMIFS(未払一覧_ザック!$N$4:$N$103,未払一覧_ザック!$M$4:$M$103,A6)</f>
        <v>0</v>
      </c>
      <c r="D6" s="8">
        <f t="shared" si="0"/>
        <v>0</v>
      </c>
      <c r="E6" s="8">
        <f t="shared" si="1"/>
        <v>0</v>
      </c>
      <c r="F6" s="9">
        <f>SUMIFS(カード枠回復_ザック!$C$4:$C$53,カード枠回復_ザック!$A$4:$A$53,A6)</f>
        <v>0</v>
      </c>
      <c r="G6" s="57">
        <f t="shared" si="2"/>
        <v>0</v>
      </c>
      <c r="H6" s="60" t="s">
        <v>236</v>
      </c>
    </row>
    <row r="7" spans="1:8" ht="15" customHeight="1">
      <c r="A7" s="61">
        <v>46145</v>
      </c>
      <c r="B7" s="8">
        <f>SUMIFS(入金入力_ザック!$D$4:$D$103,入金入力_ザック!$A$4:$A$103,A7)</f>
        <v>0</v>
      </c>
      <c r="C7" s="8">
        <f>SUMIFS(未払一覧_ザック!$N$4:$N$103,未払一覧_ザック!$M$4:$M$103,A7)</f>
        <v>0</v>
      </c>
      <c r="D7" s="8">
        <f t="shared" si="0"/>
        <v>0</v>
      </c>
      <c r="E7" s="8">
        <f t="shared" si="1"/>
        <v>0</v>
      </c>
      <c r="F7" s="9">
        <f>SUMIFS(カード枠回復_ザック!$C$4:$C$53,カード枠回復_ザック!$A$4:$A$53,A7)</f>
        <v>0</v>
      </c>
      <c r="G7" s="57">
        <f t="shared" si="2"/>
        <v>0</v>
      </c>
      <c r="H7" s="60" t="s">
        <v>237</v>
      </c>
    </row>
    <row r="8" spans="1:8" ht="15" customHeight="1">
      <c r="A8" s="56">
        <v>46146</v>
      </c>
      <c r="B8" s="8">
        <f>SUMIFS(入金入力_ザック!$D$4:$D$103,入金入力_ザック!$A$4:$A$103,A8)</f>
        <v>0</v>
      </c>
      <c r="C8" s="8">
        <f>SUMIFS(未払一覧_ザック!$N$4:$N$103,未払一覧_ザック!$M$4:$M$103,A8)</f>
        <v>0</v>
      </c>
      <c r="D8" s="8">
        <f t="shared" si="0"/>
        <v>0</v>
      </c>
      <c r="E8" s="8">
        <f t="shared" si="1"/>
        <v>0</v>
      </c>
      <c r="F8" s="9">
        <f>SUMIFS(カード枠回復_ザック!$C$4:$C$53,カード枠回復_ザック!$A$4:$A$53,A8)</f>
        <v>0</v>
      </c>
      <c r="G8" s="57">
        <f t="shared" si="2"/>
        <v>0</v>
      </c>
      <c r="H8" s="58"/>
    </row>
    <row r="9" spans="1:8" ht="15" customHeight="1">
      <c r="A9" s="56">
        <v>46147</v>
      </c>
      <c r="B9" s="8">
        <f>SUMIFS(入金入力_ザック!$D$4:$D$103,入金入力_ザック!$A$4:$A$103,A9)</f>
        <v>0</v>
      </c>
      <c r="C9" s="8">
        <f>SUMIFS(未払一覧_ザック!$N$4:$N$103,未払一覧_ザック!$M$4:$M$103,A9)</f>
        <v>0</v>
      </c>
      <c r="D9" s="8">
        <f t="shared" si="0"/>
        <v>0</v>
      </c>
      <c r="E9" s="8">
        <f t="shared" si="1"/>
        <v>0</v>
      </c>
      <c r="F9" s="9">
        <f>SUMIFS(カード枠回復_ザック!$C$4:$C$53,カード枠回復_ザック!$A$4:$A$53,A9)</f>
        <v>0</v>
      </c>
      <c r="G9" s="57">
        <f t="shared" si="2"/>
        <v>0</v>
      </c>
      <c r="H9" s="58"/>
    </row>
    <row r="10" spans="1:8" ht="15" customHeight="1">
      <c r="A10" s="56">
        <v>46148</v>
      </c>
      <c r="B10" s="8">
        <f>SUMIFS(入金入力_ザック!$D$4:$D$103,入金入力_ザック!$A$4:$A$103,A10)</f>
        <v>0</v>
      </c>
      <c r="C10" s="8">
        <f>SUMIFS(未払一覧_ザック!$N$4:$N$103,未払一覧_ザック!$M$4:$M$103,A10)</f>
        <v>0</v>
      </c>
      <c r="D10" s="8">
        <f t="shared" si="0"/>
        <v>0</v>
      </c>
      <c r="E10" s="8">
        <f t="shared" si="1"/>
        <v>0</v>
      </c>
      <c r="F10" s="9">
        <f>SUMIFS(カード枠回復_ザック!$C$4:$C$53,カード枠回復_ザック!$A$4:$A$53,A10)</f>
        <v>0</v>
      </c>
      <c r="G10" s="57">
        <f t="shared" si="2"/>
        <v>0</v>
      </c>
      <c r="H10" s="58"/>
    </row>
    <row r="11" spans="1:8" ht="15" customHeight="1">
      <c r="A11" s="56">
        <v>46149</v>
      </c>
      <c r="B11" s="8">
        <f>SUMIFS(入金入力_ザック!$D$4:$D$103,入金入力_ザック!$A$4:$A$103,A11)</f>
        <v>0</v>
      </c>
      <c r="C11" s="8">
        <f>SUMIFS(未払一覧_ザック!$N$4:$N$103,未払一覧_ザック!$M$4:$M$103,A11)</f>
        <v>0</v>
      </c>
      <c r="D11" s="8">
        <f t="shared" si="0"/>
        <v>0</v>
      </c>
      <c r="E11" s="8">
        <f t="shared" si="1"/>
        <v>0</v>
      </c>
      <c r="F11" s="9">
        <f>SUMIFS(カード枠回復_ザック!$C$4:$C$53,カード枠回復_ザック!$A$4:$A$53,A11)</f>
        <v>0</v>
      </c>
      <c r="G11" s="57">
        <f t="shared" si="2"/>
        <v>0</v>
      </c>
      <c r="H11" s="58"/>
    </row>
    <row r="12" spans="1:8" ht="15" customHeight="1">
      <c r="A12" s="56">
        <v>46150</v>
      </c>
      <c r="B12" s="8">
        <f>SUMIFS(入金入力_ザック!$D$4:$D$103,入金入力_ザック!$A$4:$A$103,A12)</f>
        <v>0</v>
      </c>
      <c r="C12" s="8">
        <f>SUMIFS(未払一覧_ザック!$N$4:$N$103,未払一覧_ザック!$M$4:$M$103,A12)</f>
        <v>0</v>
      </c>
      <c r="D12" s="8">
        <f t="shared" si="0"/>
        <v>0</v>
      </c>
      <c r="E12" s="8">
        <f t="shared" si="1"/>
        <v>0</v>
      </c>
      <c r="F12" s="9">
        <f>SUMIFS(カード枠回復_ザック!$C$4:$C$53,カード枠回復_ザック!$A$4:$A$53,A12)</f>
        <v>0</v>
      </c>
      <c r="G12" s="57">
        <f t="shared" si="2"/>
        <v>0</v>
      </c>
      <c r="H12" s="58"/>
    </row>
    <row r="13" spans="1:8" ht="15" customHeight="1">
      <c r="A13" s="59">
        <v>46151</v>
      </c>
      <c r="B13" s="8">
        <f>SUMIFS(入金入力_ザック!$D$4:$D$103,入金入力_ザック!$A$4:$A$103,A13)</f>
        <v>0</v>
      </c>
      <c r="C13" s="8">
        <f>SUMIFS(未払一覧_ザック!$N$4:$N$103,未払一覧_ザック!$M$4:$M$103,A13)</f>
        <v>0</v>
      </c>
      <c r="D13" s="8">
        <f t="shared" si="0"/>
        <v>0</v>
      </c>
      <c r="E13" s="8">
        <f t="shared" si="1"/>
        <v>0</v>
      </c>
      <c r="F13" s="9">
        <f>SUMIFS(カード枠回復_ザック!$C$4:$C$53,カード枠回復_ザック!$A$4:$A$53,A13)</f>
        <v>0</v>
      </c>
      <c r="G13" s="57">
        <f t="shared" si="2"/>
        <v>0</v>
      </c>
      <c r="H13" s="60" t="s">
        <v>236</v>
      </c>
    </row>
    <row r="14" spans="1:8" ht="15" customHeight="1">
      <c r="A14" s="61">
        <v>46152</v>
      </c>
      <c r="B14" s="8">
        <f>SUMIFS(入金入力_ザック!$D$4:$D$103,入金入力_ザック!$A$4:$A$103,A14)</f>
        <v>0</v>
      </c>
      <c r="C14" s="8">
        <f>SUMIFS(未払一覧_ザック!$N$4:$N$103,未払一覧_ザック!$M$4:$M$103,A14)</f>
        <v>0</v>
      </c>
      <c r="D14" s="8">
        <f t="shared" si="0"/>
        <v>0</v>
      </c>
      <c r="E14" s="8">
        <f t="shared" si="1"/>
        <v>0</v>
      </c>
      <c r="F14" s="9">
        <f>SUMIFS(カード枠回復_ザック!$C$4:$C$53,カード枠回復_ザック!$A$4:$A$53,A14)</f>
        <v>0</v>
      </c>
      <c r="G14" s="57">
        <f t="shared" si="2"/>
        <v>0</v>
      </c>
      <c r="H14" s="60" t="s">
        <v>237</v>
      </c>
    </row>
    <row r="15" spans="1:8" ht="15" customHeight="1">
      <c r="A15" s="56">
        <v>46153</v>
      </c>
      <c r="B15" s="8">
        <f>SUMIFS(入金入力_ザック!$D$4:$D$103,入金入力_ザック!$A$4:$A$103,A15)</f>
        <v>0</v>
      </c>
      <c r="C15" s="8">
        <f>SUMIFS(未払一覧_ザック!$N$4:$N$103,未払一覧_ザック!$M$4:$M$103,A15)</f>
        <v>0</v>
      </c>
      <c r="D15" s="8">
        <f t="shared" si="0"/>
        <v>0</v>
      </c>
      <c r="E15" s="8">
        <f t="shared" si="1"/>
        <v>0</v>
      </c>
      <c r="F15" s="9">
        <f>SUMIFS(カード枠回復_ザック!$C$4:$C$53,カード枠回復_ザック!$A$4:$A$53,A15)</f>
        <v>0</v>
      </c>
      <c r="G15" s="57">
        <f t="shared" si="2"/>
        <v>0</v>
      </c>
      <c r="H15" s="58"/>
    </row>
    <row r="16" spans="1:8" ht="15" customHeight="1">
      <c r="A16" s="56">
        <v>46154</v>
      </c>
      <c r="B16" s="8">
        <f>SUMIFS(入金入力_ザック!$D$4:$D$103,入金入力_ザック!$A$4:$A$103,A16)</f>
        <v>0</v>
      </c>
      <c r="C16" s="8">
        <f>SUMIFS(未払一覧_ザック!$N$4:$N$103,未払一覧_ザック!$M$4:$M$103,A16)</f>
        <v>0</v>
      </c>
      <c r="D16" s="8">
        <f t="shared" si="0"/>
        <v>0</v>
      </c>
      <c r="E16" s="8">
        <f t="shared" si="1"/>
        <v>0</v>
      </c>
      <c r="F16" s="9">
        <f>SUMIFS(カード枠回復_ザック!$C$4:$C$53,カード枠回復_ザック!$A$4:$A$53,A16)</f>
        <v>0</v>
      </c>
      <c r="G16" s="57">
        <f t="shared" si="2"/>
        <v>0</v>
      </c>
      <c r="H16" s="58"/>
    </row>
    <row r="17" spans="1:8" ht="15" customHeight="1">
      <c r="A17" s="56">
        <v>46155</v>
      </c>
      <c r="B17" s="8">
        <f>SUMIFS(入金入力_ザック!$D$4:$D$103,入金入力_ザック!$A$4:$A$103,A17)</f>
        <v>0</v>
      </c>
      <c r="C17" s="8">
        <f>SUMIFS(未払一覧_ザック!$N$4:$N$103,未払一覧_ザック!$M$4:$M$103,A17)</f>
        <v>0</v>
      </c>
      <c r="D17" s="8">
        <f t="shared" si="0"/>
        <v>0</v>
      </c>
      <c r="E17" s="8">
        <f t="shared" si="1"/>
        <v>0</v>
      </c>
      <c r="F17" s="9">
        <f>SUMIFS(カード枠回復_ザック!$C$4:$C$53,カード枠回復_ザック!$A$4:$A$53,A17)</f>
        <v>0</v>
      </c>
      <c r="G17" s="57">
        <f t="shared" si="2"/>
        <v>0</v>
      </c>
      <c r="H17" s="58"/>
    </row>
    <row r="18" spans="1:8" ht="15" customHeight="1">
      <c r="A18" s="56">
        <v>46156</v>
      </c>
      <c r="B18" s="8">
        <f>SUMIFS(入金入力_ザック!$D$4:$D$103,入金入力_ザック!$A$4:$A$103,A18)</f>
        <v>0</v>
      </c>
      <c r="C18" s="8">
        <f>SUMIFS(未払一覧_ザック!$N$4:$N$103,未払一覧_ザック!$M$4:$M$103,A18)</f>
        <v>0</v>
      </c>
      <c r="D18" s="8">
        <f t="shared" si="0"/>
        <v>0</v>
      </c>
      <c r="E18" s="8">
        <f t="shared" si="1"/>
        <v>0</v>
      </c>
      <c r="F18" s="9">
        <f>SUMIFS(カード枠回復_ザック!$C$4:$C$53,カード枠回復_ザック!$A$4:$A$53,A18)</f>
        <v>0</v>
      </c>
      <c r="G18" s="57">
        <f t="shared" si="2"/>
        <v>0</v>
      </c>
      <c r="H18" s="58"/>
    </row>
    <row r="19" spans="1:8" ht="15" customHeight="1">
      <c r="A19" s="56">
        <v>46157</v>
      </c>
      <c r="B19" s="8">
        <f>SUMIFS(入金入力_ザック!$D$4:$D$103,入金入力_ザック!$A$4:$A$103,A19)</f>
        <v>0</v>
      </c>
      <c r="C19" s="8">
        <f>SUMIFS(未払一覧_ザック!$N$4:$N$103,未払一覧_ザック!$M$4:$M$103,A19)</f>
        <v>0</v>
      </c>
      <c r="D19" s="8">
        <f t="shared" si="0"/>
        <v>0</v>
      </c>
      <c r="E19" s="8">
        <f t="shared" si="1"/>
        <v>0</v>
      </c>
      <c r="F19" s="9">
        <f>SUMIFS(カード枠回復_ザック!$C$4:$C$53,カード枠回復_ザック!$A$4:$A$53,A19)</f>
        <v>0</v>
      </c>
      <c r="G19" s="57">
        <f t="shared" si="2"/>
        <v>0</v>
      </c>
      <c r="H19" s="58"/>
    </row>
    <row r="20" spans="1:8" ht="15" customHeight="1">
      <c r="A20" s="59">
        <v>46158</v>
      </c>
      <c r="B20" s="8">
        <f>SUMIFS(入金入力_ザック!$D$4:$D$103,入金入力_ザック!$A$4:$A$103,A20)</f>
        <v>0</v>
      </c>
      <c r="C20" s="8">
        <f>SUMIFS(未払一覧_ザック!$N$4:$N$103,未払一覧_ザック!$M$4:$M$103,A20)</f>
        <v>0</v>
      </c>
      <c r="D20" s="8">
        <f t="shared" si="0"/>
        <v>0</v>
      </c>
      <c r="E20" s="8">
        <f t="shared" si="1"/>
        <v>0</v>
      </c>
      <c r="F20" s="9">
        <f>SUMIFS(カード枠回復_ザック!$C$4:$C$53,カード枠回復_ザック!$A$4:$A$53,A20)</f>
        <v>0</v>
      </c>
      <c r="G20" s="57">
        <f t="shared" si="2"/>
        <v>0</v>
      </c>
      <c r="H20" s="60" t="s">
        <v>236</v>
      </c>
    </row>
    <row r="21" spans="1:8" ht="15" customHeight="1">
      <c r="A21" s="61">
        <v>46159</v>
      </c>
      <c r="B21" s="8">
        <f>SUMIFS(入金入力_ザック!$D$4:$D$103,入金入力_ザック!$A$4:$A$103,A21)</f>
        <v>0</v>
      </c>
      <c r="C21" s="8">
        <f>SUMIFS(未払一覧_ザック!$N$4:$N$103,未払一覧_ザック!$M$4:$M$103,A21)</f>
        <v>0</v>
      </c>
      <c r="D21" s="8">
        <f t="shared" si="0"/>
        <v>0</v>
      </c>
      <c r="E21" s="8">
        <f t="shared" si="1"/>
        <v>0</v>
      </c>
      <c r="F21" s="9">
        <f>SUMIFS(カード枠回復_ザック!$C$4:$C$53,カード枠回復_ザック!$A$4:$A$53,A21)</f>
        <v>0</v>
      </c>
      <c r="G21" s="57">
        <f t="shared" si="2"/>
        <v>0</v>
      </c>
      <c r="H21" s="60" t="s">
        <v>237</v>
      </c>
    </row>
    <row r="22" spans="1:8" ht="15" customHeight="1">
      <c r="A22" s="56">
        <v>46160</v>
      </c>
      <c r="B22" s="8">
        <f>SUMIFS(入金入力_ザック!$D$4:$D$103,入金入力_ザック!$A$4:$A$103,A22)</f>
        <v>0</v>
      </c>
      <c r="C22" s="8">
        <f>SUMIFS(未払一覧_ザック!$N$4:$N$103,未払一覧_ザック!$M$4:$M$103,A22)</f>
        <v>0</v>
      </c>
      <c r="D22" s="8">
        <f t="shared" si="0"/>
        <v>0</v>
      </c>
      <c r="E22" s="8">
        <f t="shared" si="1"/>
        <v>0</v>
      </c>
      <c r="F22" s="9">
        <f>SUMIFS(カード枠回復_ザック!$C$4:$C$53,カード枠回復_ザック!$A$4:$A$53,A22)</f>
        <v>0</v>
      </c>
      <c r="G22" s="57">
        <f t="shared" si="2"/>
        <v>0</v>
      </c>
      <c r="H22" s="58"/>
    </row>
    <row r="23" spans="1:8" ht="15" customHeight="1">
      <c r="A23" s="56">
        <v>46161</v>
      </c>
      <c r="B23" s="8">
        <f>SUMIFS(入金入力_ザック!$D$4:$D$103,入金入力_ザック!$A$4:$A$103,A23)</f>
        <v>0</v>
      </c>
      <c r="C23" s="8">
        <f>SUMIFS(未払一覧_ザック!$N$4:$N$103,未払一覧_ザック!$M$4:$M$103,A23)</f>
        <v>0</v>
      </c>
      <c r="D23" s="8">
        <f t="shared" si="0"/>
        <v>0</v>
      </c>
      <c r="E23" s="8">
        <f t="shared" si="1"/>
        <v>0</v>
      </c>
      <c r="F23" s="9">
        <f>SUMIFS(カード枠回復_ザック!$C$4:$C$53,カード枠回復_ザック!$A$4:$A$53,A23)</f>
        <v>0</v>
      </c>
      <c r="G23" s="57">
        <f t="shared" si="2"/>
        <v>0</v>
      </c>
      <c r="H23" s="58"/>
    </row>
    <row r="24" spans="1:8" ht="15" customHeight="1">
      <c r="A24" s="56">
        <v>46162</v>
      </c>
      <c r="B24" s="8">
        <f>SUMIFS(入金入力_ザック!$D$4:$D$103,入金入力_ザック!$A$4:$A$103,A24)</f>
        <v>0</v>
      </c>
      <c r="C24" s="8">
        <f>SUMIFS(未払一覧_ザック!$N$4:$N$103,未払一覧_ザック!$M$4:$M$103,A24)</f>
        <v>0</v>
      </c>
      <c r="D24" s="8">
        <f t="shared" si="0"/>
        <v>0</v>
      </c>
      <c r="E24" s="8">
        <f t="shared" si="1"/>
        <v>0</v>
      </c>
      <c r="F24" s="9">
        <f>SUMIFS(カード枠回復_ザック!$C$4:$C$53,カード枠回復_ザック!$A$4:$A$53,A24)</f>
        <v>0</v>
      </c>
      <c r="G24" s="57">
        <f t="shared" si="2"/>
        <v>0</v>
      </c>
      <c r="H24" s="58"/>
    </row>
    <row r="25" spans="1:8" ht="15" customHeight="1">
      <c r="A25" s="56">
        <v>46163</v>
      </c>
      <c r="B25" s="8">
        <f>SUMIFS(入金入力_ザック!$D$4:$D$103,入金入力_ザック!$A$4:$A$103,A25)</f>
        <v>0</v>
      </c>
      <c r="C25" s="8">
        <f>SUMIFS(未払一覧_ザック!$N$4:$N$103,未払一覧_ザック!$M$4:$M$103,A25)</f>
        <v>0</v>
      </c>
      <c r="D25" s="8">
        <f t="shared" si="0"/>
        <v>0</v>
      </c>
      <c r="E25" s="8">
        <f t="shared" si="1"/>
        <v>0</v>
      </c>
      <c r="F25" s="9">
        <f>SUMIFS(カード枠回復_ザック!$C$4:$C$53,カード枠回復_ザック!$A$4:$A$53,A25)</f>
        <v>0</v>
      </c>
      <c r="G25" s="57">
        <f t="shared" si="2"/>
        <v>0</v>
      </c>
      <c r="H25" s="58"/>
    </row>
    <row r="26" spans="1:8" ht="15" customHeight="1">
      <c r="A26" s="56">
        <v>46164</v>
      </c>
      <c r="B26" s="8">
        <f>SUMIFS(入金入力_ザック!$D$4:$D$103,入金入力_ザック!$A$4:$A$103,A26)</f>
        <v>0</v>
      </c>
      <c r="C26" s="8">
        <f>SUMIFS(未払一覧_ザック!$N$4:$N$103,未払一覧_ザック!$M$4:$M$103,A26)</f>
        <v>0</v>
      </c>
      <c r="D26" s="8">
        <f t="shared" si="0"/>
        <v>0</v>
      </c>
      <c r="E26" s="8">
        <f t="shared" si="1"/>
        <v>0</v>
      </c>
      <c r="F26" s="9">
        <f>SUMIFS(カード枠回復_ザック!$C$4:$C$53,カード枠回復_ザック!$A$4:$A$53,A26)</f>
        <v>0</v>
      </c>
      <c r="G26" s="57">
        <f t="shared" si="2"/>
        <v>0</v>
      </c>
      <c r="H26" s="58"/>
    </row>
    <row r="27" spans="1:8" ht="15" customHeight="1">
      <c r="A27" s="59">
        <v>46165</v>
      </c>
      <c r="B27" s="8">
        <f>SUMIFS(入金入力_ザック!$D$4:$D$103,入金入力_ザック!$A$4:$A$103,A27)</f>
        <v>0</v>
      </c>
      <c r="C27" s="8">
        <f>SUMIFS(未払一覧_ザック!$N$4:$N$103,未払一覧_ザック!$M$4:$M$103,A27)</f>
        <v>0</v>
      </c>
      <c r="D27" s="8">
        <f t="shared" si="0"/>
        <v>0</v>
      </c>
      <c r="E27" s="8">
        <f t="shared" si="1"/>
        <v>0</v>
      </c>
      <c r="F27" s="9">
        <f>SUMIFS(カード枠回復_ザック!$C$4:$C$53,カード枠回復_ザック!$A$4:$A$53,A27)</f>
        <v>0</v>
      </c>
      <c r="G27" s="57">
        <f t="shared" si="2"/>
        <v>0</v>
      </c>
      <c r="H27" s="60" t="s">
        <v>236</v>
      </c>
    </row>
    <row r="28" spans="1:8" ht="15" customHeight="1">
      <c r="A28" s="61">
        <v>46166</v>
      </c>
      <c r="B28" s="8">
        <f>SUMIFS(入金入力_ザック!$D$4:$D$103,入金入力_ザック!$A$4:$A$103,A28)</f>
        <v>0</v>
      </c>
      <c r="C28" s="8">
        <f>SUMIFS(未払一覧_ザック!$N$4:$N$103,未払一覧_ザック!$M$4:$M$103,A28)</f>
        <v>0</v>
      </c>
      <c r="D28" s="8">
        <f t="shared" si="0"/>
        <v>0</v>
      </c>
      <c r="E28" s="8">
        <f t="shared" si="1"/>
        <v>0</v>
      </c>
      <c r="F28" s="9">
        <f>SUMIFS(カード枠回復_ザック!$C$4:$C$53,カード枠回復_ザック!$A$4:$A$53,A28)</f>
        <v>0</v>
      </c>
      <c r="G28" s="57">
        <f t="shared" si="2"/>
        <v>0</v>
      </c>
      <c r="H28" s="60" t="s">
        <v>237</v>
      </c>
    </row>
    <row r="29" spans="1:8" ht="15" customHeight="1">
      <c r="A29" s="56">
        <v>46167</v>
      </c>
      <c r="B29" s="8">
        <f>SUMIFS(入金入力_ザック!$D$4:$D$103,入金入力_ザック!$A$4:$A$103,A29)</f>
        <v>0</v>
      </c>
      <c r="C29" s="8">
        <f>SUMIFS(未払一覧_ザック!$N$4:$N$103,未払一覧_ザック!$M$4:$M$103,A29)</f>
        <v>0</v>
      </c>
      <c r="D29" s="8">
        <f t="shared" si="0"/>
        <v>0</v>
      </c>
      <c r="E29" s="8">
        <f t="shared" si="1"/>
        <v>0</v>
      </c>
      <c r="F29" s="9">
        <f>SUMIFS(カード枠回復_ザック!$C$4:$C$53,カード枠回復_ザック!$A$4:$A$53,A29)</f>
        <v>0</v>
      </c>
      <c r="G29" s="57">
        <f t="shared" si="2"/>
        <v>0</v>
      </c>
      <c r="H29" s="58"/>
    </row>
    <row r="30" spans="1:8" ht="15" customHeight="1">
      <c r="A30" s="56">
        <v>46168</v>
      </c>
      <c r="B30" s="8">
        <f>SUMIFS(入金入力_ザック!$D$4:$D$103,入金入力_ザック!$A$4:$A$103,A30)</f>
        <v>0</v>
      </c>
      <c r="C30" s="8">
        <f>SUMIFS(未払一覧_ザック!$N$4:$N$103,未払一覧_ザック!$M$4:$M$103,A30)</f>
        <v>0</v>
      </c>
      <c r="D30" s="8">
        <f t="shared" si="0"/>
        <v>0</v>
      </c>
      <c r="E30" s="8">
        <f t="shared" si="1"/>
        <v>0</v>
      </c>
      <c r="F30" s="9">
        <f>SUMIFS(カード枠回復_ザック!$C$4:$C$53,カード枠回復_ザック!$A$4:$A$53,A30)</f>
        <v>0</v>
      </c>
      <c r="G30" s="57">
        <f t="shared" si="2"/>
        <v>0</v>
      </c>
      <c r="H30" s="58"/>
    </row>
    <row r="31" spans="1:8" ht="15" customHeight="1">
      <c r="A31" s="56">
        <v>46169</v>
      </c>
      <c r="B31" s="8">
        <f>SUMIFS(入金入力_ザック!$D$4:$D$103,入金入力_ザック!$A$4:$A$103,A31)</f>
        <v>0</v>
      </c>
      <c r="C31" s="8">
        <f>SUMIFS(未払一覧_ザック!$N$4:$N$103,未払一覧_ザック!$M$4:$M$103,A31)</f>
        <v>0</v>
      </c>
      <c r="D31" s="8">
        <f t="shared" si="0"/>
        <v>0</v>
      </c>
      <c r="E31" s="8">
        <f t="shared" si="1"/>
        <v>0</v>
      </c>
      <c r="F31" s="9">
        <f>SUMIFS(カード枠回復_ザック!$C$4:$C$53,カード枠回復_ザック!$A$4:$A$53,A31)</f>
        <v>0</v>
      </c>
      <c r="G31" s="57">
        <f t="shared" si="2"/>
        <v>0</v>
      </c>
      <c r="H31" s="58"/>
    </row>
    <row r="32" spans="1:8" ht="15" customHeight="1">
      <c r="A32" s="56">
        <v>46170</v>
      </c>
      <c r="B32" s="8">
        <f>SUMIFS(入金入力_ザック!$D$4:$D$103,入金入力_ザック!$A$4:$A$103,A32)</f>
        <v>0</v>
      </c>
      <c r="C32" s="8">
        <f>SUMIFS(未払一覧_ザック!$N$4:$N$103,未払一覧_ザック!$M$4:$M$103,A32)</f>
        <v>0</v>
      </c>
      <c r="D32" s="8">
        <f t="shared" si="0"/>
        <v>0</v>
      </c>
      <c r="E32" s="8">
        <f t="shared" si="1"/>
        <v>0</v>
      </c>
      <c r="F32" s="9">
        <f>SUMIFS(カード枠回復_ザック!$C$4:$C$53,カード枠回復_ザック!$A$4:$A$53,A32)</f>
        <v>0</v>
      </c>
      <c r="G32" s="57">
        <f t="shared" si="2"/>
        <v>0</v>
      </c>
      <c r="H32" s="58"/>
    </row>
    <row r="33" spans="1:8" ht="15" customHeight="1">
      <c r="A33" s="56">
        <v>46171</v>
      </c>
      <c r="B33" s="8">
        <f>SUMIFS(入金入力_ザック!$D$4:$D$103,入金入力_ザック!$A$4:$A$103,A33)</f>
        <v>0</v>
      </c>
      <c r="C33" s="8">
        <f>SUMIFS(未払一覧_ザック!$N$4:$N$103,未払一覧_ザック!$M$4:$M$103,A33)</f>
        <v>0</v>
      </c>
      <c r="D33" s="8">
        <f t="shared" si="0"/>
        <v>0</v>
      </c>
      <c r="E33" s="8">
        <f t="shared" si="1"/>
        <v>0</v>
      </c>
      <c r="F33" s="9">
        <f>SUMIFS(カード枠回復_ザック!$C$4:$C$53,カード枠回復_ザック!$A$4:$A$53,A33)</f>
        <v>0</v>
      </c>
      <c r="G33" s="57">
        <f t="shared" si="2"/>
        <v>0</v>
      </c>
      <c r="H33" s="58"/>
    </row>
    <row r="34" spans="1:8" ht="15" customHeight="1">
      <c r="A34" s="59">
        <v>46172</v>
      </c>
      <c r="B34" s="8">
        <f>SUMIFS(入金入力_ザック!$D$4:$D$103,入金入力_ザック!$A$4:$A$103,A34)</f>
        <v>0</v>
      </c>
      <c r="C34" s="8">
        <f>SUMIFS(未払一覧_ザック!$N$4:$N$103,未払一覧_ザック!$M$4:$M$103,A34)</f>
        <v>0</v>
      </c>
      <c r="D34" s="8">
        <f t="shared" si="0"/>
        <v>0</v>
      </c>
      <c r="E34" s="8">
        <f t="shared" si="1"/>
        <v>0</v>
      </c>
      <c r="F34" s="9">
        <f>SUMIFS(カード枠回復_ザック!$C$4:$C$53,カード枠回復_ザック!$A$4:$A$53,A34)</f>
        <v>0</v>
      </c>
      <c r="G34" s="57">
        <f t="shared" si="2"/>
        <v>0</v>
      </c>
      <c r="H34" s="60" t="s">
        <v>236</v>
      </c>
    </row>
    <row r="35" spans="1:8" ht="15" customHeight="1">
      <c r="A35" s="61">
        <v>46173</v>
      </c>
      <c r="B35" s="8">
        <f>SUMIFS(入金入力_ザック!$D$4:$D$103,入金入力_ザック!$A$4:$A$103,A35)</f>
        <v>0</v>
      </c>
      <c r="C35" s="8">
        <f>SUMIFS(未払一覧_ザック!$N$4:$N$103,未払一覧_ザック!$M$4:$M$103,A35)</f>
        <v>0</v>
      </c>
      <c r="D35" s="8">
        <f t="shared" si="0"/>
        <v>0</v>
      </c>
      <c r="E35" s="8">
        <f t="shared" si="1"/>
        <v>0</v>
      </c>
      <c r="F35" s="9">
        <f>SUMIFS(カード枠回復_ザック!$C$4:$C$53,カード枠回復_ザック!$A$4:$A$53,A35)</f>
        <v>0</v>
      </c>
      <c r="G35" s="57">
        <f t="shared" si="2"/>
        <v>0</v>
      </c>
      <c r="H35" s="60" t="s">
        <v>237</v>
      </c>
    </row>
    <row r="37" spans="1:8" ht="15" customHeight="1">
      <c r="A37" s="11" t="s">
        <v>238</v>
      </c>
      <c r="B37" s="12">
        <f>SUM(B4:B35)</f>
        <v>0</v>
      </c>
      <c r="C37" s="12">
        <f>SUM(C4:C35)</f>
        <v>0</v>
      </c>
      <c r="D37" s="12">
        <f>B37-C37-F37</f>
        <v>0</v>
      </c>
      <c r="E37" s="12">
        <f>E35</f>
        <v>0</v>
      </c>
      <c r="F37" s="12">
        <f>SUM(F4:F35)</f>
        <v>0</v>
      </c>
      <c r="G37" s="12">
        <f>G35</f>
        <v>0</v>
      </c>
      <c r="H37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3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8" t="s">
        <v>258</v>
      </c>
      <c r="B1" s="98"/>
      <c r="C1" s="98"/>
      <c r="D1" s="98"/>
      <c r="E1" s="98"/>
      <c r="F1" s="98"/>
      <c r="G1" s="98"/>
      <c r="H1" s="98"/>
    </row>
    <row r="2" spans="1:8" ht="11.25" customHeight="1">
      <c r="A2" s="95" t="s">
        <v>257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46174</v>
      </c>
      <c r="B4" s="8">
        <f>SUMIFS(入金入力_ザック!$D$4:$D$103,入金入力_ザック!$A$4:$A$103,A4)</f>
        <v>0</v>
      </c>
      <c r="C4" s="8">
        <f>SUMIFS(未払一覧_ザック!$N$4:$N$103,未払一覧_ザック!$M$4:$M$103,A4)</f>
        <v>0</v>
      </c>
      <c r="D4" s="8">
        <f t="shared" ref="D4:D33" si="0">B4-C4-F4</f>
        <v>0</v>
      </c>
      <c r="E4" s="8">
        <f>'5月_ザック'!E35+D4</f>
        <v>0</v>
      </c>
      <c r="F4" s="9">
        <f>SUMIFS(カード枠回復_ザック!$C$4:$C$53,カード枠回復_ザック!$A$4:$A$53,A4)</f>
        <v>0</v>
      </c>
      <c r="G4" s="57">
        <f>'5月_ザック'!G35+D4+F4</f>
        <v>0</v>
      </c>
      <c r="H4" s="58"/>
    </row>
    <row r="5" spans="1:8" ht="15" customHeight="1">
      <c r="A5" s="56">
        <v>46175</v>
      </c>
      <c r="B5" s="8">
        <f>SUMIFS(入金入力_ザック!$D$4:$D$103,入金入力_ザック!$A$4:$A$103,A5)</f>
        <v>0</v>
      </c>
      <c r="C5" s="8">
        <f>SUMIFS(未払一覧_ザック!$N$4:$N$103,未払一覧_ザック!$M$4:$M$103,A5)</f>
        <v>0</v>
      </c>
      <c r="D5" s="8">
        <f t="shared" si="0"/>
        <v>0</v>
      </c>
      <c r="E5" s="8">
        <f t="shared" ref="E5:E33" si="1">E4+D5</f>
        <v>0</v>
      </c>
      <c r="F5" s="9">
        <f>SUMIFS(カード枠回復_ザック!$C$4:$C$53,カード枠回復_ザック!$A$4:$A$53,A5)</f>
        <v>0</v>
      </c>
      <c r="G5" s="57">
        <f t="shared" ref="G5:G33" si="2">G4+D5+F5</f>
        <v>0</v>
      </c>
      <c r="H5" s="58"/>
    </row>
    <row r="6" spans="1:8" ht="15" customHeight="1">
      <c r="A6" s="56">
        <v>46176</v>
      </c>
      <c r="B6" s="8">
        <f>SUMIFS(入金入力_ザック!$D$4:$D$103,入金入力_ザック!$A$4:$A$103,A6)</f>
        <v>0</v>
      </c>
      <c r="C6" s="8">
        <f>SUMIFS(未払一覧_ザック!$N$4:$N$103,未払一覧_ザック!$M$4:$M$103,A6)</f>
        <v>0</v>
      </c>
      <c r="D6" s="8">
        <f t="shared" si="0"/>
        <v>0</v>
      </c>
      <c r="E6" s="8">
        <f t="shared" si="1"/>
        <v>0</v>
      </c>
      <c r="F6" s="9">
        <f>SUMIFS(カード枠回復_ザック!$C$4:$C$53,カード枠回復_ザック!$A$4:$A$53,A6)</f>
        <v>0</v>
      </c>
      <c r="G6" s="57">
        <f t="shared" si="2"/>
        <v>0</v>
      </c>
      <c r="H6" s="58"/>
    </row>
    <row r="7" spans="1:8" ht="15" customHeight="1">
      <c r="A7" s="56">
        <v>46177</v>
      </c>
      <c r="B7" s="8">
        <f>SUMIFS(入金入力_ザック!$D$4:$D$103,入金入力_ザック!$A$4:$A$103,A7)</f>
        <v>0</v>
      </c>
      <c r="C7" s="8">
        <f>SUMIFS(未払一覧_ザック!$N$4:$N$103,未払一覧_ザック!$M$4:$M$103,A7)</f>
        <v>0</v>
      </c>
      <c r="D7" s="8">
        <f t="shared" si="0"/>
        <v>0</v>
      </c>
      <c r="E7" s="8">
        <f t="shared" si="1"/>
        <v>0</v>
      </c>
      <c r="F7" s="9">
        <f>SUMIFS(カード枠回復_ザック!$C$4:$C$53,カード枠回復_ザック!$A$4:$A$53,A7)</f>
        <v>0</v>
      </c>
      <c r="G7" s="57">
        <f t="shared" si="2"/>
        <v>0</v>
      </c>
      <c r="H7" s="58"/>
    </row>
    <row r="8" spans="1:8" ht="15" customHeight="1">
      <c r="A8" s="56">
        <v>46178</v>
      </c>
      <c r="B8" s="8">
        <f>SUMIFS(入金入力_ザック!$D$4:$D$103,入金入力_ザック!$A$4:$A$103,A8)</f>
        <v>0</v>
      </c>
      <c r="C8" s="8">
        <f>SUMIFS(未払一覧_ザック!$N$4:$N$103,未払一覧_ザック!$M$4:$M$103,A8)</f>
        <v>0</v>
      </c>
      <c r="D8" s="8">
        <f t="shared" si="0"/>
        <v>0</v>
      </c>
      <c r="E8" s="8">
        <f t="shared" si="1"/>
        <v>0</v>
      </c>
      <c r="F8" s="9">
        <f>SUMIFS(カード枠回復_ザック!$C$4:$C$53,カード枠回復_ザック!$A$4:$A$53,A8)</f>
        <v>0</v>
      </c>
      <c r="G8" s="57">
        <f t="shared" si="2"/>
        <v>0</v>
      </c>
      <c r="H8" s="58"/>
    </row>
    <row r="9" spans="1:8" ht="15" customHeight="1">
      <c r="A9" s="59">
        <v>46179</v>
      </c>
      <c r="B9" s="8">
        <f>SUMIFS(入金入力_ザック!$D$4:$D$103,入金入力_ザック!$A$4:$A$103,A9)</f>
        <v>0</v>
      </c>
      <c r="C9" s="8">
        <f>SUMIFS(未払一覧_ザック!$N$4:$N$103,未払一覧_ザック!$M$4:$M$103,A9)</f>
        <v>0</v>
      </c>
      <c r="D9" s="8">
        <f t="shared" si="0"/>
        <v>0</v>
      </c>
      <c r="E9" s="8">
        <f t="shared" si="1"/>
        <v>0</v>
      </c>
      <c r="F9" s="9">
        <f>SUMIFS(カード枠回復_ザック!$C$4:$C$53,カード枠回復_ザック!$A$4:$A$53,A9)</f>
        <v>0</v>
      </c>
      <c r="G9" s="57">
        <f t="shared" si="2"/>
        <v>0</v>
      </c>
      <c r="H9" s="60" t="s">
        <v>236</v>
      </c>
    </row>
    <row r="10" spans="1:8" ht="15" customHeight="1">
      <c r="A10" s="61">
        <v>46180</v>
      </c>
      <c r="B10" s="8">
        <f>SUMIFS(入金入力_ザック!$D$4:$D$103,入金入力_ザック!$A$4:$A$103,A10)</f>
        <v>0</v>
      </c>
      <c r="C10" s="8">
        <f>SUMIFS(未払一覧_ザック!$N$4:$N$103,未払一覧_ザック!$M$4:$M$103,A10)</f>
        <v>0</v>
      </c>
      <c r="D10" s="8">
        <f t="shared" si="0"/>
        <v>0</v>
      </c>
      <c r="E10" s="8">
        <f t="shared" si="1"/>
        <v>0</v>
      </c>
      <c r="F10" s="9">
        <f>SUMIFS(カード枠回復_ザック!$C$4:$C$53,カード枠回復_ザック!$A$4:$A$53,A10)</f>
        <v>0</v>
      </c>
      <c r="G10" s="57">
        <f t="shared" si="2"/>
        <v>0</v>
      </c>
      <c r="H10" s="60" t="s">
        <v>237</v>
      </c>
    </row>
    <row r="11" spans="1:8" ht="15" customHeight="1">
      <c r="A11" s="56">
        <v>46181</v>
      </c>
      <c r="B11" s="8">
        <f>SUMIFS(入金入力_ザック!$D$4:$D$103,入金入力_ザック!$A$4:$A$103,A11)</f>
        <v>0</v>
      </c>
      <c r="C11" s="8">
        <f>SUMIFS(未払一覧_ザック!$N$4:$N$103,未払一覧_ザック!$M$4:$M$103,A11)</f>
        <v>0</v>
      </c>
      <c r="D11" s="8">
        <f t="shared" si="0"/>
        <v>0</v>
      </c>
      <c r="E11" s="8">
        <f t="shared" si="1"/>
        <v>0</v>
      </c>
      <c r="F11" s="9">
        <f>SUMIFS(カード枠回復_ザック!$C$4:$C$53,カード枠回復_ザック!$A$4:$A$53,A11)</f>
        <v>0</v>
      </c>
      <c r="G11" s="57">
        <f t="shared" si="2"/>
        <v>0</v>
      </c>
      <c r="H11" s="58"/>
    </row>
    <row r="12" spans="1:8" ht="15" customHeight="1">
      <c r="A12" s="56">
        <v>46182</v>
      </c>
      <c r="B12" s="8">
        <f>SUMIFS(入金入力_ザック!$D$4:$D$103,入金入力_ザック!$A$4:$A$103,A12)</f>
        <v>0</v>
      </c>
      <c r="C12" s="8">
        <f>SUMIFS(未払一覧_ザック!$N$4:$N$103,未払一覧_ザック!$M$4:$M$103,A12)</f>
        <v>0</v>
      </c>
      <c r="D12" s="8">
        <f t="shared" si="0"/>
        <v>0</v>
      </c>
      <c r="E12" s="8">
        <f t="shared" si="1"/>
        <v>0</v>
      </c>
      <c r="F12" s="9">
        <f>SUMIFS(カード枠回復_ザック!$C$4:$C$53,カード枠回復_ザック!$A$4:$A$53,A12)</f>
        <v>0</v>
      </c>
      <c r="G12" s="57">
        <f t="shared" si="2"/>
        <v>0</v>
      </c>
      <c r="H12" s="58"/>
    </row>
    <row r="13" spans="1:8" ht="15" customHeight="1">
      <c r="A13" s="56">
        <v>46183</v>
      </c>
      <c r="B13" s="8">
        <f>SUMIFS(入金入力_ザック!$D$4:$D$103,入金入力_ザック!$A$4:$A$103,A13)</f>
        <v>0</v>
      </c>
      <c r="C13" s="8">
        <f>SUMIFS(未払一覧_ザック!$N$4:$N$103,未払一覧_ザック!$M$4:$M$103,A13)</f>
        <v>0</v>
      </c>
      <c r="D13" s="8">
        <f t="shared" si="0"/>
        <v>0</v>
      </c>
      <c r="E13" s="8">
        <f t="shared" si="1"/>
        <v>0</v>
      </c>
      <c r="F13" s="9">
        <f>SUMIFS(カード枠回復_ザック!$C$4:$C$53,カード枠回復_ザック!$A$4:$A$53,A13)</f>
        <v>0</v>
      </c>
      <c r="G13" s="57">
        <f t="shared" si="2"/>
        <v>0</v>
      </c>
      <c r="H13" s="58"/>
    </row>
    <row r="14" spans="1:8" ht="15" customHeight="1">
      <c r="A14" s="56">
        <v>46184</v>
      </c>
      <c r="B14" s="8">
        <f>SUMIFS(入金入力_ザック!$D$4:$D$103,入金入力_ザック!$A$4:$A$103,A14)</f>
        <v>0</v>
      </c>
      <c r="C14" s="8">
        <f>SUMIFS(未払一覧_ザック!$N$4:$N$103,未払一覧_ザック!$M$4:$M$103,A14)</f>
        <v>0</v>
      </c>
      <c r="D14" s="8">
        <f t="shared" si="0"/>
        <v>0</v>
      </c>
      <c r="E14" s="8">
        <f t="shared" si="1"/>
        <v>0</v>
      </c>
      <c r="F14" s="9">
        <f>SUMIFS(カード枠回復_ザック!$C$4:$C$53,カード枠回復_ザック!$A$4:$A$53,A14)</f>
        <v>0</v>
      </c>
      <c r="G14" s="57">
        <f t="shared" si="2"/>
        <v>0</v>
      </c>
      <c r="H14" s="58"/>
    </row>
    <row r="15" spans="1:8" ht="15" customHeight="1">
      <c r="A15" s="56">
        <v>46185</v>
      </c>
      <c r="B15" s="8">
        <f>SUMIFS(入金入力_ザック!$D$4:$D$103,入金入力_ザック!$A$4:$A$103,A15)</f>
        <v>0</v>
      </c>
      <c r="C15" s="8">
        <f>SUMIFS(未払一覧_ザック!$N$4:$N$103,未払一覧_ザック!$M$4:$M$103,A15)</f>
        <v>0</v>
      </c>
      <c r="D15" s="8">
        <f t="shared" si="0"/>
        <v>0</v>
      </c>
      <c r="E15" s="8">
        <f t="shared" si="1"/>
        <v>0</v>
      </c>
      <c r="F15" s="9">
        <f>SUMIFS(カード枠回復_ザック!$C$4:$C$53,カード枠回復_ザック!$A$4:$A$53,A15)</f>
        <v>0</v>
      </c>
      <c r="G15" s="57">
        <f t="shared" si="2"/>
        <v>0</v>
      </c>
      <c r="H15" s="58"/>
    </row>
    <row r="16" spans="1:8" ht="15" customHeight="1">
      <c r="A16" s="59">
        <v>46186</v>
      </c>
      <c r="B16" s="8">
        <f>SUMIFS(入金入力_ザック!$D$4:$D$103,入金入力_ザック!$A$4:$A$103,A16)</f>
        <v>0</v>
      </c>
      <c r="C16" s="8">
        <f>SUMIFS(未払一覧_ザック!$N$4:$N$103,未払一覧_ザック!$M$4:$M$103,A16)</f>
        <v>0</v>
      </c>
      <c r="D16" s="8">
        <f t="shared" si="0"/>
        <v>0</v>
      </c>
      <c r="E16" s="8">
        <f t="shared" si="1"/>
        <v>0</v>
      </c>
      <c r="F16" s="9">
        <f>SUMIFS(カード枠回復_ザック!$C$4:$C$53,カード枠回復_ザック!$A$4:$A$53,A16)</f>
        <v>0</v>
      </c>
      <c r="G16" s="57">
        <f t="shared" si="2"/>
        <v>0</v>
      </c>
      <c r="H16" s="60" t="s">
        <v>236</v>
      </c>
    </row>
    <row r="17" spans="1:8" ht="15" customHeight="1">
      <c r="A17" s="61">
        <v>46187</v>
      </c>
      <c r="B17" s="8">
        <f>SUMIFS(入金入力_ザック!$D$4:$D$103,入金入力_ザック!$A$4:$A$103,A17)</f>
        <v>0</v>
      </c>
      <c r="C17" s="8">
        <f>SUMIFS(未払一覧_ザック!$N$4:$N$103,未払一覧_ザック!$M$4:$M$103,A17)</f>
        <v>0</v>
      </c>
      <c r="D17" s="8">
        <f t="shared" si="0"/>
        <v>0</v>
      </c>
      <c r="E17" s="8">
        <f t="shared" si="1"/>
        <v>0</v>
      </c>
      <c r="F17" s="9">
        <f>SUMIFS(カード枠回復_ザック!$C$4:$C$53,カード枠回復_ザック!$A$4:$A$53,A17)</f>
        <v>0</v>
      </c>
      <c r="G17" s="57">
        <f t="shared" si="2"/>
        <v>0</v>
      </c>
      <c r="H17" s="60" t="s">
        <v>237</v>
      </c>
    </row>
    <row r="18" spans="1:8" ht="15" customHeight="1">
      <c r="A18" s="56">
        <v>46188</v>
      </c>
      <c r="B18" s="8">
        <f>SUMIFS(入金入力_ザック!$D$4:$D$103,入金入力_ザック!$A$4:$A$103,A18)</f>
        <v>0</v>
      </c>
      <c r="C18" s="8">
        <f>SUMIFS(未払一覧_ザック!$N$4:$N$103,未払一覧_ザック!$M$4:$M$103,A18)</f>
        <v>0</v>
      </c>
      <c r="D18" s="8">
        <f t="shared" si="0"/>
        <v>0</v>
      </c>
      <c r="E18" s="8">
        <f t="shared" si="1"/>
        <v>0</v>
      </c>
      <c r="F18" s="9">
        <f>SUMIFS(カード枠回復_ザック!$C$4:$C$53,カード枠回復_ザック!$A$4:$A$53,A18)</f>
        <v>0</v>
      </c>
      <c r="G18" s="57">
        <f t="shared" si="2"/>
        <v>0</v>
      </c>
      <c r="H18" s="58"/>
    </row>
    <row r="19" spans="1:8" ht="15" customHeight="1">
      <c r="A19" s="56">
        <v>46189</v>
      </c>
      <c r="B19" s="8">
        <f>SUMIFS(入金入力_ザック!$D$4:$D$103,入金入力_ザック!$A$4:$A$103,A19)</f>
        <v>0</v>
      </c>
      <c r="C19" s="8">
        <f>SUMIFS(未払一覧_ザック!$N$4:$N$103,未払一覧_ザック!$M$4:$M$103,A19)</f>
        <v>0</v>
      </c>
      <c r="D19" s="8">
        <f t="shared" si="0"/>
        <v>0</v>
      </c>
      <c r="E19" s="8">
        <f t="shared" si="1"/>
        <v>0</v>
      </c>
      <c r="F19" s="9">
        <f>SUMIFS(カード枠回復_ザック!$C$4:$C$53,カード枠回復_ザック!$A$4:$A$53,A19)</f>
        <v>0</v>
      </c>
      <c r="G19" s="57">
        <f t="shared" si="2"/>
        <v>0</v>
      </c>
      <c r="H19" s="58"/>
    </row>
    <row r="20" spans="1:8" ht="15" customHeight="1">
      <c r="A20" s="56">
        <v>46190</v>
      </c>
      <c r="B20" s="8">
        <f>SUMIFS(入金入力_ザック!$D$4:$D$103,入金入力_ザック!$A$4:$A$103,A20)</f>
        <v>0</v>
      </c>
      <c r="C20" s="8">
        <f>SUMIFS(未払一覧_ザック!$N$4:$N$103,未払一覧_ザック!$M$4:$M$103,A20)</f>
        <v>0</v>
      </c>
      <c r="D20" s="8">
        <f t="shared" si="0"/>
        <v>0</v>
      </c>
      <c r="E20" s="8">
        <f t="shared" si="1"/>
        <v>0</v>
      </c>
      <c r="F20" s="9">
        <f>SUMIFS(カード枠回復_ザック!$C$4:$C$53,カード枠回復_ザック!$A$4:$A$53,A20)</f>
        <v>0</v>
      </c>
      <c r="G20" s="57">
        <f t="shared" si="2"/>
        <v>0</v>
      </c>
      <c r="H20" s="58"/>
    </row>
    <row r="21" spans="1:8" ht="15" customHeight="1">
      <c r="A21" s="56">
        <v>46191</v>
      </c>
      <c r="B21" s="8">
        <f>SUMIFS(入金入力_ザック!$D$4:$D$103,入金入力_ザック!$A$4:$A$103,A21)</f>
        <v>0</v>
      </c>
      <c r="C21" s="8">
        <f>SUMIFS(未払一覧_ザック!$N$4:$N$103,未払一覧_ザック!$M$4:$M$103,A21)</f>
        <v>0</v>
      </c>
      <c r="D21" s="8">
        <f t="shared" si="0"/>
        <v>0</v>
      </c>
      <c r="E21" s="8">
        <f t="shared" si="1"/>
        <v>0</v>
      </c>
      <c r="F21" s="9">
        <f>SUMIFS(カード枠回復_ザック!$C$4:$C$53,カード枠回復_ザック!$A$4:$A$53,A21)</f>
        <v>0</v>
      </c>
      <c r="G21" s="57">
        <f t="shared" si="2"/>
        <v>0</v>
      </c>
      <c r="H21" s="58"/>
    </row>
    <row r="22" spans="1:8" ht="15" customHeight="1">
      <c r="A22" s="56">
        <v>46192</v>
      </c>
      <c r="B22" s="8">
        <f>SUMIFS(入金入力_ザック!$D$4:$D$103,入金入力_ザック!$A$4:$A$103,A22)</f>
        <v>0</v>
      </c>
      <c r="C22" s="8">
        <f>SUMIFS(未払一覧_ザック!$N$4:$N$103,未払一覧_ザック!$M$4:$M$103,A22)</f>
        <v>0</v>
      </c>
      <c r="D22" s="8">
        <f t="shared" si="0"/>
        <v>0</v>
      </c>
      <c r="E22" s="8">
        <f t="shared" si="1"/>
        <v>0</v>
      </c>
      <c r="F22" s="9">
        <f>SUMIFS(カード枠回復_ザック!$C$4:$C$53,カード枠回復_ザック!$A$4:$A$53,A22)</f>
        <v>0</v>
      </c>
      <c r="G22" s="57">
        <f t="shared" si="2"/>
        <v>0</v>
      </c>
      <c r="H22" s="58"/>
    </row>
    <row r="23" spans="1:8" ht="15" customHeight="1">
      <c r="A23" s="59">
        <v>46193</v>
      </c>
      <c r="B23" s="8">
        <f>SUMIFS(入金入力_ザック!$D$4:$D$103,入金入力_ザック!$A$4:$A$103,A23)</f>
        <v>0</v>
      </c>
      <c r="C23" s="8">
        <f>SUMIFS(未払一覧_ザック!$N$4:$N$103,未払一覧_ザック!$M$4:$M$103,A23)</f>
        <v>0</v>
      </c>
      <c r="D23" s="8">
        <f t="shared" si="0"/>
        <v>0</v>
      </c>
      <c r="E23" s="8">
        <f t="shared" si="1"/>
        <v>0</v>
      </c>
      <c r="F23" s="9">
        <f>SUMIFS(カード枠回復_ザック!$C$4:$C$53,カード枠回復_ザック!$A$4:$A$53,A23)</f>
        <v>0</v>
      </c>
      <c r="G23" s="57">
        <f t="shared" si="2"/>
        <v>0</v>
      </c>
      <c r="H23" s="60" t="s">
        <v>236</v>
      </c>
    </row>
    <row r="24" spans="1:8" ht="15" customHeight="1">
      <c r="A24" s="61">
        <v>46194</v>
      </c>
      <c r="B24" s="8">
        <f>SUMIFS(入金入力_ザック!$D$4:$D$103,入金入力_ザック!$A$4:$A$103,A24)</f>
        <v>0</v>
      </c>
      <c r="C24" s="8">
        <f>SUMIFS(未払一覧_ザック!$N$4:$N$103,未払一覧_ザック!$M$4:$M$103,A24)</f>
        <v>0</v>
      </c>
      <c r="D24" s="8">
        <f t="shared" si="0"/>
        <v>0</v>
      </c>
      <c r="E24" s="8">
        <f t="shared" si="1"/>
        <v>0</v>
      </c>
      <c r="F24" s="9">
        <f>SUMIFS(カード枠回復_ザック!$C$4:$C$53,カード枠回復_ザック!$A$4:$A$53,A24)</f>
        <v>0</v>
      </c>
      <c r="G24" s="57">
        <f t="shared" si="2"/>
        <v>0</v>
      </c>
      <c r="H24" s="60" t="s">
        <v>237</v>
      </c>
    </row>
    <row r="25" spans="1:8" ht="15" customHeight="1">
      <c r="A25" s="56">
        <v>46195</v>
      </c>
      <c r="B25" s="8">
        <f>SUMIFS(入金入力_ザック!$D$4:$D$103,入金入力_ザック!$A$4:$A$103,A25)</f>
        <v>0</v>
      </c>
      <c r="C25" s="8">
        <f>SUMIFS(未払一覧_ザック!$N$4:$N$103,未払一覧_ザック!$M$4:$M$103,A25)</f>
        <v>0</v>
      </c>
      <c r="D25" s="8">
        <f t="shared" si="0"/>
        <v>0</v>
      </c>
      <c r="E25" s="8">
        <f t="shared" si="1"/>
        <v>0</v>
      </c>
      <c r="F25" s="9">
        <f>SUMIFS(カード枠回復_ザック!$C$4:$C$53,カード枠回復_ザック!$A$4:$A$53,A25)</f>
        <v>0</v>
      </c>
      <c r="G25" s="57">
        <f t="shared" si="2"/>
        <v>0</v>
      </c>
      <c r="H25" s="58"/>
    </row>
    <row r="26" spans="1:8" ht="15" customHeight="1">
      <c r="A26" s="56">
        <v>46196</v>
      </c>
      <c r="B26" s="8">
        <f>SUMIFS(入金入力_ザック!$D$4:$D$103,入金入力_ザック!$A$4:$A$103,A26)</f>
        <v>0</v>
      </c>
      <c r="C26" s="8">
        <f>SUMIFS(未払一覧_ザック!$N$4:$N$103,未払一覧_ザック!$M$4:$M$103,A26)</f>
        <v>0</v>
      </c>
      <c r="D26" s="8">
        <f t="shared" si="0"/>
        <v>0</v>
      </c>
      <c r="E26" s="8">
        <f t="shared" si="1"/>
        <v>0</v>
      </c>
      <c r="F26" s="9">
        <f>SUMIFS(カード枠回復_ザック!$C$4:$C$53,カード枠回復_ザック!$A$4:$A$53,A26)</f>
        <v>0</v>
      </c>
      <c r="G26" s="57">
        <f t="shared" si="2"/>
        <v>0</v>
      </c>
      <c r="H26" s="58"/>
    </row>
    <row r="27" spans="1:8" ht="15" customHeight="1">
      <c r="A27" s="56">
        <v>46197</v>
      </c>
      <c r="B27" s="8">
        <f>SUMIFS(入金入力_ザック!$D$4:$D$103,入金入力_ザック!$A$4:$A$103,A27)</f>
        <v>0</v>
      </c>
      <c r="C27" s="8">
        <f>SUMIFS(未払一覧_ザック!$N$4:$N$103,未払一覧_ザック!$M$4:$M$103,A27)</f>
        <v>0</v>
      </c>
      <c r="D27" s="8">
        <f t="shared" si="0"/>
        <v>0</v>
      </c>
      <c r="E27" s="8">
        <f t="shared" si="1"/>
        <v>0</v>
      </c>
      <c r="F27" s="9">
        <f>SUMIFS(カード枠回復_ザック!$C$4:$C$53,カード枠回復_ザック!$A$4:$A$53,A27)</f>
        <v>0</v>
      </c>
      <c r="G27" s="57">
        <f t="shared" si="2"/>
        <v>0</v>
      </c>
      <c r="H27" s="58"/>
    </row>
    <row r="28" spans="1:8" ht="15" customHeight="1">
      <c r="A28" s="56">
        <v>46198</v>
      </c>
      <c r="B28" s="8">
        <f>SUMIFS(入金入力_ザック!$D$4:$D$103,入金入力_ザック!$A$4:$A$103,A28)</f>
        <v>0</v>
      </c>
      <c r="C28" s="8">
        <f>SUMIFS(未払一覧_ザック!$N$4:$N$103,未払一覧_ザック!$M$4:$M$103,A28)</f>
        <v>0</v>
      </c>
      <c r="D28" s="8">
        <f t="shared" si="0"/>
        <v>0</v>
      </c>
      <c r="E28" s="8">
        <f t="shared" si="1"/>
        <v>0</v>
      </c>
      <c r="F28" s="9">
        <f>SUMIFS(カード枠回復_ザック!$C$4:$C$53,カード枠回復_ザック!$A$4:$A$53,A28)</f>
        <v>0</v>
      </c>
      <c r="G28" s="57">
        <f t="shared" si="2"/>
        <v>0</v>
      </c>
      <c r="H28" s="58"/>
    </row>
    <row r="29" spans="1:8" ht="15" customHeight="1">
      <c r="A29" s="56">
        <v>46199</v>
      </c>
      <c r="B29" s="8">
        <f>SUMIFS(入金入力_ザック!$D$4:$D$103,入金入力_ザック!$A$4:$A$103,A29)</f>
        <v>0</v>
      </c>
      <c r="C29" s="8">
        <f>SUMIFS(未払一覧_ザック!$N$4:$N$103,未払一覧_ザック!$M$4:$M$103,A29)</f>
        <v>0</v>
      </c>
      <c r="D29" s="8">
        <f t="shared" si="0"/>
        <v>0</v>
      </c>
      <c r="E29" s="8">
        <f t="shared" si="1"/>
        <v>0</v>
      </c>
      <c r="F29" s="9">
        <f>SUMIFS(カード枠回復_ザック!$C$4:$C$53,カード枠回復_ザック!$A$4:$A$53,A29)</f>
        <v>0</v>
      </c>
      <c r="G29" s="57">
        <f t="shared" si="2"/>
        <v>0</v>
      </c>
      <c r="H29" s="58"/>
    </row>
    <row r="30" spans="1:8" ht="15" customHeight="1">
      <c r="A30" s="59">
        <v>46200</v>
      </c>
      <c r="B30" s="8">
        <f>SUMIFS(入金入力_ザック!$D$4:$D$103,入金入力_ザック!$A$4:$A$103,A30)</f>
        <v>0</v>
      </c>
      <c r="C30" s="8">
        <f>SUMIFS(未払一覧_ザック!$N$4:$N$103,未払一覧_ザック!$M$4:$M$103,A30)</f>
        <v>0</v>
      </c>
      <c r="D30" s="8">
        <f t="shared" si="0"/>
        <v>0</v>
      </c>
      <c r="E30" s="8">
        <f t="shared" si="1"/>
        <v>0</v>
      </c>
      <c r="F30" s="9">
        <f>SUMIFS(カード枠回復_ザック!$C$4:$C$53,カード枠回復_ザック!$A$4:$A$53,A30)</f>
        <v>0</v>
      </c>
      <c r="G30" s="57">
        <f t="shared" si="2"/>
        <v>0</v>
      </c>
      <c r="H30" s="60" t="s">
        <v>236</v>
      </c>
    </row>
    <row r="31" spans="1:8" ht="15" customHeight="1">
      <c r="A31" s="61">
        <v>46201</v>
      </c>
      <c r="B31" s="8">
        <f>SUMIFS(入金入力_ザック!$D$4:$D$103,入金入力_ザック!$A$4:$A$103,A31)</f>
        <v>0</v>
      </c>
      <c r="C31" s="8">
        <f>SUMIFS(未払一覧_ザック!$N$4:$N$103,未払一覧_ザック!$M$4:$M$103,A31)</f>
        <v>0</v>
      </c>
      <c r="D31" s="8">
        <f t="shared" si="0"/>
        <v>0</v>
      </c>
      <c r="E31" s="8">
        <f t="shared" si="1"/>
        <v>0</v>
      </c>
      <c r="F31" s="9">
        <f>SUMIFS(カード枠回復_ザック!$C$4:$C$53,カード枠回復_ザック!$A$4:$A$53,A31)</f>
        <v>0</v>
      </c>
      <c r="G31" s="57">
        <f t="shared" si="2"/>
        <v>0</v>
      </c>
      <c r="H31" s="60" t="s">
        <v>237</v>
      </c>
    </row>
    <row r="32" spans="1:8" ht="15" customHeight="1">
      <c r="A32" s="56">
        <v>46202</v>
      </c>
      <c r="B32" s="8">
        <f>SUMIFS(入金入力_ザック!$D$4:$D$103,入金入力_ザック!$A$4:$A$103,A32)</f>
        <v>0</v>
      </c>
      <c r="C32" s="8">
        <f>SUMIFS(未払一覧_ザック!$N$4:$N$103,未払一覧_ザック!$M$4:$M$103,A32)</f>
        <v>0</v>
      </c>
      <c r="D32" s="8">
        <f t="shared" si="0"/>
        <v>0</v>
      </c>
      <c r="E32" s="8">
        <f t="shared" si="1"/>
        <v>0</v>
      </c>
      <c r="F32" s="9">
        <f>SUMIFS(カード枠回復_ザック!$C$4:$C$53,カード枠回復_ザック!$A$4:$A$53,A32)</f>
        <v>0</v>
      </c>
      <c r="G32" s="57">
        <f t="shared" si="2"/>
        <v>0</v>
      </c>
      <c r="H32" s="58"/>
    </row>
    <row r="33" spans="1:8" ht="15" customHeight="1">
      <c r="A33" s="56">
        <v>46203</v>
      </c>
      <c r="B33" s="8">
        <f>SUMIFS(入金入力_ザック!$D$4:$D$103,入金入力_ザック!$A$4:$A$103,A33)</f>
        <v>0</v>
      </c>
      <c r="C33" s="8">
        <f>SUMIFS(未払一覧_ザック!$N$4:$N$103,未払一覧_ザック!$M$4:$M$103,A33)</f>
        <v>0</v>
      </c>
      <c r="D33" s="8">
        <f t="shared" si="0"/>
        <v>0</v>
      </c>
      <c r="E33" s="8">
        <f t="shared" si="1"/>
        <v>0</v>
      </c>
      <c r="F33" s="9">
        <f>SUMIFS(カード枠回復_ザック!$C$4:$C$53,カード枠回復_ザック!$A$4:$A$53,A33)</f>
        <v>0</v>
      </c>
      <c r="G33" s="57">
        <f t="shared" si="2"/>
        <v>0</v>
      </c>
      <c r="H33" s="58"/>
    </row>
    <row r="35" spans="1:8" ht="15" customHeight="1">
      <c r="A35" s="11" t="s">
        <v>241</v>
      </c>
      <c r="B35" s="12">
        <f>SUM(B4:B33)</f>
        <v>0</v>
      </c>
      <c r="C35" s="12">
        <f>SUM(C4:C33)</f>
        <v>0</v>
      </c>
      <c r="D35" s="12">
        <f>B35-C35-F35</f>
        <v>0</v>
      </c>
      <c r="E35" s="12">
        <f>E33</f>
        <v>0</v>
      </c>
      <c r="F35" s="12">
        <f>SUM(F4:F33)</f>
        <v>0</v>
      </c>
      <c r="G35" s="12">
        <f>G33</f>
        <v>0</v>
      </c>
      <c r="H35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8" t="s">
        <v>259</v>
      </c>
      <c r="B1" s="98"/>
      <c r="C1" s="98"/>
      <c r="D1" s="98"/>
      <c r="E1" s="98"/>
      <c r="F1" s="98"/>
      <c r="G1" s="98"/>
      <c r="H1" s="98"/>
    </row>
    <row r="2" spans="1:8" ht="11.25" customHeight="1">
      <c r="A2" s="95" t="s">
        <v>257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46204</v>
      </c>
      <c r="B4" s="8">
        <f>SUMIFS(入金入力_ザック!$D$4:$D$103,入金入力_ザック!$A$4:$A$103,A4)</f>
        <v>0</v>
      </c>
      <c r="C4" s="8">
        <f>SUMIFS(未払一覧_ザック!$N$4:$N$103,未払一覧_ザック!$M$4:$M$103,A4)</f>
        <v>0</v>
      </c>
      <c r="D4" s="8">
        <f t="shared" ref="D4:D34" si="0">B4-C4-F4</f>
        <v>0</v>
      </c>
      <c r="E4" s="8">
        <f>'6月_ザック'!E33+D4</f>
        <v>0</v>
      </c>
      <c r="F4" s="9">
        <f>SUMIFS(カード枠回復_ザック!$C$4:$C$53,カード枠回復_ザック!$A$4:$A$53,A4)</f>
        <v>0</v>
      </c>
      <c r="G4" s="57">
        <f>'6月_ザック'!G33+D4+F4</f>
        <v>0</v>
      </c>
      <c r="H4" s="58"/>
    </row>
    <row r="5" spans="1:8" ht="15" customHeight="1">
      <c r="A5" s="56">
        <v>46205</v>
      </c>
      <c r="B5" s="8">
        <f>SUMIFS(入金入力_ザック!$D$4:$D$103,入金入力_ザック!$A$4:$A$103,A5)</f>
        <v>0</v>
      </c>
      <c r="C5" s="8">
        <f>SUMIFS(未払一覧_ザック!$N$4:$N$103,未払一覧_ザック!$M$4:$M$103,A5)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SUMIFS(カード枠回復_ザック!$C$4:$C$53,カード枠回復_ザック!$A$4:$A$53,A5)</f>
        <v>0</v>
      </c>
      <c r="G5" s="57">
        <f t="shared" ref="G5:G34" si="2">G4+D5+F5</f>
        <v>0</v>
      </c>
      <c r="H5" s="58"/>
    </row>
    <row r="6" spans="1:8" ht="15" customHeight="1">
      <c r="A6" s="56">
        <v>46206</v>
      </c>
      <c r="B6" s="8">
        <f>SUMIFS(入金入力_ザック!$D$4:$D$103,入金入力_ザック!$A$4:$A$103,A6)</f>
        <v>0</v>
      </c>
      <c r="C6" s="8">
        <f>SUMIFS(未払一覧_ザック!$N$4:$N$103,未払一覧_ザック!$M$4:$M$103,A6)</f>
        <v>0</v>
      </c>
      <c r="D6" s="8">
        <f t="shared" si="0"/>
        <v>0</v>
      </c>
      <c r="E6" s="8">
        <f t="shared" si="1"/>
        <v>0</v>
      </c>
      <c r="F6" s="9">
        <f>SUMIFS(カード枠回復_ザック!$C$4:$C$53,カード枠回復_ザック!$A$4:$A$53,A6)</f>
        <v>0</v>
      </c>
      <c r="G6" s="57">
        <f t="shared" si="2"/>
        <v>0</v>
      </c>
      <c r="H6" s="58"/>
    </row>
    <row r="7" spans="1:8" ht="15" customHeight="1">
      <c r="A7" s="59">
        <v>46207</v>
      </c>
      <c r="B7" s="8">
        <f>SUMIFS(入金入力_ザック!$D$4:$D$103,入金入力_ザック!$A$4:$A$103,A7)</f>
        <v>0</v>
      </c>
      <c r="C7" s="8">
        <f>SUMIFS(未払一覧_ザック!$N$4:$N$103,未払一覧_ザック!$M$4:$M$103,A7)</f>
        <v>0</v>
      </c>
      <c r="D7" s="8">
        <f t="shared" si="0"/>
        <v>0</v>
      </c>
      <c r="E7" s="8">
        <f t="shared" si="1"/>
        <v>0</v>
      </c>
      <c r="F7" s="9">
        <f>SUMIFS(カード枠回復_ザック!$C$4:$C$53,カード枠回復_ザック!$A$4:$A$53,A7)</f>
        <v>0</v>
      </c>
      <c r="G7" s="57">
        <f t="shared" si="2"/>
        <v>0</v>
      </c>
      <c r="H7" s="60" t="s">
        <v>236</v>
      </c>
    </row>
    <row r="8" spans="1:8" ht="15" customHeight="1">
      <c r="A8" s="61">
        <v>46208</v>
      </c>
      <c r="B8" s="8">
        <f>SUMIFS(入金入力_ザック!$D$4:$D$103,入金入力_ザック!$A$4:$A$103,A8)</f>
        <v>0</v>
      </c>
      <c r="C8" s="8">
        <f>SUMIFS(未払一覧_ザック!$N$4:$N$103,未払一覧_ザック!$M$4:$M$103,A8)</f>
        <v>0</v>
      </c>
      <c r="D8" s="8">
        <f t="shared" si="0"/>
        <v>0</v>
      </c>
      <c r="E8" s="8">
        <f t="shared" si="1"/>
        <v>0</v>
      </c>
      <c r="F8" s="9">
        <f>SUMIFS(カード枠回復_ザック!$C$4:$C$53,カード枠回復_ザック!$A$4:$A$53,A8)</f>
        <v>0</v>
      </c>
      <c r="G8" s="57">
        <f t="shared" si="2"/>
        <v>0</v>
      </c>
      <c r="H8" s="60" t="s">
        <v>237</v>
      </c>
    </row>
    <row r="9" spans="1:8" ht="15" customHeight="1">
      <c r="A9" s="56">
        <v>46209</v>
      </c>
      <c r="B9" s="8">
        <f>SUMIFS(入金入力_ザック!$D$4:$D$103,入金入力_ザック!$A$4:$A$103,A9)</f>
        <v>0</v>
      </c>
      <c r="C9" s="8">
        <f>SUMIFS(未払一覧_ザック!$N$4:$N$103,未払一覧_ザック!$M$4:$M$103,A9)</f>
        <v>0</v>
      </c>
      <c r="D9" s="8">
        <f t="shared" si="0"/>
        <v>0</v>
      </c>
      <c r="E9" s="8">
        <f t="shared" si="1"/>
        <v>0</v>
      </c>
      <c r="F9" s="9">
        <f>SUMIFS(カード枠回復_ザック!$C$4:$C$53,カード枠回復_ザック!$A$4:$A$53,A9)</f>
        <v>0</v>
      </c>
      <c r="G9" s="57">
        <f t="shared" si="2"/>
        <v>0</v>
      </c>
      <c r="H9" s="58"/>
    </row>
    <row r="10" spans="1:8" ht="15" customHeight="1">
      <c r="A10" s="56">
        <v>46210</v>
      </c>
      <c r="B10" s="8">
        <f>SUMIFS(入金入力_ザック!$D$4:$D$103,入金入力_ザック!$A$4:$A$103,A10)</f>
        <v>0</v>
      </c>
      <c r="C10" s="8">
        <f>SUMIFS(未払一覧_ザック!$N$4:$N$103,未払一覧_ザック!$M$4:$M$103,A10)</f>
        <v>0</v>
      </c>
      <c r="D10" s="8">
        <f t="shared" si="0"/>
        <v>0</v>
      </c>
      <c r="E10" s="8">
        <f t="shared" si="1"/>
        <v>0</v>
      </c>
      <c r="F10" s="9">
        <f>SUMIFS(カード枠回復_ザック!$C$4:$C$53,カード枠回復_ザック!$A$4:$A$53,A10)</f>
        <v>0</v>
      </c>
      <c r="G10" s="57">
        <f t="shared" si="2"/>
        <v>0</v>
      </c>
      <c r="H10" s="58"/>
    </row>
    <row r="11" spans="1:8" ht="15" customHeight="1">
      <c r="A11" s="56">
        <v>46211</v>
      </c>
      <c r="B11" s="8">
        <f>SUMIFS(入金入力_ザック!$D$4:$D$103,入金入力_ザック!$A$4:$A$103,A11)</f>
        <v>0</v>
      </c>
      <c r="C11" s="8">
        <f>SUMIFS(未払一覧_ザック!$N$4:$N$103,未払一覧_ザック!$M$4:$M$103,A11)</f>
        <v>0</v>
      </c>
      <c r="D11" s="8">
        <f t="shared" si="0"/>
        <v>0</v>
      </c>
      <c r="E11" s="8">
        <f t="shared" si="1"/>
        <v>0</v>
      </c>
      <c r="F11" s="9">
        <f>SUMIFS(カード枠回復_ザック!$C$4:$C$53,カード枠回復_ザック!$A$4:$A$53,A11)</f>
        <v>0</v>
      </c>
      <c r="G11" s="57">
        <f t="shared" si="2"/>
        <v>0</v>
      </c>
      <c r="H11" s="58"/>
    </row>
    <row r="12" spans="1:8" ht="15" customHeight="1">
      <c r="A12" s="56">
        <v>46212</v>
      </c>
      <c r="B12" s="8">
        <f>SUMIFS(入金入力_ザック!$D$4:$D$103,入金入力_ザック!$A$4:$A$103,A12)</f>
        <v>0</v>
      </c>
      <c r="C12" s="8">
        <f>SUMIFS(未払一覧_ザック!$N$4:$N$103,未払一覧_ザック!$M$4:$M$103,A12)</f>
        <v>0</v>
      </c>
      <c r="D12" s="8">
        <f t="shared" si="0"/>
        <v>0</v>
      </c>
      <c r="E12" s="8">
        <f t="shared" si="1"/>
        <v>0</v>
      </c>
      <c r="F12" s="9">
        <f>SUMIFS(カード枠回復_ザック!$C$4:$C$53,カード枠回復_ザック!$A$4:$A$53,A12)</f>
        <v>0</v>
      </c>
      <c r="G12" s="57">
        <f t="shared" si="2"/>
        <v>0</v>
      </c>
      <c r="H12" s="58"/>
    </row>
    <row r="13" spans="1:8" ht="15" customHeight="1">
      <c r="A13" s="56">
        <v>46213</v>
      </c>
      <c r="B13" s="8">
        <f>SUMIFS(入金入力_ザック!$D$4:$D$103,入金入力_ザック!$A$4:$A$103,A13)</f>
        <v>0</v>
      </c>
      <c r="C13" s="8">
        <f>SUMIFS(未払一覧_ザック!$N$4:$N$103,未払一覧_ザック!$M$4:$M$103,A13)</f>
        <v>0</v>
      </c>
      <c r="D13" s="8">
        <f t="shared" si="0"/>
        <v>0</v>
      </c>
      <c r="E13" s="8">
        <f t="shared" si="1"/>
        <v>0</v>
      </c>
      <c r="F13" s="9">
        <f>SUMIFS(カード枠回復_ザック!$C$4:$C$53,カード枠回復_ザック!$A$4:$A$53,A13)</f>
        <v>0</v>
      </c>
      <c r="G13" s="57">
        <f t="shared" si="2"/>
        <v>0</v>
      </c>
      <c r="H13" s="58"/>
    </row>
    <row r="14" spans="1:8" ht="15" customHeight="1">
      <c r="A14" s="59">
        <v>46214</v>
      </c>
      <c r="B14" s="8">
        <f>SUMIFS(入金入力_ザック!$D$4:$D$103,入金入力_ザック!$A$4:$A$103,A14)</f>
        <v>0</v>
      </c>
      <c r="C14" s="8">
        <f>SUMIFS(未払一覧_ザック!$N$4:$N$103,未払一覧_ザック!$M$4:$M$103,A14)</f>
        <v>0</v>
      </c>
      <c r="D14" s="8">
        <f t="shared" si="0"/>
        <v>0</v>
      </c>
      <c r="E14" s="8">
        <f t="shared" si="1"/>
        <v>0</v>
      </c>
      <c r="F14" s="9">
        <f>SUMIFS(カード枠回復_ザック!$C$4:$C$53,カード枠回復_ザック!$A$4:$A$53,A14)</f>
        <v>0</v>
      </c>
      <c r="G14" s="57">
        <f t="shared" si="2"/>
        <v>0</v>
      </c>
      <c r="H14" s="60" t="s">
        <v>236</v>
      </c>
    </row>
    <row r="15" spans="1:8" ht="15" customHeight="1">
      <c r="A15" s="61">
        <v>46215</v>
      </c>
      <c r="B15" s="8">
        <f>SUMIFS(入金入力_ザック!$D$4:$D$103,入金入力_ザック!$A$4:$A$103,A15)</f>
        <v>0</v>
      </c>
      <c r="C15" s="8">
        <f>SUMIFS(未払一覧_ザック!$N$4:$N$103,未払一覧_ザック!$M$4:$M$103,A15)</f>
        <v>0</v>
      </c>
      <c r="D15" s="8">
        <f t="shared" si="0"/>
        <v>0</v>
      </c>
      <c r="E15" s="8">
        <f t="shared" si="1"/>
        <v>0</v>
      </c>
      <c r="F15" s="9">
        <f>SUMIFS(カード枠回復_ザック!$C$4:$C$53,カード枠回復_ザック!$A$4:$A$53,A15)</f>
        <v>0</v>
      </c>
      <c r="G15" s="57">
        <f t="shared" si="2"/>
        <v>0</v>
      </c>
      <c r="H15" s="60" t="s">
        <v>237</v>
      </c>
    </row>
    <row r="16" spans="1:8" ht="15" customHeight="1">
      <c r="A16" s="56">
        <v>46216</v>
      </c>
      <c r="B16" s="8">
        <f>SUMIFS(入金入力_ザック!$D$4:$D$103,入金入力_ザック!$A$4:$A$103,A16)</f>
        <v>0</v>
      </c>
      <c r="C16" s="8">
        <f>SUMIFS(未払一覧_ザック!$N$4:$N$103,未払一覧_ザック!$M$4:$M$103,A16)</f>
        <v>0</v>
      </c>
      <c r="D16" s="8">
        <f t="shared" si="0"/>
        <v>0</v>
      </c>
      <c r="E16" s="8">
        <f t="shared" si="1"/>
        <v>0</v>
      </c>
      <c r="F16" s="9">
        <f>SUMIFS(カード枠回復_ザック!$C$4:$C$53,カード枠回復_ザック!$A$4:$A$53,A16)</f>
        <v>0</v>
      </c>
      <c r="G16" s="57">
        <f t="shared" si="2"/>
        <v>0</v>
      </c>
      <c r="H16" s="58"/>
    </row>
    <row r="17" spans="1:8" ht="15" customHeight="1">
      <c r="A17" s="56">
        <v>46217</v>
      </c>
      <c r="B17" s="8">
        <f>SUMIFS(入金入力_ザック!$D$4:$D$103,入金入力_ザック!$A$4:$A$103,A17)</f>
        <v>0</v>
      </c>
      <c r="C17" s="8">
        <f>SUMIFS(未払一覧_ザック!$N$4:$N$103,未払一覧_ザック!$M$4:$M$103,A17)</f>
        <v>0</v>
      </c>
      <c r="D17" s="8">
        <f t="shared" si="0"/>
        <v>0</v>
      </c>
      <c r="E17" s="8">
        <f t="shared" si="1"/>
        <v>0</v>
      </c>
      <c r="F17" s="9">
        <f>SUMIFS(カード枠回復_ザック!$C$4:$C$53,カード枠回復_ザック!$A$4:$A$53,A17)</f>
        <v>0</v>
      </c>
      <c r="G17" s="57">
        <f t="shared" si="2"/>
        <v>0</v>
      </c>
      <c r="H17" s="58"/>
    </row>
    <row r="18" spans="1:8" ht="15" customHeight="1">
      <c r="A18" s="56">
        <v>46218</v>
      </c>
      <c r="B18" s="8">
        <f>SUMIFS(入金入力_ザック!$D$4:$D$103,入金入力_ザック!$A$4:$A$103,A18)</f>
        <v>0</v>
      </c>
      <c r="C18" s="8">
        <f>SUMIFS(未払一覧_ザック!$N$4:$N$103,未払一覧_ザック!$M$4:$M$103,A18)</f>
        <v>0</v>
      </c>
      <c r="D18" s="8">
        <f t="shared" si="0"/>
        <v>0</v>
      </c>
      <c r="E18" s="8">
        <f t="shared" si="1"/>
        <v>0</v>
      </c>
      <c r="F18" s="9">
        <f>SUMIFS(カード枠回復_ザック!$C$4:$C$53,カード枠回復_ザック!$A$4:$A$53,A18)</f>
        <v>0</v>
      </c>
      <c r="G18" s="57">
        <f t="shared" si="2"/>
        <v>0</v>
      </c>
      <c r="H18" s="58"/>
    </row>
    <row r="19" spans="1:8" ht="15" customHeight="1">
      <c r="A19" s="56">
        <v>46219</v>
      </c>
      <c r="B19" s="8">
        <f>SUMIFS(入金入力_ザック!$D$4:$D$103,入金入力_ザック!$A$4:$A$103,A19)</f>
        <v>0</v>
      </c>
      <c r="C19" s="8">
        <f>SUMIFS(未払一覧_ザック!$N$4:$N$103,未払一覧_ザック!$M$4:$M$103,A19)</f>
        <v>0</v>
      </c>
      <c r="D19" s="8">
        <f t="shared" si="0"/>
        <v>0</v>
      </c>
      <c r="E19" s="8">
        <f t="shared" si="1"/>
        <v>0</v>
      </c>
      <c r="F19" s="9">
        <f>SUMIFS(カード枠回復_ザック!$C$4:$C$53,カード枠回復_ザック!$A$4:$A$53,A19)</f>
        <v>0</v>
      </c>
      <c r="G19" s="57">
        <f t="shared" si="2"/>
        <v>0</v>
      </c>
      <c r="H19" s="58"/>
    </row>
    <row r="20" spans="1:8" ht="15" customHeight="1">
      <c r="A20" s="56">
        <v>46220</v>
      </c>
      <c r="B20" s="8">
        <f>SUMIFS(入金入力_ザック!$D$4:$D$103,入金入力_ザック!$A$4:$A$103,A20)</f>
        <v>0</v>
      </c>
      <c r="C20" s="8">
        <f>SUMIFS(未払一覧_ザック!$N$4:$N$103,未払一覧_ザック!$M$4:$M$103,A20)</f>
        <v>0</v>
      </c>
      <c r="D20" s="8">
        <f t="shared" si="0"/>
        <v>0</v>
      </c>
      <c r="E20" s="8">
        <f t="shared" si="1"/>
        <v>0</v>
      </c>
      <c r="F20" s="9">
        <f>SUMIFS(カード枠回復_ザック!$C$4:$C$53,カード枠回復_ザック!$A$4:$A$53,A20)</f>
        <v>0</v>
      </c>
      <c r="G20" s="57">
        <f t="shared" si="2"/>
        <v>0</v>
      </c>
      <c r="H20" s="58"/>
    </row>
    <row r="21" spans="1:8" ht="15" customHeight="1">
      <c r="A21" s="59">
        <v>46221</v>
      </c>
      <c r="B21" s="8">
        <f>SUMIFS(入金入力_ザック!$D$4:$D$103,入金入力_ザック!$A$4:$A$103,A21)</f>
        <v>0</v>
      </c>
      <c r="C21" s="8">
        <f>SUMIFS(未払一覧_ザック!$N$4:$N$103,未払一覧_ザック!$M$4:$M$103,A21)</f>
        <v>0</v>
      </c>
      <c r="D21" s="8">
        <f t="shared" si="0"/>
        <v>0</v>
      </c>
      <c r="E21" s="8">
        <f t="shared" si="1"/>
        <v>0</v>
      </c>
      <c r="F21" s="9">
        <f>SUMIFS(カード枠回復_ザック!$C$4:$C$53,カード枠回復_ザック!$A$4:$A$53,A21)</f>
        <v>0</v>
      </c>
      <c r="G21" s="57">
        <f t="shared" si="2"/>
        <v>0</v>
      </c>
      <c r="H21" s="60" t="s">
        <v>236</v>
      </c>
    </row>
    <row r="22" spans="1:8" ht="15" customHeight="1">
      <c r="A22" s="61">
        <v>46222</v>
      </c>
      <c r="B22" s="8">
        <f>SUMIFS(入金入力_ザック!$D$4:$D$103,入金入力_ザック!$A$4:$A$103,A22)</f>
        <v>0</v>
      </c>
      <c r="C22" s="8">
        <f>SUMIFS(未払一覧_ザック!$N$4:$N$103,未払一覧_ザック!$M$4:$M$103,A22)</f>
        <v>0</v>
      </c>
      <c r="D22" s="8">
        <f t="shared" si="0"/>
        <v>0</v>
      </c>
      <c r="E22" s="8">
        <f t="shared" si="1"/>
        <v>0</v>
      </c>
      <c r="F22" s="9">
        <f>SUMIFS(カード枠回復_ザック!$C$4:$C$53,カード枠回復_ザック!$A$4:$A$53,A22)</f>
        <v>0</v>
      </c>
      <c r="G22" s="57">
        <f t="shared" si="2"/>
        <v>0</v>
      </c>
      <c r="H22" s="60" t="s">
        <v>237</v>
      </c>
    </row>
    <row r="23" spans="1:8" ht="15" customHeight="1">
      <c r="A23" s="56">
        <v>46223</v>
      </c>
      <c r="B23" s="8">
        <f>SUMIFS(入金入力_ザック!$D$4:$D$103,入金入力_ザック!$A$4:$A$103,A23)</f>
        <v>0</v>
      </c>
      <c r="C23" s="8">
        <f>SUMIFS(未払一覧_ザック!$N$4:$N$103,未払一覧_ザック!$M$4:$M$103,A23)</f>
        <v>0</v>
      </c>
      <c r="D23" s="8">
        <f t="shared" si="0"/>
        <v>0</v>
      </c>
      <c r="E23" s="8">
        <f t="shared" si="1"/>
        <v>0</v>
      </c>
      <c r="F23" s="9">
        <f>SUMIFS(カード枠回復_ザック!$C$4:$C$53,カード枠回復_ザック!$A$4:$A$53,A23)</f>
        <v>0</v>
      </c>
      <c r="G23" s="57">
        <f t="shared" si="2"/>
        <v>0</v>
      </c>
      <c r="H23" s="58"/>
    </row>
    <row r="24" spans="1:8" ht="15" customHeight="1">
      <c r="A24" s="56">
        <v>46224</v>
      </c>
      <c r="B24" s="8">
        <f>SUMIFS(入金入力_ザック!$D$4:$D$103,入金入力_ザック!$A$4:$A$103,A24)</f>
        <v>0</v>
      </c>
      <c r="C24" s="8">
        <f>SUMIFS(未払一覧_ザック!$N$4:$N$103,未払一覧_ザック!$M$4:$M$103,A24)</f>
        <v>0</v>
      </c>
      <c r="D24" s="8">
        <f t="shared" si="0"/>
        <v>0</v>
      </c>
      <c r="E24" s="8">
        <f t="shared" si="1"/>
        <v>0</v>
      </c>
      <c r="F24" s="9">
        <f>SUMIFS(カード枠回復_ザック!$C$4:$C$53,カード枠回復_ザック!$A$4:$A$53,A24)</f>
        <v>0</v>
      </c>
      <c r="G24" s="57">
        <f t="shared" si="2"/>
        <v>0</v>
      </c>
      <c r="H24" s="58"/>
    </row>
    <row r="25" spans="1:8" ht="15" customHeight="1">
      <c r="A25" s="56">
        <v>46225</v>
      </c>
      <c r="B25" s="8">
        <f>SUMIFS(入金入力_ザック!$D$4:$D$103,入金入力_ザック!$A$4:$A$103,A25)</f>
        <v>0</v>
      </c>
      <c r="C25" s="8">
        <f>SUMIFS(未払一覧_ザック!$N$4:$N$103,未払一覧_ザック!$M$4:$M$103,A25)</f>
        <v>0</v>
      </c>
      <c r="D25" s="8">
        <f t="shared" si="0"/>
        <v>0</v>
      </c>
      <c r="E25" s="8">
        <f t="shared" si="1"/>
        <v>0</v>
      </c>
      <c r="F25" s="9">
        <f>SUMIFS(カード枠回復_ザック!$C$4:$C$53,カード枠回復_ザック!$A$4:$A$53,A25)</f>
        <v>0</v>
      </c>
      <c r="G25" s="57">
        <f t="shared" si="2"/>
        <v>0</v>
      </c>
      <c r="H25" s="58"/>
    </row>
    <row r="26" spans="1:8" ht="15" customHeight="1">
      <c r="A26" s="56">
        <v>46226</v>
      </c>
      <c r="B26" s="8">
        <f>SUMIFS(入金入力_ザック!$D$4:$D$103,入金入力_ザック!$A$4:$A$103,A26)</f>
        <v>0</v>
      </c>
      <c r="C26" s="8">
        <f>SUMIFS(未払一覧_ザック!$N$4:$N$103,未払一覧_ザック!$M$4:$M$103,A26)</f>
        <v>0</v>
      </c>
      <c r="D26" s="8">
        <f t="shared" si="0"/>
        <v>0</v>
      </c>
      <c r="E26" s="8">
        <f t="shared" si="1"/>
        <v>0</v>
      </c>
      <c r="F26" s="9">
        <f>SUMIFS(カード枠回復_ザック!$C$4:$C$53,カード枠回復_ザック!$A$4:$A$53,A26)</f>
        <v>0</v>
      </c>
      <c r="G26" s="57">
        <f t="shared" si="2"/>
        <v>0</v>
      </c>
      <c r="H26" s="58"/>
    </row>
    <row r="27" spans="1:8" ht="15" customHeight="1">
      <c r="A27" s="56">
        <v>46227</v>
      </c>
      <c r="B27" s="8">
        <f>SUMIFS(入金入力_ザック!$D$4:$D$103,入金入力_ザック!$A$4:$A$103,A27)</f>
        <v>0</v>
      </c>
      <c r="C27" s="8">
        <f>SUMIFS(未払一覧_ザック!$N$4:$N$103,未払一覧_ザック!$M$4:$M$103,A27)</f>
        <v>0</v>
      </c>
      <c r="D27" s="8">
        <f t="shared" si="0"/>
        <v>0</v>
      </c>
      <c r="E27" s="8">
        <f t="shared" si="1"/>
        <v>0</v>
      </c>
      <c r="F27" s="9">
        <f>SUMIFS(カード枠回復_ザック!$C$4:$C$53,カード枠回復_ザック!$A$4:$A$53,A27)</f>
        <v>0</v>
      </c>
      <c r="G27" s="57">
        <f t="shared" si="2"/>
        <v>0</v>
      </c>
      <c r="H27" s="58"/>
    </row>
    <row r="28" spans="1:8" ht="15" customHeight="1">
      <c r="A28" s="59">
        <v>46228</v>
      </c>
      <c r="B28" s="8">
        <f>SUMIFS(入金入力_ザック!$D$4:$D$103,入金入力_ザック!$A$4:$A$103,A28)</f>
        <v>0</v>
      </c>
      <c r="C28" s="8">
        <f>SUMIFS(未払一覧_ザック!$N$4:$N$103,未払一覧_ザック!$M$4:$M$103,A28)</f>
        <v>0</v>
      </c>
      <c r="D28" s="8">
        <f t="shared" si="0"/>
        <v>0</v>
      </c>
      <c r="E28" s="8">
        <f t="shared" si="1"/>
        <v>0</v>
      </c>
      <c r="F28" s="9">
        <f>SUMIFS(カード枠回復_ザック!$C$4:$C$53,カード枠回復_ザック!$A$4:$A$53,A28)</f>
        <v>0</v>
      </c>
      <c r="G28" s="57">
        <f t="shared" si="2"/>
        <v>0</v>
      </c>
      <c r="H28" s="60" t="s">
        <v>236</v>
      </c>
    </row>
    <row r="29" spans="1:8" ht="15" customHeight="1">
      <c r="A29" s="61">
        <v>46229</v>
      </c>
      <c r="B29" s="8">
        <f>SUMIFS(入金入力_ザック!$D$4:$D$103,入金入力_ザック!$A$4:$A$103,A29)</f>
        <v>0</v>
      </c>
      <c r="C29" s="8">
        <f>SUMIFS(未払一覧_ザック!$N$4:$N$103,未払一覧_ザック!$M$4:$M$103,A29)</f>
        <v>0</v>
      </c>
      <c r="D29" s="8">
        <f t="shared" si="0"/>
        <v>0</v>
      </c>
      <c r="E29" s="8">
        <f t="shared" si="1"/>
        <v>0</v>
      </c>
      <c r="F29" s="9">
        <f>SUMIFS(カード枠回復_ザック!$C$4:$C$53,カード枠回復_ザック!$A$4:$A$53,A29)</f>
        <v>0</v>
      </c>
      <c r="G29" s="57">
        <f t="shared" si="2"/>
        <v>0</v>
      </c>
      <c r="H29" s="60" t="s">
        <v>237</v>
      </c>
    </row>
    <row r="30" spans="1:8" ht="15" customHeight="1">
      <c r="A30" s="56">
        <v>46230</v>
      </c>
      <c r="B30" s="8">
        <f>SUMIFS(入金入力_ザック!$D$4:$D$103,入金入力_ザック!$A$4:$A$103,A30)</f>
        <v>0</v>
      </c>
      <c r="C30" s="8">
        <f>SUMIFS(未払一覧_ザック!$N$4:$N$103,未払一覧_ザック!$M$4:$M$103,A30)</f>
        <v>0</v>
      </c>
      <c r="D30" s="8">
        <f t="shared" si="0"/>
        <v>0</v>
      </c>
      <c r="E30" s="8">
        <f t="shared" si="1"/>
        <v>0</v>
      </c>
      <c r="F30" s="9">
        <f>SUMIFS(カード枠回復_ザック!$C$4:$C$53,カード枠回復_ザック!$A$4:$A$53,A30)</f>
        <v>0</v>
      </c>
      <c r="G30" s="57">
        <f t="shared" si="2"/>
        <v>0</v>
      </c>
      <c r="H30" s="58"/>
    </row>
    <row r="31" spans="1:8" ht="15" customHeight="1">
      <c r="A31" s="56">
        <v>46231</v>
      </c>
      <c r="B31" s="8">
        <f>SUMIFS(入金入力_ザック!$D$4:$D$103,入金入力_ザック!$A$4:$A$103,A31)</f>
        <v>0</v>
      </c>
      <c r="C31" s="8">
        <f>SUMIFS(未払一覧_ザック!$N$4:$N$103,未払一覧_ザック!$M$4:$M$103,A31)</f>
        <v>0</v>
      </c>
      <c r="D31" s="8">
        <f t="shared" si="0"/>
        <v>0</v>
      </c>
      <c r="E31" s="8">
        <f t="shared" si="1"/>
        <v>0</v>
      </c>
      <c r="F31" s="9">
        <f>SUMIFS(カード枠回復_ザック!$C$4:$C$53,カード枠回復_ザック!$A$4:$A$53,A31)</f>
        <v>0</v>
      </c>
      <c r="G31" s="57">
        <f t="shared" si="2"/>
        <v>0</v>
      </c>
      <c r="H31" s="58"/>
    </row>
    <row r="32" spans="1:8" ht="15" customHeight="1">
      <c r="A32" s="56">
        <v>46232</v>
      </c>
      <c r="B32" s="8">
        <f>SUMIFS(入金入力_ザック!$D$4:$D$103,入金入力_ザック!$A$4:$A$103,A32)</f>
        <v>0</v>
      </c>
      <c r="C32" s="8">
        <f>SUMIFS(未払一覧_ザック!$N$4:$N$103,未払一覧_ザック!$M$4:$M$103,A32)</f>
        <v>0</v>
      </c>
      <c r="D32" s="8">
        <f t="shared" si="0"/>
        <v>0</v>
      </c>
      <c r="E32" s="8">
        <f t="shared" si="1"/>
        <v>0</v>
      </c>
      <c r="F32" s="9">
        <f>SUMIFS(カード枠回復_ザック!$C$4:$C$53,カード枠回復_ザック!$A$4:$A$53,A32)</f>
        <v>0</v>
      </c>
      <c r="G32" s="57">
        <f t="shared" si="2"/>
        <v>0</v>
      </c>
      <c r="H32" s="58"/>
    </row>
    <row r="33" spans="1:8" ht="15" customHeight="1">
      <c r="A33" s="56">
        <v>46233</v>
      </c>
      <c r="B33" s="8">
        <f>SUMIFS(入金入力_ザック!$D$4:$D$103,入金入力_ザック!$A$4:$A$103,A33)</f>
        <v>0</v>
      </c>
      <c r="C33" s="8">
        <f>SUMIFS(未払一覧_ザック!$N$4:$N$103,未払一覧_ザック!$M$4:$M$103,A33)</f>
        <v>0</v>
      </c>
      <c r="D33" s="8">
        <f t="shared" si="0"/>
        <v>0</v>
      </c>
      <c r="E33" s="8">
        <f t="shared" si="1"/>
        <v>0</v>
      </c>
      <c r="F33" s="9">
        <f>SUMIFS(カード枠回復_ザック!$C$4:$C$53,カード枠回復_ザック!$A$4:$A$53,A33)</f>
        <v>0</v>
      </c>
      <c r="G33" s="57">
        <f t="shared" si="2"/>
        <v>0</v>
      </c>
      <c r="H33" s="58"/>
    </row>
    <row r="34" spans="1:8" ht="15" customHeight="1">
      <c r="A34" s="56">
        <v>46234</v>
      </c>
      <c r="B34" s="8">
        <f>SUMIFS(入金入力_ザック!$D$4:$D$103,入金入力_ザック!$A$4:$A$103,A34)</f>
        <v>0</v>
      </c>
      <c r="C34" s="8">
        <f>SUMIFS(未払一覧_ザック!$N$4:$N$103,未払一覧_ザック!$M$4:$M$103,A34)</f>
        <v>0</v>
      </c>
      <c r="D34" s="8">
        <f t="shared" si="0"/>
        <v>0</v>
      </c>
      <c r="E34" s="8">
        <f t="shared" si="1"/>
        <v>0</v>
      </c>
      <c r="F34" s="9">
        <f>SUMIFS(カード枠回復_ザック!$C$4:$C$53,カード枠回復_ザック!$A$4:$A$53,A34)</f>
        <v>0</v>
      </c>
      <c r="G34" s="57">
        <f t="shared" si="2"/>
        <v>0</v>
      </c>
      <c r="H34" s="58"/>
    </row>
    <row r="36" spans="1:8" ht="15" customHeight="1">
      <c r="A36" s="11" t="s">
        <v>243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8" t="s">
        <v>260</v>
      </c>
      <c r="B1" s="98"/>
      <c r="C1" s="98"/>
      <c r="D1" s="98"/>
      <c r="E1" s="98"/>
      <c r="F1" s="98"/>
      <c r="G1" s="98"/>
      <c r="H1" s="98"/>
    </row>
    <row r="2" spans="1:8" ht="11.25" customHeight="1">
      <c r="A2" s="95" t="s">
        <v>257</v>
      </c>
      <c r="B2" s="95"/>
      <c r="C2" s="95"/>
      <c r="D2" s="95"/>
      <c r="E2" s="95"/>
      <c r="F2" s="95"/>
      <c r="G2" s="95"/>
      <c r="H2" s="9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9">
        <v>46235</v>
      </c>
      <c r="B4" s="8">
        <f>SUMIFS(入金入力_ザック!$D$4:$D$103,入金入力_ザック!$A$4:$A$103,A4)</f>
        <v>0</v>
      </c>
      <c r="C4" s="8">
        <f>SUMIFS(未払一覧_ザック!$N$4:$N$103,未払一覧_ザック!$M$4:$M$103,A4)</f>
        <v>0</v>
      </c>
      <c r="D4" s="8">
        <f t="shared" ref="D4:D34" si="0">B4-C4-F4</f>
        <v>0</v>
      </c>
      <c r="E4" s="8">
        <f>'7月_ザック'!E34+D4</f>
        <v>0</v>
      </c>
      <c r="F4" s="9">
        <f>SUMIFS(カード枠回復_ザック!$C$4:$C$53,カード枠回復_ザック!$A$4:$A$53,A4)</f>
        <v>0</v>
      </c>
      <c r="G4" s="57">
        <f>'7月_ザック'!G34+D4+F4</f>
        <v>0</v>
      </c>
      <c r="H4" s="60" t="s">
        <v>236</v>
      </c>
    </row>
    <row r="5" spans="1:8" ht="15" customHeight="1">
      <c r="A5" s="61">
        <v>46236</v>
      </c>
      <c r="B5" s="8">
        <f>SUMIFS(入金入力_ザック!$D$4:$D$103,入金入力_ザック!$A$4:$A$103,A5)</f>
        <v>0</v>
      </c>
      <c r="C5" s="8">
        <f>SUMIFS(未払一覧_ザック!$N$4:$N$103,未払一覧_ザック!$M$4:$M$103,A5)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SUMIFS(カード枠回復_ザック!$C$4:$C$53,カード枠回復_ザック!$A$4:$A$53,A5)</f>
        <v>0</v>
      </c>
      <c r="G5" s="57">
        <f t="shared" ref="G5:G34" si="2">G4+D5+F5</f>
        <v>0</v>
      </c>
      <c r="H5" s="60" t="s">
        <v>237</v>
      </c>
    </row>
    <row r="6" spans="1:8" ht="15" customHeight="1">
      <c r="A6" s="56">
        <v>46237</v>
      </c>
      <c r="B6" s="8">
        <f>SUMIFS(入金入力_ザック!$D$4:$D$103,入金入力_ザック!$A$4:$A$103,A6)</f>
        <v>0</v>
      </c>
      <c r="C6" s="8">
        <f>SUMIFS(未払一覧_ザック!$N$4:$N$103,未払一覧_ザック!$M$4:$M$103,A6)</f>
        <v>0</v>
      </c>
      <c r="D6" s="8">
        <f t="shared" si="0"/>
        <v>0</v>
      </c>
      <c r="E6" s="8">
        <f t="shared" si="1"/>
        <v>0</v>
      </c>
      <c r="F6" s="9">
        <f>SUMIFS(カード枠回復_ザック!$C$4:$C$53,カード枠回復_ザック!$A$4:$A$53,A6)</f>
        <v>0</v>
      </c>
      <c r="G6" s="57">
        <f t="shared" si="2"/>
        <v>0</v>
      </c>
      <c r="H6" s="58"/>
    </row>
    <row r="7" spans="1:8" ht="15" customHeight="1">
      <c r="A7" s="56">
        <v>46238</v>
      </c>
      <c r="B7" s="8">
        <f>SUMIFS(入金入力_ザック!$D$4:$D$103,入金入力_ザック!$A$4:$A$103,A7)</f>
        <v>0</v>
      </c>
      <c r="C7" s="8">
        <f>SUMIFS(未払一覧_ザック!$N$4:$N$103,未払一覧_ザック!$M$4:$M$103,A7)</f>
        <v>0</v>
      </c>
      <c r="D7" s="8">
        <f t="shared" si="0"/>
        <v>0</v>
      </c>
      <c r="E7" s="8">
        <f t="shared" si="1"/>
        <v>0</v>
      </c>
      <c r="F7" s="9">
        <f>SUMIFS(カード枠回復_ザック!$C$4:$C$53,カード枠回復_ザック!$A$4:$A$53,A7)</f>
        <v>0</v>
      </c>
      <c r="G7" s="57">
        <f t="shared" si="2"/>
        <v>0</v>
      </c>
      <c r="H7" s="58"/>
    </row>
    <row r="8" spans="1:8" ht="15" customHeight="1">
      <c r="A8" s="56">
        <v>46239</v>
      </c>
      <c r="B8" s="8">
        <f>SUMIFS(入金入力_ザック!$D$4:$D$103,入金入力_ザック!$A$4:$A$103,A8)</f>
        <v>0</v>
      </c>
      <c r="C8" s="8">
        <f>SUMIFS(未払一覧_ザック!$N$4:$N$103,未払一覧_ザック!$M$4:$M$103,A8)</f>
        <v>0</v>
      </c>
      <c r="D8" s="8">
        <f t="shared" si="0"/>
        <v>0</v>
      </c>
      <c r="E8" s="8">
        <f t="shared" si="1"/>
        <v>0</v>
      </c>
      <c r="F8" s="9">
        <f>SUMIFS(カード枠回復_ザック!$C$4:$C$53,カード枠回復_ザック!$A$4:$A$53,A8)</f>
        <v>0</v>
      </c>
      <c r="G8" s="57">
        <f t="shared" si="2"/>
        <v>0</v>
      </c>
      <c r="H8" s="58"/>
    </row>
    <row r="9" spans="1:8" ht="15" customHeight="1">
      <c r="A9" s="56">
        <v>46240</v>
      </c>
      <c r="B9" s="8">
        <f>SUMIFS(入金入力_ザック!$D$4:$D$103,入金入力_ザック!$A$4:$A$103,A9)</f>
        <v>0</v>
      </c>
      <c r="C9" s="8">
        <f>SUMIFS(未払一覧_ザック!$N$4:$N$103,未払一覧_ザック!$M$4:$M$103,A9)</f>
        <v>0</v>
      </c>
      <c r="D9" s="8">
        <f t="shared" si="0"/>
        <v>0</v>
      </c>
      <c r="E9" s="8">
        <f t="shared" si="1"/>
        <v>0</v>
      </c>
      <c r="F9" s="9">
        <f>SUMIFS(カード枠回復_ザック!$C$4:$C$53,カード枠回復_ザック!$A$4:$A$53,A9)</f>
        <v>0</v>
      </c>
      <c r="G9" s="57">
        <f t="shared" si="2"/>
        <v>0</v>
      </c>
      <c r="H9" s="58"/>
    </row>
    <row r="10" spans="1:8" ht="15" customHeight="1">
      <c r="A10" s="56">
        <v>46241</v>
      </c>
      <c r="B10" s="8">
        <f>SUMIFS(入金入力_ザック!$D$4:$D$103,入金入力_ザック!$A$4:$A$103,A10)</f>
        <v>0</v>
      </c>
      <c r="C10" s="8">
        <f>SUMIFS(未払一覧_ザック!$N$4:$N$103,未払一覧_ザック!$M$4:$M$103,A10)</f>
        <v>0</v>
      </c>
      <c r="D10" s="8">
        <f t="shared" si="0"/>
        <v>0</v>
      </c>
      <c r="E10" s="8">
        <f t="shared" si="1"/>
        <v>0</v>
      </c>
      <c r="F10" s="9">
        <f>SUMIFS(カード枠回復_ザック!$C$4:$C$53,カード枠回復_ザック!$A$4:$A$53,A10)</f>
        <v>0</v>
      </c>
      <c r="G10" s="57">
        <f t="shared" si="2"/>
        <v>0</v>
      </c>
      <c r="H10" s="58"/>
    </row>
    <row r="11" spans="1:8" ht="15" customHeight="1">
      <c r="A11" s="59">
        <v>46242</v>
      </c>
      <c r="B11" s="8">
        <f>SUMIFS(入金入力_ザック!$D$4:$D$103,入金入力_ザック!$A$4:$A$103,A11)</f>
        <v>0</v>
      </c>
      <c r="C11" s="8">
        <f>SUMIFS(未払一覧_ザック!$N$4:$N$103,未払一覧_ザック!$M$4:$M$103,A11)</f>
        <v>0</v>
      </c>
      <c r="D11" s="8">
        <f t="shared" si="0"/>
        <v>0</v>
      </c>
      <c r="E11" s="8">
        <f t="shared" si="1"/>
        <v>0</v>
      </c>
      <c r="F11" s="9">
        <f>SUMIFS(カード枠回復_ザック!$C$4:$C$53,カード枠回復_ザック!$A$4:$A$53,A11)</f>
        <v>0</v>
      </c>
      <c r="G11" s="57">
        <f t="shared" si="2"/>
        <v>0</v>
      </c>
      <c r="H11" s="60" t="s">
        <v>236</v>
      </c>
    </row>
    <row r="12" spans="1:8" ht="15" customHeight="1">
      <c r="A12" s="61">
        <v>46243</v>
      </c>
      <c r="B12" s="8">
        <f>SUMIFS(入金入力_ザック!$D$4:$D$103,入金入力_ザック!$A$4:$A$103,A12)</f>
        <v>0</v>
      </c>
      <c r="C12" s="8">
        <f>SUMIFS(未払一覧_ザック!$N$4:$N$103,未払一覧_ザック!$M$4:$M$103,A12)</f>
        <v>0</v>
      </c>
      <c r="D12" s="8">
        <f t="shared" si="0"/>
        <v>0</v>
      </c>
      <c r="E12" s="8">
        <f t="shared" si="1"/>
        <v>0</v>
      </c>
      <c r="F12" s="9">
        <f>SUMIFS(カード枠回復_ザック!$C$4:$C$53,カード枠回復_ザック!$A$4:$A$53,A12)</f>
        <v>0</v>
      </c>
      <c r="G12" s="57">
        <f t="shared" si="2"/>
        <v>0</v>
      </c>
      <c r="H12" s="60" t="s">
        <v>237</v>
      </c>
    </row>
    <row r="13" spans="1:8" ht="15" customHeight="1">
      <c r="A13" s="56">
        <v>46244</v>
      </c>
      <c r="B13" s="8">
        <f>SUMIFS(入金入力_ザック!$D$4:$D$103,入金入力_ザック!$A$4:$A$103,A13)</f>
        <v>0</v>
      </c>
      <c r="C13" s="8">
        <f>SUMIFS(未払一覧_ザック!$N$4:$N$103,未払一覧_ザック!$M$4:$M$103,A13)</f>
        <v>0</v>
      </c>
      <c r="D13" s="8">
        <f t="shared" si="0"/>
        <v>0</v>
      </c>
      <c r="E13" s="8">
        <f t="shared" si="1"/>
        <v>0</v>
      </c>
      <c r="F13" s="9">
        <f>SUMIFS(カード枠回復_ザック!$C$4:$C$53,カード枠回復_ザック!$A$4:$A$53,A13)</f>
        <v>0</v>
      </c>
      <c r="G13" s="57">
        <f t="shared" si="2"/>
        <v>0</v>
      </c>
      <c r="H13" s="58"/>
    </row>
    <row r="14" spans="1:8" ht="15" customHeight="1">
      <c r="A14" s="56">
        <v>46245</v>
      </c>
      <c r="B14" s="8">
        <f>SUMIFS(入金入力_ザック!$D$4:$D$103,入金入力_ザック!$A$4:$A$103,A14)</f>
        <v>0</v>
      </c>
      <c r="C14" s="8">
        <f>SUMIFS(未払一覧_ザック!$N$4:$N$103,未払一覧_ザック!$M$4:$M$103,A14)</f>
        <v>0</v>
      </c>
      <c r="D14" s="8">
        <f t="shared" si="0"/>
        <v>0</v>
      </c>
      <c r="E14" s="8">
        <f t="shared" si="1"/>
        <v>0</v>
      </c>
      <c r="F14" s="9">
        <f>SUMIFS(カード枠回復_ザック!$C$4:$C$53,カード枠回復_ザック!$A$4:$A$53,A14)</f>
        <v>0</v>
      </c>
      <c r="G14" s="57">
        <f t="shared" si="2"/>
        <v>0</v>
      </c>
      <c r="H14" s="58"/>
    </row>
    <row r="15" spans="1:8" ht="15" customHeight="1">
      <c r="A15" s="56">
        <v>46246</v>
      </c>
      <c r="B15" s="8">
        <f>SUMIFS(入金入力_ザック!$D$4:$D$103,入金入力_ザック!$A$4:$A$103,A15)</f>
        <v>0</v>
      </c>
      <c r="C15" s="8">
        <f>SUMIFS(未払一覧_ザック!$N$4:$N$103,未払一覧_ザック!$M$4:$M$103,A15)</f>
        <v>0</v>
      </c>
      <c r="D15" s="8">
        <f t="shared" si="0"/>
        <v>0</v>
      </c>
      <c r="E15" s="8">
        <f t="shared" si="1"/>
        <v>0</v>
      </c>
      <c r="F15" s="9">
        <f>SUMIFS(カード枠回復_ザック!$C$4:$C$53,カード枠回復_ザック!$A$4:$A$53,A15)</f>
        <v>0</v>
      </c>
      <c r="G15" s="57">
        <f t="shared" si="2"/>
        <v>0</v>
      </c>
      <c r="H15" s="58"/>
    </row>
    <row r="16" spans="1:8" ht="15" customHeight="1">
      <c r="A16" s="56">
        <v>46247</v>
      </c>
      <c r="B16" s="8">
        <f>SUMIFS(入金入力_ザック!$D$4:$D$103,入金入力_ザック!$A$4:$A$103,A16)</f>
        <v>0</v>
      </c>
      <c r="C16" s="8">
        <f>SUMIFS(未払一覧_ザック!$N$4:$N$103,未払一覧_ザック!$M$4:$M$103,A16)</f>
        <v>0</v>
      </c>
      <c r="D16" s="8">
        <f t="shared" si="0"/>
        <v>0</v>
      </c>
      <c r="E16" s="8">
        <f t="shared" si="1"/>
        <v>0</v>
      </c>
      <c r="F16" s="9">
        <f>SUMIFS(カード枠回復_ザック!$C$4:$C$53,カード枠回復_ザック!$A$4:$A$53,A16)</f>
        <v>0</v>
      </c>
      <c r="G16" s="57">
        <f t="shared" si="2"/>
        <v>0</v>
      </c>
      <c r="H16" s="58"/>
    </row>
    <row r="17" spans="1:8" ht="15" customHeight="1">
      <c r="A17" s="56">
        <v>46248</v>
      </c>
      <c r="B17" s="8">
        <f>SUMIFS(入金入力_ザック!$D$4:$D$103,入金入力_ザック!$A$4:$A$103,A17)</f>
        <v>0</v>
      </c>
      <c r="C17" s="8">
        <f>SUMIFS(未払一覧_ザック!$N$4:$N$103,未払一覧_ザック!$M$4:$M$103,A17)</f>
        <v>0</v>
      </c>
      <c r="D17" s="8">
        <f t="shared" si="0"/>
        <v>0</v>
      </c>
      <c r="E17" s="8">
        <f t="shared" si="1"/>
        <v>0</v>
      </c>
      <c r="F17" s="9">
        <f>SUMIFS(カード枠回復_ザック!$C$4:$C$53,カード枠回復_ザック!$A$4:$A$53,A17)</f>
        <v>0</v>
      </c>
      <c r="G17" s="57">
        <f t="shared" si="2"/>
        <v>0</v>
      </c>
      <c r="H17" s="58"/>
    </row>
    <row r="18" spans="1:8" ht="15" customHeight="1">
      <c r="A18" s="59">
        <v>46249</v>
      </c>
      <c r="B18" s="8">
        <f>SUMIFS(入金入力_ザック!$D$4:$D$103,入金入力_ザック!$A$4:$A$103,A18)</f>
        <v>0</v>
      </c>
      <c r="C18" s="8">
        <f>SUMIFS(未払一覧_ザック!$N$4:$N$103,未払一覧_ザック!$M$4:$M$103,A18)</f>
        <v>0</v>
      </c>
      <c r="D18" s="8">
        <f t="shared" si="0"/>
        <v>0</v>
      </c>
      <c r="E18" s="8">
        <f t="shared" si="1"/>
        <v>0</v>
      </c>
      <c r="F18" s="9">
        <f>SUMIFS(カード枠回復_ザック!$C$4:$C$53,カード枠回復_ザック!$A$4:$A$53,A18)</f>
        <v>0</v>
      </c>
      <c r="G18" s="57">
        <f t="shared" si="2"/>
        <v>0</v>
      </c>
      <c r="H18" s="60" t="s">
        <v>236</v>
      </c>
    </row>
    <row r="19" spans="1:8" ht="15" customHeight="1">
      <c r="A19" s="61">
        <v>46250</v>
      </c>
      <c r="B19" s="8">
        <f>SUMIFS(入金入力_ザック!$D$4:$D$103,入金入力_ザック!$A$4:$A$103,A19)</f>
        <v>0</v>
      </c>
      <c r="C19" s="8">
        <f>SUMIFS(未払一覧_ザック!$N$4:$N$103,未払一覧_ザック!$M$4:$M$103,A19)</f>
        <v>0</v>
      </c>
      <c r="D19" s="8">
        <f t="shared" si="0"/>
        <v>0</v>
      </c>
      <c r="E19" s="8">
        <f t="shared" si="1"/>
        <v>0</v>
      </c>
      <c r="F19" s="9">
        <f>SUMIFS(カード枠回復_ザック!$C$4:$C$53,カード枠回復_ザック!$A$4:$A$53,A19)</f>
        <v>0</v>
      </c>
      <c r="G19" s="57">
        <f t="shared" si="2"/>
        <v>0</v>
      </c>
      <c r="H19" s="60" t="s">
        <v>237</v>
      </c>
    </row>
    <row r="20" spans="1:8" ht="15" customHeight="1">
      <c r="A20" s="56">
        <v>46251</v>
      </c>
      <c r="B20" s="8">
        <f>SUMIFS(入金入力_ザック!$D$4:$D$103,入金入力_ザック!$A$4:$A$103,A20)</f>
        <v>0</v>
      </c>
      <c r="C20" s="8">
        <f>SUMIFS(未払一覧_ザック!$N$4:$N$103,未払一覧_ザック!$M$4:$M$103,A20)</f>
        <v>0</v>
      </c>
      <c r="D20" s="8">
        <f t="shared" si="0"/>
        <v>0</v>
      </c>
      <c r="E20" s="8">
        <f t="shared" si="1"/>
        <v>0</v>
      </c>
      <c r="F20" s="9">
        <f>SUMIFS(カード枠回復_ザック!$C$4:$C$53,カード枠回復_ザック!$A$4:$A$53,A20)</f>
        <v>0</v>
      </c>
      <c r="G20" s="57">
        <f t="shared" si="2"/>
        <v>0</v>
      </c>
      <c r="H20" s="58"/>
    </row>
    <row r="21" spans="1:8" ht="15" customHeight="1">
      <c r="A21" s="56">
        <v>46252</v>
      </c>
      <c r="B21" s="8">
        <f>SUMIFS(入金入力_ザック!$D$4:$D$103,入金入力_ザック!$A$4:$A$103,A21)</f>
        <v>0</v>
      </c>
      <c r="C21" s="8">
        <f>SUMIFS(未払一覧_ザック!$N$4:$N$103,未払一覧_ザック!$M$4:$M$103,A21)</f>
        <v>0</v>
      </c>
      <c r="D21" s="8">
        <f t="shared" si="0"/>
        <v>0</v>
      </c>
      <c r="E21" s="8">
        <f t="shared" si="1"/>
        <v>0</v>
      </c>
      <c r="F21" s="9">
        <f>SUMIFS(カード枠回復_ザック!$C$4:$C$53,カード枠回復_ザック!$A$4:$A$53,A21)</f>
        <v>0</v>
      </c>
      <c r="G21" s="57">
        <f t="shared" si="2"/>
        <v>0</v>
      </c>
      <c r="H21" s="58"/>
    </row>
    <row r="22" spans="1:8" ht="15" customHeight="1">
      <c r="A22" s="56">
        <v>46253</v>
      </c>
      <c r="B22" s="8">
        <f>SUMIFS(入金入力_ザック!$D$4:$D$103,入金入力_ザック!$A$4:$A$103,A22)</f>
        <v>0</v>
      </c>
      <c r="C22" s="8">
        <f>SUMIFS(未払一覧_ザック!$N$4:$N$103,未払一覧_ザック!$M$4:$M$103,A22)</f>
        <v>0</v>
      </c>
      <c r="D22" s="8">
        <f t="shared" si="0"/>
        <v>0</v>
      </c>
      <c r="E22" s="8">
        <f t="shared" si="1"/>
        <v>0</v>
      </c>
      <c r="F22" s="9">
        <f>SUMIFS(カード枠回復_ザック!$C$4:$C$53,カード枠回復_ザック!$A$4:$A$53,A22)</f>
        <v>0</v>
      </c>
      <c r="G22" s="57">
        <f t="shared" si="2"/>
        <v>0</v>
      </c>
      <c r="H22" s="58"/>
    </row>
    <row r="23" spans="1:8" ht="15" customHeight="1">
      <c r="A23" s="56">
        <v>46254</v>
      </c>
      <c r="B23" s="8">
        <f>SUMIFS(入金入力_ザック!$D$4:$D$103,入金入力_ザック!$A$4:$A$103,A23)</f>
        <v>0</v>
      </c>
      <c r="C23" s="8">
        <f>SUMIFS(未払一覧_ザック!$N$4:$N$103,未払一覧_ザック!$M$4:$M$103,A23)</f>
        <v>0</v>
      </c>
      <c r="D23" s="8">
        <f t="shared" si="0"/>
        <v>0</v>
      </c>
      <c r="E23" s="8">
        <f t="shared" si="1"/>
        <v>0</v>
      </c>
      <c r="F23" s="9">
        <f>SUMIFS(カード枠回復_ザック!$C$4:$C$53,カード枠回復_ザック!$A$4:$A$53,A23)</f>
        <v>0</v>
      </c>
      <c r="G23" s="57">
        <f t="shared" si="2"/>
        <v>0</v>
      </c>
      <c r="H23" s="58"/>
    </row>
    <row r="24" spans="1:8" ht="15" customHeight="1">
      <c r="A24" s="56">
        <v>46255</v>
      </c>
      <c r="B24" s="8">
        <f>SUMIFS(入金入力_ザック!$D$4:$D$103,入金入力_ザック!$A$4:$A$103,A24)</f>
        <v>0</v>
      </c>
      <c r="C24" s="8">
        <f>SUMIFS(未払一覧_ザック!$N$4:$N$103,未払一覧_ザック!$M$4:$M$103,A24)</f>
        <v>0</v>
      </c>
      <c r="D24" s="8">
        <f t="shared" si="0"/>
        <v>0</v>
      </c>
      <c r="E24" s="8">
        <f t="shared" si="1"/>
        <v>0</v>
      </c>
      <c r="F24" s="9">
        <f>SUMIFS(カード枠回復_ザック!$C$4:$C$53,カード枠回復_ザック!$A$4:$A$53,A24)</f>
        <v>0</v>
      </c>
      <c r="G24" s="57">
        <f t="shared" si="2"/>
        <v>0</v>
      </c>
      <c r="H24" s="58"/>
    </row>
    <row r="25" spans="1:8" ht="15" customHeight="1">
      <c r="A25" s="59">
        <v>46256</v>
      </c>
      <c r="B25" s="8">
        <f>SUMIFS(入金入力_ザック!$D$4:$D$103,入金入力_ザック!$A$4:$A$103,A25)</f>
        <v>0</v>
      </c>
      <c r="C25" s="8">
        <f>SUMIFS(未払一覧_ザック!$N$4:$N$103,未払一覧_ザック!$M$4:$M$103,A25)</f>
        <v>0</v>
      </c>
      <c r="D25" s="8">
        <f t="shared" si="0"/>
        <v>0</v>
      </c>
      <c r="E25" s="8">
        <f t="shared" si="1"/>
        <v>0</v>
      </c>
      <c r="F25" s="9">
        <f>SUMIFS(カード枠回復_ザック!$C$4:$C$53,カード枠回復_ザック!$A$4:$A$53,A25)</f>
        <v>0</v>
      </c>
      <c r="G25" s="57">
        <f t="shared" si="2"/>
        <v>0</v>
      </c>
      <c r="H25" s="60" t="s">
        <v>236</v>
      </c>
    </row>
    <row r="26" spans="1:8" ht="15" customHeight="1">
      <c r="A26" s="61">
        <v>46257</v>
      </c>
      <c r="B26" s="8">
        <f>SUMIFS(入金入力_ザック!$D$4:$D$103,入金入力_ザック!$A$4:$A$103,A26)</f>
        <v>0</v>
      </c>
      <c r="C26" s="8">
        <f>SUMIFS(未払一覧_ザック!$N$4:$N$103,未払一覧_ザック!$M$4:$M$103,A26)</f>
        <v>0</v>
      </c>
      <c r="D26" s="8">
        <f t="shared" si="0"/>
        <v>0</v>
      </c>
      <c r="E26" s="8">
        <f t="shared" si="1"/>
        <v>0</v>
      </c>
      <c r="F26" s="9">
        <f>SUMIFS(カード枠回復_ザック!$C$4:$C$53,カード枠回復_ザック!$A$4:$A$53,A26)</f>
        <v>0</v>
      </c>
      <c r="G26" s="57">
        <f t="shared" si="2"/>
        <v>0</v>
      </c>
      <c r="H26" s="60" t="s">
        <v>237</v>
      </c>
    </row>
    <row r="27" spans="1:8" ht="15" customHeight="1">
      <c r="A27" s="56">
        <v>46258</v>
      </c>
      <c r="B27" s="8">
        <f>SUMIFS(入金入力_ザック!$D$4:$D$103,入金入力_ザック!$A$4:$A$103,A27)</f>
        <v>0</v>
      </c>
      <c r="C27" s="8">
        <f>SUMIFS(未払一覧_ザック!$N$4:$N$103,未払一覧_ザック!$M$4:$M$103,A27)</f>
        <v>0</v>
      </c>
      <c r="D27" s="8">
        <f t="shared" si="0"/>
        <v>0</v>
      </c>
      <c r="E27" s="8">
        <f t="shared" si="1"/>
        <v>0</v>
      </c>
      <c r="F27" s="9">
        <f>SUMIFS(カード枠回復_ザック!$C$4:$C$53,カード枠回復_ザック!$A$4:$A$53,A27)</f>
        <v>0</v>
      </c>
      <c r="G27" s="57">
        <f t="shared" si="2"/>
        <v>0</v>
      </c>
      <c r="H27" s="58"/>
    </row>
    <row r="28" spans="1:8" ht="15" customHeight="1">
      <c r="A28" s="56">
        <v>46259</v>
      </c>
      <c r="B28" s="8">
        <f>SUMIFS(入金入力_ザック!$D$4:$D$103,入金入力_ザック!$A$4:$A$103,A28)</f>
        <v>0</v>
      </c>
      <c r="C28" s="8">
        <f>SUMIFS(未払一覧_ザック!$N$4:$N$103,未払一覧_ザック!$M$4:$M$103,A28)</f>
        <v>0</v>
      </c>
      <c r="D28" s="8">
        <f t="shared" si="0"/>
        <v>0</v>
      </c>
      <c r="E28" s="8">
        <f t="shared" si="1"/>
        <v>0</v>
      </c>
      <c r="F28" s="9">
        <f>SUMIFS(カード枠回復_ザック!$C$4:$C$53,カード枠回復_ザック!$A$4:$A$53,A28)</f>
        <v>0</v>
      </c>
      <c r="G28" s="57">
        <f t="shared" si="2"/>
        <v>0</v>
      </c>
      <c r="H28" s="58"/>
    </row>
    <row r="29" spans="1:8" ht="15" customHeight="1">
      <c r="A29" s="56">
        <v>46260</v>
      </c>
      <c r="B29" s="8">
        <f>SUMIFS(入金入力_ザック!$D$4:$D$103,入金入力_ザック!$A$4:$A$103,A29)</f>
        <v>0</v>
      </c>
      <c r="C29" s="8">
        <f>SUMIFS(未払一覧_ザック!$N$4:$N$103,未払一覧_ザック!$M$4:$M$103,A29)</f>
        <v>0</v>
      </c>
      <c r="D29" s="8">
        <f t="shared" si="0"/>
        <v>0</v>
      </c>
      <c r="E29" s="8">
        <f t="shared" si="1"/>
        <v>0</v>
      </c>
      <c r="F29" s="9">
        <f>SUMIFS(カード枠回復_ザック!$C$4:$C$53,カード枠回復_ザック!$A$4:$A$53,A29)</f>
        <v>0</v>
      </c>
      <c r="G29" s="57">
        <f t="shared" si="2"/>
        <v>0</v>
      </c>
      <c r="H29" s="58"/>
    </row>
    <row r="30" spans="1:8" ht="15" customHeight="1">
      <c r="A30" s="56">
        <v>46261</v>
      </c>
      <c r="B30" s="8">
        <f>SUMIFS(入金入力_ザック!$D$4:$D$103,入金入力_ザック!$A$4:$A$103,A30)</f>
        <v>0</v>
      </c>
      <c r="C30" s="8">
        <f>SUMIFS(未払一覧_ザック!$N$4:$N$103,未払一覧_ザック!$M$4:$M$103,A30)</f>
        <v>0</v>
      </c>
      <c r="D30" s="8">
        <f t="shared" si="0"/>
        <v>0</v>
      </c>
      <c r="E30" s="8">
        <f t="shared" si="1"/>
        <v>0</v>
      </c>
      <c r="F30" s="9">
        <f>SUMIFS(カード枠回復_ザック!$C$4:$C$53,カード枠回復_ザック!$A$4:$A$53,A30)</f>
        <v>0</v>
      </c>
      <c r="G30" s="57">
        <f t="shared" si="2"/>
        <v>0</v>
      </c>
      <c r="H30" s="58"/>
    </row>
    <row r="31" spans="1:8" ht="15" customHeight="1">
      <c r="A31" s="56">
        <v>46262</v>
      </c>
      <c r="B31" s="8">
        <f>SUMIFS(入金入力_ザック!$D$4:$D$103,入金入力_ザック!$A$4:$A$103,A31)</f>
        <v>0</v>
      </c>
      <c r="C31" s="8">
        <f>SUMIFS(未払一覧_ザック!$N$4:$N$103,未払一覧_ザック!$M$4:$M$103,A31)</f>
        <v>0</v>
      </c>
      <c r="D31" s="8">
        <f t="shared" si="0"/>
        <v>0</v>
      </c>
      <c r="E31" s="8">
        <f t="shared" si="1"/>
        <v>0</v>
      </c>
      <c r="F31" s="9">
        <f>SUMIFS(カード枠回復_ザック!$C$4:$C$53,カード枠回復_ザック!$A$4:$A$53,A31)</f>
        <v>0</v>
      </c>
      <c r="G31" s="57">
        <f t="shared" si="2"/>
        <v>0</v>
      </c>
      <c r="H31" s="58"/>
    </row>
    <row r="32" spans="1:8" ht="15" customHeight="1">
      <c r="A32" s="59">
        <v>46263</v>
      </c>
      <c r="B32" s="8">
        <f>SUMIFS(入金入力_ザック!$D$4:$D$103,入金入力_ザック!$A$4:$A$103,A32)</f>
        <v>0</v>
      </c>
      <c r="C32" s="8">
        <f>SUMIFS(未払一覧_ザック!$N$4:$N$103,未払一覧_ザック!$M$4:$M$103,A32)</f>
        <v>0</v>
      </c>
      <c r="D32" s="8">
        <f t="shared" si="0"/>
        <v>0</v>
      </c>
      <c r="E32" s="8">
        <f t="shared" si="1"/>
        <v>0</v>
      </c>
      <c r="F32" s="9">
        <f>SUMIFS(カード枠回復_ザック!$C$4:$C$53,カード枠回復_ザック!$A$4:$A$53,A32)</f>
        <v>0</v>
      </c>
      <c r="G32" s="57">
        <f t="shared" si="2"/>
        <v>0</v>
      </c>
      <c r="H32" s="60" t="s">
        <v>236</v>
      </c>
    </row>
    <row r="33" spans="1:8" ht="15" customHeight="1">
      <c r="A33" s="61">
        <v>46264</v>
      </c>
      <c r="B33" s="8">
        <f>SUMIFS(入金入力_ザック!$D$4:$D$103,入金入力_ザック!$A$4:$A$103,A33)</f>
        <v>0</v>
      </c>
      <c r="C33" s="8">
        <f>SUMIFS(未払一覧_ザック!$N$4:$N$103,未払一覧_ザック!$M$4:$M$103,A33)</f>
        <v>0</v>
      </c>
      <c r="D33" s="8">
        <f t="shared" si="0"/>
        <v>0</v>
      </c>
      <c r="E33" s="8">
        <f t="shared" si="1"/>
        <v>0</v>
      </c>
      <c r="F33" s="9">
        <f>SUMIFS(カード枠回復_ザック!$C$4:$C$53,カード枠回復_ザック!$A$4:$A$53,A33)</f>
        <v>0</v>
      </c>
      <c r="G33" s="57">
        <f t="shared" si="2"/>
        <v>0</v>
      </c>
      <c r="H33" s="60" t="s">
        <v>237</v>
      </c>
    </row>
    <row r="34" spans="1:8" ht="15" customHeight="1">
      <c r="A34" s="56">
        <v>46265</v>
      </c>
      <c r="B34" s="8">
        <f>SUMIFS(入金入力_ザック!$D$4:$D$103,入金入力_ザック!$A$4:$A$103,A34)</f>
        <v>0</v>
      </c>
      <c r="C34" s="8">
        <f>SUMIFS(未払一覧_ザック!$N$4:$N$103,未払一覧_ザック!$M$4:$M$103,A34)</f>
        <v>0</v>
      </c>
      <c r="D34" s="8">
        <f t="shared" si="0"/>
        <v>0</v>
      </c>
      <c r="E34" s="8">
        <f t="shared" si="1"/>
        <v>0</v>
      </c>
      <c r="F34" s="9">
        <f>SUMIFS(カード枠回復_ザック!$C$4:$C$53,カード枠回復_ザック!$A$4:$A$53,A34)</f>
        <v>0</v>
      </c>
      <c r="G34" s="57">
        <f t="shared" si="2"/>
        <v>0</v>
      </c>
      <c r="H34" s="58"/>
    </row>
    <row r="36" spans="1:8" ht="15" customHeight="1">
      <c r="A36" s="11" t="s">
        <v>245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2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9" t="s">
        <v>261</v>
      </c>
      <c r="B1" s="99"/>
      <c r="C1" s="99"/>
      <c r="D1" s="99"/>
      <c r="E1" s="99"/>
      <c r="F1" s="99"/>
      <c r="G1" s="99"/>
      <c r="H1" s="99"/>
    </row>
    <row r="2" spans="1:8" ht="15" customHeight="1">
      <c r="A2" s="85" t="s">
        <v>262</v>
      </c>
      <c r="B2" s="85"/>
      <c r="C2" s="85"/>
      <c r="D2" s="85"/>
      <c r="E2" s="85"/>
      <c r="F2" s="85"/>
      <c r="G2" s="85"/>
      <c r="H2" s="8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46142</v>
      </c>
      <c r="B4" s="8">
        <f>SUMIFS(入金入力_ワールド・レイ!$D$4:$D$103,入金入力_ワールド・レイ!$A$4:$A$103,A4)</f>
        <v>0</v>
      </c>
      <c r="C4" s="8">
        <f>SUMIFS(未払一覧_ワールド・レイ!$N$4:$N$103,未払一覧_ワールド・レイ!$M$4:$M$103,A4)</f>
        <v>0</v>
      </c>
      <c r="D4" s="8">
        <f t="shared" ref="D4:D35" si="0">B4-C4-F4</f>
        <v>0</v>
      </c>
      <c r="E4" s="8">
        <f>D4</f>
        <v>0</v>
      </c>
      <c r="F4" s="9">
        <f>SUMIFS(カード枠回復_ワールド・レイ!$C$4:$C$53,カード枠回復_ワールド・レイ!$A$4:$A$53,A4)</f>
        <v>0</v>
      </c>
      <c r="G4" s="57">
        <f>D4+F4</f>
        <v>0</v>
      </c>
      <c r="H4" s="63"/>
    </row>
    <row r="5" spans="1:8" ht="15" customHeight="1">
      <c r="A5" s="56">
        <v>46143</v>
      </c>
      <c r="B5" s="8">
        <f>SUMIFS(入金入力_ワールド・レイ!$D$4:$D$103,入金入力_ワールド・レイ!$A$4:$A$103,A5)</f>
        <v>0</v>
      </c>
      <c r="C5" s="8">
        <f>SUMIFS(未払一覧_ワールド・レイ!$N$4:$N$103,未払一覧_ワールド・レイ!$M$4:$M$103,A5)</f>
        <v>0</v>
      </c>
      <c r="D5" s="8">
        <f t="shared" si="0"/>
        <v>0</v>
      </c>
      <c r="E5" s="8">
        <f t="shared" ref="E5:E35" si="1">E4+D5</f>
        <v>0</v>
      </c>
      <c r="F5" s="9">
        <f>SUMIFS(カード枠回復_ワールド・レイ!$C$4:$C$53,カード枠回復_ワールド・レイ!$A$4:$A$53,A5)</f>
        <v>0</v>
      </c>
      <c r="G5" s="57">
        <f t="shared" ref="G5:G35" si="2">G4+D5+F5</f>
        <v>0</v>
      </c>
      <c r="H5" s="63"/>
    </row>
    <row r="6" spans="1:8" ht="15" customHeight="1">
      <c r="A6" s="59">
        <v>46144</v>
      </c>
      <c r="B6" s="8">
        <f>SUMIFS(入金入力_ワールド・レイ!$D$4:$D$103,入金入力_ワールド・レイ!$A$4:$A$103,A6)</f>
        <v>0</v>
      </c>
      <c r="C6" s="8">
        <f>SUMIFS(未払一覧_ワールド・レイ!$N$4:$N$103,未払一覧_ワールド・レイ!$M$4:$M$103,A6)</f>
        <v>0</v>
      </c>
      <c r="D6" s="8">
        <f t="shared" si="0"/>
        <v>0</v>
      </c>
      <c r="E6" s="8">
        <f t="shared" si="1"/>
        <v>0</v>
      </c>
      <c r="F6" s="9">
        <f>SUMIFS(カード枠回復_ワールド・レイ!$C$4:$C$53,カード枠回復_ワールド・レイ!$A$4:$A$53,A6)</f>
        <v>0</v>
      </c>
      <c r="G6" s="57">
        <f t="shared" si="2"/>
        <v>0</v>
      </c>
      <c r="H6" s="60" t="s">
        <v>236</v>
      </c>
    </row>
    <row r="7" spans="1:8" ht="15" customHeight="1">
      <c r="A7" s="61">
        <v>46145</v>
      </c>
      <c r="B7" s="8">
        <f>SUMIFS(入金入力_ワールド・レイ!$D$4:$D$103,入金入力_ワールド・レイ!$A$4:$A$103,A7)</f>
        <v>0</v>
      </c>
      <c r="C7" s="8">
        <f>SUMIFS(未払一覧_ワールド・レイ!$N$4:$N$103,未払一覧_ワールド・レイ!$M$4:$M$103,A7)</f>
        <v>0</v>
      </c>
      <c r="D7" s="8">
        <f t="shared" si="0"/>
        <v>0</v>
      </c>
      <c r="E7" s="8">
        <f t="shared" si="1"/>
        <v>0</v>
      </c>
      <c r="F7" s="9">
        <f>SUMIFS(カード枠回復_ワールド・レイ!$C$4:$C$53,カード枠回復_ワールド・レイ!$A$4:$A$53,A7)</f>
        <v>0</v>
      </c>
      <c r="G7" s="57">
        <f t="shared" si="2"/>
        <v>0</v>
      </c>
      <c r="H7" s="60" t="s">
        <v>237</v>
      </c>
    </row>
    <row r="8" spans="1:8" ht="15" customHeight="1">
      <c r="A8" s="56">
        <v>46146</v>
      </c>
      <c r="B8" s="8">
        <f>SUMIFS(入金入力_ワールド・レイ!$D$4:$D$103,入金入力_ワールド・レイ!$A$4:$A$103,A8)</f>
        <v>0</v>
      </c>
      <c r="C8" s="8">
        <f>SUMIFS(未払一覧_ワールド・レイ!$N$4:$N$103,未払一覧_ワールド・レイ!$M$4:$M$103,A8)</f>
        <v>0</v>
      </c>
      <c r="D8" s="8">
        <f t="shared" si="0"/>
        <v>0</v>
      </c>
      <c r="E8" s="8">
        <f t="shared" si="1"/>
        <v>0</v>
      </c>
      <c r="F8" s="9">
        <f>SUMIFS(カード枠回復_ワールド・レイ!$C$4:$C$53,カード枠回復_ワールド・レイ!$A$4:$A$53,A8)</f>
        <v>0</v>
      </c>
      <c r="G8" s="57">
        <f t="shared" si="2"/>
        <v>0</v>
      </c>
      <c r="H8" s="63"/>
    </row>
    <row r="9" spans="1:8" ht="15" customHeight="1">
      <c r="A9" s="56">
        <v>46147</v>
      </c>
      <c r="B9" s="8">
        <f>SUMIFS(入金入力_ワールド・レイ!$D$4:$D$103,入金入力_ワールド・レイ!$A$4:$A$103,A9)</f>
        <v>0</v>
      </c>
      <c r="C9" s="8">
        <f>SUMIFS(未払一覧_ワールド・レイ!$N$4:$N$103,未払一覧_ワールド・レイ!$M$4:$M$103,A9)</f>
        <v>0</v>
      </c>
      <c r="D9" s="8">
        <f t="shared" si="0"/>
        <v>0</v>
      </c>
      <c r="E9" s="8">
        <f t="shared" si="1"/>
        <v>0</v>
      </c>
      <c r="F9" s="9">
        <f>SUMIFS(カード枠回復_ワールド・レイ!$C$4:$C$53,カード枠回復_ワールド・レイ!$A$4:$A$53,A9)</f>
        <v>0</v>
      </c>
      <c r="G9" s="57">
        <f t="shared" si="2"/>
        <v>0</v>
      </c>
      <c r="H9" s="63"/>
    </row>
    <row r="10" spans="1:8" ht="15" customHeight="1">
      <c r="A10" s="56">
        <v>46148</v>
      </c>
      <c r="B10" s="8">
        <f>SUMIFS(入金入力_ワールド・レイ!$D$4:$D$103,入金入力_ワールド・レイ!$A$4:$A$103,A10)</f>
        <v>0</v>
      </c>
      <c r="C10" s="8">
        <f>SUMIFS(未払一覧_ワールド・レイ!$N$4:$N$103,未払一覧_ワールド・レイ!$M$4:$M$103,A10)</f>
        <v>0</v>
      </c>
      <c r="D10" s="8">
        <f t="shared" si="0"/>
        <v>0</v>
      </c>
      <c r="E10" s="8">
        <f t="shared" si="1"/>
        <v>0</v>
      </c>
      <c r="F10" s="9">
        <f>SUMIFS(カード枠回復_ワールド・レイ!$C$4:$C$53,カード枠回復_ワールド・レイ!$A$4:$A$53,A10)</f>
        <v>0</v>
      </c>
      <c r="G10" s="57">
        <f t="shared" si="2"/>
        <v>0</v>
      </c>
      <c r="H10" s="63"/>
    </row>
    <row r="11" spans="1:8" ht="15" customHeight="1">
      <c r="A11" s="56">
        <v>46149</v>
      </c>
      <c r="B11" s="8">
        <f>SUMIFS(入金入力_ワールド・レイ!$D$4:$D$103,入金入力_ワールド・レイ!$A$4:$A$103,A11)</f>
        <v>0</v>
      </c>
      <c r="C11" s="8">
        <f>SUMIFS(未払一覧_ワールド・レイ!$N$4:$N$103,未払一覧_ワールド・レイ!$M$4:$M$103,A11)</f>
        <v>0</v>
      </c>
      <c r="D11" s="8">
        <f t="shared" si="0"/>
        <v>0</v>
      </c>
      <c r="E11" s="8">
        <f t="shared" si="1"/>
        <v>0</v>
      </c>
      <c r="F11" s="9">
        <f>SUMIFS(カード枠回復_ワールド・レイ!$C$4:$C$53,カード枠回復_ワールド・レイ!$A$4:$A$53,A11)</f>
        <v>0</v>
      </c>
      <c r="G11" s="57">
        <f t="shared" si="2"/>
        <v>0</v>
      </c>
      <c r="H11" s="63"/>
    </row>
    <row r="12" spans="1:8" ht="15" customHeight="1">
      <c r="A12" s="56">
        <v>46150</v>
      </c>
      <c r="B12" s="8">
        <f>SUMIFS(入金入力_ワールド・レイ!$D$4:$D$103,入金入力_ワールド・レイ!$A$4:$A$103,A12)</f>
        <v>0</v>
      </c>
      <c r="C12" s="8">
        <f>SUMIFS(未払一覧_ワールド・レイ!$N$4:$N$103,未払一覧_ワールド・レイ!$M$4:$M$103,A12)</f>
        <v>0</v>
      </c>
      <c r="D12" s="8">
        <f t="shared" si="0"/>
        <v>0</v>
      </c>
      <c r="E12" s="8">
        <f t="shared" si="1"/>
        <v>0</v>
      </c>
      <c r="F12" s="9">
        <f>SUMIFS(カード枠回復_ワールド・レイ!$C$4:$C$53,カード枠回復_ワールド・レイ!$A$4:$A$53,A12)</f>
        <v>0</v>
      </c>
      <c r="G12" s="57">
        <f t="shared" si="2"/>
        <v>0</v>
      </c>
      <c r="H12" s="63"/>
    </row>
    <row r="13" spans="1:8" ht="15" customHeight="1">
      <c r="A13" s="59">
        <v>46151</v>
      </c>
      <c r="B13" s="8">
        <f>SUMIFS(入金入力_ワールド・レイ!$D$4:$D$103,入金入力_ワールド・レイ!$A$4:$A$103,A13)</f>
        <v>0</v>
      </c>
      <c r="C13" s="8">
        <f>SUMIFS(未払一覧_ワールド・レイ!$N$4:$N$103,未払一覧_ワールド・レイ!$M$4:$M$103,A13)</f>
        <v>0</v>
      </c>
      <c r="D13" s="8">
        <f t="shared" si="0"/>
        <v>0</v>
      </c>
      <c r="E13" s="8">
        <f t="shared" si="1"/>
        <v>0</v>
      </c>
      <c r="F13" s="9">
        <f>SUMIFS(カード枠回復_ワールド・レイ!$C$4:$C$53,カード枠回復_ワールド・レイ!$A$4:$A$53,A13)</f>
        <v>0</v>
      </c>
      <c r="G13" s="57">
        <f t="shared" si="2"/>
        <v>0</v>
      </c>
      <c r="H13" s="60" t="s">
        <v>236</v>
      </c>
    </row>
    <row r="14" spans="1:8" ht="15" customHeight="1">
      <c r="A14" s="61">
        <v>46152</v>
      </c>
      <c r="B14" s="8">
        <f>SUMIFS(入金入力_ワールド・レイ!$D$4:$D$103,入金入力_ワールド・レイ!$A$4:$A$103,A14)</f>
        <v>0</v>
      </c>
      <c r="C14" s="8">
        <f>SUMIFS(未払一覧_ワールド・レイ!$N$4:$N$103,未払一覧_ワールド・レイ!$M$4:$M$103,A14)</f>
        <v>0</v>
      </c>
      <c r="D14" s="8">
        <f t="shared" si="0"/>
        <v>0</v>
      </c>
      <c r="E14" s="8">
        <f t="shared" si="1"/>
        <v>0</v>
      </c>
      <c r="F14" s="9">
        <f>SUMIFS(カード枠回復_ワールド・レイ!$C$4:$C$53,カード枠回復_ワールド・レイ!$A$4:$A$53,A14)</f>
        <v>0</v>
      </c>
      <c r="G14" s="57">
        <f t="shared" si="2"/>
        <v>0</v>
      </c>
      <c r="H14" s="60" t="s">
        <v>237</v>
      </c>
    </row>
    <row r="15" spans="1:8" ht="15" customHeight="1">
      <c r="A15" s="56">
        <v>46153</v>
      </c>
      <c r="B15" s="8">
        <f>SUMIFS(入金入力_ワールド・レイ!$D$4:$D$103,入金入力_ワールド・レイ!$A$4:$A$103,A15)</f>
        <v>0</v>
      </c>
      <c r="C15" s="8">
        <f>SUMIFS(未払一覧_ワールド・レイ!$N$4:$N$103,未払一覧_ワールド・レイ!$M$4:$M$103,A15)</f>
        <v>0</v>
      </c>
      <c r="D15" s="8">
        <f t="shared" si="0"/>
        <v>0</v>
      </c>
      <c r="E15" s="8">
        <f t="shared" si="1"/>
        <v>0</v>
      </c>
      <c r="F15" s="9">
        <f>SUMIFS(カード枠回復_ワールド・レイ!$C$4:$C$53,カード枠回復_ワールド・レイ!$A$4:$A$53,A15)</f>
        <v>0</v>
      </c>
      <c r="G15" s="57">
        <f t="shared" si="2"/>
        <v>0</v>
      </c>
      <c r="H15" s="63"/>
    </row>
    <row r="16" spans="1:8" ht="15" customHeight="1">
      <c r="A16" s="56">
        <v>46154</v>
      </c>
      <c r="B16" s="8">
        <f>SUMIFS(入金入力_ワールド・レイ!$D$4:$D$103,入金入力_ワールド・レイ!$A$4:$A$103,A16)</f>
        <v>0</v>
      </c>
      <c r="C16" s="8">
        <f>SUMIFS(未払一覧_ワールド・レイ!$N$4:$N$103,未払一覧_ワールド・レイ!$M$4:$M$103,A16)</f>
        <v>0</v>
      </c>
      <c r="D16" s="8">
        <f t="shared" si="0"/>
        <v>0</v>
      </c>
      <c r="E16" s="8">
        <f t="shared" si="1"/>
        <v>0</v>
      </c>
      <c r="F16" s="9">
        <f>SUMIFS(カード枠回復_ワールド・レイ!$C$4:$C$53,カード枠回復_ワールド・レイ!$A$4:$A$53,A16)</f>
        <v>0</v>
      </c>
      <c r="G16" s="57">
        <f t="shared" si="2"/>
        <v>0</v>
      </c>
      <c r="H16" s="63"/>
    </row>
    <row r="17" spans="1:8" ht="15" customHeight="1">
      <c r="A17" s="56">
        <v>46155</v>
      </c>
      <c r="B17" s="8">
        <f>SUMIFS(入金入力_ワールド・レイ!$D$4:$D$103,入金入力_ワールド・レイ!$A$4:$A$103,A17)</f>
        <v>0</v>
      </c>
      <c r="C17" s="8">
        <f>SUMIFS(未払一覧_ワールド・レイ!$N$4:$N$103,未払一覧_ワールド・レイ!$M$4:$M$103,A17)</f>
        <v>0</v>
      </c>
      <c r="D17" s="8">
        <f t="shared" si="0"/>
        <v>0</v>
      </c>
      <c r="E17" s="8">
        <f t="shared" si="1"/>
        <v>0</v>
      </c>
      <c r="F17" s="9">
        <f>SUMIFS(カード枠回復_ワールド・レイ!$C$4:$C$53,カード枠回復_ワールド・レイ!$A$4:$A$53,A17)</f>
        <v>0</v>
      </c>
      <c r="G17" s="57">
        <f t="shared" si="2"/>
        <v>0</v>
      </c>
      <c r="H17" s="63"/>
    </row>
    <row r="18" spans="1:8" ht="15" customHeight="1">
      <c r="A18" s="56">
        <v>46156</v>
      </c>
      <c r="B18" s="8">
        <f>SUMIFS(入金入力_ワールド・レイ!$D$4:$D$103,入金入力_ワールド・レイ!$A$4:$A$103,A18)</f>
        <v>0</v>
      </c>
      <c r="C18" s="8">
        <f>SUMIFS(未払一覧_ワールド・レイ!$N$4:$N$103,未払一覧_ワールド・レイ!$M$4:$M$103,A18)</f>
        <v>0</v>
      </c>
      <c r="D18" s="8">
        <f t="shared" si="0"/>
        <v>0</v>
      </c>
      <c r="E18" s="8">
        <f t="shared" si="1"/>
        <v>0</v>
      </c>
      <c r="F18" s="9">
        <f>SUMIFS(カード枠回復_ワールド・レイ!$C$4:$C$53,カード枠回復_ワールド・レイ!$A$4:$A$53,A18)</f>
        <v>0</v>
      </c>
      <c r="G18" s="57">
        <f t="shared" si="2"/>
        <v>0</v>
      </c>
      <c r="H18" s="63"/>
    </row>
    <row r="19" spans="1:8" ht="15" customHeight="1">
      <c r="A19" s="56">
        <v>46157</v>
      </c>
      <c r="B19" s="8">
        <f>SUMIFS(入金入力_ワールド・レイ!$D$4:$D$103,入金入力_ワールド・レイ!$A$4:$A$103,A19)</f>
        <v>0</v>
      </c>
      <c r="C19" s="8">
        <f>SUMIFS(未払一覧_ワールド・レイ!$N$4:$N$103,未払一覧_ワールド・レイ!$M$4:$M$103,A19)</f>
        <v>0</v>
      </c>
      <c r="D19" s="8">
        <f t="shared" si="0"/>
        <v>0</v>
      </c>
      <c r="E19" s="8">
        <f t="shared" si="1"/>
        <v>0</v>
      </c>
      <c r="F19" s="9">
        <f>SUMIFS(カード枠回復_ワールド・レイ!$C$4:$C$53,カード枠回復_ワールド・レイ!$A$4:$A$53,A19)</f>
        <v>0</v>
      </c>
      <c r="G19" s="57">
        <f t="shared" si="2"/>
        <v>0</v>
      </c>
      <c r="H19" s="63"/>
    </row>
    <row r="20" spans="1:8" ht="15" customHeight="1">
      <c r="A20" s="59">
        <v>46158</v>
      </c>
      <c r="B20" s="8">
        <f>SUMIFS(入金入力_ワールド・レイ!$D$4:$D$103,入金入力_ワールド・レイ!$A$4:$A$103,A20)</f>
        <v>0</v>
      </c>
      <c r="C20" s="8">
        <f>SUMIFS(未払一覧_ワールド・レイ!$N$4:$N$103,未払一覧_ワールド・レイ!$M$4:$M$103,A20)</f>
        <v>0</v>
      </c>
      <c r="D20" s="8">
        <f t="shared" si="0"/>
        <v>0</v>
      </c>
      <c r="E20" s="8">
        <f t="shared" si="1"/>
        <v>0</v>
      </c>
      <c r="F20" s="9">
        <f>SUMIFS(カード枠回復_ワールド・レイ!$C$4:$C$53,カード枠回復_ワールド・レイ!$A$4:$A$53,A20)</f>
        <v>0</v>
      </c>
      <c r="G20" s="57">
        <f t="shared" si="2"/>
        <v>0</v>
      </c>
      <c r="H20" s="60" t="s">
        <v>236</v>
      </c>
    </row>
    <row r="21" spans="1:8" ht="15" customHeight="1">
      <c r="A21" s="61">
        <v>46159</v>
      </c>
      <c r="B21" s="8">
        <f>SUMIFS(入金入力_ワールド・レイ!$D$4:$D$103,入金入力_ワールド・レイ!$A$4:$A$103,A21)</f>
        <v>0</v>
      </c>
      <c r="C21" s="8">
        <f>SUMIFS(未払一覧_ワールド・レイ!$N$4:$N$103,未払一覧_ワールド・レイ!$M$4:$M$103,A21)</f>
        <v>0</v>
      </c>
      <c r="D21" s="8">
        <f t="shared" si="0"/>
        <v>0</v>
      </c>
      <c r="E21" s="8">
        <f t="shared" si="1"/>
        <v>0</v>
      </c>
      <c r="F21" s="9">
        <f>SUMIFS(カード枠回復_ワールド・レイ!$C$4:$C$53,カード枠回復_ワールド・レイ!$A$4:$A$53,A21)</f>
        <v>0</v>
      </c>
      <c r="G21" s="57">
        <f t="shared" si="2"/>
        <v>0</v>
      </c>
      <c r="H21" s="60" t="s">
        <v>237</v>
      </c>
    </row>
    <row r="22" spans="1:8" ht="15" customHeight="1">
      <c r="A22" s="56">
        <v>46160</v>
      </c>
      <c r="B22" s="8">
        <f>SUMIFS(入金入力_ワールド・レイ!$D$4:$D$103,入金入力_ワールド・レイ!$A$4:$A$103,A22)</f>
        <v>0</v>
      </c>
      <c r="C22" s="8">
        <f>SUMIFS(未払一覧_ワールド・レイ!$N$4:$N$103,未払一覧_ワールド・レイ!$M$4:$M$103,A22)</f>
        <v>0</v>
      </c>
      <c r="D22" s="8">
        <f t="shared" si="0"/>
        <v>0</v>
      </c>
      <c r="E22" s="8">
        <f t="shared" si="1"/>
        <v>0</v>
      </c>
      <c r="F22" s="9">
        <f>SUMIFS(カード枠回復_ワールド・レイ!$C$4:$C$53,カード枠回復_ワールド・レイ!$A$4:$A$53,A22)</f>
        <v>0</v>
      </c>
      <c r="G22" s="57">
        <f t="shared" si="2"/>
        <v>0</v>
      </c>
      <c r="H22" s="63"/>
    </row>
    <row r="23" spans="1:8" ht="15" customHeight="1">
      <c r="A23" s="56">
        <v>46161</v>
      </c>
      <c r="B23" s="8">
        <f>SUMIFS(入金入力_ワールド・レイ!$D$4:$D$103,入金入力_ワールド・レイ!$A$4:$A$103,A23)</f>
        <v>0</v>
      </c>
      <c r="C23" s="8">
        <f>SUMIFS(未払一覧_ワールド・レイ!$N$4:$N$103,未払一覧_ワールド・レイ!$M$4:$M$103,A23)</f>
        <v>0</v>
      </c>
      <c r="D23" s="8">
        <f t="shared" si="0"/>
        <v>0</v>
      </c>
      <c r="E23" s="8">
        <f t="shared" si="1"/>
        <v>0</v>
      </c>
      <c r="F23" s="9">
        <f>SUMIFS(カード枠回復_ワールド・レイ!$C$4:$C$53,カード枠回復_ワールド・レイ!$A$4:$A$53,A23)</f>
        <v>0</v>
      </c>
      <c r="G23" s="57">
        <f t="shared" si="2"/>
        <v>0</v>
      </c>
      <c r="H23" s="63"/>
    </row>
    <row r="24" spans="1:8" ht="15" customHeight="1">
      <c r="A24" s="56">
        <v>46162</v>
      </c>
      <c r="B24" s="8">
        <f>SUMIFS(入金入力_ワールド・レイ!$D$4:$D$103,入金入力_ワールド・レイ!$A$4:$A$103,A24)</f>
        <v>0</v>
      </c>
      <c r="C24" s="8">
        <f>SUMIFS(未払一覧_ワールド・レイ!$N$4:$N$103,未払一覧_ワールド・レイ!$M$4:$M$103,A24)</f>
        <v>0</v>
      </c>
      <c r="D24" s="8">
        <f t="shared" si="0"/>
        <v>0</v>
      </c>
      <c r="E24" s="8">
        <f t="shared" si="1"/>
        <v>0</v>
      </c>
      <c r="F24" s="9">
        <f>SUMIFS(カード枠回復_ワールド・レイ!$C$4:$C$53,カード枠回復_ワールド・レイ!$A$4:$A$53,A24)</f>
        <v>0</v>
      </c>
      <c r="G24" s="57">
        <f t="shared" si="2"/>
        <v>0</v>
      </c>
      <c r="H24" s="63"/>
    </row>
    <row r="25" spans="1:8" ht="15" customHeight="1">
      <c r="A25" s="56">
        <v>46163</v>
      </c>
      <c r="B25" s="8">
        <f>SUMIFS(入金入力_ワールド・レイ!$D$4:$D$103,入金入力_ワールド・レイ!$A$4:$A$103,A25)</f>
        <v>0</v>
      </c>
      <c r="C25" s="8">
        <f>SUMIFS(未払一覧_ワールド・レイ!$N$4:$N$103,未払一覧_ワールド・レイ!$M$4:$M$103,A25)</f>
        <v>0</v>
      </c>
      <c r="D25" s="8">
        <f t="shared" si="0"/>
        <v>0</v>
      </c>
      <c r="E25" s="8">
        <f t="shared" si="1"/>
        <v>0</v>
      </c>
      <c r="F25" s="9">
        <f>SUMIFS(カード枠回復_ワールド・レイ!$C$4:$C$53,カード枠回復_ワールド・レイ!$A$4:$A$53,A25)</f>
        <v>0</v>
      </c>
      <c r="G25" s="57">
        <f t="shared" si="2"/>
        <v>0</v>
      </c>
      <c r="H25" s="63"/>
    </row>
    <row r="26" spans="1:8" ht="15" customHeight="1">
      <c r="A26" s="56">
        <v>46164</v>
      </c>
      <c r="B26" s="8">
        <f>SUMIFS(入金入力_ワールド・レイ!$D$4:$D$103,入金入力_ワールド・レイ!$A$4:$A$103,A26)</f>
        <v>0</v>
      </c>
      <c r="C26" s="8">
        <f>SUMIFS(未払一覧_ワールド・レイ!$N$4:$N$103,未払一覧_ワールド・レイ!$M$4:$M$103,A26)</f>
        <v>0</v>
      </c>
      <c r="D26" s="8">
        <f t="shared" si="0"/>
        <v>0</v>
      </c>
      <c r="E26" s="8">
        <f t="shared" si="1"/>
        <v>0</v>
      </c>
      <c r="F26" s="9">
        <f>SUMIFS(カード枠回復_ワールド・レイ!$C$4:$C$53,カード枠回復_ワールド・レイ!$A$4:$A$53,A26)</f>
        <v>0</v>
      </c>
      <c r="G26" s="57">
        <f t="shared" si="2"/>
        <v>0</v>
      </c>
      <c r="H26" s="63"/>
    </row>
    <row r="27" spans="1:8" ht="15" customHeight="1">
      <c r="A27" s="59">
        <v>46165</v>
      </c>
      <c r="B27" s="8">
        <f>SUMIFS(入金入力_ワールド・レイ!$D$4:$D$103,入金入力_ワールド・レイ!$A$4:$A$103,A27)</f>
        <v>0</v>
      </c>
      <c r="C27" s="8">
        <f>SUMIFS(未払一覧_ワールド・レイ!$N$4:$N$103,未払一覧_ワールド・レイ!$M$4:$M$103,A27)</f>
        <v>0</v>
      </c>
      <c r="D27" s="8">
        <f t="shared" si="0"/>
        <v>0</v>
      </c>
      <c r="E27" s="8">
        <f t="shared" si="1"/>
        <v>0</v>
      </c>
      <c r="F27" s="9">
        <f>SUMIFS(カード枠回復_ワールド・レイ!$C$4:$C$53,カード枠回復_ワールド・レイ!$A$4:$A$53,A27)</f>
        <v>0</v>
      </c>
      <c r="G27" s="57">
        <f t="shared" si="2"/>
        <v>0</v>
      </c>
      <c r="H27" s="60" t="s">
        <v>236</v>
      </c>
    </row>
    <row r="28" spans="1:8" ht="15" customHeight="1">
      <c r="A28" s="61">
        <v>46166</v>
      </c>
      <c r="B28" s="8">
        <f>SUMIFS(入金入力_ワールド・レイ!$D$4:$D$103,入金入力_ワールド・レイ!$A$4:$A$103,A28)</f>
        <v>0</v>
      </c>
      <c r="C28" s="8">
        <f>SUMIFS(未払一覧_ワールド・レイ!$N$4:$N$103,未払一覧_ワールド・レイ!$M$4:$M$103,A28)</f>
        <v>0</v>
      </c>
      <c r="D28" s="8">
        <f t="shared" si="0"/>
        <v>0</v>
      </c>
      <c r="E28" s="8">
        <f t="shared" si="1"/>
        <v>0</v>
      </c>
      <c r="F28" s="9">
        <f>SUMIFS(カード枠回復_ワールド・レイ!$C$4:$C$53,カード枠回復_ワールド・レイ!$A$4:$A$53,A28)</f>
        <v>0</v>
      </c>
      <c r="G28" s="57">
        <f t="shared" si="2"/>
        <v>0</v>
      </c>
      <c r="H28" s="60" t="s">
        <v>237</v>
      </c>
    </row>
    <row r="29" spans="1:8" ht="15" customHeight="1">
      <c r="A29" s="56">
        <v>46167</v>
      </c>
      <c r="B29" s="8">
        <f>SUMIFS(入金入力_ワールド・レイ!$D$4:$D$103,入金入力_ワールド・レイ!$A$4:$A$103,A29)</f>
        <v>0</v>
      </c>
      <c r="C29" s="8">
        <f>SUMIFS(未払一覧_ワールド・レイ!$N$4:$N$103,未払一覧_ワールド・レイ!$M$4:$M$103,A29)</f>
        <v>0</v>
      </c>
      <c r="D29" s="8">
        <f t="shared" si="0"/>
        <v>0</v>
      </c>
      <c r="E29" s="8">
        <f t="shared" si="1"/>
        <v>0</v>
      </c>
      <c r="F29" s="9">
        <f>SUMIFS(カード枠回復_ワールド・レイ!$C$4:$C$53,カード枠回復_ワールド・レイ!$A$4:$A$53,A29)</f>
        <v>0</v>
      </c>
      <c r="G29" s="57">
        <f t="shared" si="2"/>
        <v>0</v>
      </c>
      <c r="H29" s="63"/>
    </row>
    <row r="30" spans="1:8" ht="15" customHeight="1">
      <c r="A30" s="56">
        <v>46168</v>
      </c>
      <c r="B30" s="8">
        <f>SUMIFS(入金入力_ワールド・レイ!$D$4:$D$103,入金入力_ワールド・レイ!$A$4:$A$103,A30)</f>
        <v>0</v>
      </c>
      <c r="C30" s="8">
        <f>SUMIFS(未払一覧_ワールド・レイ!$N$4:$N$103,未払一覧_ワールド・レイ!$M$4:$M$103,A30)</f>
        <v>0</v>
      </c>
      <c r="D30" s="8">
        <f t="shared" si="0"/>
        <v>0</v>
      </c>
      <c r="E30" s="8">
        <f t="shared" si="1"/>
        <v>0</v>
      </c>
      <c r="F30" s="9">
        <f>SUMIFS(カード枠回復_ワールド・レイ!$C$4:$C$53,カード枠回復_ワールド・レイ!$A$4:$A$53,A30)</f>
        <v>0</v>
      </c>
      <c r="G30" s="57">
        <f t="shared" si="2"/>
        <v>0</v>
      </c>
      <c r="H30" s="63"/>
    </row>
    <row r="31" spans="1:8" ht="15" customHeight="1">
      <c r="A31" s="56">
        <v>46169</v>
      </c>
      <c r="B31" s="8">
        <f>SUMIFS(入金入力_ワールド・レイ!$D$4:$D$103,入金入力_ワールド・レイ!$A$4:$A$103,A31)</f>
        <v>0</v>
      </c>
      <c r="C31" s="8">
        <f>SUMIFS(未払一覧_ワールド・レイ!$N$4:$N$103,未払一覧_ワールド・レイ!$M$4:$M$103,A31)</f>
        <v>0</v>
      </c>
      <c r="D31" s="8">
        <f t="shared" si="0"/>
        <v>0</v>
      </c>
      <c r="E31" s="8">
        <f t="shared" si="1"/>
        <v>0</v>
      </c>
      <c r="F31" s="9">
        <f>SUMIFS(カード枠回復_ワールド・レイ!$C$4:$C$53,カード枠回復_ワールド・レイ!$A$4:$A$53,A31)</f>
        <v>0</v>
      </c>
      <c r="G31" s="57">
        <f t="shared" si="2"/>
        <v>0</v>
      </c>
      <c r="H31" s="63"/>
    </row>
    <row r="32" spans="1:8" ht="15" customHeight="1">
      <c r="A32" s="56">
        <v>46170</v>
      </c>
      <c r="B32" s="8">
        <f>SUMIFS(入金入力_ワールド・レイ!$D$4:$D$103,入金入力_ワールド・レイ!$A$4:$A$103,A32)</f>
        <v>0</v>
      </c>
      <c r="C32" s="8">
        <f>SUMIFS(未払一覧_ワールド・レイ!$N$4:$N$103,未払一覧_ワールド・レイ!$M$4:$M$103,A32)</f>
        <v>0</v>
      </c>
      <c r="D32" s="8">
        <f t="shared" si="0"/>
        <v>0</v>
      </c>
      <c r="E32" s="8">
        <f t="shared" si="1"/>
        <v>0</v>
      </c>
      <c r="F32" s="9">
        <f>SUMIFS(カード枠回復_ワールド・レイ!$C$4:$C$53,カード枠回復_ワールド・レイ!$A$4:$A$53,A32)</f>
        <v>0</v>
      </c>
      <c r="G32" s="57">
        <f t="shared" si="2"/>
        <v>0</v>
      </c>
      <c r="H32" s="63"/>
    </row>
    <row r="33" spans="1:8" ht="15" customHeight="1">
      <c r="A33" s="56">
        <v>46171</v>
      </c>
      <c r="B33" s="8">
        <f>SUMIFS(入金入力_ワールド・レイ!$D$4:$D$103,入金入力_ワールド・レイ!$A$4:$A$103,A33)</f>
        <v>0</v>
      </c>
      <c r="C33" s="8">
        <f>SUMIFS(未払一覧_ワールド・レイ!$N$4:$N$103,未払一覧_ワールド・レイ!$M$4:$M$103,A33)</f>
        <v>0</v>
      </c>
      <c r="D33" s="8">
        <f t="shared" si="0"/>
        <v>0</v>
      </c>
      <c r="E33" s="8">
        <f t="shared" si="1"/>
        <v>0</v>
      </c>
      <c r="F33" s="9">
        <f>SUMIFS(カード枠回復_ワールド・レイ!$C$4:$C$53,カード枠回復_ワールド・レイ!$A$4:$A$53,A33)</f>
        <v>0</v>
      </c>
      <c r="G33" s="57">
        <f t="shared" si="2"/>
        <v>0</v>
      </c>
      <c r="H33" s="63"/>
    </row>
    <row r="34" spans="1:8" ht="15" customHeight="1">
      <c r="A34" s="59">
        <v>46172</v>
      </c>
      <c r="B34" s="8">
        <f>SUMIFS(入金入力_ワールド・レイ!$D$4:$D$103,入金入力_ワールド・レイ!$A$4:$A$103,A34)</f>
        <v>0</v>
      </c>
      <c r="C34" s="8">
        <f>SUMIFS(未払一覧_ワールド・レイ!$N$4:$N$103,未払一覧_ワールド・レイ!$M$4:$M$103,A34)</f>
        <v>0</v>
      </c>
      <c r="D34" s="8">
        <f t="shared" si="0"/>
        <v>0</v>
      </c>
      <c r="E34" s="8">
        <f t="shared" si="1"/>
        <v>0</v>
      </c>
      <c r="F34" s="9">
        <f>SUMIFS(カード枠回復_ワールド・レイ!$C$4:$C$53,カード枠回復_ワールド・レイ!$A$4:$A$53,A34)</f>
        <v>0</v>
      </c>
      <c r="G34" s="57">
        <f t="shared" si="2"/>
        <v>0</v>
      </c>
      <c r="H34" s="60" t="s">
        <v>236</v>
      </c>
    </row>
    <row r="35" spans="1:8" ht="15" customHeight="1">
      <c r="A35" s="61">
        <v>46173</v>
      </c>
      <c r="B35" s="8">
        <f>SUMIFS(入金入力_ワールド・レイ!$D$4:$D$103,入金入力_ワールド・レイ!$A$4:$A$103,A35)</f>
        <v>0</v>
      </c>
      <c r="C35" s="8">
        <f>SUMIFS(未払一覧_ワールド・レイ!$N$4:$N$103,未払一覧_ワールド・レイ!$M$4:$M$103,A35)</f>
        <v>0</v>
      </c>
      <c r="D35" s="8">
        <f t="shared" si="0"/>
        <v>0</v>
      </c>
      <c r="E35" s="8">
        <f t="shared" si="1"/>
        <v>0</v>
      </c>
      <c r="F35" s="9">
        <f>SUMIFS(カード枠回復_ワールド・レイ!$C$4:$C$53,カード枠回復_ワールド・レイ!$A$4:$A$53,A35)</f>
        <v>0</v>
      </c>
      <c r="G35" s="57">
        <f t="shared" si="2"/>
        <v>0</v>
      </c>
      <c r="H35" s="60" t="s">
        <v>237</v>
      </c>
    </row>
    <row r="37" spans="1:8" ht="15" customHeight="1">
      <c r="A37" s="11" t="s">
        <v>238</v>
      </c>
      <c r="B37" s="12">
        <f>SUM(B4:B35)</f>
        <v>0</v>
      </c>
      <c r="C37" s="12">
        <f>SUM(C4:C35)</f>
        <v>0</v>
      </c>
      <c r="D37" s="12">
        <f>B37-C37-F37</f>
        <v>0</v>
      </c>
      <c r="E37" s="12">
        <f>E35</f>
        <v>0</v>
      </c>
      <c r="F37" s="12">
        <f>SUM(F4:F35)</f>
        <v>0</v>
      </c>
      <c r="G37" s="12">
        <f>G35</f>
        <v>0</v>
      </c>
      <c r="H37" s="64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9" t="s">
        <v>263</v>
      </c>
      <c r="B1" s="99"/>
      <c r="C1" s="99"/>
      <c r="D1" s="99"/>
      <c r="E1" s="99"/>
      <c r="F1" s="99"/>
      <c r="G1" s="99"/>
      <c r="H1" s="99"/>
    </row>
    <row r="2" spans="1:8" ht="15" customHeight="1">
      <c r="A2" s="85" t="s">
        <v>262</v>
      </c>
      <c r="B2" s="85"/>
      <c r="C2" s="85"/>
      <c r="D2" s="85"/>
      <c r="E2" s="85"/>
      <c r="F2" s="85"/>
      <c r="G2" s="85"/>
      <c r="H2" s="8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46174</v>
      </c>
      <c r="B4" s="8">
        <f>SUMIFS(入金入力_ワールド・レイ!$D$4:$D$103,入金入力_ワールド・レイ!$A$4:$A$103,A4)</f>
        <v>0</v>
      </c>
      <c r="C4" s="8">
        <f>SUMIFS(未払一覧_ワールド・レイ!$N$4:$N$103,未払一覧_ワールド・レイ!$M$4:$M$103,A4)</f>
        <v>0</v>
      </c>
      <c r="D4" s="8">
        <f t="shared" ref="D4:D33" si="0">B4-C4-F4</f>
        <v>0</v>
      </c>
      <c r="E4" s="8">
        <f>'5月_ワールド・レイ'!E35+D4</f>
        <v>0</v>
      </c>
      <c r="F4" s="9">
        <f>SUMIFS(カード枠回復_ワールド・レイ!$C$4:$C$53,カード枠回復_ワールド・レイ!$A$4:$A$53,A4)</f>
        <v>0</v>
      </c>
      <c r="G4" s="57">
        <f>'5月_ワールド・レイ'!G35+D4+F4</f>
        <v>0</v>
      </c>
      <c r="H4" s="63"/>
    </row>
    <row r="5" spans="1:8" ht="15" customHeight="1">
      <c r="A5" s="56">
        <v>46175</v>
      </c>
      <c r="B5" s="8">
        <f>SUMIFS(入金入力_ワールド・レイ!$D$4:$D$103,入金入力_ワールド・レイ!$A$4:$A$103,A5)</f>
        <v>0</v>
      </c>
      <c r="C5" s="8">
        <f>SUMIFS(未払一覧_ワールド・レイ!$N$4:$N$103,未払一覧_ワールド・レイ!$M$4:$M$103,A5)</f>
        <v>0</v>
      </c>
      <c r="D5" s="8">
        <f t="shared" si="0"/>
        <v>0</v>
      </c>
      <c r="E5" s="8">
        <f t="shared" ref="E5:E33" si="1">E4+D5</f>
        <v>0</v>
      </c>
      <c r="F5" s="9">
        <f>SUMIFS(カード枠回復_ワールド・レイ!$C$4:$C$53,カード枠回復_ワールド・レイ!$A$4:$A$53,A5)</f>
        <v>0</v>
      </c>
      <c r="G5" s="57">
        <f t="shared" ref="G5:G33" si="2">G4+D5+F5</f>
        <v>0</v>
      </c>
      <c r="H5" s="63"/>
    </row>
    <row r="6" spans="1:8" ht="15" customHeight="1">
      <c r="A6" s="56">
        <v>46176</v>
      </c>
      <c r="B6" s="8">
        <f>SUMIFS(入金入力_ワールド・レイ!$D$4:$D$103,入金入力_ワールド・レイ!$A$4:$A$103,A6)</f>
        <v>0</v>
      </c>
      <c r="C6" s="8">
        <f>SUMIFS(未払一覧_ワールド・レイ!$N$4:$N$103,未払一覧_ワールド・レイ!$M$4:$M$103,A6)</f>
        <v>0</v>
      </c>
      <c r="D6" s="8">
        <f t="shared" si="0"/>
        <v>0</v>
      </c>
      <c r="E6" s="8">
        <f t="shared" si="1"/>
        <v>0</v>
      </c>
      <c r="F6" s="9">
        <f>SUMIFS(カード枠回復_ワールド・レイ!$C$4:$C$53,カード枠回復_ワールド・レイ!$A$4:$A$53,A6)</f>
        <v>0</v>
      </c>
      <c r="G6" s="57">
        <f t="shared" si="2"/>
        <v>0</v>
      </c>
      <c r="H6" s="63"/>
    </row>
    <row r="7" spans="1:8" ht="15" customHeight="1">
      <c r="A7" s="56">
        <v>46177</v>
      </c>
      <c r="B7" s="8">
        <f>SUMIFS(入金入力_ワールド・レイ!$D$4:$D$103,入金入力_ワールド・レイ!$A$4:$A$103,A7)</f>
        <v>0</v>
      </c>
      <c r="C7" s="8">
        <f>SUMIFS(未払一覧_ワールド・レイ!$N$4:$N$103,未払一覧_ワールド・レイ!$M$4:$M$103,A7)</f>
        <v>0</v>
      </c>
      <c r="D7" s="8">
        <f t="shared" si="0"/>
        <v>0</v>
      </c>
      <c r="E7" s="8">
        <f t="shared" si="1"/>
        <v>0</v>
      </c>
      <c r="F7" s="9">
        <f>SUMIFS(カード枠回復_ワールド・レイ!$C$4:$C$53,カード枠回復_ワールド・レイ!$A$4:$A$53,A7)</f>
        <v>0</v>
      </c>
      <c r="G7" s="57">
        <f t="shared" si="2"/>
        <v>0</v>
      </c>
      <c r="H7" s="63"/>
    </row>
    <row r="8" spans="1:8" ht="15" customHeight="1">
      <c r="A8" s="56">
        <v>46178</v>
      </c>
      <c r="B8" s="8">
        <f>SUMIFS(入金入力_ワールド・レイ!$D$4:$D$103,入金入力_ワールド・レイ!$A$4:$A$103,A8)</f>
        <v>0</v>
      </c>
      <c r="C8" s="8">
        <f>SUMIFS(未払一覧_ワールド・レイ!$N$4:$N$103,未払一覧_ワールド・レイ!$M$4:$M$103,A8)</f>
        <v>0</v>
      </c>
      <c r="D8" s="8">
        <f t="shared" si="0"/>
        <v>0</v>
      </c>
      <c r="E8" s="8">
        <f t="shared" si="1"/>
        <v>0</v>
      </c>
      <c r="F8" s="9">
        <f>SUMIFS(カード枠回復_ワールド・レイ!$C$4:$C$53,カード枠回復_ワールド・レイ!$A$4:$A$53,A8)</f>
        <v>0</v>
      </c>
      <c r="G8" s="57">
        <f t="shared" si="2"/>
        <v>0</v>
      </c>
      <c r="H8" s="63"/>
    </row>
    <row r="9" spans="1:8" ht="15" customHeight="1">
      <c r="A9" s="59">
        <v>46179</v>
      </c>
      <c r="B9" s="8">
        <f>SUMIFS(入金入力_ワールド・レイ!$D$4:$D$103,入金入力_ワールド・レイ!$A$4:$A$103,A9)</f>
        <v>0</v>
      </c>
      <c r="C9" s="8">
        <f>SUMIFS(未払一覧_ワールド・レイ!$N$4:$N$103,未払一覧_ワールド・レイ!$M$4:$M$103,A9)</f>
        <v>0</v>
      </c>
      <c r="D9" s="8">
        <f t="shared" si="0"/>
        <v>0</v>
      </c>
      <c r="E9" s="8">
        <f t="shared" si="1"/>
        <v>0</v>
      </c>
      <c r="F9" s="9">
        <f>SUMIFS(カード枠回復_ワールド・レイ!$C$4:$C$53,カード枠回復_ワールド・レイ!$A$4:$A$53,A9)</f>
        <v>0</v>
      </c>
      <c r="G9" s="57">
        <f t="shared" si="2"/>
        <v>0</v>
      </c>
      <c r="H9" s="60" t="s">
        <v>236</v>
      </c>
    </row>
    <row r="10" spans="1:8" ht="15" customHeight="1">
      <c r="A10" s="61">
        <v>46180</v>
      </c>
      <c r="B10" s="8">
        <f>SUMIFS(入金入力_ワールド・レイ!$D$4:$D$103,入金入力_ワールド・レイ!$A$4:$A$103,A10)</f>
        <v>0</v>
      </c>
      <c r="C10" s="8">
        <f>SUMIFS(未払一覧_ワールド・レイ!$N$4:$N$103,未払一覧_ワールド・レイ!$M$4:$M$103,A10)</f>
        <v>0</v>
      </c>
      <c r="D10" s="8">
        <f t="shared" si="0"/>
        <v>0</v>
      </c>
      <c r="E10" s="8">
        <f t="shared" si="1"/>
        <v>0</v>
      </c>
      <c r="F10" s="9">
        <f>SUMIFS(カード枠回復_ワールド・レイ!$C$4:$C$53,カード枠回復_ワールド・レイ!$A$4:$A$53,A10)</f>
        <v>0</v>
      </c>
      <c r="G10" s="57">
        <f t="shared" si="2"/>
        <v>0</v>
      </c>
      <c r="H10" s="60" t="s">
        <v>237</v>
      </c>
    </row>
    <row r="11" spans="1:8" ht="15" customHeight="1">
      <c r="A11" s="56">
        <v>46181</v>
      </c>
      <c r="B11" s="8">
        <f>SUMIFS(入金入力_ワールド・レイ!$D$4:$D$103,入金入力_ワールド・レイ!$A$4:$A$103,A11)</f>
        <v>0</v>
      </c>
      <c r="C11" s="8">
        <f>SUMIFS(未払一覧_ワールド・レイ!$N$4:$N$103,未払一覧_ワールド・レイ!$M$4:$M$103,A11)</f>
        <v>0</v>
      </c>
      <c r="D11" s="8">
        <f t="shared" si="0"/>
        <v>0</v>
      </c>
      <c r="E11" s="8">
        <f t="shared" si="1"/>
        <v>0</v>
      </c>
      <c r="F11" s="9">
        <f>SUMIFS(カード枠回復_ワールド・レイ!$C$4:$C$53,カード枠回復_ワールド・レイ!$A$4:$A$53,A11)</f>
        <v>0</v>
      </c>
      <c r="G11" s="57">
        <f t="shared" si="2"/>
        <v>0</v>
      </c>
      <c r="H11" s="63"/>
    </row>
    <row r="12" spans="1:8" ht="15" customHeight="1">
      <c r="A12" s="56">
        <v>46182</v>
      </c>
      <c r="B12" s="8">
        <f>SUMIFS(入金入力_ワールド・レイ!$D$4:$D$103,入金入力_ワールド・レイ!$A$4:$A$103,A12)</f>
        <v>0</v>
      </c>
      <c r="C12" s="8">
        <f>SUMIFS(未払一覧_ワールド・レイ!$N$4:$N$103,未払一覧_ワールド・レイ!$M$4:$M$103,A12)</f>
        <v>0</v>
      </c>
      <c r="D12" s="8">
        <f t="shared" si="0"/>
        <v>0</v>
      </c>
      <c r="E12" s="8">
        <f t="shared" si="1"/>
        <v>0</v>
      </c>
      <c r="F12" s="9">
        <f>SUMIFS(カード枠回復_ワールド・レイ!$C$4:$C$53,カード枠回復_ワールド・レイ!$A$4:$A$53,A12)</f>
        <v>0</v>
      </c>
      <c r="G12" s="57">
        <f t="shared" si="2"/>
        <v>0</v>
      </c>
      <c r="H12" s="63"/>
    </row>
    <row r="13" spans="1:8" ht="15" customHeight="1">
      <c r="A13" s="56">
        <v>46183</v>
      </c>
      <c r="B13" s="8">
        <f>SUMIFS(入金入力_ワールド・レイ!$D$4:$D$103,入金入力_ワールド・レイ!$A$4:$A$103,A13)</f>
        <v>0</v>
      </c>
      <c r="C13" s="8">
        <f>SUMIFS(未払一覧_ワールド・レイ!$N$4:$N$103,未払一覧_ワールド・レイ!$M$4:$M$103,A13)</f>
        <v>0</v>
      </c>
      <c r="D13" s="8">
        <f t="shared" si="0"/>
        <v>0</v>
      </c>
      <c r="E13" s="8">
        <f t="shared" si="1"/>
        <v>0</v>
      </c>
      <c r="F13" s="9">
        <f>SUMIFS(カード枠回復_ワールド・レイ!$C$4:$C$53,カード枠回復_ワールド・レイ!$A$4:$A$53,A13)</f>
        <v>0</v>
      </c>
      <c r="G13" s="57">
        <f t="shared" si="2"/>
        <v>0</v>
      </c>
      <c r="H13" s="63"/>
    </row>
    <row r="14" spans="1:8" ht="15" customHeight="1">
      <c r="A14" s="56">
        <v>46184</v>
      </c>
      <c r="B14" s="8">
        <f>SUMIFS(入金入力_ワールド・レイ!$D$4:$D$103,入金入力_ワールド・レイ!$A$4:$A$103,A14)</f>
        <v>0</v>
      </c>
      <c r="C14" s="8">
        <f>SUMIFS(未払一覧_ワールド・レイ!$N$4:$N$103,未払一覧_ワールド・レイ!$M$4:$M$103,A14)</f>
        <v>0</v>
      </c>
      <c r="D14" s="8">
        <f t="shared" si="0"/>
        <v>0</v>
      </c>
      <c r="E14" s="8">
        <f t="shared" si="1"/>
        <v>0</v>
      </c>
      <c r="F14" s="9">
        <f>SUMIFS(カード枠回復_ワールド・レイ!$C$4:$C$53,カード枠回復_ワールド・レイ!$A$4:$A$53,A14)</f>
        <v>0</v>
      </c>
      <c r="G14" s="57">
        <f t="shared" si="2"/>
        <v>0</v>
      </c>
      <c r="H14" s="63"/>
    </row>
    <row r="15" spans="1:8" ht="15" customHeight="1">
      <c r="A15" s="56">
        <v>46185</v>
      </c>
      <c r="B15" s="8">
        <f>SUMIFS(入金入力_ワールド・レイ!$D$4:$D$103,入金入力_ワールド・レイ!$A$4:$A$103,A15)</f>
        <v>0</v>
      </c>
      <c r="C15" s="8">
        <f>SUMIFS(未払一覧_ワールド・レイ!$N$4:$N$103,未払一覧_ワールド・レイ!$M$4:$M$103,A15)</f>
        <v>0</v>
      </c>
      <c r="D15" s="8">
        <f t="shared" si="0"/>
        <v>0</v>
      </c>
      <c r="E15" s="8">
        <f t="shared" si="1"/>
        <v>0</v>
      </c>
      <c r="F15" s="9">
        <f>SUMIFS(カード枠回復_ワールド・レイ!$C$4:$C$53,カード枠回復_ワールド・レイ!$A$4:$A$53,A15)</f>
        <v>0</v>
      </c>
      <c r="G15" s="57">
        <f t="shared" si="2"/>
        <v>0</v>
      </c>
      <c r="H15" s="63"/>
    </row>
    <row r="16" spans="1:8" ht="15" customHeight="1">
      <c r="A16" s="59">
        <v>46186</v>
      </c>
      <c r="B16" s="8">
        <f>SUMIFS(入金入力_ワールド・レイ!$D$4:$D$103,入金入力_ワールド・レイ!$A$4:$A$103,A16)</f>
        <v>0</v>
      </c>
      <c r="C16" s="8">
        <f>SUMIFS(未払一覧_ワールド・レイ!$N$4:$N$103,未払一覧_ワールド・レイ!$M$4:$M$103,A16)</f>
        <v>0</v>
      </c>
      <c r="D16" s="8">
        <f t="shared" si="0"/>
        <v>0</v>
      </c>
      <c r="E16" s="8">
        <f t="shared" si="1"/>
        <v>0</v>
      </c>
      <c r="F16" s="9">
        <f>SUMIFS(カード枠回復_ワールド・レイ!$C$4:$C$53,カード枠回復_ワールド・レイ!$A$4:$A$53,A16)</f>
        <v>0</v>
      </c>
      <c r="G16" s="57">
        <f t="shared" si="2"/>
        <v>0</v>
      </c>
      <c r="H16" s="60" t="s">
        <v>236</v>
      </c>
    </row>
    <row r="17" spans="1:8" ht="15" customHeight="1">
      <c r="A17" s="61">
        <v>46187</v>
      </c>
      <c r="B17" s="8">
        <f>SUMIFS(入金入力_ワールド・レイ!$D$4:$D$103,入金入力_ワールド・レイ!$A$4:$A$103,A17)</f>
        <v>0</v>
      </c>
      <c r="C17" s="8">
        <f>SUMIFS(未払一覧_ワールド・レイ!$N$4:$N$103,未払一覧_ワールド・レイ!$M$4:$M$103,A17)</f>
        <v>0</v>
      </c>
      <c r="D17" s="8">
        <f t="shared" si="0"/>
        <v>0</v>
      </c>
      <c r="E17" s="8">
        <f t="shared" si="1"/>
        <v>0</v>
      </c>
      <c r="F17" s="9">
        <f>SUMIFS(カード枠回復_ワールド・レイ!$C$4:$C$53,カード枠回復_ワールド・レイ!$A$4:$A$53,A17)</f>
        <v>0</v>
      </c>
      <c r="G17" s="57">
        <f t="shared" si="2"/>
        <v>0</v>
      </c>
      <c r="H17" s="60" t="s">
        <v>237</v>
      </c>
    </row>
    <row r="18" spans="1:8" ht="15" customHeight="1">
      <c r="A18" s="56">
        <v>46188</v>
      </c>
      <c r="B18" s="8">
        <f>SUMIFS(入金入力_ワールド・レイ!$D$4:$D$103,入金入力_ワールド・レイ!$A$4:$A$103,A18)</f>
        <v>0</v>
      </c>
      <c r="C18" s="8">
        <f>SUMIFS(未払一覧_ワールド・レイ!$N$4:$N$103,未払一覧_ワールド・レイ!$M$4:$M$103,A18)</f>
        <v>0</v>
      </c>
      <c r="D18" s="8">
        <f t="shared" si="0"/>
        <v>0</v>
      </c>
      <c r="E18" s="8">
        <f t="shared" si="1"/>
        <v>0</v>
      </c>
      <c r="F18" s="9">
        <f>SUMIFS(カード枠回復_ワールド・レイ!$C$4:$C$53,カード枠回復_ワールド・レイ!$A$4:$A$53,A18)</f>
        <v>0</v>
      </c>
      <c r="G18" s="57">
        <f t="shared" si="2"/>
        <v>0</v>
      </c>
      <c r="H18" s="63"/>
    </row>
    <row r="19" spans="1:8" ht="15" customHeight="1">
      <c r="A19" s="56">
        <v>46189</v>
      </c>
      <c r="B19" s="8">
        <f>SUMIFS(入金入力_ワールド・レイ!$D$4:$D$103,入金入力_ワールド・レイ!$A$4:$A$103,A19)</f>
        <v>0</v>
      </c>
      <c r="C19" s="8">
        <f>SUMIFS(未払一覧_ワールド・レイ!$N$4:$N$103,未払一覧_ワールド・レイ!$M$4:$M$103,A19)</f>
        <v>0</v>
      </c>
      <c r="D19" s="8">
        <f t="shared" si="0"/>
        <v>0</v>
      </c>
      <c r="E19" s="8">
        <f t="shared" si="1"/>
        <v>0</v>
      </c>
      <c r="F19" s="9">
        <f>SUMIFS(カード枠回復_ワールド・レイ!$C$4:$C$53,カード枠回復_ワールド・レイ!$A$4:$A$53,A19)</f>
        <v>0</v>
      </c>
      <c r="G19" s="57">
        <f t="shared" si="2"/>
        <v>0</v>
      </c>
      <c r="H19" s="63"/>
    </row>
    <row r="20" spans="1:8" ht="15" customHeight="1">
      <c r="A20" s="56">
        <v>46190</v>
      </c>
      <c r="B20" s="8">
        <f>SUMIFS(入金入力_ワールド・レイ!$D$4:$D$103,入金入力_ワールド・レイ!$A$4:$A$103,A20)</f>
        <v>0</v>
      </c>
      <c r="C20" s="8">
        <f>SUMIFS(未払一覧_ワールド・レイ!$N$4:$N$103,未払一覧_ワールド・レイ!$M$4:$M$103,A20)</f>
        <v>0</v>
      </c>
      <c r="D20" s="8">
        <f t="shared" si="0"/>
        <v>0</v>
      </c>
      <c r="E20" s="8">
        <f t="shared" si="1"/>
        <v>0</v>
      </c>
      <c r="F20" s="9">
        <f>SUMIFS(カード枠回復_ワールド・レイ!$C$4:$C$53,カード枠回復_ワールド・レイ!$A$4:$A$53,A20)</f>
        <v>0</v>
      </c>
      <c r="G20" s="57">
        <f t="shared" si="2"/>
        <v>0</v>
      </c>
      <c r="H20" s="63"/>
    </row>
    <row r="21" spans="1:8" ht="15" customHeight="1">
      <c r="A21" s="56">
        <v>46191</v>
      </c>
      <c r="B21" s="8">
        <f>SUMIFS(入金入力_ワールド・レイ!$D$4:$D$103,入金入力_ワールド・レイ!$A$4:$A$103,A21)</f>
        <v>0</v>
      </c>
      <c r="C21" s="8">
        <f>SUMIFS(未払一覧_ワールド・レイ!$N$4:$N$103,未払一覧_ワールド・レイ!$M$4:$M$103,A21)</f>
        <v>0</v>
      </c>
      <c r="D21" s="8">
        <f t="shared" si="0"/>
        <v>0</v>
      </c>
      <c r="E21" s="8">
        <f t="shared" si="1"/>
        <v>0</v>
      </c>
      <c r="F21" s="9">
        <f>SUMIFS(カード枠回復_ワールド・レイ!$C$4:$C$53,カード枠回復_ワールド・レイ!$A$4:$A$53,A21)</f>
        <v>0</v>
      </c>
      <c r="G21" s="57">
        <f t="shared" si="2"/>
        <v>0</v>
      </c>
      <c r="H21" s="63"/>
    </row>
    <row r="22" spans="1:8" ht="15" customHeight="1">
      <c r="A22" s="56">
        <v>46192</v>
      </c>
      <c r="B22" s="8">
        <f>SUMIFS(入金入力_ワールド・レイ!$D$4:$D$103,入金入力_ワールド・レイ!$A$4:$A$103,A22)</f>
        <v>0</v>
      </c>
      <c r="C22" s="8">
        <f>SUMIFS(未払一覧_ワールド・レイ!$N$4:$N$103,未払一覧_ワールド・レイ!$M$4:$M$103,A22)</f>
        <v>0</v>
      </c>
      <c r="D22" s="8">
        <f t="shared" si="0"/>
        <v>0</v>
      </c>
      <c r="E22" s="8">
        <f t="shared" si="1"/>
        <v>0</v>
      </c>
      <c r="F22" s="9">
        <f>SUMIFS(カード枠回復_ワールド・レイ!$C$4:$C$53,カード枠回復_ワールド・レイ!$A$4:$A$53,A22)</f>
        <v>0</v>
      </c>
      <c r="G22" s="57">
        <f t="shared" si="2"/>
        <v>0</v>
      </c>
      <c r="H22" s="63"/>
    </row>
    <row r="23" spans="1:8" ht="15" customHeight="1">
      <c r="A23" s="59">
        <v>46193</v>
      </c>
      <c r="B23" s="8">
        <f>SUMIFS(入金入力_ワールド・レイ!$D$4:$D$103,入金入力_ワールド・レイ!$A$4:$A$103,A23)</f>
        <v>0</v>
      </c>
      <c r="C23" s="8">
        <f>SUMIFS(未払一覧_ワールド・レイ!$N$4:$N$103,未払一覧_ワールド・レイ!$M$4:$M$103,A23)</f>
        <v>0</v>
      </c>
      <c r="D23" s="8">
        <f t="shared" si="0"/>
        <v>0</v>
      </c>
      <c r="E23" s="8">
        <f t="shared" si="1"/>
        <v>0</v>
      </c>
      <c r="F23" s="9">
        <f>SUMIFS(カード枠回復_ワールド・レイ!$C$4:$C$53,カード枠回復_ワールド・レイ!$A$4:$A$53,A23)</f>
        <v>0</v>
      </c>
      <c r="G23" s="57">
        <f t="shared" si="2"/>
        <v>0</v>
      </c>
      <c r="H23" s="60" t="s">
        <v>236</v>
      </c>
    </row>
    <row r="24" spans="1:8" ht="15" customHeight="1">
      <c r="A24" s="61">
        <v>46194</v>
      </c>
      <c r="B24" s="8">
        <f>SUMIFS(入金入力_ワールド・レイ!$D$4:$D$103,入金入力_ワールド・レイ!$A$4:$A$103,A24)</f>
        <v>0</v>
      </c>
      <c r="C24" s="8">
        <f>SUMIFS(未払一覧_ワールド・レイ!$N$4:$N$103,未払一覧_ワールド・レイ!$M$4:$M$103,A24)</f>
        <v>0</v>
      </c>
      <c r="D24" s="8">
        <f t="shared" si="0"/>
        <v>0</v>
      </c>
      <c r="E24" s="8">
        <f t="shared" si="1"/>
        <v>0</v>
      </c>
      <c r="F24" s="9">
        <f>SUMIFS(カード枠回復_ワールド・レイ!$C$4:$C$53,カード枠回復_ワールド・レイ!$A$4:$A$53,A24)</f>
        <v>0</v>
      </c>
      <c r="G24" s="57">
        <f t="shared" si="2"/>
        <v>0</v>
      </c>
      <c r="H24" s="60" t="s">
        <v>237</v>
      </c>
    </row>
    <row r="25" spans="1:8" ht="15" customHeight="1">
      <c r="A25" s="56">
        <v>46195</v>
      </c>
      <c r="B25" s="8">
        <f>SUMIFS(入金入力_ワールド・レイ!$D$4:$D$103,入金入力_ワールド・レイ!$A$4:$A$103,A25)</f>
        <v>0</v>
      </c>
      <c r="C25" s="8">
        <f>SUMIFS(未払一覧_ワールド・レイ!$N$4:$N$103,未払一覧_ワールド・レイ!$M$4:$M$103,A25)</f>
        <v>0</v>
      </c>
      <c r="D25" s="8">
        <f t="shared" si="0"/>
        <v>0</v>
      </c>
      <c r="E25" s="8">
        <f t="shared" si="1"/>
        <v>0</v>
      </c>
      <c r="F25" s="9">
        <f>SUMIFS(カード枠回復_ワールド・レイ!$C$4:$C$53,カード枠回復_ワールド・レイ!$A$4:$A$53,A25)</f>
        <v>0</v>
      </c>
      <c r="G25" s="57">
        <f t="shared" si="2"/>
        <v>0</v>
      </c>
      <c r="H25" s="63"/>
    </row>
    <row r="26" spans="1:8" ht="15" customHeight="1">
      <c r="A26" s="56">
        <v>46196</v>
      </c>
      <c r="B26" s="8">
        <f>SUMIFS(入金入力_ワールド・レイ!$D$4:$D$103,入金入力_ワールド・レイ!$A$4:$A$103,A26)</f>
        <v>0</v>
      </c>
      <c r="C26" s="8">
        <f>SUMIFS(未払一覧_ワールド・レイ!$N$4:$N$103,未払一覧_ワールド・レイ!$M$4:$M$103,A26)</f>
        <v>0</v>
      </c>
      <c r="D26" s="8">
        <f t="shared" si="0"/>
        <v>0</v>
      </c>
      <c r="E26" s="8">
        <f t="shared" si="1"/>
        <v>0</v>
      </c>
      <c r="F26" s="9">
        <f>SUMIFS(カード枠回復_ワールド・レイ!$C$4:$C$53,カード枠回復_ワールド・レイ!$A$4:$A$53,A26)</f>
        <v>0</v>
      </c>
      <c r="G26" s="57">
        <f t="shared" si="2"/>
        <v>0</v>
      </c>
      <c r="H26" s="63"/>
    </row>
    <row r="27" spans="1:8" ht="15" customHeight="1">
      <c r="A27" s="56">
        <v>46197</v>
      </c>
      <c r="B27" s="8">
        <f>SUMIFS(入金入力_ワールド・レイ!$D$4:$D$103,入金入力_ワールド・レイ!$A$4:$A$103,A27)</f>
        <v>0</v>
      </c>
      <c r="C27" s="8">
        <f>SUMIFS(未払一覧_ワールド・レイ!$N$4:$N$103,未払一覧_ワールド・レイ!$M$4:$M$103,A27)</f>
        <v>0</v>
      </c>
      <c r="D27" s="8">
        <f t="shared" si="0"/>
        <v>0</v>
      </c>
      <c r="E27" s="8">
        <f t="shared" si="1"/>
        <v>0</v>
      </c>
      <c r="F27" s="9">
        <f>SUMIFS(カード枠回復_ワールド・レイ!$C$4:$C$53,カード枠回復_ワールド・レイ!$A$4:$A$53,A27)</f>
        <v>0</v>
      </c>
      <c r="G27" s="57">
        <f t="shared" si="2"/>
        <v>0</v>
      </c>
      <c r="H27" s="63"/>
    </row>
    <row r="28" spans="1:8" ht="15" customHeight="1">
      <c r="A28" s="56">
        <v>46198</v>
      </c>
      <c r="B28" s="8">
        <f>SUMIFS(入金入力_ワールド・レイ!$D$4:$D$103,入金入力_ワールド・レイ!$A$4:$A$103,A28)</f>
        <v>0</v>
      </c>
      <c r="C28" s="8">
        <f>SUMIFS(未払一覧_ワールド・レイ!$N$4:$N$103,未払一覧_ワールド・レイ!$M$4:$M$103,A28)</f>
        <v>0</v>
      </c>
      <c r="D28" s="8">
        <f t="shared" si="0"/>
        <v>0</v>
      </c>
      <c r="E28" s="8">
        <f t="shared" si="1"/>
        <v>0</v>
      </c>
      <c r="F28" s="9">
        <f>SUMIFS(カード枠回復_ワールド・レイ!$C$4:$C$53,カード枠回復_ワールド・レイ!$A$4:$A$53,A28)</f>
        <v>0</v>
      </c>
      <c r="G28" s="57">
        <f t="shared" si="2"/>
        <v>0</v>
      </c>
      <c r="H28" s="63"/>
    </row>
    <row r="29" spans="1:8" ht="15" customHeight="1">
      <c r="A29" s="56">
        <v>46199</v>
      </c>
      <c r="B29" s="8">
        <f>SUMIFS(入金入力_ワールド・レイ!$D$4:$D$103,入金入力_ワールド・レイ!$A$4:$A$103,A29)</f>
        <v>0</v>
      </c>
      <c r="C29" s="8">
        <f>SUMIFS(未払一覧_ワールド・レイ!$N$4:$N$103,未払一覧_ワールド・レイ!$M$4:$M$103,A29)</f>
        <v>0</v>
      </c>
      <c r="D29" s="8">
        <f t="shared" si="0"/>
        <v>0</v>
      </c>
      <c r="E29" s="8">
        <f t="shared" si="1"/>
        <v>0</v>
      </c>
      <c r="F29" s="9">
        <f>SUMIFS(カード枠回復_ワールド・レイ!$C$4:$C$53,カード枠回復_ワールド・レイ!$A$4:$A$53,A29)</f>
        <v>0</v>
      </c>
      <c r="G29" s="57">
        <f t="shared" si="2"/>
        <v>0</v>
      </c>
      <c r="H29" s="63"/>
    </row>
    <row r="30" spans="1:8" ht="15" customHeight="1">
      <c r="A30" s="59">
        <v>46200</v>
      </c>
      <c r="B30" s="8">
        <f>SUMIFS(入金入力_ワールド・レイ!$D$4:$D$103,入金入力_ワールド・レイ!$A$4:$A$103,A30)</f>
        <v>0</v>
      </c>
      <c r="C30" s="8">
        <f>SUMIFS(未払一覧_ワールド・レイ!$N$4:$N$103,未払一覧_ワールド・レイ!$M$4:$M$103,A30)</f>
        <v>0</v>
      </c>
      <c r="D30" s="8">
        <f t="shared" si="0"/>
        <v>0</v>
      </c>
      <c r="E30" s="8">
        <f t="shared" si="1"/>
        <v>0</v>
      </c>
      <c r="F30" s="9">
        <f>SUMIFS(カード枠回復_ワールド・レイ!$C$4:$C$53,カード枠回復_ワールド・レイ!$A$4:$A$53,A30)</f>
        <v>0</v>
      </c>
      <c r="G30" s="57">
        <f t="shared" si="2"/>
        <v>0</v>
      </c>
      <c r="H30" s="60" t="s">
        <v>236</v>
      </c>
    </row>
    <row r="31" spans="1:8" ht="15" customHeight="1">
      <c r="A31" s="61">
        <v>46201</v>
      </c>
      <c r="B31" s="8">
        <f>SUMIFS(入金入力_ワールド・レイ!$D$4:$D$103,入金入力_ワールド・レイ!$A$4:$A$103,A31)</f>
        <v>0</v>
      </c>
      <c r="C31" s="8">
        <f>SUMIFS(未払一覧_ワールド・レイ!$N$4:$N$103,未払一覧_ワールド・レイ!$M$4:$M$103,A31)</f>
        <v>0</v>
      </c>
      <c r="D31" s="8">
        <f t="shared" si="0"/>
        <v>0</v>
      </c>
      <c r="E31" s="8">
        <f t="shared" si="1"/>
        <v>0</v>
      </c>
      <c r="F31" s="9">
        <f>SUMIFS(カード枠回復_ワールド・レイ!$C$4:$C$53,カード枠回復_ワールド・レイ!$A$4:$A$53,A31)</f>
        <v>0</v>
      </c>
      <c r="G31" s="57">
        <f t="shared" si="2"/>
        <v>0</v>
      </c>
      <c r="H31" s="60" t="s">
        <v>237</v>
      </c>
    </row>
    <row r="32" spans="1:8" ht="15" customHeight="1">
      <c r="A32" s="56">
        <v>46202</v>
      </c>
      <c r="B32" s="8">
        <f>SUMIFS(入金入力_ワールド・レイ!$D$4:$D$103,入金入力_ワールド・レイ!$A$4:$A$103,A32)</f>
        <v>0</v>
      </c>
      <c r="C32" s="8">
        <f>SUMIFS(未払一覧_ワールド・レイ!$N$4:$N$103,未払一覧_ワールド・レイ!$M$4:$M$103,A32)</f>
        <v>0</v>
      </c>
      <c r="D32" s="8">
        <f t="shared" si="0"/>
        <v>0</v>
      </c>
      <c r="E32" s="8">
        <f t="shared" si="1"/>
        <v>0</v>
      </c>
      <c r="F32" s="9">
        <f>SUMIFS(カード枠回復_ワールド・レイ!$C$4:$C$53,カード枠回復_ワールド・レイ!$A$4:$A$53,A32)</f>
        <v>0</v>
      </c>
      <c r="G32" s="57">
        <f t="shared" si="2"/>
        <v>0</v>
      </c>
      <c r="H32" s="63"/>
    </row>
    <row r="33" spans="1:8" ht="15" customHeight="1">
      <c r="A33" s="56">
        <v>46203</v>
      </c>
      <c r="B33" s="8">
        <f>SUMIFS(入金入力_ワールド・レイ!$D$4:$D$103,入金入力_ワールド・レイ!$A$4:$A$103,A33)</f>
        <v>0</v>
      </c>
      <c r="C33" s="8">
        <f>SUMIFS(未払一覧_ワールド・レイ!$N$4:$N$103,未払一覧_ワールド・レイ!$M$4:$M$103,A33)</f>
        <v>0</v>
      </c>
      <c r="D33" s="8">
        <f t="shared" si="0"/>
        <v>0</v>
      </c>
      <c r="E33" s="8">
        <f t="shared" si="1"/>
        <v>0</v>
      </c>
      <c r="F33" s="9">
        <f>SUMIFS(カード枠回復_ワールド・レイ!$C$4:$C$53,カード枠回復_ワールド・レイ!$A$4:$A$53,A33)</f>
        <v>0</v>
      </c>
      <c r="G33" s="57">
        <f t="shared" si="2"/>
        <v>0</v>
      </c>
      <c r="H33" s="63"/>
    </row>
    <row r="35" spans="1:8" ht="15" customHeight="1">
      <c r="A35" s="11" t="s">
        <v>241</v>
      </c>
      <c r="B35" s="12">
        <f>SUM(B4:B33)</f>
        <v>0</v>
      </c>
      <c r="C35" s="12">
        <f>SUM(C4:C33)</f>
        <v>0</v>
      </c>
      <c r="D35" s="12">
        <f>B35-C35-F35</f>
        <v>0</v>
      </c>
      <c r="E35" s="12">
        <f>E33</f>
        <v>0</v>
      </c>
      <c r="F35" s="12">
        <f>SUM(F4:F33)</f>
        <v>0</v>
      </c>
      <c r="G35" s="12">
        <f>G33</f>
        <v>0</v>
      </c>
      <c r="H35" s="64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9" t="s">
        <v>264</v>
      </c>
      <c r="B1" s="99"/>
      <c r="C1" s="99"/>
      <c r="D1" s="99"/>
      <c r="E1" s="99"/>
      <c r="F1" s="99"/>
      <c r="G1" s="99"/>
      <c r="H1" s="99"/>
    </row>
    <row r="2" spans="1:8" ht="15" customHeight="1">
      <c r="A2" s="85" t="s">
        <v>262</v>
      </c>
      <c r="B2" s="85"/>
      <c r="C2" s="85"/>
      <c r="D2" s="85"/>
      <c r="E2" s="85"/>
      <c r="F2" s="85"/>
      <c r="G2" s="85"/>
      <c r="H2" s="8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46204</v>
      </c>
      <c r="B4" s="8">
        <f>SUMIFS(入金入力_ワールド・レイ!$D$4:$D$103,入金入力_ワールド・レイ!$A$4:$A$103,A4)</f>
        <v>0</v>
      </c>
      <c r="C4" s="8">
        <f>SUMIFS(未払一覧_ワールド・レイ!$N$4:$N$103,未払一覧_ワールド・レイ!$M$4:$M$103,A4)</f>
        <v>0</v>
      </c>
      <c r="D4" s="8">
        <f t="shared" ref="D4:D34" si="0">B4-C4-F4</f>
        <v>0</v>
      </c>
      <c r="E4" s="8">
        <f>'6月_ワールド・レイ'!E33+D4</f>
        <v>0</v>
      </c>
      <c r="F4" s="9">
        <f>SUMIFS(カード枠回復_ワールド・レイ!$C$4:$C$53,カード枠回復_ワールド・レイ!$A$4:$A$53,A4)</f>
        <v>0</v>
      </c>
      <c r="G4" s="57">
        <f>'6月_ワールド・レイ'!G33+D4+F4</f>
        <v>0</v>
      </c>
      <c r="H4" s="63"/>
    </row>
    <row r="5" spans="1:8" ht="15" customHeight="1">
      <c r="A5" s="56">
        <v>46205</v>
      </c>
      <c r="B5" s="8">
        <f>SUMIFS(入金入力_ワールド・レイ!$D$4:$D$103,入金入力_ワールド・レイ!$A$4:$A$103,A5)</f>
        <v>0</v>
      </c>
      <c r="C5" s="8">
        <f>SUMIFS(未払一覧_ワールド・レイ!$N$4:$N$103,未払一覧_ワールド・レイ!$M$4:$M$103,A5)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SUMIFS(カード枠回復_ワールド・レイ!$C$4:$C$53,カード枠回復_ワールド・レイ!$A$4:$A$53,A5)</f>
        <v>0</v>
      </c>
      <c r="G5" s="57">
        <f t="shared" ref="G5:G34" si="2">G4+D5+F5</f>
        <v>0</v>
      </c>
      <c r="H5" s="63"/>
    </row>
    <row r="6" spans="1:8" ht="15" customHeight="1">
      <c r="A6" s="56">
        <v>46206</v>
      </c>
      <c r="B6" s="8">
        <f>SUMIFS(入金入力_ワールド・レイ!$D$4:$D$103,入金入力_ワールド・レイ!$A$4:$A$103,A6)</f>
        <v>0</v>
      </c>
      <c r="C6" s="8">
        <f>SUMIFS(未払一覧_ワールド・レイ!$N$4:$N$103,未払一覧_ワールド・レイ!$M$4:$M$103,A6)</f>
        <v>0</v>
      </c>
      <c r="D6" s="8">
        <f t="shared" si="0"/>
        <v>0</v>
      </c>
      <c r="E6" s="8">
        <f t="shared" si="1"/>
        <v>0</v>
      </c>
      <c r="F6" s="9">
        <f>SUMIFS(カード枠回復_ワールド・レイ!$C$4:$C$53,カード枠回復_ワールド・レイ!$A$4:$A$53,A6)</f>
        <v>0</v>
      </c>
      <c r="G6" s="57">
        <f t="shared" si="2"/>
        <v>0</v>
      </c>
      <c r="H6" s="63"/>
    </row>
    <row r="7" spans="1:8" ht="15" customHeight="1">
      <c r="A7" s="59">
        <v>46207</v>
      </c>
      <c r="B7" s="8">
        <f>SUMIFS(入金入力_ワールド・レイ!$D$4:$D$103,入金入力_ワールド・レイ!$A$4:$A$103,A7)</f>
        <v>0</v>
      </c>
      <c r="C7" s="8">
        <f>SUMIFS(未払一覧_ワールド・レイ!$N$4:$N$103,未払一覧_ワールド・レイ!$M$4:$M$103,A7)</f>
        <v>0</v>
      </c>
      <c r="D7" s="8">
        <f t="shared" si="0"/>
        <v>0</v>
      </c>
      <c r="E7" s="8">
        <f t="shared" si="1"/>
        <v>0</v>
      </c>
      <c r="F7" s="9">
        <f>SUMIFS(カード枠回復_ワールド・レイ!$C$4:$C$53,カード枠回復_ワールド・レイ!$A$4:$A$53,A7)</f>
        <v>0</v>
      </c>
      <c r="G7" s="57">
        <f t="shared" si="2"/>
        <v>0</v>
      </c>
      <c r="H7" s="60" t="s">
        <v>236</v>
      </c>
    </row>
    <row r="8" spans="1:8" ht="15" customHeight="1">
      <c r="A8" s="61">
        <v>46208</v>
      </c>
      <c r="B8" s="8">
        <f>SUMIFS(入金入力_ワールド・レイ!$D$4:$D$103,入金入力_ワールド・レイ!$A$4:$A$103,A8)</f>
        <v>0</v>
      </c>
      <c r="C8" s="8">
        <f>SUMIFS(未払一覧_ワールド・レイ!$N$4:$N$103,未払一覧_ワールド・レイ!$M$4:$M$103,A8)</f>
        <v>0</v>
      </c>
      <c r="D8" s="8">
        <f t="shared" si="0"/>
        <v>0</v>
      </c>
      <c r="E8" s="8">
        <f t="shared" si="1"/>
        <v>0</v>
      </c>
      <c r="F8" s="9">
        <f>SUMIFS(カード枠回復_ワールド・レイ!$C$4:$C$53,カード枠回復_ワールド・レイ!$A$4:$A$53,A8)</f>
        <v>0</v>
      </c>
      <c r="G8" s="57">
        <f t="shared" si="2"/>
        <v>0</v>
      </c>
      <c r="H8" s="60" t="s">
        <v>237</v>
      </c>
    </row>
    <row r="9" spans="1:8" ht="15" customHeight="1">
      <c r="A9" s="56">
        <v>46209</v>
      </c>
      <c r="B9" s="8">
        <f>SUMIFS(入金入力_ワールド・レイ!$D$4:$D$103,入金入力_ワールド・レイ!$A$4:$A$103,A9)</f>
        <v>0</v>
      </c>
      <c r="C9" s="8">
        <f>SUMIFS(未払一覧_ワールド・レイ!$N$4:$N$103,未払一覧_ワールド・レイ!$M$4:$M$103,A9)</f>
        <v>0</v>
      </c>
      <c r="D9" s="8">
        <f t="shared" si="0"/>
        <v>0</v>
      </c>
      <c r="E9" s="8">
        <f t="shared" si="1"/>
        <v>0</v>
      </c>
      <c r="F9" s="9">
        <f>SUMIFS(カード枠回復_ワールド・レイ!$C$4:$C$53,カード枠回復_ワールド・レイ!$A$4:$A$53,A9)</f>
        <v>0</v>
      </c>
      <c r="G9" s="57">
        <f t="shared" si="2"/>
        <v>0</v>
      </c>
      <c r="H9" s="63"/>
    </row>
    <row r="10" spans="1:8" ht="15" customHeight="1">
      <c r="A10" s="56">
        <v>46210</v>
      </c>
      <c r="B10" s="8">
        <f>SUMIFS(入金入力_ワールド・レイ!$D$4:$D$103,入金入力_ワールド・レイ!$A$4:$A$103,A10)</f>
        <v>0</v>
      </c>
      <c r="C10" s="8">
        <f>SUMIFS(未払一覧_ワールド・レイ!$N$4:$N$103,未払一覧_ワールド・レイ!$M$4:$M$103,A10)</f>
        <v>0</v>
      </c>
      <c r="D10" s="8">
        <f t="shared" si="0"/>
        <v>0</v>
      </c>
      <c r="E10" s="8">
        <f t="shared" si="1"/>
        <v>0</v>
      </c>
      <c r="F10" s="9">
        <f>SUMIFS(カード枠回復_ワールド・レイ!$C$4:$C$53,カード枠回復_ワールド・レイ!$A$4:$A$53,A10)</f>
        <v>0</v>
      </c>
      <c r="G10" s="57">
        <f t="shared" si="2"/>
        <v>0</v>
      </c>
      <c r="H10" s="63"/>
    </row>
    <row r="11" spans="1:8" ht="15" customHeight="1">
      <c r="A11" s="56">
        <v>46211</v>
      </c>
      <c r="B11" s="8">
        <f>SUMIFS(入金入力_ワールド・レイ!$D$4:$D$103,入金入力_ワールド・レイ!$A$4:$A$103,A11)</f>
        <v>0</v>
      </c>
      <c r="C11" s="8">
        <f>SUMIFS(未払一覧_ワールド・レイ!$N$4:$N$103,未払一覧_ワールド・レイ!$M$4:$M$103,A11)</f>
        <v>0</v>
      </c>
      <c r="D11" s="8">
        <f t="shared" si="0"/>
        <v>0</v>
      </c>
      <c r="E11" s="8">
        <f t="shared" si="1"/>
        <v>0</v>
      </c>
      <c r="F11" s="9">
        <f>SUMIFS(カード枠回復_ワールド・レイ!$C$4:$C$53,カード枠回復_ワールド・レイ!$A$4:$A$53,A11)</f>
        <v>0</v>
      </c>
      <c r="G11" s="57">
        <f t="shared" si="2"/>
        <v>0</v>
      </c>
      <c r="H11" s="63"/>
    </row>
    <row r="12" spans="1:8" ht="15" customHeight="1">
      <c r="A12" s="56">
        <v>46212</v>
      </c>
      <c r="B12" s="8">
        <f>SUMIFS(入金入力_ワールド・レイ!$D$4:$D$103,入金入力_ワールド・レイ!$A$4:$A$103,A12)</f>
        <v>0</v>
      </c>
      <c r="C12" s="8">
        <f>SUMIFS(未払一覧_ワールド・レイ!$N$4:$N$103,未払一覧_ワールド・レイ!$M$4:$M$103,A12)</f>
        <v>0</v>
      </c>
      <c r="D12" s="8">
        <f t="shared" si="0"/>
        <v>0</v>
      </c>
      <c r="E12" s="8">
        <f t="shared" si="1"/>
        <v>0</v>
      </c>
      <c r="F12" s="9">
        <f>SUMIFS(カード枠回復_ワールド・レイ!$C$4:$C$53,カード枠回復_ワールド・レイ!$A$4:$A$53,A12)</f>
        <v>0</v>
      </c>
      <c r="G12" s="57">
        <f t="shared" si="2"/>
        <v>0</v>
      </c>
      <c r="H12" s="63"/>
    </row>
    <row r="13" spans="1:8" ht="15" customHeight="1">
      <c r="A13" s="56">
        <v>46213</v>
      </c>
      <c r="B13" s="8">
        <f>SUMIFS(入金入力_ワールド・レイ!$D$4:$D$103,入金入力_ワールド・レイ!$A$4:$A$103,A13)</f>
        <v>0</v>
      </c>
      <c r="C13" s="8">
        <f>SUMIFS(未払一覧_ワールド・レイ!$N$4:$N$103,未払一覧_ワールド・レイ!$M$4:$M$103,A13)</f>
        <v>0</v>
      </c>
      <c r="D13" s="8">
        <f t="shared" si="0"/>
        <v>0</v>
      </c>
      <c r="E13" s="8">
        <f t="shared" si="1"/>
        <v>0</v>
      </c>
      <c r="F13" s="9">
        <f>SUMIFS(カード枠回復_ワールド・レイ!$C$4:$C$53,カード枠回復_ワールド・レイ!$A$4:$A$53,A13)</f>
        <v>0</v>
      </c>
      <c r="G13" s="57">
        <f t="shared" si="2"/>
        <v>0</v>
      </c>
      <c r="H13" s="63"/>
    </row>
    <row r="14" spans="1:8" ht="15" customHeight="1">
      <c r="A14" s="59">
        <v>46214</v>
      </c>
      <c r="B14" s="8">
        <f>SUMIFS(入金入力_ワールド・レイ!$D$4:$D$103,入金入力_ワールド・レイ!$A$4:$A$103,A14)</f>
        <v>0</v>
      </c>
      <c r="C14" s="8">
        <f>SUMIFS(未払一覧_ワールド・レイ!$N$4:$N$103,未払一覧_ワールド・レイ!$M$4:$M$103,A14)</f>
        <v>0</v>
      </c>
      <c r="D14" s="8">
        <f t="shared" si="0"/>
        <v>0</v>
      </c>
      <c r="E14" s="8">
        <f t="shared" si="1"/>
        <v>0</v>
      </c>
      <c r="F14" s="9">
        <f>SUMIFS(カード枠回復_ワールド・レイ!$C$4:$C$53,カード枠回復_ワールド・レイ!$A$4:$A$53,A14)</f>
        <v>0</v>
      </c>
      <c r="G14" s="57">
        <f t="shared" si="2"/>
        <v>0</v>
      </c>
      <c r="H14" s="60" t="s">
        <v>236</v>
      </c>
    </row>
    <row r="15" spans="1:8" ht="15" customHeight="1">
      <c r="A15" s="61">
        <v>46215</v>
      </c>
      <c r="B15" s="8">
        <f>SUMIFS(入金入力_ワールド・レイ!$D$4:$D$103,入金入力_ワールド・レイ!$A$4:$A$103,A15)</f>
        <v>0</v>
      </c>
      <c r="C15" s="8">
        <f>SUMIFS(未払一覧_ワールド・レイ!$N$4:$N$103,未払一覧_ワールド・レイ!$M$4:$M$103,A15)</f>
        <v>0</v>
      </c>
      <c r="D15" s="8">
        <f t="shared" si="0"/>
        <v>0</v>
      </c>
      <c r="E15" s="8">
        <f t="shared" si="1"/>
        <v>0</v>
      </c>
      <c r="F15" s="9">
        <f>SUMIFS(カード枠回復_ワールド・レイ!$C$4:$C$53,カード枠回復_ワールド・レイ!$A$4:$A$53,A15)</f>
        <v>0</v>
      </c>
      <c r="G15" s="57">
        <f t="shared" si="2"/>
        <v>0</v>
      </c>
      <c r="H15" s="60" t="s">
        <v>237</v>
      </c>
    </row>
    <row r="16" spans="1:8" ht="15" customHeight="1">
      <c r="A16" s="56">
        <v>46216</v>
      </c>
      <c r="B16" s="8">
        <f>SUMIFS(入金入力_ワールド・レイ!$D$4:$D$103,入金入力_ワールド・レイ!$A$4:$A$103,A16)</f>
        <v>0</v>
      </c>
      <c r="C16" s="8">
        <f>SUMIFS(未払一覧_ワールド・レイ!$N$4:$N$103,未払一覧_ワールド・レイ!$M$4:$M$103,A16)</f>
        <v>0</v>
      </c>
      <c r="D16" s="8">
        <f t="shared" si="0"/>
        <v>0</v>
      </c>
      <c r="E16" s="8">
        <f t="shared" si="1"/>
        <v>0</v>
      </c>
      <c r="F16" s="9">
        <f>SUMIFS(カード枠回復_ワールド・レイ!$C$4:$C$53,カード枠回復_ワールド・レイ!$A$4:$A$53,A16)</f>
        <v>0</v>
      </c>
      <c r="G16" s="57">
        <f t="shared" si="2"/>
        <v>0</v>
      </c>
      <c r="H16" s="63"/>
    </row>
    <row r="17" spans="1:8" ht="15" customHeight="1">
      <c r="A17" s="56">
        <v>46217</v>
      </c>
      <c r="B17" s="8">
        <f>SUMIFS(入金入力_ワールド・レイ!$D$4:$D$103,入金入力_ワールド・レイ!$A$4:$A$103,A17)</f>
        <v>0</v>
      </c>
      <c r="C17" s="8">
        <f>SUMIFS(未払一覧_ワールド・レイ!$N$4:$N$103,未払一覧_ワールド・レイ!$M$4:$M$103,A17)</f>
        <v>0</v>
      </c>
      <c r="D17" s="8">
        <f t="shared" si="0"/>
        <v>0</v>
      </c>
      <c r="E17" s="8">
        <f t="shared" si="1"/>
        <v>0</v>
      </c>
      <c r="F17" s="9">
        <f>SUMIFS(カード枠回復_ワールド・レイ!$C$4:$C$53,カード枠回復_ワールド・レイ!$A$4:$A$53,A17)</f>
        <v>0</v>
      </c>
      <c r="G17" s="57">
        <f t="shared" si="2"/>
        <v>0</v>
      </c>
      <c r="H17" s="63"/>
    </row>
    <row r="18" spans="1:8" ht="15" customHeight="1">
      <c r="A18" s="56">
        <v>46218</v>
      </c>
      <c r="B18" s="8">
        <f>SUMIFS(入金入力_ワールド・レイ!$D$4:$D$103,入金入力_ワールド・レイ!$A$4:$A$103,A18)</f>
        <v>0</v>
      </c>
      <c r="C18" s="8">
        <f>SUMIFS(未払一覧_ワールド・レイ!$N$4:$N$103,未払一覧_ワールド・レイ!$M$4:$M$103,A18)</f>
        <v>0</v>
      </c>
      <c r="D18" s="8">
        <f t="shared" si="0"/>
        <v>0</v>
      </c>
      <c r="E18" s="8">
        <f t="shared" si="1"/>
        <v>0</v>
      </c>
      <c r="F18" s="9">
        <f>SUMIFS(カード枠回復_ワールド・レイ!$C$4:$C$53,カード枠回復_ワールド・レイ!$A$4:$A$53,A18)</f>
        <v>0</v>
      </c>
      <c r="G18" s="57">
        <f t="shared" si="2"/>
        <v>0</v>
      </c>
      <c r="H18" s="63"/>
    </row>
    <row r="19" spans="1:8" ht="15" customHeight="1">
      <c r="A19" s="56">
        <v>46219</v>
      </c>
      <c r="B19" s="8">
        <f>SUMIFS(入金入力_ワールド・レイ!$D$4:$D$103,入金入力_ワールド・レイ!$A$4:$A$103,A19)</f>
        <v>0</v>
      </c>
      <c r="C19" s="8">
        <f>SUMIFS(未払一覧_ワールド・レイ!$N$4:$N$103,未払一覧_ワールド・レイ!$M$4:$M$103,A19)</f>
        <v>0</v>
      </c>
      <c r="D19" s="8">
        <f t="shared" si="0"/>
        <v>0</v>
      </c>
      <c r="E19" s="8">
        <f t="shared" si="1"/>
        <v>0</v>
      </c>
      <c r="F19" s="9">
        <f>SUMIFS(カード枠回復_ワールド・レイ!$C$4:$C$53,カード枠回復_ワールド・レイ!$A$4:$A$53,A19)</f>
        <v>0</v>
      </c>
      <c r="G19" s="57">
        <f t="shared" si="2"/>
        <v>0</v>
      </c>
      <c r="H19" s="63"/>
    </row>
    <row r="20" spans="1:8" ht="15" customHeight="1">
      <c r="A20" s="56">
        <v>46220</v>
      </c>
      <c r="B20" s="8">
        <f>SUMIFS(入金入力_ワールド・レイ!$D$4:$D$103,入金入力_ワールド・レイ!$A$4:$A$103,A20)</f>
        <v>0</v>
      </c>
      <c r="C20" s="8">
        <f>SUMIFS(未払一覧_ワールド・レイ!$N$4:$N$103,未払一覧_ワールド・レイ!$M$4:$M$103,A20)</f>
        <v>0</v>
      </c>
      <c r="D20" s="8">
        <f t="shared" si="0"/>
        <v>0</v>
      </c>
      <c r="E20" s="8">
        <f t="shared" si="1"/>
        <v>0</v>
      </c>
      <c r="F20" s="9">
        <f>SUMIFS(カード枠回復_ワールド・レイ!$C$4:$C$53,カード枠回復_ワールド・レイ!$A$4:$A$53,A20)</f>
        <v>0</v>
      </c>
      <c r="G20" s="57">
        <f t="shared" si="2"/>
        <v>0</v>
      </c>
      <c r="H20" s="63"/>
    </row>
    <row r="21" spans="1:8" ht="15" customHeight="1">
      <c r="A21" s="59">
        <v>46221</v>
      </c>
      <c r="B21" s="8">
        <f>SUMIFS(入金入力_ワールド・レイ!$D$4:$D$103,入金入力_ワールド・レイ!$A$4:$A$103,A21)</f>
        <v>0</v>
      </c>
      <c r="C21" s="8">
        <f>SUMIFS(未払一覧_ワールド・レイ!$N$4:$N$103,未払一覧_ワールド・レイ!$M$4:$M$103,A21)</f>
        <v>0</v>
      </c>
      <c r="D21" s="8">
        <f t="shared" si="0"/>
        <v>0</v>
      </c>
      <c r="E21" s="8">
        <f t="shared" si="1"/>
        <v>0</v>
      </c>
      <c r="F21" s="9">
        <f>SUMIFS(カード枠回復_ワールド・レイ!$C$4:$C$53,カード枠回復_ワールド・レイ!$A$4:$A$53,A21)</f>
        <v>0</v>
      </c>
      <c r="G21" s="57">
        <f t="shared" si="2"/>
        <v>0</v>
      </c>
      <c r="H21" s="60" t="s">
        <v>236</v>
      </c>
    </row>
    <row r="22" spans="1:8" ht="15" customHeight="1">
      <c r="A22" s="61">
        <v>46222</v>
      </c>
      <c r="B22" s="8">
        <f>SUMIFS(入金入力_ワールド・レイ!$D$4:$D$103,入金入力_ワールド・レイ!$A$4:$A$103,A22)</f>
        <v>0</v>
      </c>
      <c r="C22" s="8">
        <f>SUMIFS(未払一覧_ワールド・レイ!$N$4:$N$103,未払一覧_ワールド・レイ!$M$4:$M$103,A22)</f>
        <v>0</v>
      </c>
      <c r="D22" s="8">
        <f t="shared" si="0"/>
        <v>0</v>
      </c>
      <c r="E22" s="8">
        <f t="shared" si="1"/>
        <v>0</v>
      </c>
      <c r="F22" s="9">
        <f>SUMIFS(カード枠回復_ワールド・レイ!$C$4:$C$53,カード枠回復_ワールド・レイ!$A$4:$A$53,A22)</f>
        <v>0</v>
      </c>
      <c r="G22" s="57">
        <f t="shared" si="2"/>
        <v>0</v>
      </c>
      <c r="H22" s="60" t="s">
        <v>237</v>
      </c>
    </row>
    <row r="23" spans="1:8" ht="15" customHeight="1">
      <c r="A23" s="56">
        <v>46223</v>
      </c>
      <c r="B23" s="8">
        <f>SUMIFS(入金入力_ワールド・レイ!$D$4:$D$103,入金入力_ワールド・レイ!$A$4:$A$103,A23)</f>
        <v>0</v>
      </c>
      <c r="C23" s="8">
        <f>SUMIFS(未払一覧_ワールド・レイ!$N$4:$N$103,未払一覧_ワールド・レイ!$M$4:$M$103,A23)</f>
        <v>0</v>
      </c>
      <c r="D23" s="8">
        <f t="shared" si="0"/>
        <v>0</v>
      </c>
      <c r="E23" s="8">
        <f t="shared" si="1"/>
        <v>0</v>
      </c>
      <c r="F23" s="9">
        <f>SUMIFS(カード枠回復_ワールド・レイ!$C$4:$C$53,カード枠回復_ワールド・レイ!$A$4:$A$53,A23)</f>
        <v>0</v>
      </c>
      <c r="G23" s="57">
        <f t="shared" si="2"/>
        <v>0</v>
      </c>
      <c r="H23" s="63"/>
    </row>
    <row r="24" spans="1:8" ht="15" customHeight="1">
      <c r="A24" s="56">
        <v>46224</v>
      </c>
      <c r="B24" s="8">
        <f>SUMIFS(入金入力_ワールド・レイ!$D$4:$D$103,入金入力_ワールド・レイ!$A$4:$A$103,A24)</f>
        <v>0</v>
      </c>
      <c r="C24" s="8">
        <f>SUMIFS(未払一覧_ワールド・レイ!$N$4:$N$103,未払一覧_ワールド・レイ!$M$4:$M$103,A24)</f>
        <v>0</v>
      </c>
      <c r="D24" s="8">
        <f t="shared" si="0"/>
        <v>0</v>
      </c>
      <c r="E24" s="8">
        <f t="shared" si="1"/>
        <v>0</v>
      </c>
      <c r="F24" s="9">
        <f>SUMIFS(カード枠回復_ワールド・レイ!$C$4:$C$53,カード枠回復_ワールド・レイ!$A$4:$A$53,A24)</f>
        <v>0</v>
      </c>
      <c r="G24" s="57">
        <f t="shared" si="2"/>
        <v>0</v>
      </c>
      <c r="H24" s="63"/>
    </row>
    <row r="25" spans="1:8" ht="15" customHeight="1">
      <c r="A25" s="56">
        <v>46225</v>
      </c>
      <c r="B25" s="8">
        <f>SUMIFS(入金入力_ワールド・レイ!$D$4:$D$103,入金入力_ワールド・レイ!$A$4:$A$103,A25)</f>
        <v>0</v>
      </c>
      <c r="C25" s="8">
        <f>SUMIFS(未払一覧_ワールド・レイ!$N$4:$N$103,未払一覧_ワールド・レイ!$M$4:$M$103,A25)</f>
        <v>0</v>
      </c>
      <c r="D25" s="8">
        <f t="shared" si="0"/>
        <v>0</v>
      </c>
      <c r="E25" s="8">
        <f t="shared" si="1"/>
        <v>0</v>
      </c>
      <c r="F25" s="9">
        <f>SUMIFS(カード枠回復_ワールド・レイ!$C$4:$C$53,カード枠回復_ワールド・レイ!$A$4:$A$53,A25)</f>
        <v>0</v>
      </c>
      <c r="G25" s="57">
        <f t="shared" si="2"/>
        <v>0</v>
      </c>
      <c r="H25" s="63"/>
    </row>
    <row r="26" spans="1:8" ht="15" customHeight="1">
      <c r="A26" s="56">
        <v>46226</v>
      </c>
      <c r="B26" s="8">
        <f>SUMIFS(入金入力_ワールド・レイ!$D$4:$D$103,入金入力_ワールド・レイ!$A$4:$A$103,A26)</f>
        <v>0</v>
      </c>
      <c r="C26" s="8">
        <f>SUMIFS(未払一覧_ワールド・レイ!$N$4:$N$103,未払一覧_ワールド・レイ!$M$4:$M$103,A26)</f>
        <v>0</v>
      </c>
      <c r="D26" s="8">
        <f t="shared" si="0"/>
        <v>0</v>
      </c>
      <c r="E26" s="8">
        <f t="shared" si="1"/>
        <v>0</v>
      </c>
      <c r="F26" s="9">
        <f>SUMIFS(カード枠回復_ワールド・レイ!$C$4:$C$53,カード枠回復_ワールド・レイ!$A$4:$A$53,A26)</f>
        <v>0</v>
      </c>
      <c r="G26" s="57">
        <f t="shared" si="2"/>
        <v>0</v>
      </c>
      <c r="H26" s="63"/>
    </row>
    <row r="27" spans="1:8" ht="15" customHeight="1">
      <c r="A27" s="56">
        <v>46227</v>
      </c>
      <c r="B27" s="8">
        <f>SUMIFS(入金入力_ワールド・レイ!$D$4:$D$103,入金入力_ワールド・レイ!$A$4:$A$103,A27)</f>
        <v>0</v>
      </c>
      <c r="C27" s="8">
        <f>SUMIFS(未払一覧_ワールド・レイ!$N$4:$N$103,未払一覧_ワールド・レイ!$M$4:$M$103,A27)</f>
        <v>0</v>
      </c>
      <c r="D27" s="8">
        <f t="shared" si="0"/>
        <v>0</v>
      </c>
      <c r="E27" s="8">
        <f t="shared" si="1"/>
        <v>0</v>
      </c>
      <c r="F27" s="9">
        <f>SUMIFS(カード枠回復_ワールド・レイ!$C$4:$C$53,カード枠回復_ワールド・レイ!$A$4:$A$53,A27)</f>
        <v>0</v>
      </c>
      <c r="G27" s="57">
        <f t="shared" si="2"/>
        <v>0</v>
      </c>
      <c r="H27" s="63"/>
    </row>
    <row r="28" spans="1:8" ht="15" customHeight="1">
      <c r="A28" s="59">
        <v>46228</v>
      </c>
      <c r="B28" s="8">
        <f>SUMIFS(入金入力_ワールド・レイ!$D$4:$D$103,入金入力_ワールド・レイ!$A$4:$A$103,A28)</f>
        <v>0</v>
      </c>
      <c r="C28" s="8">
        <f>SUMIFS(未払一覧_ワールド・レイ!$N$4:$N$103,未払一覧_ワールド・レイ!$M$4:$M$103,A28)</f>
        <v>0</v>
      </c>
      <c r="D28" s="8">
        <f t="shared" si="0"/>
        <v>0</v>
      </c>
      <c r="E28" s="8">
        <f t="shared" si="1"/>
        <v>0</v>
      </c>
      <c r="F28" s="9">
        <f>SUMIFS(カード枠回復_ワールド・レイ!$C$4:$C$53,カード枠回復_ワールド・レイ!$A$4:$A$53,A28)</f>
        <v>0</v>
      </c>
      <c r="G28" s="57">
        <f t="shared" si="2"/>
        <v>0</v>
      </c>
      <c r="H28" s="60" t="s">
        <v>236</v>
      </c>
    </row>
    <row r="29" spans="1:8" ht="15" customHeight="1">
      <c r="A29" s="61">
        <v>46229</v>
      </c>
      <c r="B29" s="8">
        <f>SUMIFS(入金入力_ワールド・レイ!$D$4:$D$103,入金入力_ワールド・レイ!$A$4:$A$103,A29)</f>
        <v>0</v>
      </c>
      <c r="C29" s="8">
        <f>SUMIFS(未払一覧_ワールド・レイ!$N$4:$N$103,未払一覧_ワールド・レイ!$M$4:$M$103,A29)</f>
        <v>0</v>
      </c>
      <c r="D29" s="8">
        <f t="shared" si="0"/>
        <v>0</v>
      </c>
      <c r="E29" s="8">
        <f t="shared" si="1"/>
        <v>0</v>
      </c>
      <c r="F29" s="9">
        <f>SUMIFS(カード枠回復_ワールド・レイ!$C$4:$C$53,カード枠回復_ワールド・レイ!$A$4:$A$53,A29)</f>
        <v>0</v>
      </c>
      <c r="G29" s="57">
        <f t="shared" si="2"/>
        <v>0</v>
      </c>
      <c r="H29" s="60" t="s">
        <v>237</v>
      </c>
    </row>
    <row r="30" spans="1:8" ht="15" customHeight="1">
      <c r="A30" s="56">
        <v>46230</v>
      </c>
      <c r="B30" s="8">
        <f>SUMIFS(入金入力_ワールド・レイ!$D$4:$D$103,入金入力_ワールド・レイ!$A$4:$A$103,A30)</f>
        <v>0</v>
      </c>
      <c r="C30" s="8">
        <f>SUMIFS(未払一覧_ワールド・レイ!$N$4:$N$103,未払一覧_ワールド・レイ!$M$4:$M$103,A30)</f>
        <v>0</v>
      </c>
      <c r="D30" s="8">
        <f t="shared" si="0"/>
        <v>0</v>
      </c>
      <c r="E30" s="8">
        <f t="shared" si="1"/>
        <v>0</v>
      </c>
      <c r="F30" s="9">
        <f>SUMIFS(カード枠回復_ワールド・レイ!$C$4:$C$53,カード枠回復_ワールド・レイ!$A$4:$A$53,A30)</f>
        <v>0</v>
      </c>
      <c r="G30" s="57">
        <f t="shared" si="2"/>
        <v>0</v>
      </c>
      <c r="H30" s="63"/>
    </row>
    <row r="31" spans="1:8" ht="15" customHeight="1">
      <c r="A31" s="56">
        <v>46231</v>
      </c>
      <c r="B31" s="8">
        <f>SUMIFS(入金入力_ワールド・レイ!$D$4:$D$103,入金入力_ワールド・レイ!$A$4:$A$103,A31)</f>
        <v>0</v>
      </c>
      <c r="C31" s="8">
        <f>SUMIFS(未払一覧_ワールド・レイ!$N$4:$N$103,未払一覧_ワールド・レイ!$M$4:$M$103,A31)</f>
        <v>0</v>
      </c>
      <c r="D31" s="8">
        <f t="shared" si="0"/>
        <v>0</v>
      </c>
      <c r="E31" s="8">
        <f t="shared" si="1"/>
        <v>0</v>
      </c>
      <c r="F31" s="9">
        <f>SUMIFS(カード枠回復_ワールド・レイ!$C$4:$C$53,カード枠回復_ワールド・レイ!$A$4:$A$53,A31)</f>
        <v>0</v>
      </c>
      <c r="G31" s="57">
        <f t="shared" si="2"/>
        <v>0</v>
      </c>
      <c r="H31" s="63"/>
    </row>
    <row r="32" spans="1:8" ht="15" customHeight="1">
      <c r="A32" s="56">
        <v>46232</v>
      </c>
      <c r="B32" s="8">
        <f>SUMIFS(入金入力_ワールド・レイ!$D$4:$D$103,入金入力_ワールド・レイ!$A$4:$A$103,A32)</f>
        <v>0</v>
      </c>
      <c r="C32" s="8">
        <f>SUMIFS(未払一覧_ワールド・レイ!$N$4:$N$103,未払一覧_ワールド・レイ!$M$4:$M$103,A32)</f>
        <v>0</v>
      </c>
      <c r="D32" s="8">
        <f t="shared" si="0"/>
        <v>0</v>
      </c>
      <c r="E32" s="8">
        <f t="shared" si="1"/>
        <v>0</v>
      </c>
      <c r="F32" s="9">
        <f>SUMIFS(カード枠回復_ワールド・レイ!$C$4:$C$53,カード枠回復_ワールド・レイ!$A$4:$A$53,A32)</f>
        <v>0</v>
      </c>
      <c r="G32" s="57">
        <f t="shared" si="2"/>
        <v>0</v>
      </c>
      <c r="H32" s="63"/>
    </row>
    <row r="33" spans="1:8" ht="15" customHeight="1">
      <c r="A33" s="56">
        <v>46233</v>
      </c>
      <c r="B33" s="8">
        <f>SUMIFS(入金入力_ワールド・レイ!$D$4:$D$103,入金入力_ワールド・レイ!$A$4:$A$103,A33)</f>
        <v>0</v>
      </c>
      <c r="C33" s="8">
        <f>SUMIFS(未払一覧_ワールド・レイ!$N$4:$N$103,未払一覧_ワールド・レイ!$M$4:$M$103,A33)</f>
        <v>0</v>
      </c>
      <c r="D33" s="8">
        <f t="shared" si="0"/>
        <v>0</v>
      </c>
      <c r="E33" s="8">
        <f t="shared" si="1"/>
        <v>0</v>
      </c>
      <c r="F33" s="9">
        <f>SUMIFS(カード枠回復_ワールド・レイ!$C$4:$C$53,カード枠回復_ワールド・レイ!$A$4:$A$53,A33)</f>
        <v>0</v>
      </c>
      <c r="G33" s="57">
        <f t="shared" si="2"/>
        <v>0</v>
      </c>
      <c r="H33" s="63"/>
    </row>
    <row r="34" spans="1:8" ht="15" customHeight="1">
      <c r="A34" s="56">
        <v>46234</v>
      </c>
      <c r="B34" s="8">
        <f>SUMIFS(入金入力_ワールド・レイ!$D$4:$D$103,入金入力_ワールド・レイ!$A$4:$A$103,A34)</f>
        <v>0</v>
      </c>
      <c r="C34" s="8">
        <f>SUMIFS(未払一覧_ワールド・レイ!$N$4:$N$103,未払一覧_ワールド・レイ!$M$4:$M$103,A34)</f>
        <v>0</v>
      </c>
      <c r="D34" s="8">
        <f t="shared" si="0"/>
        <v>0</v>
      </c>
      <c r="E34" s="8">
        <f t="shared" si="1"/>
        <v>0</v>
      </c>
      <c r="F34" s="9">
        <f>SUMIFS(カード枠回復_ワールド・レイ!$C$4:$C$53,カード枠回復_ワールド・レイ!$A$4:$A$53,A34)</f>
        <v>0</v>
      </c>
      <c r="G34" s="57">
        <f t="shared" si="2"/>
        <v>0</v>
      </c>
      <c r="H34" s="63"/>
    </row>
    <row r="36" spans="1:8" ht="15" customHeight="1">
      <c r="A36" s="11" t="s">
        <v>243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4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3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99" t="s">
        <v>265</v>
      </c>
      <c r="B1" s="99"/>
      <c r="C1" s="99"/>
      <c r="D1" s="99"/>
      <c r="E1" s="99"/>
      <c r="F1" s="99"/>
      <c r="G1" s="99"/>
      <c r="H1" s="99"/>
    </row>
    <row r="2" spans="1:8" ht="15" customHeight="1">
      <c r="A2" s="85" t="s">
        <v>262</v>
      </c>
      <c r="B2" s="85"/>
      <c r="C2" s="85"/>
      <c r="D2" s="85"/>
      <c r="E2" s="85"/>
      <c r="F2" s="85"/>
      <c r="G2" s="85"/>
      <c r="H2" s="8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9">
        <v>46235</v>
      </c>
      <c r="B4" s="8">
        <f>SUMIFS(入金入力_ワールド・レイ!$D$4:$D$103,入金入力_ワールド・レイ!$A$4:$A$103,A4)</f>
        <v>0</v>
      </c>
      <c r="C4" s="8">
        <f>SUMIFS(未払一覧_ワールド・レイ!$N$4:$N$103,未払一覧_ワールド・レイ!$M$4:$M$103,A4)</f>
        <v>0</v>
      </c>
      <c r="D4" s="8">
        <f t="shared" ref="D4:D34" si="0">B4-C4-F4</f>
        <v>0</v>
      </c>
      <c r="E4" s="8">
        <f>'7月_ワールド・レイ'!E34+D4</f>
        <v>0</v>
      </c>
      <c r="F4" s="9">
        <f>SUMIFS(カード枠回復_ワールド・レイ!$C$4:$C$53,カード枠回復_ワールド・レイ!$A$4:$A$53,A4)</f>
        <v>0</v>
      </c>
      <c r="G4" s="57">
        <f>'7月_ワールド・レイ'!G34+D4+F4</f>
        <v>0</v>
      </c>
      <c r="H4" s="60" t="s">
        <v>236</v>
      </c>
    </row>
    <row r="5" spans="1:8" ht="15" customHeight="1">
      <c r="A5" s="61">
        <v>46236</v>
      </c>
      <c r="B5" s="8">
        <f>SUMIFS(入金入力_ワールド・レイ!$D$4:$D$103,入金入力_ワールド・レイ!$A$4:$A$103,A5)</f>
        <v>0</v>
      </c>
      <c r="C5" s="8">
        <f>SUMIFS(未払一覧_ワールド・レイ!$N$4:$N$103,未払一覧_ワールド・レイ!$M$4:$M$103,A5)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SUMIFS(カード枠回復_ワールド・レイ!$C$4:$C$53,カード枠回復_ワールド・レイ!$A$4:$A$53,A5)</f>
        <v>0</v>
      </c>
      <c r="G5" s="57">
        <f t="shared" ref="G5:G34" si="2">G4+D5+F5</f>
        <v>0</v>
      </c>
      <c r="H5" s="60" t="s">
        <v>237</v>
      </c>
    </row>
    <row r="6" spans="1:8" ht="15" customHeight="1">
      <c r="A6" s="56">
        <v>46237</v>
      </c>
      <c r="B6" s="8">
        <f>SUMIFS(入金入力_ワールド・レイ!$D$4:$D$103,入金入力_ワールド・レイ!$A$4:$A$103,A6)</f>
        <v>0</v>
      </c>
      <c r="C6" s="8">
        <f>SUMIFS(未払一覧_ワールド・レイ!$N$4:$N$103,未払一覧_ワールド・レイ!$M$4:$M$103,A6)</f>
        <v>0</v>
      </c>
      <c r="D6" s="8">
        <f t="shared" si="0"/>
        <v>0</v>
      </c>
      <c r="E6" s="8">
        <f t="shared" si="1"/>
        <v>0</v>
      </c>
      <c r="F6" s="9">
        <f>SUMIFS(カード枠回復_ワールド・レイ!$C$4:$C$53,カード枠回復_ワールド・レイ!$A$4:$A$53,A6)</f>
        <v>0</v>
      </c>
      <c r="G6" s="57">
        <f t="shared" si="2"/>
        <v>0</v>
      </c>
      <c r="H6" s="63"/>
    </row>
    <row r="7" spans="1:8" ht="15" customHeight="1">
      <c r="A7" s="56">
        <v>46238</v>
      </c>
      <c r="B7" s="8">
        <f>SUMIFS(入金入力_ワールド・レイ!$D$4:$D$103,入金入力_ワールド・レイ!$A$4:$A$103,A7)</f>
        <v>0</v>
      </c>
      <c r="C7" s="8">
        <f>SUMIFS(未払一覧_ワールド・レイ!$N$4:$N$103,未払一覧_ワールド・レイ!$M$4:$M$103,A7)</f>
        <v>0</v>
      </c>
      <c r="D7" s="8">
        <f t="shared" si="0"/>
        <v>0</v>
      </c>
      <c r="E7" s="8">
        <f t="shared" si="1"/>
        <v>0</v>
      </c>
      <c r="F7" s="9">
        <f>SUMIFS(カード枠回復_ワールド・レイ!$C$4:$C$53,カード枠回復_ワールド・レイ!$A$4:$A$53,A7)</f>
        <v>0</v>
      </c>
      <c r="G7" s="57">
        <f t="shared" si="2"/>
        <v>0</v>
      </c>
      <c r="H7" s="63"/>
    </row>
    <row r="8" spans="1:8" ht="15" customHeight="1">
      <c r="A8" s="56">
        <v>46239</v>
      </c>
      <c r="B8" s="8">
        <f>SUMIFS(入金入力_ワールド・レイ!$D$4:$D$103,入金入力_ワールド・レイ!$A$4:$A$103,A8)</f>
        <v>0</v>
      </c>
      <c r="C8" s="8">
        <f>SUMIFS(未払一覧_ワールド・レイ!$N$4:$N$103,未払一覧_ワールド・レイ!$M$4:$M$103,A8)</f>
        <v>0</v>
      </c>
      <c r="D8" s="8">
        <f t="shared" si="0"/>
        <v>0</v>
      </c>
      <c r="E8" s="8">
        <f t="shared" si="1"/>
        <v>0</v>
      </c>
      <c r="F8" s="9">
        <f>SUMIFS(カード枠回復_ワールド・レイ!$C$4:$C$53,カード枠回復_ワールド・レイ!$A$4:$A$53,A8)</f>
        <v>0</v>
      </c>
      <c r="G8" s="57">
        <f t="shared" si="2"/>
        <v>0</v>
      </c>
      <c r="H8" s="63"/>
    </row>
    <row r="9" spans="1:8" ht="15" customHeight="1">
      <c r="A9" s="56">
        <v>46240</v>
      </c>
      <c r="B9" s="8">
        <f>SUMIFS(入金入力_ワールド・レイ!$D$4:$D$103,入金入力_ワールド・レイ!$A$4:$A$103,A9)</f>
        <v>0</v>
      </c>
      <c r="C9" s="8">
        <f>SUMIFS(未払一覧_ワールド・レイ!$N$4:$N$103,未払一覧_ワールド・レイ!$M$4:$M$103,A9)</f>
        <v>0</v>
      </c>
      <c r="D9" s="8">
        <f t="shared" si="0"/>
        <v>0</v>
      </c>
      <c r="E9" s="8">
        <f t="shared" si="1"/>
        <v>0</v>
      </c>
      <c r="F9" s="9">
        <f>SUMIFS(カード枠回復_ワールド・レイ!$C$4:$C$53,カード枠回復_ワールド・レイ!$A$4:$A$53,A9)</f>
        <v>0</v>
      </c>
      <c r="G9" s="57">
        <f t="shared" si="2"/>
        <v>0</v>
      </c>
      <c r="H9" s="63"/>
    </row>
    <row r="10" spans="1:8" ht="15" customHeight="1">
      <c r="A10" s="56">
        <v>46241</v>
      </c>
      <c r="B10" s="8">
        <f>SUMIFS(入金入力_ワールド・レイ!$D$4:$D$103,入金入力_ワールド・レイ!$A$4:$A$103,A10)</f>
        <v>0</v>
      </c>
      <c r="C10" s="8">
        <f>SUMIFS(未払一覧_ワールド・レイ!$N$4:$N$103,未払一覧_ワールド・レイ!$M$4:$M$103,A10)</f>
        <v>0</v>
      </c>
      <c r="D10" s="8">
        <f t="shared" si="0"/>
        <v>0</v>
      </c>
      <c r="E10" s="8">
        <f t="shared" si="1"/>
        <v>0</v>
      </c>
      <c r="F10" s="9">
        <f>SUMIFS(カード枠回復_ワールド・レイ!$C$4:$C$53,カード枠回復_ワールド・レイ!$A$4:$A$53,A10)</f>
        <v>0</v>
      </c>
      <c r="G10" s="57">
        <f t="shared" si="2"/>
        <v>0</v>
      </c>
      <c r="H10" s="63"/>
    </row>
    <row r="11" spans="1:8" ht="15" customHeight="1">
      <c r="A11" s="59">
        <v>46242</v>
      </c>
      <c r="B11" s="8">
        <f>SUMIFS(入金入力_ワールド・レイ!$D$4:$D$103,入金入力_ワールド・レイ!$A$4:$A$103,A11)</f>
        <v>0</v>
      </c>
      <c r="C11" s="8">
        <f>SUMIFS(未払一覧_ワールド・レイ!$N$4:$N$103,未払一覧_ワールド・レイ!$M$4:$M$103,A11)</f>
        <v>0</v>
      </c>
      <c r="D11" s="8">
        <f t="shared" si="0"/>
        <v>0</v>
      </c>
      <c r="E11" s="8">
        <f t="shared" si="1"/>
        <v>0</v>
      </c>
      <c r="F11" s="9">
        <f>SUMIFS(カード枠回復_ワールド・レイ!$C$4:$C$53,カード枠回復_ワールド・レイ!$A$4:$A$53,A11)</f>
        <v>0</v>
      </c>
      <c r="G11" s="57">
        <f t="shared" si="2"/>
        <v>0</v>
      </c>
      <c r="H11" s="60" t="s">
        <v>236</v>
      </c>
    </row>
    <row r="12" spans="1:8" ht="15" customHeight="1">
      <c r="A12" s="61">
        <v>46243</v>
      </c>
      <c r="B12" s="8">
        <f>SUMIFS(入金入力_ワールド・レイ!$D$4:$D$103,入金入力_ワールド・レイ!$A$4:$A$103,A12)</f>
        <v>0</v>
      </c>
      <c r="C12" s="8">
        <f>SUMIFS(未払一覧_ワールド・レイ!$N$4:$N$103,未払一覧_ワールド・レイ!$M$4:$M$103,A12)</f>
        <v>0</v>
      </c>
      <c r="D12" s="8">
        <f t="shared" si="0"/>
        <v>0</v>
      </c>
      <c r="E12" s="8">
        <f t="shared" si="1"/>
        <v>0</v>
      </c>
      <c r="F12" s="9">
        <f>SUMIFS(カード枠回復_ワールド・レイ!$C$4:$C$53,カード枠回復_ワールド・レイ!$A$4:$A$53,A12)</f>
        <v>0</v>
      </c>
      <c r="G12" s="57">
        <f t="shared" si="2"/>
        <v>0</v>
      </c>
      <c r="H12" s="60" t="s">
        <v>237</v>
      </c>
    </row>
    <row r="13" spans="1:8" ht="15" customHeight="1">
      <c r="A13" s="56">
        <v>46244</v>
      </c>
      <c r="B13" s="8">
        <f>SUMIFS(入金入力_ワールド・レイ!$D$4:$D$103,入金入力_ワールド・レイ!$A$4:$A$103,A13)</f>
        <v>0</v>
      </c>
      <c r="C13" s="8">
        <f>SUMIFS(未払一覧_ワールド・レイ!$N$4:$N$103,未払一覧_ワールド・レイ!$M$4:$M$103,A13)</f>
        <v>0</v>
      </c>
      <c r="D13" s="8">
        <f t="shared" si="0"/>
        <v>0</v>
      </c>
      <c r="E13" s="8">
        <f t="shared" si="1"/>
        <v>0</v>
      </c>
      <c r="F13" s="9">
        <f>SUMIFS(カード枠回復_ワールド・レイ!$C$4:$C$53,カード枠回復_ワールド・レイ!$A$4:$A$53,A13)</f>
        <v>0</v>
      </c>
      <c r="G13" s="57">
        <f t="shared" si="2"/>
        <v>0</v>
      </c>
      <c r="H13" s="63"/>
    </row>
    <row r="14" spans="1:8" ht="15" customHeight="1">
      <c r="A14" s="56">
        <v>46245</v>
      </c>
      <c r="B14" s="8">
        <f>SUMIFS(入金入力_ワールド・レイ!$D$4:$D$103,入金入力_ワールド・レイ!$A$4:$A$103,A14)</f>
        <v>0</v>
      </c>
      <c r="C14" s="8">
        <f>SUMIFS(未払一覧_ワールド・レイ!$N$4:$N$103,未払一覧_ワールド・レイ!$M$4:$M$103,A14)</f>
        <v>0</v>
      </c>
      <c r="D14" s="8">
        <f t="shared" si="0"/>
        <v>0</v>
      </c>
      <c r="E14" s="8">
        <f t="shared" si="1"/>
        <v>0</v>
      </c>
      <c r="F14" s="9">
        <f>SUMIFS(カード枠回復_ワールド・レイ!$C$4:$C$53,カード枠回復_ワールド・レイ!$A$4:$A$53,A14)</f>
        <v>0</v>
      </c>
      <c r="G14" s="57">
        <f t="shared" si="2"/>
        <v>0</v>
      </c>
      <c r="H14" s="63"/>
    </row>
    <row r="15" spans="1:8" ht="15" customHeight="1">
      <c r="A15" s="56">
        <v>46246</v>
      </c>
      <c r="B15" s="8">
        <f>SUMIFS(入金入力_ワールド・レイ!$D$4:$D$103,入金入力_ワールド・レイ!$A$4:$A$103,A15)</f>
        <v>0</v>
      </c>
      <c r="C15" s="8">
        <f>SUMIFS(未払一覧_ワールド・レイ!$N$4:$N$103,未払一覧_ワールド・レイ!$M$4:$M$103,A15)</f>
        <v>0</v>
      </c>
      <c r="D15" s="8">
        <f t="shared" si="0"/>
        <v>0</v>
      </c>
      <c r="E15" s="8">
        <f t="shared" si="1"/>
        <v>0</v>
      </c>
      <c r="F15" s="9">
        <f>SUMIFS(カード枠回復_ワールド・レイ!$C$4:$C$53,カード枠回復_ワールド・レイ!$A$4:$A$53,A15)</f>
        <v>0</v>
      </c>
      <c r="G15" s="57">
        <f t="shared" si="2"/>
        <v>0</v>
      </c>
      <c r="H15" s="63"/>
    </row>
    <row r="16" spans="1:8" ht="15" customHeight="1">
      <c r="A16" s="56">
        <v>46247</v>
      </c>
      <c r="B16" s="8">
        <f>SUMIFS(入金入力_ワールド・レイ!$D$4:$D$103,入金入力_ワールド・レイ!$A$4:$A$103,A16)</f>
        <v>0</v>
      </c>
      <c r="C16" s="8">
        <f>SUMIFS(未払一覧_ワールド・レイ!$N$4:$N$103,未払一覧_ワールド・レイ!$M$4:$M$103,A16)</f>
        <v>0</v>
      </c>
      <c r="D16" s="8">
        <f t="shared" si="0"/>
        <v>0</v>
      </c>
      <c r="E16" s="8">
        <f t="shared" si="1"/>
        <v>0</v>
      </c>
      <c r="F16" s="9">
        <f>SUMIFS(カード枠回復_ワールド・レイ!$C$4:$C$53,カード枠回復_ワールド・レイ!$A$4:$A$53,A16)</f>
        <v>0</v>
      </c>
      <c r="G16" s="57">
        <f t="shared" si="2"/>
        <v>0</v>
      </c>
      <c r="H16" s="63"/>
    </row>
    <row r="17" spans="1:8" ht="15" customHeight="1">
      <c r="A17" s="56">
        <v>46248</v>
      </c>
      <c r="B17" s="8">
        <f>SUMIFS(入金入力_ワールド・レイ!$D$4:$D$103,入金入力_ワールド・レイ!$A$4:$A$103,A17)</f>
        <v>0</v>
      </c>
      <c r="C17" s="8">
        <f>SUMIFS(未払一覧_ワールド・レイ!$N$4:$N$103,未払一覧_ワールド・レイ!$M$4:$M$103,A17)</f>
        <v>0</v>
      </c>
      <c r="D17" s="8">
        <f t="shared" si="0"/>
        <v>0</v>
      </c>
      <c r="E17" s="8">
        <f t="shared" si="1"/>
        <v>0</v>
      </c>
      <c r="F17" s="9">
        <f>SUMIFS(カード枠回復_ワールド・レイ!$C$4:$C$53,カード枠回復_ワールド・レイ!$A$4:$A$53,A17)</f>
        <v>0</v>
      </c>
      <c r="G17" s="57">
        <f t="shared" si="2"/>
        <v>0</v>
      </c>
      <c r="H17" s="63"/>
    </row>
    <row r="18" spans="1:8" ht="15" customHeight="1">
      <c r="A18" s="59">
        <v>46249</v>
      </c>
      <c r="B18" s="8">
        <f>SUMIFS(入金入力_ワールド・レイ!$D$4:$D$103,入金入力_ワールド・レイ!$A$4:$A$103,A18)</f>
        <v>0</v>
      </c>
      <c r="C18" s="8">
        <f>SUMIFS(未払一覧_ワールド・レイ!$N$4:$N$103,未払一覧_ワールド・レイ!$M$4:$M$103,A18)</f>
        <v>0</v>
      </c>
      <c r="D18" s="8">
        <f t="shared" si="0"/>
        <v>0</v>
      </c>
      <c r="E18" s="8">
        <f t="shared" si="1"/>
        <v>0</v>
      </c>
      <c r="F18" s="9">
        <f>SUMIFS(カード枠回復_ワールド・レイ!$C$4:$C$53,カード枠回復_ワールド・レイ!$A$4:$A$53,A18)</f>
        <v>0</v>
      </c>
      <c r="G18" s="57">
        <f t="shared" si="2"/>
        <v>0</v>
      </c>
      <c r="H18" s="60" t="s">
        <v>236</v>
      </c>
    </row>
    <row r="19" spans="1:8" ht="15" customHeight="1">
      <c r="A19" s="61">
        <v>46250</v>
      </c>
      <c r="B19" s="8">
        <f>SUMIFS(入金入力_ワールド・レイ!$D$4:$D$103,入金入力_ワールド・レイ!$A$4:$A$103,A19)</f>
        <v>0</v>
      </c>
      <c r="C19" s="8">
        <f>SUMIFS(未払一覧_ワールド・レイ!$N$4:$N$103,未払一覧_ワールド・レイ!$M$4:$M$103,A19)</f>
        <v>0</v>
      </c>
      <c r="D19" s="8">
        <f t="shared" si="0"/>
        <v>0</v>
      </c>
      <c r="E19" s="8">
        <f t="shared" si="1"/>
        <v>0</v>
      </c>
      <c r="F19" s="9">
        <f>SUMIFS(カード枠回復_ワールド・レイ!$C$4:$C$53,カード枠回復_ワールド・レイ!$A$4:$A$53,A19)</f>
        <v>0</v>
      </c>
      <c r="G19" s="57">
        <f t="shared" si="2"/>
        <v>0</v>
      </c>
      <c r="H19" s="60" t="s">
        <v>237</v>
      </c>
    </row>
    <row r="20" spans="1:8" ht="15" customHeight="1">
      <c r="A20" s="56">
        <v>46251</v>
      </c>
      <c r="B20" s="8">
        <f>SUMIFS(入金入力_ワールド・レイ!$D$4:$D$103,入金入力_ワールド・レイ!$A$4:$A$103,A20)</f>
        <v>0</v>
      </c>
      <c r="C20" s="8">
        <f>SUMIFS(未払一覧_ワールド・レイ!$N$4:$N$103,未払一覧_ワールド・レイ!$M$4:$M$103,A20)</f>
        <v>0</v>
      </c>
      <c r="D20" s="8">
        <f t="shared" si="0"/>
        <v>0</v>
      </c>
      <c r="E20" s="8">
        <f t="shared" si="1"/>
        <v>0</v>
      </c>
      <c r="F20" s="9">
        <f>SUMIFS(カード枠回復_ワールド・レイ!$C$4:$C$53,カード枠回復_ワールド・レイ!$A$4:$A$53,A20)</f>
        <v>0</v>
      </c>
      <c r="G20" s="57">
        <f t="shared" si="2"/>
        <v>0</v>
      </c>
      <c r="H20" s="63"/>
    </row>
    <row r="21" spans="1:8" ht="15" customHeight="1">
      <c r="A21" s="56">
        <v>46252</v>
      </c>
      <c r="B21" s="8">
        <f>SUMIFS(入金入力_ワールド・レイ!$D$4:$D$103,入金入力_ワールド・レイ!$A$4:$A$103,A21)</f>
        <v>0</v>
      </c>
      <c r="C21" s="8">
        <f>SUMIFS(未払一覧_ワールド・レイ!$N$4:$N$103,未払一覧_ワールド・レイ!$M$4:$M$103,A21)</f>
        <v>0</v>
      </c>
      <c r="D21" s="8">
        <f t="shared" si="0"/>
        <v>0</v>
      </c>
      <c r="E21" s="8">
        <f t="shared" si="1"/>
        <v>0</v>
      </c>
      <c r="F21" s="9">
        <f>SUMIFS(カード枠回復_ワールド・レイ!$C$4:$C$53,カード枠回復_ワールド・レイ!$A$4:$A$53,A21)</f>
        <v>0</v>
      </c>
      <c r="G21" s="57">
        <f t="shared" si="2"/>
        <v>0</v>
      </c>
      <c r="H21" s="63"/>
    </row>
    <row r="22" spans="1:8" ht="15" customHeight="1">
      <c r="A22" s="56">
        <v>46253</v>
      </c>
      <c r="B22" s="8">
        <f>SUMIFS(入金入力_ワールド・レイ!$D$4:$D$103,入金入力_ワールド・レイ!$A$4:$A$103,A22)</f>
        <v>0</v>
      </c>
      <c r="C22" s="8">
        <f>SUMIFS(未払一覧_ワールド・レイ!$N$4:$N$103,未払一覧_ワールド・レイ!$M$4:$M$103,A22)</f>
        <v>0</v>
      </c>
      <c r="D22" s="8">
        <f t="shared" si="0"/>
        <v>0</v>
      </c>
      <c r="E22" s="8">
        <f t="shared" si="1"/>
        <v>0</v>
      </c>
      <c r="F22" s="9">
        <f>SUMIFS(カード枠回復_ワールド・レイ!$C$4:$C$53,カード枠回復_ワールド・レイ!$A$4:$A$53,A22)</f>
        <v>0</v>
      </c>
      <c r="G22" s="57">
        <f t="shared" si="2"/>
        <v>0</v>
      </c>
      <c r="H22" s="63"/>
    </row>
    <row r="23" spans="1:8" ht="15" customHeight="1">
      <c r="A23" s="56">
        <v>46254</v>
      </c>
      <c r="B23" s="8">
        <f>SUMIFS(入金入力_ワールド・レイ!$D$4:$D$103,入金入力_ワールド・レイ!$A$4:$A$103,A23)</f>
        <v>0</v>
      </c>
      <c r="C23" s="8">
        <f>SUMIFS(未払一覧_ワールド・レイ!$N$4:$N$103,未払一覧_ワールド・レイ!$M$4:$M$103,A23)</f>
        <v>0</v>
      </c>
      <c r="D23" s="8">
        <f t="shared" si="0"/>
        <v>0</v>
      </c>
      <c r="E23" s="8">
        <f t="shared" si="1"/>
        <v>0</v>
      </c>
      <c r="F23" s="9">
        <f>SUMIFS(カード枠回復_ワールド・レイ!$C$4:$C$53,カード枠回復_ワールド・レイ!$A$4:$A$53,A23)</f>
        <v>0</v>
      </c>
      <c r="G23" s="57">
        <f t="shared" si="2"/>
        <v>0</v>
      </c>
      <c r="H23" s="63"/>
    </row>
    <row r="24" spans="1:8" ht="15" customHeight="1">
      <c r="A24" s="56">
        <v>46255</v>
      </c>
      <c r="B24" s="8">
        <f>SUMIFS(入金入力_ワールド・レイ!$D$4:$D$103,入金入力_ワールド・レイ!$A$4:$A$103,A24)</f>
        <v>0</v>
      </c>
      <c r="C24" s="8">
        <f>SUMIFS(未払一覧_ワールド・レイ!$N$4:$N$103,未払一覧_ワールド・レイ!$M$4:$M$103,A24)</f>
        <v>0</v>
      </c>
      <c r="D24" s="8">
        <f t="shared" si="0"/>
        <v>0</v>
      </c>
      <c r="E24" s="8">
        <f t="shared" si="1"/>
        <v>0</v>
      </c>
      <c r="F24" s="9">
        <f>SUMIFS(カード枠回復_ワールド・レイ!$C$4:$C$53,カード枠回復_ワールド・レイ!$A$4:$A$53,A24)</f>
        <v>0</v>
      </c>
      <c r="G24" s="57">
        <f t="shared" si="2"/>
        <v>0</v>
      </c>
      <c r="H24" s="63"/>
    </row>
    <row r="25" spans="1:8" ht="15" customHeight="1">
      <c r="A25" s="59">
        <v>46256</v>
      </c>
      <c r="B25" s="8">
        <f>SUMIFS(入金入力_ワールド・レイ!$D$4:$D$103,入金入力_ワールド・レイ!$A$4:$A$103,A25)</f>
        <v>0</v>
      </c>
      <c r="C25" s="8">
        <f>SUMIFS(未払一覧_ワールド・レイ!$N$4:$N$103,未払一覧_ワールド・レイ!$M$4:$M$103,A25)</f>
        <v>0</v>
      </c>
      <c r="D25" s="8">
        <f t="shared" si="0"/>
        <v>0</v>
      </c>
      <c r="E25" s="8">
        <f t="shared" si="1"/>
        <v>0</v>
      </c>
      <c r="F25" s="9">
        <f>SUMIFS(カード枠回復_ワールド・レイ!$C$4:$C$53,カード枠回復_ワールド・レイ!$A$4:$A$53,A25)</f>
        <v>0</v>
      </c>
      <c r="G25" s="57">
        <f t="shared" si="2"/>
        <v>0</v>
      </c>
      <c r="H25" s="60" t="s">
        <v>236</v>
      </c>
    </row>
    <row r="26" spans="1:8" ht="15" customHeight="1">
      <c r="A26" s="61">
        <v>46257</v>
      </c>
      <c r="B26" s="8">
        <f>SUMIFS(入金入力_ワールド・レイ!$D$4:$D$103,入金入力_ワールド・レイ!$A$4:$A$103,A26)</f>
        <v>0</v>
      </c>
      <c r="C26" s="8">
        <f>SUMIFS(未払一覧_ワールド・レイ!$N$4:$N$103,未払一覧_ワールド・レイ!$M$4:$M$103,A26)</f>
        <v>0</v>
      </c>
      <c r="D26" s="8">
        <f t="shared" si="0"/>
        <v>0</v>
      </c>
      <c r="E26" s="8">
        <f t="shared" si="1"/>
        <v>0</v>
      </c>
      <c r="F26" s="9">
        <f>SUMIFS(カード枠回復_ワールド・レイ!$C$4:$C$53,カード枠回復_ワールド・レイ!$A$4:$A$53,A26)</f>
        <v>0</v>
      </c>
      <c r="G26" s="57">
        <f t="shared" si="2"/>
        <v>0</v>
      </c>
      <c r="H26" s="60" t="s">
        <v>237</v>
      </c>
    </row>
    <row r="27" spans="1:8" ht="15" customHeight="1">
      <c r="A27" s="56">
        <v>46258</v>
      </c>
      <c r="B27" s="8">
        <f>SUMIFS(入金入力_ワールド・レイ!$D$4:$D$103,入金入力_ワールド・レイ!$A$4:$A$103,A27)</f>
        <v>0</v>
      </c>
      <c r="C27" s="8">
        <f>SUMIFS(未払一覧_ワールド・レイ!$N$4:$N$103,未払一覧_ワールド・レイ!$M$4:$M$103,A27)</f>
        <v>0</v>
      </c>
      <c r="D27" s="8">
        <f t="shared" si="0"/>
        <v>0</v>
      </c>
      <c r="E27" s="8">
        <f t="shared" si="1"/>
        <v>0</v>
      </c>
      <c r="F27" s="9">
        <f>SUMIFS(カード枠回復_ワールド・レイ!$C$4:$C$53,カード枠回復_ワールド・レイ!$A$4:$A$53,A27)</f>
        <v>0</v>
      </c>
      <c r="G27" s="57">
        <f t="shared" si="2"/>
        <v>0</v>
      </c>
      <c r="H27" s="63"/>
    </row>
    <row r="28" spans="1:8" ht="15" customHeight="1">
      <c r="A28" s="56">
        <v>46259</v>
      </c>
      <c r="B28" s="8">
        <f>SUMIFS(入金入力_ワールド・レイ!$D$4:$D$103,入金入力_ワールド・レイ!$A$4:$A$103,A28)</f>
        <v>0</v>
      </c>
      <c r="C28" s="8">
        <f>SUMIFS(未払一覧_ワールド・レイ!$N$4:$N$103,未払一覧_ワールド・レイ!$M$4:$M$103,A28)</f>
        <v>0</v>
      </c>
      <c r="D28" s="8">
        <f t="shared" si="0"/>
        <v>0</v>
      </c>
      <c r="E28" s="8">
        <f t="shared" si="1"/>
        <v>0</v>
      </c>
      <c r="F28" s="9">
        <f>SUMIFS(カード枠回復_ワールド・レイ!$C$4:$C$53,カード枠回復_ワールド・レイ!$A$4:$A$53,A28)</f>
        <v>0</v>
      </c>
      <c r="G28" s="57">
        <f t="shared" si="2"/>
        <v>0</v>
      </c>
      <c r="H28" s="63"/>
    </row>
    <row r="29" spans="1:8" ht="15" customHeight="1">
      <c r="A29" s="56">
        <v>46260</v>
      </c>
      <c r="B29" s="8">
        <f>SUMIFS(入金入力_ワールド・レイ!$D$4:$D$103,入金入力_ワールド・レイ!$A$4:$A$103,A29)</f>
        <v>0</v>
      </c>
      <c r="C29" s="8">
        <f>SUMIFS(未払一覧_ワールド・レイ!$N$4:$N$103,未払一覧_ワールド・レイ!$M$4:$M$103,A29)</f>
        <v>0</v>
      </c>
      <c r="D29" s="8">
        <f t="shared" si="0"/>
        <v>0</v>
      </c>
      <c r="E29" s="8">
        <f t="shared" si="1"/>
        <v>0</v>
      </c>
      <c r="F29" s="9">
        <f>SUMIFS(カード枠回復_ワールド・レイ!$C$4:$C$53,カード枠回復_ワールド・レイ!$A$4:$A$53,A29)</f>
        <v>0</v>
      </c>
      <c r="G29" s="57">
        <f t="shared" si="2"/>
        <v>0</v>
      </c>
      <c r="H29" s="63"/>
    </row>
    <row r="30" spans="1:8" ht="15" customHeight="1">
      <c r="A30" s="56">
        <v>46261</v>
      </c>
      <c r="B30" s="8">
        <f>SUMIFS(入金入力_ワールド・レイ!$D$4:$D$103,入金入力_ワールド・レイ!$A$4:$A$103,A30)</f>
        <v>0</v>
      </c>
      <c r="C30" s="8">
        <f>SUMIFS(未払一覧_ワールド・レイ!$N$4:$N$103,未払一覧_ワールド・レイ!$M$4:$M$103,A30)</f>
        <v>0</v>
      </c>
      <c r="D30" s="8">
        <f t="shared" si="0"/>
        <v>0</v>
      </c>
      <c r="E30" s="8">
        <f t="shared" si="1"/>
        <v>0</v>
      </c>
      <c r="F30" s="9">
        <f>SUMIFS(カード枠回復_ワールド・レイ!$C$4:$C$53,カード枠回復_ワールド・レイ!$A$4:$A$53,A30)</f>
        <v>0</v>
      </c>
      <c r="G30" s="57">
        <f t="shared" si="2"/>
        <v>0</v>
      </c>
      <c r="H30" s="63"/>
    </row>
    <row r="31" spans="1:8" ht="15" customHeight="1">
      <c r="A31" s="56">
        <v>46262</v>
      </c>
      <c r="B31" s="8">
        <f>SUMIFS(入金入力_ワールド・レイ!$D$4:$D$103,入金入力_ワールド・レイ!$A$4:$A$103,A31)</f>
        <v>0</v>
      </c>
      <c r="C31" s="8">
        <f>SUMIFS(未払一覧_ワールド・レイ!$N$4:$N$103,未払一覧_ワールド・レイ!$M$4:$M$103,A31)</f>
        <v>0</v>
      </c>
      <c r="D31" s="8">
        <f t="shared" si="0"/>
        <v>0</v>
      </c>
      <c r="E31" s="8">
        <f t="shared" si="1"/>
        <v>0</v>
      </c>
      <c r="F31" s="9">
        <f>SUMIFS(カード枠回復_ワールド・レイ!$C$4:$C$53,カード枠回復_ワールド・レイ!$A$4:$A$53,A31)</f>
        <v>0</v>
      </c>
      <c r="G31" s="57">
        <f t="shared" si="2"/>
        <v>0</v>
      </c>
      <c r="H31" s="63"/>
    </row>
    <row r="32" spans="1:8" ht="15" customHeight="1">
      <c r="A32" s="59">
        <v>46263</v>
      </c>
      <c r="B32" s="8">
        <f>SUMIFS(入金入力_ワールド・レイ!$D$4:$D$103,入金入力_ワールド・レイ!$A$4:$A$103,A32)</f>
        <v>0</v>
      </c>
      <c r="C32" s="8">
        <f>SUMIFS(未払一覧_ワールド・レイ!$N$4:$N$103,未払一覧_ワールド・レイ!$M$4:$M$103,A32)</f>
        <v>0</v>
      </c>
      <c r="D32" s="8">
        <f t="shared" si="0"/>
        <v>0</v>
      </c>
      <c r="E32" s="8">
        <f t="shared" si="1"/>
        <v>0</v>
      </c>
      <c r="F32" s="9">
        <f>SUMIFS(カード枠回復_ワールド・レイ!$C$4:$C$53,カード枠回復_ワールド・レイ!$A$4:$A$53,A32)</f>
        <v>0</v>
      </c>
      <c r="G32" s="57">
        <f t="shared" si="2"/>
        <v>0</v>
      </c>
      <c r="H32" s="60" t="s">
        <v>236</v>
      </c>
    </row>
    <row r="33" spans="1:8" ht="15" customHeight="1">
      <c r="A33" s="61">
        <v>46264</v>
      </c>
      <c r="B33" s="8">
        <f>SUMIFS(入金入力_ワールド・レイ!$D$4:$D$103,入金入力_ワールド・レイ!$A$4:$A$103,A33)</f>
        <v>0</v>
      </c>
      <c r="C33" s="8">
        <f>SUMIFS(未払一覧_ワールド・レイ!$N$4:$N$103,未払一覧_ワールド・レイ!$M$4:$M$103,A33)</f>
        <v>0</v>
      </c>
      <c r="D33" s="8">
        <f t="shared" si="0"/>
        <v>0</v>
      </c>
      <c r="E33" s="8">
        <f t="shared" si="1"/>
        <v>0</v>
      </c>
      <c r="F33" s="9">
        <f>SUMIFS(カード枠回復_ワールド・レイ!$C$4:$C$53,カード枠回復_ワールド・レイ!$A$4:$A$53,A33)</f>
        <v>0</v>
      </c>
      <c r="G33" s="57">
        <f t="shared" si="2"/>
        <v>0</v>
      </c>
      <c r="H33" s="60" t="s">
        <v>237</v>
      </c>
    </row>
    <row r="34" spans="1:8" ht="15" customHeight="1">
      <c r="A34" s="56">
        <v>46265</v>
      </c>
      <c r="B34" s="8">
        <f>SUMIFS(入金入力_ワールド・レイ!$D$4:$D$103,入金入力_ワールド・レイ!$A$4:$A$103,A34)</f>
        <v>0</v>
      </c>
      <c r="C34" s="8">
        <f>SUMIFS(未払一覧_ワールド・レイ!$N$4:$N$103,未払一覧_ワールド・レイ!$M$4:$M$103,A34)</f>
        <v>0</v>
      </c>
      <c r="D34" s="8">
        <f t="shared" si="0"/>
        <v>0</v>
      </c>
      <c r="E34" s="8">
        <f t="shared" si="1"/>
        <v>0</v>
      </c>
      <c r="F34" s="9">
        <f>SUMIFS(カード枠回復_ワールド・レイ!$C$4:$C$53,カード枠回復_ワールド・レイ!$A$4:$A$53,A34)</f>
        <v>0</v>
      </c>
      <c r="G34" s="57">
        <f t="shared" si="2"/>
        <v>0</v>
      </c>
      <c r="H34" s="63"/>
    </row>
    <row r="36" spans="1:8" ht="15" customHeight="1">
      <c r="A36" s="11" t="s">
        <v>245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4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3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00" t="s">
        <v>266</v>
      </c>
      <c r="B1" s="100"/>
      <c r="C1" s="100"/>
      <c r="D1" s="100"/>
      <c r="E1" s="100"/>
      <c r="F1" s="100"/>
      <c r="G1" s="100"/>
      <c r="H1" s="100"/>
    </row>
    <row r="2" spans="1:8" ht="15" customHeight="1">
      <c r="A2" s="85" t="s">
        <v>267</v>
      </c>
      <c r="B2" s="85"/>
      <c r="C2" s="85"/>
      <c r="D2" s="85"/>
      <c r="E2" s="85"/>
      <c r="F2" s="85"/>
      <c r="G2" s="85"/>
      <c r="H2" s="8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46142</v>
      </c>
      <c r="B4" s="8">
        <f>SUMIFS(入金入力_ココ・ユニバース!$D$4:$D$103,入金入力_ココ・ユニバース!$A$4:$A$103,A4)</f>
        <v>0</v>
      </c>
      <c r="C4" s="8">
        <f>SUMIFS(未払一覧_ココ・ユニバース!$N$4:$N$103,未払一覧_ココ・ユニバース!$M$4:$M$103,A4)</f>
        <v>0</v>
      </c>
      <c r="D4" s="8">
        <f t="shared" ref="D4:D35" si="0">B4-C4-F4</f>
        <v>0</v>
      </c>
      <c r="E4" s="8">
        <f>D4</f>
        <v>0</v>
      </c>
      <c r="F4" s="9">
        <f>SUMIFS(カード枠回復_ココ・ユニバース!$C$4:$C$53,カード枠回復_ココ・ユニバース!$A$4:$A$53,A4)</f>
        <v>0</v>
      </c>
      <c r="G4" s="57">
        <f>D4+F4</f>
        <v>0</v>
      </c>
      <c r="H4" s="63"/>
    </row>
    <row r="5" spans="1:8" ht="15" customHeight="1">
      <c r="A5" s="56">
        <v>46143</v>
      </c>
      <c r="B5" s="8">
        <f>SUMIFS(入金入力_ココ・ユニバース!$D$4:$D$103,入金入力_ココ・ユニバース!$A$4:$A$103,A5)</f>
        <v>0</v>
      </c>
      <c r="C5" s="8">
        <f>SUMIFS(未払一覧_ココ・ユニバース!$N$4:$N$103,未払一覧_ココ・ユニバース!$M$4:$M$103,A5)</f>
        <v>0</v>
      </c>
      <c r="D5" s="8">
        <f t="shared" si="0"/>
        <v>0</v>
      </c>
      <c r="E5" s="8">
        <f t="shared" ref="E5:E35" si="1">E4+D5</f>
        <v>0</v>
      </c>
      <c r="F5" s="9">
        <f>SUMIFS(カード枠回復_ココ・ユニバース!$C$4:$C$53,カード枠回復_ココ・ユニバース!$A$4:$A$53,A5)</f>
        <v>0</v>
      </c>
      <c r="G5" s="57">
        <f t="shared" ref="G5:G35" si="2">G4+D5+F5</f>
        <v>0</v>
      </c>
      <c r="H5" s="63"/>
    </row>
    <row r="6" spans="1:8" ht="15" customHeight="1">
      <c r="A6" s="59">
        <v>46144</v>
      </c>
      <c r="B6" s="8">
        <f>SUMIFS(入金入力_ココ・ユニバース!$D$4:$D$103,入金入力_ココ・ユニバース!$A$4:$A$103,A6)</f>
        <v>0</v>
      </c>
      <c r="C6" s="8">
        <f>SUMIFS(未払一覧_ココ・ユニバース!$N$4:$N$103,未払一覧_ココ・ユニバース!$M$4:$M$103,A6)</f>
        <v>0</v>
      </c>
      <c r="D6" s="8">
        <f t="shared" si="0"/>
        <v>0</v>
      </c>
      <c r="E6" s="8">
        <f t="shared" si="1"/>
        <v>0</v>
      </c>
      <c r="F6" s="9">
        <f>SUMIFS(カード枠回復_ココ・ユニバース!$C$4:$C$53,カード枠回復_ココ・ユニバース!$A$4:$A$53,A6)</f>
        <v>0</v>
      </c>
      <c r="G6" s="57">
        <f t="shared" si="2"/>
        <v>0</v>
      </c>
      <c r="H6" s="60" t="s">
        <v>236</v>
      </c>
    </row>
    <row r="7" spans="1:8" ht="15" customHeight="1">
      <c r="A7" s="61">
        <v>46145</v>
      </c>
      <c r="B7" s="8">
        <f>SUMIFS(入金入力_ココ・ユニバース!$D$4:$D$103,入金入力_ココ・ユニバース!$A$4:$A$103,A7)</f>
        <v>0</v>
      </c>
      <c r="C7" s="8">
        <f>SUMIFS(未払一覧_ココ・ユニバース!$N$4:$N$103,未払一覧_ココ・ユニバース!$M$4:$M$103,A7)</f>
        <v>0</v>
      </c>
      <c r="D7" s="8">
        <f t="shared" si="0"/>
        <v>0</v>
      </c>
      <c r="E7" s="8">
        <f t="shared" si="1"/>
        <v>0</v>
      </c>
      <c r="F7" s="9">
        <f>SUMIFS(カード枠回復_ココ・ユニバース!$C$4:$C$53,カード枠回復_ココ・ユニバース!$A$4:$A$53,A7)</f>
        <v>0</v>
      </c>
      <c r="G7" s="57">
        <f t="shared" si="2"/>
        <v>0</v>
      </c>
      <c r="H7" s="60" t="s">
        <v>237</v>
      </c>
    </row>
    <row r="8" spans="1:8" ht="15" customHeight="1">
      <c r="A8" s="56">
        <v>46146</v>
      </c>
      <c r="B8" s="8">
        <f>SUMIFS(入金入力_ココ・ユニバース!$D$4:$D$103,入金入力_ココ・ユニバース!$A$4:$A$103,A8)</f>
        <v>0</v>
      </c>
      <c r="C8" s="8">
        <f>SUMIFS(未払一覧_ココ・ユニバース!$N$4:$N$103,未払一覧_ココ・ユニバース!$M$4:$M$103,A8)</f>
        <v>0</v>
      </c>
      <c r="D8" s="8">
        <f t="shared" si="0"/>
        <v>0</v>
      </c>
      <c r="E8" s="8">
        <f t="shared" si="1"/>
        <v>0</v>
      </c>
      <c r="F8" s="9">
        <f>SUMIFS(カード枠回復_ココ・ユニバース!$C$4:$C$53,カード枠回復_ココ・ユニバース!$A$4:$A$53,A8)</f>
        <v>0</v>
      </c>
      <c r="G8" s="57">
        <f t="shared" si="2"/>
        <v>0</v>
      </c>
      <c r="H8" s="63"/>
    </row>
    <row r="9" spans="1:8" ht="15" customHeight="1">
      <c r="A9" s="56">
        <v>46147</v>
      </c>
      <c r="B9" s="8">
        <f>SUMIFS(入金入力_ココ・ユニバース!$D$4:$D$103,入金入力_ココ・ユニバース!$A$4:$A$103,A9)</f>
        <v>0</v>
      </c>
      <c r="C9" s="8">
        <f>SUMIFS(未払一覧_ココ・ユニバース!$N$4:$N$103,未払一覧_ココ・ユニバース!$M$4:$M$103,A9)</f>
        <v>0</v>
      </c>
      <c r="D9" s="8">
        <f t="shared" si="0"/>
        <v>0</v>
      </c>
      <c r="E9" s="8">
        <f t="shared" si="1"/>
        <v>0</v>
      </c>
      <c r="F9" s="9">
        <f>SUMIFS(カード枠回復_ココ・ユニバース!$C$4:$C$53,カード枠回復_ココ・ユニバース!$A$4:$A$53,A9)</f>
        <v>0</v>
      </c>
      <c r="G9" s="57">
        <f t="shared" si="2"/>
        <v>0</v>
      </c>
      <c r="H9" s="63"/>
    </row>
    <row r="10" spans="1:8" ht="15" customHeight="1">
      <c r="A10" s="56">
        <v>46148</v>
      </c>
      <c r="B10" s="8">
        <f>SUMIFS(入金入力_ココ・ユニバース!$D$4:$D$103,入金入力_ココ・ユニバース!$A$4:$A$103,A10)</f>
        <v>0</v>
      </c>
      <c r="C10" s="8">
        <f>SUMIFS(未払一覧_ココ・ユニバース!$N$4:$N$103,未払一覧_ココ・ユニバース!$M$4:$M$103,A10)</f>
        <v>0</v>
      </c>
      <c r="D10" s="8">
        <f t="shared" si="0"/>
        <v>0</v>
      </c>
      <c r="E10" s="8">
        <f t="shared" si="1"/>
        <v>0</v>
      </c>
      <c r="F10" s="9">
        <f>SUMIFS(カード枠回復_ココ・ユニバース!$C$4:$C$53,カード枠回復_ココ・ユニバース!$A$4:$A$53,A10)</f>
        <v>0</v>
      </c>
      <c r="G10" s="57">
        <f t="shared" si="2"/>
        <v>0</v>
      </c>
      <c r="H10" s="63"/>
    </row>
    <row r="11" spans="1:8" ht="15" customHeight="1">
      <c r="A11" s="56">
        <v>46149</v>
      </c>
      <c r="B11" s="8">
        <f>SUMIFS(入金入力_ココ・ユニバース!$D$4:$D$103,入金入力_ココ・ユニバース!$A$4:$A$103,A11)</f>
        <v>0</v>
      </c>
      <c r="C11" s="8">
        <f>SUMIFS(未払一覧_ココ・ユニバース!$N$4:$N$103,未払一覧_ココ・ユニバース!$M$4:$M$103,A11)</f>
        <v>0</v>
      </c>
      <c r="D11" s="8">
        <f t="shared" si="0"/>
        <v>0</v>
      </c>
      <c r="E11" s="8">
        <f t="shared" si="1"/>
        <v>0</v>
      </c>
      <c r="F11" s="9">
        <f>SUMIFS(カード枠回復_ココ・ユニバース!$C$4:$C$53,カード枠回復_ココ・ユニバース!$A$4:$A$53,A11)</f>
        <v>0</v>
      </c>
      <c r="G11" s="57">
        <f t="shared" si="2"/>
        <v>0</v>
      </c>
      <c r="H11" s="63"/>
    </row>
    <row r="12" spans="1:8" ht="15" customHeight="1">
      <c r="A12" s="56">
        <v>46150</v>
      </c>
      <c r="B12" s="8">
        <f>SUMIFS(入金入力_ココ・ユニバース!$D$4:$D$103,入金入力_ココ・ユニバース!$A$4:$A$103,A12)</f>
        <v>0</v>
      </c>
      <c r="C12" s="8">
        <f>SUMIFS(未払一覧_ココ・ユニバース!$N$4:$N$103,未払一覧_ココ・ユニバース!$M$4:$M$103,A12)</f>
        <v>0</v>
      </c>
      <c r="D12" s="8">
        <f t="shared" si="0"/>
        <v>0</v>
      </c>
      <c r="E12" s="8">
        <f t="shared" si="1"/>
        <v>0</v>
      </c>
      <c r="F12" s="9">
        <f>SUMIFS(カード枠回復_ココ・ユニバース!$C$4:$C$53,カード枠回復_ココ・ユニバース!$A$4:$A$53,A12)</f>
        <v>0</v>
      </c>
      <c r="G12" s="57">
        <f t="shared" si="2"/>
        <v>0</v>
      </c>
      <c r="H12" s="63"/>
    </row>
    <row r="13" spans="1:8" ht="15" customHeight="1">
      <c r="A13" s="59">
        <v>46151</v>
      </c>
      <c r="B13" s="8">
        <f>SUMIFS(入金入力_ココ・ユニバース!$D$4:$D$103,入金入力_ココ・ユニバース!$A$4:$A$103,A13)</f>
        <v>0</v>
      </c>
      <c r="C13" s="8">
        <f>SUMIFS(未払一覧_ココ・ユニバース!$N$4:$N$103,未払一覧_ココ・ユニバース!$M$4:$M$103,A13)</f>
        <v>0</v>
      </c>
      <c r="D13" s="8">
        <f t="shared" si="0"/>
        <v>0</v>
      </c>
      <c r="E13" s="8">
        <f t="shared" si="1"/>
        <v>0</v>
      </c>
      <c r="F13" s="9">
        <f>SUMIFS(カード枠回復_ココ・ユニバース!$C$4:$C$53,カード枠回復_ココ・ユニバース!$A$4:$A$53,A13)</f>
        <v>0</v>
      </c>
      <c r="G13" s="57">
        <f t="shared" si="2"/>
        <v>0</v>
      </c>
      <c r="H13" s="60" t="s">
        <v>236</v>
      </c>
    </row>
    <row r="14" spans="1:8" ht="15" customHeight="1">
      <c r="A14" s="61">
        <v>46152</v>
      </c>
      <c r="B14" s="8">
        <f>SUMIFS(入金入力_ココ・ユニバース!$D$4:$D$103,入金入力_ココ・ユニバース!$A$4:$A$103,A14)</f>
        <v>0</v>
      </c>
      <c r="C14" s="8">
        <f>SUMIFS(未払一覧_ココ・ユニバース!$N$4:$N$103,未払一覧_ココ・ユニバース!$M$4:$M$103,A14)</f>
        <v>0</v>
      </c>
      <c r="D14" s="8">
        <f t="shared" si="0"/>
        <v>0</v>
      </c>
      <c r="E14" s="8">
        <f t="shared" si="1"/>
        <v>0</v>
      </c>
      <c r="F14" s="9">
        <f>SUMIFS(カード枠回復_ココ・ユニバース!$C$4:$C$53,カード枠回復_ココ・ユニバース!$A$4:$A$53,A14)</f>
        <v>0</v>
      </c>
      <c r="G14" s="57">
        <f t="shared" si="2"/>
        <v>0</v>
      </c>
      <c r="H14" s="60" t="s">
        <v>237</v>
      </c>
    </row>
    <row r="15" spans="1:8" ht="15" customHeight="1">
      <c r="A15" s="56">
        <v>46153</v>
      </c>
      <c r="B15" s="8">
        <f>SUMIFS(入金入力_ココ・ユニバース!$D$4:$D$103,入金入力_ココ・ユニバース!$A$4:$A$103,A15)</f>
        <v>0</v>
      </c>
      <c r="C15" s="8">
        <f>SUMIFS(未払一覧_ココ・ユニバース!$N$4:$N$103,未払一覧_ココ・ユニバース!$M$4:$M$103,A15)</f>
        <v>0</v>
      </c>
      <c r="D15" s="8">
        <f t="shared" si="0"/>
        <v>0</v>
      </c>
      <c r="E15" s="8">
        <f t="shared" si="1"/>
        <v>0</v>
      </c>
      <c r="F15" s="9">
        <f>SUMIFS(カード枠回復_ココ・ユニバース!$C$4:$C$53,カード枠回復_ココ・ユニバース!$A$4:$A$53,A15)</f>
        <v>0</v>
      </c>
      <c r="G15" s="57">
        <f t="shared" si="2"/>
        <v>0</v>
      </c>
      <c r="H15" s="63"/>
    </row>
    <row r="16" spans="1:8" ht="15" customHeight="1">
      <c r="A16" s="56">
        <v>46154</v>
      </c>
      <c r="B16" s="8">
        <f>SUMIFS(入金入力_ココ・ユニバース!$D$4:$D$103,入金入力_ココ・ユニバース!$A$4:$A$103,A16)</f>
        <v>0</v>
      </c>
      <c r="C16" s="8">
        <f>SUMIFS(未払一覧_ココ・ユニバース!$N$4:$N$103,未払一覧_ココ・ユニバース!$M$4:$M$103,A16)</f>
        <v>0</v>
      </c>
      <c r="D16" s="8">
        <f t="shared" si="0"/>
        <v>0</v>
      </c>
      <c r="E16" s="8">
        <f t="shared" si="1"/>
        <v>0</v>
      </c>
      <c r="F16" s="9">
        <f>SUMIFS(カード枠回復_ココ・ユニバース!$C$4:$C$53,カード枠回復_ココ・ユニバース!$A$4:$A$53,A16)</f>
        <v>0</v>
      </c>
      <c r="G16" s="57">
        <f t="shared" si="2"/>
        <v>0</v>
      </c>
      <c r="H16" s="63"/>
    </row>
    <row r="17" spans="1:8" ht="15" customHeight="1">
      <c r="A17" s="56">
        <v>46155</v>
      </c>
      <c r="B17" s="8">
        <f>SUMIFS(入金入力_ココ・ユニバース!$D$4:$D$103,入金入力_ココ・ユニバース!$A$4:$A$103,A17)</f>
        <v>0</v>
      </c>
      <c r="C17" s="8">
        <f>SUMIFS(未払一覧_ココ・ユニバース!$N$4:$N$103,未払一覧_ココ・ユニバース!$M$4:$M$103,A17)</f>
        <v>0</v>
      </c>
      <c r="D17" s="8">
        <f t="shared" si="0"/>
        <v>0</v>
      </c>
      <c r="E17" s="8">
        <f t="shared" si="1"/>
        <v>0</v>
      </c>
      <c r="F17" s="9">
        <f>SUMIFS(カード枠回復_ココ・ユニバース!$C$4:$C$53,カード枠回復_ココ・ユニバース!$A$4:$A$53,A17)</f>
        <v>0</v>
      </c>
      <c r="G17" s="57">
        <f t="shared" si="2"/>
        <v>0</v>
      </c>
      <c r="H17" s="63"/>
    </row>
    <row r="18" spans="1:8" ht="15" customHeight="1">
      <c r="A18" s="56">
        <v>46156</v>
      </c>
      <c r="B18" s="8">
        <f>SUMIFS(入金入力_ココ・ユニバース!$D$4:$D$103,入金入力_ココ・ユニバース!$A$4:$A$103,A18)</f>
        <v>0</v>
      </c>
      <c r="C18" s="8">
        <f>SUMIFS(未払一覧_ココ・ユニバース!$N$4:$N$103,未払一覧_ココ・ユニバース!$M$4:$M$103,A18)</f>
        <v>0</v>
      </c>
      <c r="D18" s="8">
        <f t="shared" si="0"/>
        <v>0</v>
      </c>
      <c r="E18" s="8">
        <f t="shared" si="1"/>
        <v>0</v>
      </c>
      <c r="F18" s="9">
        <f>SUMIFS(カード枠回復_ココ・ユニバース!$C$4:$C$53,カード枠回復_ココ・ユニバース!$A$4:$A$53,A18)</f>
        <v>0</v>
      </c>
      <c r="G18" s="57">
        <f t="shared" si="2"/>
        <v>0</v>
      </c>
      <c r="H18" s="63"/>
    </row>
    <row r="19" spans="1:8" ht="15" customHeight="1">
      <c r="A19" s="56">
        <v>46157</v>
      </c>
      <c r="B19" s="8">
        <f>SUMIFS(入金入力_ココ・ユニバース!$D$4:$D$103,入金入力_ココ・ユニバース!$A$4:$A$103,A19)</f>
        <v>0</v>
      </c>
      <c r="C19" s="8">
        <f>SUMIFS(未払一覧_ココ・ユニバース!$N$4:$N$103,未払一覧_ココ・ユニバース!$M$4:$M$103,A19)</f>
        <v>0</v>
      </c>
      <c r="D19" s="8">
        <f t="shared" si="0"/>
        <v>0</v>
      </c>
      <c r="E19" s="8">
        <f t="shared" si="1"/>
        <v>0</v>
      </c>
      <c r="F19" s="9">
        <f>SUMIFS(カード枠回復_ココ・ユニバース!$C$4:$C$53,カード枠回復_ココ・ユニバース!$A$4:$A$53,A19)</f>
        <v>0</v>
      </c>
      <c r="G19" s="57">
        <f t="shared" si="2"/>
        <v>0</v>
      </c>
      <c r="H19" s="63"/>
    </row>
    <row r="20" spans="1:8" ht="15" customHeight="1">
      <c r="A20" s="59">
        <v>46158</v>
      </c>
      <c r="B20" s="8">
        <f>SUMIFS(入金入力_ココ・ユニバース!$D$4:$D$103,入金入力_ココ・ユニバース!$A$4:$A$103,A20)</f>
        <v>0</v>
      </c>
      <c r="C20" s="8">
        <f>SUMIFS(未払一覧_ココ・ユニバース!$N$4:$N$103,未払一覧_ココ・ユニバース!$M$4:$M$103,A20)</f>
        <v>0</v>
      </c>
      <c r="D20" s="8">
        <f t="shared" si="0"/>
        <v>0</v>
      </c>
      <c r="E20" s="8">
        <f t="shared" si="1"/>
        <v>0</v>
      </c>
      <c r="F20" s="9">
        <f>SUMIFS(カード枠回復_ココ・ユニバース!$C$4:$C$53,カード枠回復_ココ・ユニバース!$A$4:$A$53,A20)</f>
        <v>0</v>
      </c>
      <c r="G20" s="57">
        <f t="shared" si="2"/>
        <v>0</v>
      </c>
      <c r="H20" s="60" t="s">
        <v>236</v>
      </c>
    </row>
    <row r="21" spans="1:8" ht="15" customHeight="1">
      <c r="A21" s="61">
        <v>46159</v>
      </c>
      <c r="B21" s="8">
        <f>SUMIFS(入金入力_ココ・ユニバース!$D$4:$D$103,入金入力_ココ・ユニバース!$A$4:$A$103,A21)</f>
        <v>0</v>
      </c>
      <c r="C21" s="8">
        <f>SUMIFS(未払一覧_ココ・ユニバース!$N$4:$N$103,未払一覧_ココ・ユニバース!$M$4:$M$103,A21)</f>
        <v>0</v>
      </c>
      <c r="D21" s="8">
        <f t="shared" si="0"/>
        <v>0</v>
      </c>
      <c r="E21" s="8">
        <f t="shared" si="1"/>
        <v>0</v>
      </c>
      <c r="F21" s="9">
        <f>SUMIFS(カード枠回復_ココ・ユニバース!$C$4:$C$53,カード枠回復_ココ・ユニバース!$A$4:$A$53,A21)</f>
        <v>0</v>
      </c>
      <c r="G21" s="57">
        <f t="shared" si="2"/>
        <v>0</v>
      </c>
      <c r="H21" s="60" t="s">
        <v>237</v>
      </c>
    </row>
    <row r="22" spans="1:8" ht="15" customHeight="1">
      <c r="A22" s="56">
        <v>46160</v>
      </c>
      <c r="B22" s="8">
        <f>SUMIFS(入金入力_ココ・ユニバース!$D$4:$D$103,入金入力_ココ・ユニバース!$A$4:$A$103,A22)</f>
        <v>0</v>
      </c>
      <c r="C22" s="8">
        <f>SUMIFS(未払一覧_ココ・ユニバース!$N$4:$N$103,未払一覧_ココ・ユニバース!$M$4:$M$103,A22)</f>
        <v>0</v>
      </c>
      <c r="D22" s="8">
        <f t="shared" si="0"/>
        <v>0</v>
      </c>
      <c r="E22" s="8">
        <f t="shared" si="1"/>
        <v>0</v>
      </c>
      <c r="F22" s="9">
        <f>SUMIFS(カード枠回復_ココ・ユニバース!$C$4:$C$53,カード枠回復_ココ・ユニバース!$A$4:$A$53,A22)</f>
        <v>0</v>
      </c>
      <c r="G22" s="57">
        <f t="shared" si="2"/>
        <v>0</v>
      </c>
      <c r="H22" s="63"/>
    </row>
    <row r="23" spans="1:8" ht="15" customHeight="1">
      <c r="A23" s="56">
        <v>46161</v>
      </c>
      <c r="B23" s="8">
        <f>SUMIFS(入金入力_ココ・ユニバース!$D$4:$D$103,入金入力_ココ・ユニバース!$A$4:$A$103,A23)</f>
        <v>0</v>
      </c>
      <c r="C23" s="8">
        <f>SUMIFS(未払一覧_ココ・ユニバース!$N$4:$N$103,未払一覧_ココ・ユニバース!$M$4:$M$103,A23)</f>
        <v>0</v>
      </c>
      <c r="D23" s="8">
        <f t="shared" si="0"/>
        <v>0</v>
      </c>
      <c r="E23" s="8">
        <f t="shared" si="1"/>
        <v>0</v>
      </c>
      <c r="F23" s="9">
        <f>SUMIFS(カード枠回復_ココ・ユニバース!$C$4:$C$53,カード枠回復_ココ・ユニバース!$A$4:$A$53,A23)</f>
        <v>0</v>
      </c>
      <c r="G23" s="57">
        <f t="shared" si="2"/>
        <v>0</v>
      </c>
      <c r="H23" s="63"/>
    </row>
    <row r="24" spans="1:8" ht="15" customHeight="1">
      <c r="A24" s="56">
        <v>46162</v>
      </c>
      <c r="B24" s="8">
        <f>SUMIFS(入金入力_ココ・ユニバース!$D$4:$D$103,入金入力_ココ・ユニバース!$A$4:$A$103,A24)</f>
        <v>0</v>
      </c>
      <c r="C24" s="8">
        <f>SUMIFS(未払一覧_ココ・ユニバース!$N$4:$N$103,未払一覧_ココ・ユニバース!$M$4:$M$103,A24)</f>
        <v>0</v>
      </c>
      <c r="D24" s="8">
        <f t="shared" si="0"/>
        <v>0</v>
      </c>
      <c r="E24" s="8">
        <f t="shared" si="1"/>
        <v>0</v>
      </c>
      <c r="F24" s="9">
        <f>SUMIFS(カード枠回復_ココ・ユニバース!$C$4:$C$53,カード枠回復_ココ・ユニバース!$A$4:$A$53,A24)</f>
        <v>0</v>
      </c>
      <c r="G24" s="57">
        <f t="shared" si="2"/>
        <v>0</v>
      </c>
      <c r="H24" s="63"/>
    </row>
    <row r="25" spans="1:8" ht="15" customHeight="1">
      <c r="A25" s="56">
        <v>46163</v>
      </c>
      <c r="B25" s="8">
        <f>SUMIFS(入金入力_ココ・ユニバース!$D$4:$D$103,入金入力_ココ・ユニバース!$A$4:$A$103,A25)</f>
        <v>0</v>
      </c>
      <c r="C25" s="8">
        <f>SUMIFS(未払一覧_ココ・ユニバース!$N$4:$N$103,未払一覧_ココ・ユニバース!$M$4:$M$103,A25)</f>
        <v>0</v>
      </c>
      <c r="D25" s="8">
        <f t="shared" si="0"/>
        <v>0</v>
      </c>
      <c r="E25" s="8">
        <f t="shared" si="1"/>
        <v>0</v>
      </c>
      <c r="F25" s="9">
        <f>SUMIFS(カード枠回復_ココ・ユニバース!$C$4:$C$53,カード枠回復_ココ・ユニバース!$A$4:$A$53,A25)</f>
        <v>0</v>
      </c>
      <c r="G25" s="57">
        <f t="shared" si="2"/>
        <v>0</v>
      </c>
      <c r="H25" s="63"/>
    </row>
    <row r="26" spans="1:8" ht="15" customHeight="1">
      <c r="A26" s="56">
        <v>46164</v>
      </c>
      <c r="B26" s="8">
        <f>SUMIFS(入金入力_ココ・ユニバース!$D$4:$D$103,入金入力_ココ・ユニバース!$A$4:$A$103,A26)</f>
        <v>0</v>
      </c>
      <c r="C26" s="8">
        <f>SUMIFS(未払一覧_ココ・ユニバース!$N$4:$N$103,未払一覧_ココ・ユニバース!$M$4:$M$103,A26)</f>
        <v>0</v>
      </c>
      <c r="D26" s="8">
        <f t="shared" si="0"/>
        <v>0</v>
      </c>
      <c r="E26" s="8">
        <f t="shared" si="1"/>
        <v>0</v>
      </c>
      <c r="F26" s="9">
        <f>SUMIFS(カード枠回復_ココ・ユニバース!$C$4:$C$53,カード枠回復_ココ・ユニバース!$A$4:$A$53,A26)</f>
        <v>0</v>
      </c>
      <c r="G26" s="57">
        <f t="shared" si="2"/>
        <v>0</v>
      </c>
      <c r="H26" s="63"/>
    </row>
    <row r="27" spans="1:8" ht="15" customHeight="1">
      <c r="A27" s="59">
        <v>46165</v>
      </c>
      <c r="B27" s="8">
        <f>SUMIFS(入金入力_ココ・ユニバース!$D$4:$D$103,入金入力_ココ・ユニバース!$A$4:$A$103,A27)</f>
        <v>0</v>
      </c>
      <c r="C27" s="8">
        <f>SUMIFS(未払一覧_ココ・ユニバース!$N$4:$N$103,未払一覧_ココ・ユニバース!$M$4:$M$103,A27)</f>
        <v>0</v>
      </c>
      <c r="D27" s="8">
        <f t="shared" si="0"/>
        <v>0</v>
      </c>
      <c r="E27" s="8">
        <f t="shared" si="1"/>
        <v>0</v>
      </c>
      <c r="F27" s="9">
        <f>SUMIFS(カード枠回復_ココ・ユニバース!$C$4:$C$53,カード枠回復_ココ・ユニバース!$A$4:$A$53,A27)</f>
        <v>0</v>
      </c>
      <c r="G27" s="57">
        <f t="shared" si="2"/>
        <v>0</v>
      </c>
      <c r="H27" s="60" t="s">
        <v>236</v>
      </c>
    </row>
    <row r="28" spans="1:8" ht="15" customHeight="1">
      <c r="A28" s="61">
        <v>46166</v>
      </c>
      <c r="B28" s="8">
        <f>SUMIFS(入金入力_ココ・ユニバース!$D$4:$D$103,入金入力_ココ・ユニバース!$A$4:$A$103,A28)</f>
        <v>0</v>
      </c>
      <c r="C28" s="8">
        <f>SUMIFS(未払一覧_ココ・ユニバース!$N$4:$N$103,未払一覧_ココ・ユニバース!$M$4:$M$103,A28)</f>
        <v>0</v>
      </c>
      <c r="D28" s="8">
        <f t="shared" si="0"/>
        <v>0</v>
      </c>
      <c r="E28" s="8">
        <f t="shared" si="1"/>
        <v>0</v>
      </c>
      <c r="F28" s="9">
        <f>SUMIFS(カード枠回復_ココ・ユニバース!$C$4:$C$53,カード枠回復_ココ・ユニバース!$A$4:$A$53,A28)</f>
        <v>0</v>
      </c>
      <c r="G28" s="57">
        <f t="shared" si="2"/>
        <v>0</v>
      </c>
      <c r="H28" s="60" t="s">
        <v>237</v>
      </c>
    </row>
    <row r="29" spans="1:8" ht="15" customHeight="1">
      <c r="A29" s="56">
        <v>46167</v>
      </c>
      <c r="B29" s="8">
        <f>SUMIFS(入金入力_ココ・ユニバース!$D$4:$D$103,入金入力_ココ・ユニバース!$A$4:$A$103,A29)</f>
        <v>0</v>
      </c>
      <c r="C29" s="8">
        <f>SUMIFS(未払一覧_ココ・ユニバース!$N$4:$N$103,未払一覧_ココ・ユニバース!$M$4:$M$103,A29)</f>
        <v>0</v>
      </c>
      <c r="D29" s="8">
        <f t="shared" si="0"/>
        <v>0</v>
      </c>
      <c r="E29" s="8">
        <f t="shared" si="1"/>
        <v>0</v>
      </c>
      <c r="F29" s="9">
        <f>SUMIFS(カード枠回復_ココ・ユニバース!$C$4:$C$53,カード枠回復_ココ・ユニバース!$A$4:$A$53,A29)</f>
        <v>0</v>
      </c>
      <c r="G29" s="57">
        <f t="shared" si="2"/>
        <v>0</v>
      </c>
      <c r="H29" s="63"/>
    </row>
    <row r="30" spans="1:8" ht="15" customHeight="1">
      <c r="A30" s="56">
        <v>46168</v>
      </c>
      <c r="B30" s="8">
        <f>SUMIFS(入金入力_ココ・ユニバース!$D$4:$D$103,入金入力_ココ・ユニバース!$A$4:$A$103,A30)</f>
        <v>0</v>
      </c>
      <c r="C30" s="8">
        <f>SUMIFS(未払一覧_ココ・ユニバース!$N$4:$N$103,未払一覧_ココ・ユニバース!$M$4:$M$103,A30)</f>
        <v>0</v>
      </c>
      <c r="D30" s="8">
        <f t="shared" si="0"/>
        <v>0</v>
      </c>
      <c r="E30" s="8">
        <f t="shared" si="1"/>
        <v>0</v>
      </c>
      <c r="F30" s="9">
        <f>SUMIFS(カード枠回復_ココ・ユニバース!$C$4:$C$53,カード枠回復_ココ・ユニバース!$A$4:$A$53,A30)</f>
        <v>0</v>
      </c>
      <c r="G30" s="57">
        <f t="shared" si="2"/>
        <v>0</v>
      </c>
      <c r="H30" s="63"/>
    </row>
    <row r="31" spans="1:8" ht="15" customHeight="1">
      <c r="A31" s="56">
        <v>46169</v>
      </c>
      <c r="B31" s="8">
        <f>SUMIFS(入金入力_ココ・ユニバース!$D$4:$D$103,入金入力_ココ・ユニバース!$A$4:$A$103,A31)</f>
        <v>0</v>
      </c>
      <c r="C31" s="8">
        <f>SUMIFS(未払一覧_ココ・ユニバース!$N$4:$N$103,未払一覧_ココ・ユニバース!$M$4:$M$103,A31)</f>
        <v>0</v>
      </c>
      <c r="D31" s="8">
        <f t="shared" si="0"/>
        <v>0</v>
      </c>
      <c r="E31" s="8">
        <f t="shared" si="1"/>
        <v>0</v>
      </c>
      <c r="F31" s="9">
        <f>SUMIFS(カード枠回復_ココ・ユニバース!$C$4:$C$53,カード枠回復_ココ・ユニバース!$A$4:$A$53,A31)</f>
        <v>0</v>
      </c>
      <c r="G31" s="57">
        <f t="shared" si="2"/>
        <v>0</v>
      </c>
      <c r="H31" s="63"/>
    </row>
    <row r="32" spans="1:8" ht="15" customHeight="1">
      <c r="A32" s="56">
        <v>46170</v>
      </c>
      <c r="B32" s="8">
        <f>SUMIFS(入金入力_ココ・ユニバース!$D$4:$D$103,入金入力_ココ・ユニバース!$A$4:$A$103,A32)</f>
        <v>0</v>
      </c>
      <c r="C32" s="8">
        <f>SUMIFS(未払一覧_ココ・ユニバース!$N$4:$N$103,未払一覧_ココ・ユニバース!$M$4:$M$103,A32)</f>
        <v>0</v>
      </c>
      <c r="D32" s="8">
        <f t="shared" si="0"/>
        <v>0</v>
      </c>
      <c r="E32" s="8">
        <f t="shared" si="1"/>
        <v>0</v>
      </c>
      <c r="F32" s="9">
        <f>SUMIFS(カード枠回復_ココ・ユニバース!$C$4:$C$53,カード枠回復_ココ・ユニバース!$A$4:$A$53,A32)</f>
        <v>0</v>
      </c>
      <c r="G32" s="57">
        <f t="shared" si="2"/>
        <v>0</v>
      </c>
      <c r="H32" s="63"/>
    </row>
    <row r="33" spans="1:8" ht="15" customHeight="1">
      <c r="A33" s="56">
        <v>46171</v>
      </c>
      <c r="B33" s="8">
        <f>SUMIFS(入金入力_ココ・ユニバース!$D$4:$D$103,入金入力_ココ・ユニバース!$A$4:$A$103,A33)</f>
        <v>0</v>
      </c>
      <c r="C33" s="8">
        <f>SUMIFS(未払一覧_ココ・ユニバース!$N$4:$N$103,未払一覧_ココ・ユニバース!$M$4:$M$103,A33)</f>
        <v>0</v>
      </c>
      <c r="D33" s="8">
        <f t="shared" si="0"/>
        <v>0</v>
      </c>
      <c r="E33" s="8">
        <f t="shared" si="1"/>
        <v>0</v>
      </c>
      <c r="F33" s="9">
        <f>SUMIFS(カード枠回復_ココ・ユニバース!$C$4:$C$53,カード枠回復_ココ・ユニバース!$A$4:$A$53,A33)</f>
        <v>0</v>
      </c>
      <c r="G33" s="57">
        <f t="shared" si="2"/>
        <v>0</v>
      </c>
      <c r="H33" s="63"/>
    </row>
    <row r="34" spans="1:8" ht="15" customHeight="1">
      <c r="A34" s="59">
        <v>46172</v>
      </c>
      <c r="B34" s="8">
        <f>SUMIFS(入金入力_ココ・ユニバース!$D$4:$D$103,入金入力_ココ・ユニバース!$A$4:$A$103,A34)</f>
        <v>0</v>
      </c>
      <c r="C34" s="8">
        <f>SUMIFS(未払一覧_ココ・ユニバース!$N$4:$N$103,未払一覧_ココ・ユニバース!$M$4:$M$103,A34)</f>
        <v>0</v>
      </c>
      <c r="D34" s="8">
        <f t="shared" si="0"/>
        <v>0</v>
      </c>
      <c r="E34" s="8">
        <f t="shared" si="1"/>
        <v>0</v>
      </c>
      <c r="F34" s="9">
        <f>SUMIFS(カード枠回復_ココ・ユニバース!$C$4:$C$53,カード枠回復_ココ・ユニバース!$A$4:$A$53,A34)</f>
        <v>0</v>
      </c>
      <c r="G34" s="57">
        <f t="shared" si="2"/>
        <v>0</v>
      </c>
      <c r="H34" s="60" t="s">
        <v>236</v>
      </c>
    </row>
    <row r="35" spans="1:8" ht="15" customHeight="1">
      <c r="A35" s="61">
        <v>46173</v>
      </c>
      <c r="B35" s="8">
        <f>SUMIFS(入金入力_ココ・ユニバース!$D$4:$D$103,入金入力_ココ・ユニバース!$A$4:$A$103,A35)</f>
        <v>0</v>
      </c>
      <c r="C35" s="8">
        <f>SUMIFS(未払一覧_ココ・ユニバース!$N$4:$N$103,未払一覧_ココ・ユニバース!$M$4:$M$103,A35)</f>
        <v>0</v>
      </c>
      <c r="D35" s="8">
        <f t="shared" si="0"/>
        <v>0</v>
      </c>
      <c r="E35" s="8">
        <f t="shared" si="1"/>
        <v>0</v>
      </c>
      <c r="F35" s="9">
        <f>SUMIFS(カード枠回復_ココ・ユニバース!$C$4:$C$53,カード枠回復_ココ・ユニバース!$A$4:$A$53,A35)</f>
        <v>0</v>
      </c>
      <c r="G35" s="57">
        <f t="shared" si="2"/>
        <v>0</v>
      </c>
      <c r="H35" s="60" t="s">
        <v>237</v>
      </c>
    </row>
    <row r="37" spans="1:8" ht="15" customHeight="1">
      <c r="A37" s="11" t="s">
        <v>238</v>
      </c>
      <c r="B37" s="12">
        <f>SUM(B4:B35)</f>
        <v>0</v>
      </c>
      <c r="C37" s="12">
        <f>SUM(C4:C35)</f>
        <v>0</v>
      </c>
      <c r="D37" s="12">
        <f>B37-C37-F37</f>
        <v>0</v>
      </c>
      <c r="E37" s="12">
        <f>E35</f>
        <v>0</v>
      </c>
      <c r="F37" s="12">
        <f>SUM(F4:F35)</f>
        <v>0</v>
      </c>
      <c r="G37" s="12">
        <f>G35</f>
        <v>0</v>
      </c>
      <c r="H37" s="64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35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00" t="s">
        <v>268</v>
      </c>
      <c r="B1" s="100"/>
      <c r="C1" s="100"/>
      <c r="D1" s="100"/>
      <c r="E1" s="100"/>
      <c r="F1" s="100"/>
      <c r="G1" s="100"/>
      <c r="H1" s="100"/>
    </row>
    <row r="2" spans="1:8" ht="15" customHeight="1">
      <c r="A2" s="85" t="s">
        <v>267</v>
      </c>
      <c r="B2" s="85"/>
      <c r="C2" s="85"/>
      <c r="D2" s="85"/>
      <c r="E2" s="85"/>
      <c r="F2" s="85"/>
      <c r="G2" s="85"/>
      <c r="H2" s="8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46174</v>
      </c>
      <c r="B4" s="8">
        <f>SUMIFS(入金入力_ココ・ユニバース!$D$4:$D$103,入金入力_ココ・ユニバース!$A$4:$A$103,A4)</f>
        <v>0</v>
      </c>
      <c r="C4" s="8">
        <f>SUMIFS(未払一覧_ココ・ユニバース!$N$4:$N$103,未払一覧_ココ・ユニバース!$M$4:$M$103,A4)</f>
        <v>0</v>
      </c>
      <c r="D4" s="8">
        <f t="shared" ref="D4:D33" si="0">B4-C4-F4</f>
        <v>0</v>
      </c>
      <c r="E4" s="8">
        <f>'5月_ココ・ユニバース'!E35+D4</f>
        <v>0</v>
      </c>
      <c r="F4" s="9">
        <f>SUMIFS(カード枠回復_ココ・ユニバース!$C$4:$C$53,カード枠回復_ココ・ユニバース!$A$4:$A$53,A4)</f>
        <v>0</v>
      </c>
      <c r="G4" s="57">
        <f>'5月_ココ・ユニバース'!G35+D4+F4</f>
        <v>0</v>
      </c>
      <c r="H4" s="63"/>
    </row>
    <row r="5" spans="1:8" ht="15" customHeight="1">
      <c r="A5" s="56">
        <v>46175</v>
      </c>
      <c r="B5" s="8">
        <f>SUMIFS(入金入力_ココ・ユニバース!$D$4:$D$103,入金入力_ココ・ユニバース!$A$4:$A$103,A5)</f>
        <v>0</v>
      </c>
      <c r="C5" s="8">
        <f>SUMIFS(未払一覧_ココ・ユニバース!$N$4:$N$103,未払一覧_ココ・ユニバース!$M$4:$M$103,A5)</f>
        <v>0</v>
      </c>
      <c r="D5" s="8">
        <f t="shared" si="0"/>
        <v>0</v>
      </c>
      <c r="E5" s="8">
        <f t="shared" ref="E5:E33" si="1">E4+D5</f>
        <v>0</v>
      </c>
      <c r="F5" s="9">
        <f>SUMIFS(カード枠回復_ココ・ユニバース!$C$4:$C$53,カード枠回復_ココ・ユニバース!$A$4:$A$53,A5)</f>
        <v>0</v>
      </c>
      <c r="G5" s="57">
        <f t="shared" ref="G5:G33" si="2">G4+D5+F5</f>
        <v>0</v>
      </c>
      <c r="H5" s="63"/>
    </row>
    <row r="6" spans="1:8" ht="15" customHeight="1">
      <c r="A6" s="56">
        <v>46176</v>
      </c>
      <c r="B6" s="8">
        <f>SUMIFS(入金入力_ココ・ユニバース!$D$4:$D$103,入金入力_ココ・ユニバース!$A$4:$A$103,A6)</f>
        <v>0</v>
      </c>
      <c r="C6" s="8">
        <f>SUMIFS(未払一覧_ココ・ユニバース!$N$4:$N$103,未払一覧_ココ・ユニバース!$M$4:$M$103,A6)</f>
        <v>0</v>
      </c>
      <c r="D6" s="8">
        <f t="shared" si="0"/>
        <v>0</v>
      </c>
      <c r="E6" s="8">
        <f t="shared" si="1"/>
        <v>0</v>
      </c>
      <c r="F6" s="9">
        <f>SUMIFS(カード枠回復_ココ・ユニバース!$C$4:$C$53,カード枠回復_ココ・ユニバース!$A$4:$A$53,A6)</f>
        <v>0</v>
      </c>
      <c r="G6" s="57">
        <f t="shared" si="2"/>
        <v>0</v>
      </c>
      <c r="H6" s="63"/>
    </row>
    <row r="7" spans="1:8" ht="15" customHeight="1">
      <c r="A7" s="56">
        <v>46177</v>
      </c>
      <c r="B7" s="8">
        <f>SUMIFS(入金入力_ココ・ユニバース!$D$4:$D$103,入金入力_ココ・ユニバース!$A$4:$A$103,A7)</f>
        <v>0</v>
      </c>
      <c r="C7" s="8">
        <f>SUMIFS(未払一覧_ココ・ユニバース!$N$4:$N$103,未払一覧_ココ・ユニバース!$M$4:$M$103,A7)</f>
        <v>0</v>
      </c>
      <c r="D7" s="8">
        <f t="shared" si="0"/>
        <v>0</v>
      </c>
      <c r="E7" s="8">
        <f t="shared" si="1"/>
        <v>0</v>
      </c>
      <c r="F7" s="9">
        <f>SUMIFS(カード枠回復_ココ・ユニバース!$C$4:$C$53,カード枠回復_ココ・ユニバース!$A$4:$A$53,A7)</f>
        <v>0</v>
      </c>
      <c r="G7" s="57">
        <f t="shared" si="2"/>
        <v>0</v>
      </c>
      <c r="H7" s="63"/>
    </row>
    <row r="8" spans="1:8" ht="15" customHeight="1">
      <c r="A8" s="56">
        <v>46178</v>
      </c>
      <c r="B8" s="8">
        <f>SUMIFS(入金入力_ココ・ユニバース!$D$4:$D$103,入金入力_ココ・ユニバース!$A$4:$A$103,A8)</f>
        <v>0</v>
      </c>
      <c r="C8" s="8">
        <f>SUMIFS(未払一覧_ココ・ユニバース!$N$4:$N$103,未払一覧_ココ・ユニバース!$M$4:$M$103,A8)</f>
        <v>0</v>
      </c>
      <c r="D8" s="8">
        <f t="shared" si="0"/>
        <v>0</v>
      </c>
      <c r="E8" s="8">
        <f t="shared" si="1"/>
        <v>0</v>
      </c>
      <c r="F8" s="9">
        <f>SUMIFS(カード枠回復_ココ・ユニバース!$C$4:$C$53,カード枠回復_ココ・ユニバース!$A$4:$A$53,A8)</f>
        <v>0</v>
      </c>
      <c r="G8" s="57">
        <f t="shared" si="2"/>
        <v>0</v>
      </c>
      <c r="H8" s="63"/>
    </row>
    <row r="9" spans="1:8" ht="15" customHeight="1">
      <c r="A9" s="59">
        <v>46179</v>
      </c>
      <c r="B9" s="8">
        <f>SUMIFS(入金入力_ココ・ユニバース!$D$4:$D$103,入金入力_ココ・ユニバース!$A$4:$A$103,A9)</f>
        <v>0</v>
      </c>
      <c r="C9" s="8">
        <f>SUMIFS(未払一覧_ココ・ユニバース!$N$4:$N$103,未払一覧_ココ・ユニバース!$M$4:$M$103,A9)</f>
        <v>0</v>
      </c>
      <c r="D9" s="8">
        <f t="shared" si="0"/>
        <v>0</v>
      </c>
      <c r="E9" s="8">
        <f t="shared" si="1"/>
        <v>0</v>
      </c>
      <c r="F9" s="9">
        <f>SUMIFS(カード枠回復_ココ・ユニバース!$C$4:$C$53,カード枠回復_ココ・ユニバース!$A$4:$A$53,A9)</f>
        <v>0</v>
      </c>
      <c r="G9" s="57">
        <f t="shared" si="2"/>
        <v>0</v>
      </c>
      <c r="H9" s="60" t="s">
        <v>236</v>
      </c>
    </row>
    <row r="10" spans="1:8" ht="15" customHeight="1">
      <c r="A10" s="61">
        <v>46180</v>
      </c>
      <c r="B10" s="8">
        <f>SUMIFS(入金入力_ココ・ユニバース!$D$4:$D$103,入金入力_ココ・ユニバース!$A$4:$A$103,A10)</f>
        <v>0</v>
      </c>
      <c r="C10" s="8">
        <f>SUMIFS(未払一覧_ココ・ユニバース!$N$4:$N$103,未払一覧_ココ・ユニバース!$M$4:$M$103,A10)</f>
        <v>0</v>
      </c>
      <c r="D10" s="8">
        <f t="shared" si="0"/>
        <v>0</v>
      </c>
      <c r="E10" s="8">
        <f t="shared" si="1"/>
        <v>0</v>
      </c>
      <c r="F10" s="9">
        <f>SUMIFS(カード枠回復_ココ・ユニバース!$C$4:$C$53,カード枠回復_ココ・ユニバース!$A$4:$A$53,A10)</f>
        <v>0</v>
      </c>
      <c r="G10" s="57">
        <f t="shared" si="2"/>
        <v>0</v>
      </c>
      <c r="H10" s="60" t="s">
        <v>237</v>
      </c>
    </row>
    <row r="11" spans="1:8" ht="15" customHeight="1">
      <c r="A11" s="56">
        <v>46181</v>
      </c>
      <c r="B11" s="8">
        <f>SUMIFS(入金入力_ココ・ユニバース!$D$4:$D$103,入金入力_ココ・ユニバース!$A$4:$A$103,A11)</f>
        <v>0</v>
      </c>
      <c r="C11" s="8">
        <f>SUMIFS(未払一覧_ココ・ユニバース!$N$4:$N$103,未払一覧_ココ・ユニバース!$M$4:$M$103,A11)</f>
        <v>0</v>
      </c>
      <c r="D11" s="8">
        <f t="shared" si="0"/>
        <v>0</v>
      </c>
      <c r="E11" s="8">
        <f t="shared" si="1"/>
        <v>0</v>
      </c>
      <c r="F11" s="9">
        <f>SUMIFS(カード枠回復_ココ・ユニバース!$C$4:$C$53,カード枠回復_ココ・ユニバース!$A$4:$A$53,A11)</f>
        <v>0</v>
      </c>
      <c r="G11" s="57">
        <f t="shared" si="2"/>
        <v>0</v>
      </c>
      <c r="H11" s="63"/>
    </row>
    <row r="12" spans="1:8" ht="15" customHeight="1">
      <c r="A12" s="56">
        <v>46182</v>
      </c>
      <c r="B12" s="8">
        <f>SUMIFS(入金入力_ココ・ユニバース!$D$4:$D$103,入金入力_ココ・ユニバース!$A$4:$A$103,A12)</f>
        <v>0</v>
      </c>
      <c r="C12" s="8">
        <f>SUMIFS(未払一覧_ココ・ユニバース!$N$4:$N$103,未払一覧_ココ・ユニバース!$M$4:$M$103,A12)</f>
        <v>0</v>
      </c>
      <c r="D12" s="8">
        <f t="shared" si="0"/>
        <v>0</v>
      </c>
      <c r="E12" s="8">
        <f t="shared" si="1"/>
        <v>0</v>
      </c>
      <c r="F12" s="9">
        <f>SUMIFS(カード枠回復_ココ・ユニバース!$C$4:$C$53,カード枠回復_ココ・ユニバース!$A$4:$A$53,A12)</f>
        <v>0</v>
      </c>
      <c r="G12" s="57">
        <f t="shared" si="2"/>
        <v>0</v>
      </c>
      <c r="H12" s="63"/>
    </row>
    <row r="13" spans="1:8" ht="15" customHeight="1">
      <c r="A13" s="56">
        <v>46183</v>
      </c>
      <c r="B13" s="8">
        <f>SUMIFS(入金入力_ココ・ユニバース!$D$4:$D$103,入金入力_ココ・ユニバース!$A$4:$A$103,A13)</f>
        <v>0</v>
      </c>
      <c r="C13" s="8">
        <f>SUMIFS(未払一覧_ココ・ユニバース!$N$4:$N$103,未払一覧_ココ・ユニバース!$M$4:$M$103,A13)</f>
        <v>0</v>
      </c>
      <c r="D13" s="8">
        <f t="shared" si="0"/>
        <v>0</v>
      </c>
      <c r="E13" s="8">
        <f t="shared" si="1"/>
        <v>0</v>
      </c>
      <c r="F13" s="9">
        <f>SUMIFS(カード枠回復_ココ・ユニバース!$C$4:$C$53,カード枠回復_ココ・ユニバース!$A$4:$A$53,A13)</f>
        <v>0</v>
      </c>
      <c r="G13" s="57">
        <f t="shared" si="2"/>
        <v>0</v>
      </c>
      <c r="H13" s="63"/>
    </row>
    <row r="14" spans="1:8" ht="15" customHeight="1">
      <c r="A14" s="56">
        <v>46184</v>
      </c>
      <c r="B14" s="8">
        <f>SUMIFS(入金入力_ココ・ユニバース!$D$4:$D$103,入金入力_ココ・ユニバース!$A$4:$A$103,A14)</f>
        <v>0</v>
      </c>
      <c r="C14" s="8">
        <f>SUMIFS(未払一覧_ココ・ユニバース!$N$4:$N$103,未払一覧_ココ・ユニバース!$M$4:$M$103,A14)</f>
        <v>0</v>
      </c>
      <c r="D14" s="8">
        <f t="shared" si="0"/>
        <v>0</v>
      </c>
      <c r="E14" s="8">
        <f t="shared" si="1"/>
        <v>0</v>
      </c>
      <c r="F14" s="9">
        <f>SUMIFS(カード枠回復_ココ・ユニバース!$C$4:$C$53,カード枠回復_ココ・ユニバース!$A$4:$A$53,A14)</f>
        <v>0</v>
      </c>
      <c r="G14" s="57">
        <f t="shared" si="2"/>
        <v>0</v>
      </c>
      <c r="H14" s="63"/>
    </row>
    <row r="15" spans="1:8" ht="15" customHeight="1">
      <c r="A15" s="56">
        <v>46185</v>
      </c>
      <c r="B15" s="8">
        <f>SUMIFS(入金入力_ココ・ユニバース!$D$4:$D$103,入金入力_ココ・ユニバース!$A$4:$A$103,A15)</f>
        <v>0</v>
      </c>
      <c r="C15" s="8">
        <f>SUMIFS(未払一覧_ココ・ユニバース!$N$4:$N$103,未払一覧_ココ・ユニバース!$M$4:$M$103,A15)</f>
        <v>0</v>
      </c>
      <c r="D15" s="8">
        <f t="shared" si="0"/>
        <v>0</v>
      </c>
      <c r="E15" s="8">
        <f t="shared" si="1"/>
        <v>0</v>
      </c>
      <c r="F15" s="9">
        <f>SUMIFS(カード枠回復_ココ・ユニバース!$C$4:$C$53,カード枠回復_ココ・ユニバース!$A$4:$A$53,A15)</f>
        <v>0</v>
      </c>
      <c r="G15" s="57">
        <f t="shared" si="2"/>
        <v>0</v>
      </c>
      <c r="H15" s="63"/>
    </row>
    <row r="16" spans="1:8" ht="15" customHeight="1">
      <c r="A16" s="59">
        <v>46186</v>
      </c>
      <c r="B16" s="8">
        <f>SUMIFS(入金入力_ココ・ユニバース!$D$4:$D$103,入金入力_ココ・ユニバース!$A$4:$A$103,A16)</f>
        <v>0</v>
      </c>
      <c r="C16" s="8">
        <f>SUMIFS(未払一覧_ココ・ユニバース!$N$4:$N$103,未払一覧_ココ・ユニバース!$M$4:$M$103,A16)</f>
        <v>0</v>
      </c>
      <c r="D16" s="8">
        <f t="shared" si="0"/>
        <v>0</v>
      </c>
      <c r="E16" s="8">
        <f t="shared" si="1"/>
        <v>0</v>
      </c>
      <c r="F16" s="9">
        <f>SUMIFS(カード枠回復_ココ・ユニバース!$C$4:$C$53,カード枠回復_ココ・ユニバース!$A$4:$A$53,A16)</f>
        <v>0</v>
      </c>
      <c r="G16" s="57">
        <f t="shared" si="2"/>
        <v>0</v>
      </c>
      <c r="H16" s="60" t="s">
        <v>236</v>
      </c>
    </row>
    <row r="17" spans="1:8" ht="15" customHeight="1">
      <c r="A17" s="61">
        <v>46187</v>
      </c>
      <c r="B17" s="8">
        <f>SUMIFS(入金入力_ココ・ユニバース!$D$4:$D$103,入金入力_ココ・ユニバース!$A$4:$A$103,A17)</f>
        <v>0</v>
      </c>
      <c r="C17" s="8">
        <f>SUMIFS(未払一覧_ココ・ユニバース!$N$4:$N$103,未払一覧_ココ・ユニバース!$M$4:$M$103,A17)</f>
        <v>0</v>
      </c>
      <c r="D17" s="8">
        <f t="shared" si="0"/>
        <v>0</v>
      </c>
      <c r="E17" s="8">
        <f t="shared" si="1"/>
        <v>0</v>
      </c>
      <c r="F17" s="9">
        <f>SUMIFS(カード枠回復_ココ・ユニバース!$C$4:$C$53,カード枠回復_ココ・ユニバース!$A$4:$A$53,A17)</f>
        <v>0</v>
      </c>
      <c r="G17" s="57">
        <f t="shared" si="2"/>
        <v>0</v>
      </c>
      <c r="H17" s="60" t="s">
        <v>237</v>
      </c>
    </row>
    <row r="18" spans="1:8" ht="15" customHeight="1">
      <c r="A18" s="56">
        <v>46188</v>
      </c>
      <c r="B18" s="8">
        <f>SUMIFS(入金入力_ココ・ユニバース!$D$4:$D$103,入金入力_ココ・ユニバース!$A$4:$A$103,A18)</f>
        <v>0</v>
      </c>
      <c r="C18" s="8">
        <f>SUMIFS(未払一覧_ココ・ユニバース!$N$4:$N$103,未払一覧_ココ・ユニバース!$M$4:$M$103,A18)</f>
        <v>0</v>
      </c>
      <c r="D18" s="8">
        <f t="shared" si="0"/>
        <v>0</v>
      </c>
      <c r="E18" s="8">
        <f t="shared" si="1"/>
        <v>0</v>
      </c>
      <c r="F18" s="9">
        <f>SUMIFS(カード枠回復_ココ・ユニバース!$C$4:$C$53,カード枠回復_ココ・ユニバース!$A$4:$A$53,A18)</f>
        <v>0</v>
      </c>
      <c r="G18" s="57">
        <f t="shared" si="2"/>
        <v>0</v>
      </c>
      <c r="H18" s="63"/>
    </row>
    <row r="19" spans="1:8" ht="15" customHeight="1">
      <c r="A19" s="56">
        <v>46189</v>
      </c>
      <c r="B19" s="8">
        <f>SUMIFS(入金入力_ココ・ユニバース!$D$4:$D$103,入金入力_ココ・ユニバース!$A$4:$A$103,A19)</f>
        <v>0</v>
      </c>
      <c r="C19" s="8">
        <f>SUMIFS(未払一覧_ココ・ユニバース!$N$4:$N$103,未払一覧_ココ・ユニバース!$M$4:$M$103,A19)</f>
        <v>0</v>
      </c>
      <c r="D19" s="8">
        <f t="shared" si="0"/>
        <v>0</v>
      </c>
      <c r="E19" s="8">
        <f t="shared" si="1"/>
        <v>0</v>
      </c>
      <c r="F19" s="9">
        <f>SUMIFS(カード枠回復_ココ・ユニバース!$C$4:$C$53,カード枠回復_ココ・ユニバース!$A$4:$A$53,A19)</f>
        <v>0</v>
      </c>
      <c r="G19" s="57">
        <f t="shared" si="2"/>
        <v>0</v>
      </c>
      <c r="H19" s="63"/>
    </row>
    <row r="20" spans="1:8" ht="15" customHeight="1">
      <c r="A20" s="56">
        <v>46190</v>
      </c>
      <c r="B20" s="8">
        <f>SUMIFS(入金入力_ココ・ユニバース!$D$4:$D$103,入金入力_ココ・ユニバース!$A$4:$A$103,A20)</f>
        <v>0</v>
      </c>
      <c r="C20" s="8">
        <f>SUMIFS(未払一覧_ココ・ユニバース!$N$4:$N$103,未払一覧_ココ・ユニバース!$M$4:$M$103,A20)</f>
        <v>0</v>
      </c>
      <c r="D20" s="8">
        <f t="shared" si="0"/>
        <v>0</v>
      </c>
      <c r="E20" s="8">
        <f t="shared" si="1"/>
        <v>0</v>
      </c>
      <c r="F20" s="9">
        <f>SUMIFS(カード枠回復_ココ・ユニバース!$C$4:$C$53,カード枠回復_ココ・ユニバース!$A$4:$A$53,A20)</f>
        <v>0</v>
      </c>
      <c r="G20" s="57">
        <f t="shared" si="2"/>
        <v>0</v>
      </c>
      <c r="H20" s="63"/>
    </row>
    <row r="21" spans="1:8" ht="15" customHeight="1">
      <c r="A21" s="56">
        <v>46191</v>
      </c>
      <c r="B21" s="8">
        <f>SUMIFS(入金入力_ココ・ユニバース!$D$4:$D$103,入金入力_ココ・ユニバース!$A$4:$A$103,A21)</f>
        <v>0</v>
      </c>
      <c r="C21" s="8">
        <f>SUMIFS(未払一覧_ココ・ユニバース!$N$4:$N$103,未払一覧_ココ・ユニバース!$M$4:$M$103,A21)</f>
        <v>0</v>
      </c>
      <c r="D21" s="8">
        <f t="shared" si="0"/>
        <v>0</v>
      </c>
      <c r="E21" s="8">
        <f t="shared" si="1"/>
        <v>0</v>
      </c>
      <c r="F21" s="9">
        <f>SUMIFS(カード枠回復_ココ・ユニバース!$C$4:$C$53,カード枠回復_ココ・ユニバース!$A$4:$A$53,A21)</f>
        <v>0</v>
      </c>
      <c r="G21" s="57">
        <f t="shared" si="2"/>
        <v>0</v>
      </c>
      <c r="H21" s="63"/>
    </row>
    <row r="22" spans="1:8" ht="15" customHeight="1">
      <c r="A22" s="56">
        <v>46192</v>
      </c>
      <c r="B22" s="8">
        <f>SUMIFS(入金入力_ココ・ユニバース!$D$4:$D$103,入金入力_ココ・ユニバース!$A$4:$A$103,A22)</f>
        <v>0</v>
      </c>
      <c r="C22" s="8">
        <f>SUMIFS(未払一覧_ココ・ユニバース!$N$4:$N$103,未払一覧_ココ・ユニバース!$M$4:$M$103,A22)</f>
        <v>0</v>
      </c>
      <c r="D22" s="8">
        <f t="shared" si="0"/>
        <v>0</v>
      </c>
      <c r="E22" s="8">
        <f t="shared" si="1"/>
        <v>0</v>
      </c>
      <c r="F22" s="9">
        <f>SUMIFS(カード枠回復_ココ・ユニバース!$C$4:$C$53,カード枠回復_ココ・ユニバース!$A$4:$A$53,A22)</f>
        <v>0</v>
      </c>
      <c r="G22" s="57">
        <f t="shared" si="2"/>
        <v>0</v>
      </c>
      <c r="H22" s="63"/>
    </row>
    <row r="23" spans="1:8" ht="15" customHeight="1">
      <c r="A23" s="59">
        <v>46193</v>
      </c>
      <c r="B23" s="8">
        <f>SUMIFS(入金入力_ココ・ユニバース!$D$4:$D$103,入金入力_ココ・ユニバース!$A$4:$A$103,A23)</f>
        <v>0</v>
      </c>
      <c r="C23" s="8">
        <f>SUMIFS(未払一覧_ココ・ユニバース!$N$4:$N$103,未払一覧_ココ・ユニバース!$M$4:$M$103,A23)</f>
        <v>0</v>
      </c>
      <c r="D23" s="8">
        <f t="shared" si="0"/>
        <v>0</v>
      </c>
      <c r="E23" s="8">
        <f t="shared" si="1"/>
        <v>0</v>
      </c>
      <c r="F23" s="9">
        <f>SUMIFS(カード枠回復_ココ・ユニバース!$C$4:$C$53,カード枠回復_ココ・ユニバース!$A$4:$A$53,A23)</f>
        <v>0</v>
      </c>
      <c r="G23" s="57">
        <f t="shared" si="2"/>
        <v>0</v>
      </c>
      <c r="H23" s="60" t="s">
        <v>236</v>
      </c>
    </row>
    <row r="24" spans="1:8" ht="15" customHeight="1">
      <c r="A24" s="61">
        <v>46194</v>
      </c>
      <c r="B24" s="8">
        <f>SUMIFS(入金入力_ココ・ユニバース!$D$4:$D$103,入金入力_ココ・ユニバース!$A$4:$A$103,A24)</f>
        <v>0</v>
      </c>
      <c r="C24" s="8">
        <f>SUMIFS(未払一覧_ココ・ユニバース!$N$4:$N$103,未払一覧_ココ・ユニバース!$M$4:$M$103,A24)</f>
        <v>0</v>
      </c>
      <c r="D24" s="8">
        <f t="shared" si="0"/>
        <v>0</v>
      </c>
      <c r="E24" s="8">
        <f t="shared" si="1"/>
        <v>0</v>
      </c>
      <c r="F24" s="9">
        <f>SUMIFS(カード枠回復_ココ・ユニバース!$C$4:$C$53,カード枠回復_ココ・ユニバース!$A$4:$A$53,A24)</f>
        <v>0</v>
      </c>
      <c r="G24" s="57">
        <f t="shared" si="2"/>
        <v>0</v>
      </c>
      <c r="H24" s="60" t="s">
        <v>237</v>
      </c>
    </row>
    <row r="25" spans="1:8" ht="15" customHeight="1">
      <c r="A25" s="56">
        <v>46195</v>
      </c>
      <c r="B25" s="8">
        <f>SUMIFS(入金入力_ココ・ユニバース!$D$4:$D$103,入金入力_ココ・ユニバース!$A$4:$A$103,A25)</f>
        <v>0</v>
      </c>
      <c r="C25" s="8">
        <f>SUMIFS(未払一覧_ココ・ユニバース!$N$4:$N$103,未払一覧_ココ・ユニバース!$M$4:$M$103,A25)</f>
        <v>0</v>
      </c>
      <c r="D25" s="8">
        <f t="shared" si="0"/>
        <v>0</v>
      </c>
      <c r="E25" s="8">
        <f t="shared" si="1"/>
        <v>0</v>
      </c>
      <c r="F25" s="9">
        <f>SUMIFS(カード枠回復_ココ・ユニバース!$C$4:$C$53,カード枠回復_ココ・ユニバース!$A$4:$A$53,A25)</f>
        <v>0</v>
      </c>
      <c r="G25" s="57">
        <f t="shared" si="2"/>
        <v>0</v>
      </c>
      <c r="H25" s="63"/>
    </row>
    <row r="26" spans="1:8" ht="15" customHeight="1">
      <c r="A26" s="56">
        <v>46196</v>
      </c>
      <c r="B26" s="8">
        <f>SUMIFS(入金入力_ココ・ユニバース!$D$4:$D$103,入金入力_ココ・ユニバース!$A$4:$A$103,A26)</f>
        <v>0</v>
      </c>
      <c r="C26" s="8">
        <f>SUMIFS(未払一覧_ココ・ユニバース!$N$4:$N$103,未払一覧_ココ・ユニバース!$M$4:$M$103,A26)</f>
        <v>0</v>
      </c>
      <c r="D26" s="8">
        <f t="shared" si="0"/>
        <v>0</v>
      </c>
      <c r="E26" s="8">
        <f t="shared" si="1"/>
        <v>0</v>
      </c>
      <c r="F26" s="9">
        <f>SUMIFS(カード枠回復_ココ・ユニバース!$C$4:$C$53,カード枠回復_ココ・ユニバース!$A$4:$A$53,A26)</f>
        <v>0</v>
      </c>
      <c r="G26" s="57">
        <f t="shared" si="2"/>
        <v>0</v>
      </c>
      <c r="H26" s="63"/>
    </row>
    <row r="27" spans="1:8" ht="15" customHeight="1">
      <c r="A27" s="56">
        <v>46197</v>
      </c>
      <c r="B27" s="8">
        <f>SUMIFS(入金入力_ココ・ユニバース!$D$4:$D$103,入金入力_ココ・ユニバース!$A$4:$A$103,A27)</f>
        <v>0</v>
      </c>
      <c r="C27" s="8">
        <f>SUMIFS(未払一覧_ココ・ユニバース!$N$4:$N$103,未払一覧_ココ・ユニバース!$M$4:$M$103,A27)</f>
        <v>0</v>
      </c>
      <c r="D27" s="8">
        <f t="shared" si="0"/>
        <v>0</v>
      </c>
      <c r="E27" s="8">
        <f t="shared" si="1"/>
        <v>0</v>
      </c>
      <c r="F27" s="9">
        <f>SUMIFS(カード枠回復_ココ・ユニバース!$C$4:$C$53,カード枠回復_ココ・ユニバース!$A$4:$A$53,A27)</f>
        <v>0</v>
      </c>
      <c r="G27" s="57">
        <f t="shared" si="2"/>
        <v>0</v>
      </c>
      <c r="H27" s="63"/>
    </row>
    <row r="28" spans="1:8" ht="15" customHeight="1">
      <c r="A28" s="56">
        <v>46198</v>
      </c>
      <c r="B28" s="8">
        <f>SUMIFS(入金入力_ココ・ユニバース!$D$4:$D$103,入金入力_ココ・ユニバース!$A$4:$A$103,A28)</f>
        <v>0</v>
      </c>
      <c r="C28" s="8">
        <f>SUMIFS(未払一覧_ココ・ユニバース!$N$4:$N$103,未払一覧_ココ・ユニバース!$M$4:$M$103,A28)</f>
        <v>0</v>
      </c>
      <c r="D28" s="8">
        <f t="shared" si="0"/>
        <v>0</v>
      </c>
      <c r="E28" s="8">
        <f t="shared" si="1"/>
        <v>0</v>
      </c>
      <c r="F28" s="9">
        <f>SUMIFS(カード枠回復_ココ・ユニバース!$C$4:$C$53,カード枠回復_ココ・ユニバース!$A$4:$A$53,A28)</f>
        <v>0</v>
      </c>
      <c r="G28" s="57">
        <f t="shared" si="2"/>
        <v>0</v>
      </c>
      <c r="H28" s="63"/>
    </row>
    <row r="29" spans="1:8" ht="15" customHeight="1">
      <c r="A29" s="56">
        <v>46199</v>
      </c>
      <c r="B29" s="8">
        <f>SUMIFS(入金入力_ココ・ユニバース!$D$4:$D$103,入金入力_ココ・ユニバース!$A$4:$A$103,A29)</f>
        <v>0</v>
      </c>
      <c r="C29" s="8">
        <f>SUMIFS(未払一覧_ココ・ユニバース!$N$4:$N$103,未払一覧_ココ・ユニバース!$M$4:$M$103,A29)</f>
        <v>0</v>
      </c>
      <c r="D29" s="8">
        <f t="shared" si="0"/>
        <v>0</v>
      </c>
      <c r="E29" s="8">
        <f t="shared" si="1"/>
        <v>0</v>
      </c>
      <c r="F29" s="9">
        <f>SUMIFS(カード枠回復_ココ・ユニバース!$C$4:$C$53,カード枠回復_ココ・ユニバース!$A$4:$A$53,A29)</f>
        <v>0</v>
      </c>
      <c r="G29" s="57">
        <f t="shared" si="2"/>
        <v>0</v>
      </c>
      <c r="H29" s="63"/>
    </row>
    <row r="30" spans="1:8" ht="15" customHeight="1">
      <c r="A30" s="59">
        <v>46200</v>
      </c>
      <c r="B30" s="8">
        <f>SUMIFS(入金入力_ココ・ユニバース!$D$4:$D$103,入金入力_ココ・ユニバース!$A$4:$A$103,A30)</f>
        <v>0</v>
      </c>
      <c r="C30" s="8">
        <f>SUMIFS(未払一覧_ココ・ユニバース!$N$4:$N$103,未払一覧_ココ・ユニバース!$M$4:$M$103,A30)</f>
        <v>0</v>
      </c>
      <c r="D30" s="8">
        <f t="shared" si="0"/>
        <v>0</v>
      </c>
      <c r="E30" s="8">
        <f t="shared" si="1"/>
        <v>0</v>
      </c>
      <c r="F30" s="9">
        <f>SUMIFS(カード枠回復_ココ・ユニバース!$C$4:$C$53,カード枠回復_ココ・ユニバース!$A$4:$A$53,A30)</f>
        <v>0</v>
      </c>
      <c r="G30" s="57">
        <f t="shared" si="2"/>
        <v>0</v>
      </c>
      <c r="H30" s="60" t="s">
        <v>236</v>
      </c>
    </row>
    <row r="31" spans="1:8" ht="15" customHeight="1">
      <c r="A31" s="61">
        <v>46201</v>
      </c>
      <c r="B31" s="8">
        <f>SUMIFS(入金入力_ココ・ユニバース!$D$4:$D$103,入金入力_ココ・ユニバース!$A$4:$A$103,A31)</f>
        <v>0</v>
      </c>
      <c r="C31" s="8">
        <f>SUMIFS(未払一覧_ココ・ユニバース!$N$4:$N$103,未払一覧_ココ・ユニバース!$M$4:$M$103,A31)</f>
        <v>0</v>
      </c>
      <c r="D31" s="8">
        <f t="shared" si="0"/>
        <v>0</v>
      </c>
      <c r="E31" s="8">
        <f t="shared" si="1"/>
        <v>0</v>
      </c>
      <c r="F31" s="9">
        <f>SUMIFS(カード枠回復_ココ・ユニバース!$C$4:$C$53,カード枠回復_ココ・ユニバース!$A$4:$A$53,A31)</f>
        <v>0</v>
      </c>
      <c r="G31" s="57">
        <f t="shared" si="2"/>
        <v>0</v>
      </c>
      <c r="H31" s="60" t="s">
        <v>237</v>
      </c>
    </row>
    <row r="32" spans="1:8" ht="15" customHeight="1">
      <c r="A32" s="56">
        <v>46202</v>
      </c>
      <c r="B32" s="8">
        <f>SUMIFS(入金入力_ココ・ユニバース!$D$4:$D$103,入金入力_ココ・ユニバース!$A$4:$A$103,A32)</f>
        <v>0</v>
      </c>
      <c r="C32" s="8">
        <f>SUMIFS(未払一覧_ココ・ユニバース!$N$4:$N$103,未払一覧_ココ・ユニバース!$M$4:$M$103,A32)</f>
        <v>0</v>
      </c>
      <c r="D32" s="8">
        <f t="shared" si="0"/>
        <v>0</v>
      </c>
      <c r="E32" s="8">
        <f t="shared" si="1"/>
        <v>0</v>
      </c>
      <c r="F32" s="9">
        <f>SUMIFS(カード枠回復_ココ・ユニバース!$C$4:$C$53,カード枠回復_ココ・ユニバース!$A$4:$A$53,A32)</f>
        <v>0</v>
      </c>
      <c r="G32" s="57">
        <f t="shared" si="2"/>
        <v>0</v>
      </c>
      <c r="H32" s="63"/>
    </row>
    <row r="33" spans="1:8" ht="15" customHeight="1">
      <c r="A33" s="56">
        <v>46203</v>
      </c>
      <c r="B33" s="8">
        <f>SUMIFS(入金入力_ココ・ユニバース!$D$4:$D$103,入金入力_ココ・ユニバース!$A$4:$A$103,A33)</f>
        <v>0</v>
      </c>
      <c r="C33" s="8">
        <f>SUMIFS(未払一覧_ココ・ユニバース!$N$4:$N$103,未払一覧_ココ・ユニバース!$M$4:$M$103,A33)</f>
        <v>0</v>
      </c>
      <c r="D33" s="8">
        <f t="shared" si="0"/>
        <v>0</v>
      </c>
      <c r="E33" s="8">
        <f t="shared" si="1"/>
        <v>0</v>
      </c>
      <c r="F33" s="9">
        <f>SUMIFS(カード枠回復_ココ・ユニバース!$C$4:$C$53,カード枠回復_ココ・ユニバース!$A$4:$A$53,A33)</f>
        <v>0</v>
      </c>
      <c r="G33" s="57">
        <f t="shared" si="2"/>
        <v>0</v>
      </c>
      <c r="H33" s="63"/>
    </row>
    <row r="35" spans="1:8" ht="15" customHeight="1">
      <c r="A35" s="11" t="s">
        <v>241</v>
      </c>
      <c r="B35" s="12">
        <f>SUM(B4:B33)</f>
        <v>0</v>
      </c>
      <c r="C35" s="12">
        <f>SUM(C4:C33)</f>
        <v>0</v>
      </c>
      <c r="D35" s="12">
        <f>B35-C35-F35</f>
        <v>0</v>
      </c>
      <c r="E35" s="12">
        <f>E33</f>
        <v>0</v>
      </c>
      <c r="F35" s="12">
        <f>SUM(F4:F33)</f>
        <v>0</v>
      </c>
      <c r="G35" s="12">
        <f>G33</f>
        <v>0</v>
      </c>
      <c r="H35" s="64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36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00" t="s">
        <v>269</v>
      </c>
      <c r="B1" s="100"/>
      <c r="C1" s="100"/>
      <c r="D1" s="100"/>
      <c r="E1" s="100"/>
      <c r="F1" s="100"/>
      <c r="G1" s="100"/>
      <c r="H1" s="100"/>
    </row>
    <row r="2" spans="1:8" ht="15" customHeight="1">
      <c r="A2" s="85" t="s">
        <v>267</v>
      </c>
      <c r="B2" s="85"/>
      <c r="C2" s="85"/>
      <c r="D2" s="85"/>
      <c r="E2" s="85"/>
      <c r="F2" s="85"/>
      <c r="G2" s="85"/>
      <c r="H2" s="8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6">
        <v>46204</v>
      </c>
      <c r="B4" s="8">
        <f>SUMIFS(入金入力_ココ・ユニバース!$D$4:$D$103,入金入力_ココ・ユニバース!$A$4:$A$103,A4)</f>
        <v>0</v>
      </c>
      <c r="C4" s="8">
        <f>SUMIFS(未払一覧_ココ・ユニバース!$N$4:$N$103,未払一覧_ココ・ユニバース!$M$4:$M$103,A4)</f>
        <v>0</v>
      </c>
      <c r="D4" s="8">
        <f t="shared" ref="D4:D34" si="0">B4-C4-F4</f>
        <v>0</v>
      </c>
      <c r="E4" s="8">
        <f>'6月_ココ・ユニバース'!E33+D4</f>
        <v>0</v>
      </c>
      <c r="F4" s="9">
        <f>SUMIFS(カード枠回復_ココ・ユニバース!$C$4:$C$53,カード枠回復_ココ・ユニバース!$A$4:$A$53,A4)</f>
        <v>0</v>
      </c>
      <c r="G4" s="57">
        <f>'6月_ココ・ユニバース'!G33+D4+F4</f>
        <v>0</v>
      </c>
      <c r="H4" s="63"/>
    </row>
    <row r="5" spans="1:8" ht="15" customHeight="1">
      <c r="A5" s="56">
        <v>46205</v>
      </c>
      <c r="B5" s="8">
        <f>SUMIFS(入金入力_ココ・ユニバース!$D$4:$D$103,入金入力_ココ・ユニバース!$A$4:$A$103,A5)</f>
        <v>0</v>
      </c>
      <c r="C5" s="8">
        <f>SUMIFS(未払一覧_ココ・ユニバース!$N$4:$N$103,未払一覧_ココ・ユニバース!$M$4:$M$103,A5)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SUMIFS(カード枠回復_ココ・ユニバース!$C$4:$C$53,カード枠回復_ココ・ユニバース!$A$4:$A$53,A5)</f>
        <v>0</v>
      </c>
      <c r="G5" s="57">
        <f t="shared" ref="G5:G34" si="2">G4+D5+F5</f>
        <v>0</v>
      </c>
      <c r="H5" s="63"/>
    </row>
    <row r="6" spans="1:8" ht="15" customHeight="1">
      <c r="A6" s="56">
        <v>46206</v>
      </c>
      <c r="B6" s="8">
        <f>SUMIFS(入金入力_ココ・ユニバース!$D$4:$D$103,入金入力_ココ・ユニバース!$A$4:$A$103,A6)</f>
        <v>0</v>
      </c>
      <c r="C6" s="8">
        <f>SUMIFS(未払一覧_ココ・ユニバース!$N$4:$N$103,未払一覧_ココ・ユニバース!$M$4:$M$103,A6)</f>
        <v>0</v>
      </c>
      <c r="D6" s="8">
        <f t="shared" si="0"/>
        <v>0</v>
      </c>
      <c r="E6" s="8">
        <f t="shared" si="1"/>
        <v>0</v>
      </c>
      <c r="F6" s="9">
        <f>SUMIFS(カード枠回復_ココ・ユニバース!$C$4:$C$53,カード枠回復_ココ・ユニバース!$A$4:$A$53,A6)</f>
        <v>0</v>
      </c>
      <c r="G6" s="57">
        <f t="shared" si="2"/>
        <v>0</v>
      </c>
      <c r="H6" s="63"/>
    </row>
    <row r="7" spans="1:8" ht="15" customHeight="1">
      <c r="A7" s="59">
        <v>46207</v>
      </c>
      <c r="B7" s="8">
        <f>SUMIFS(入金入力_ココ・ユニバース!$D$4:$D$103,入金入力_ココ・ユニバース!$A$4:$A$103,A7)</f>
        <v>0</v>
      </c>
      <c r="C7" s="8">
        <f>SUMIFS(未払一覧_ココ・ユニバース!$N$4:$N$103,未払一覧_ココ・ユニバース!$M$4:$M$103,A7)</f>
        <v>0</v>
      </c>
      <c r="D7" s="8">
        <f t="shared" si="0"/>
        <v>0</v>
      </c>
      <c r="E7" s="8">
        <f t="shared" si="1"/>
        <v>0</v>
      </c>
      <c r="F7" s="9">
        <f>SUMIFS(カード枠回復_ココ・ユニバース!$C$4:$C$53,カード枠回復_ココ・ユニバース!$A$4:$A$53,A7)</f>
        <v>0</v>
      </c>
      <c r="G7" s="57">
        <f t="shared" si="2"/>
        <v>0</v>
      </c>
      <c r="H7" s="60" t="s">
        <v>236</v>
      </c>
    </row>
    <row r="8" spans="1:8" ht="15" customHeight="1">
      <c r="A8" s="61">
        <v>46208</v>
      </c>
      <c r="B8" s="8">
        <f>SUMIFS(入金入力_ココ・ユニバース!$D$4:$D$103,入金入力_ココ・ユニバース!$A$4:$A$103,A8)</f>
        <v>0</v>
      </c>
      <c r="C8" s="8">
        <f>SUMIFS(未払一覧_ココ・ユニバース!$N$4:$N$103,未払一覧_ココ・ユニバース!$M$4:$M$103,A8)</f>
        <v>0</v>
      </c>
      <c r="D8" s="8">
        <f t="shared" si="0"/>
        <v>0</v>
      </c>
      <c r="E8" s="8">
        <f t="shared" si="1"/>
        <v>0</v>
      </c>
      <c r="F8" s="9">
        <f>SUMIFS(カード枠回復_ココ・ユニバース!$C$4:$C$53,カード枠回復_ココ・ユニバース!$A$4:$A$53,A8)</f>
        <v>0</v>
      </c>
      <c r="G8" s="57">
        <f t="shared" si="2"/>
        <v>0</v>
      </c>
      <c r="H8" s="60" t="s">
        <v>237</v>
      </c>
    </row>
    <row r="9" spans="1:8" ht="15" customHeight="1">
      <c r="A9" s="56">
        <v>46209</v>
      </c>
      <c r="B9" s="8">
        <f>SUMIFS(入金入力_ココ・ユニバース!$D$4:$D$103,入金入力_ココ・ユニバース!$A$4:$A$103,A9)</f>
        <v>0</v>
      </c>
      <c r="C9" s="8">
        <f>SUMIFS(未払一覧_ココ・ユニバース!$N$4:$N$103,未払一覧_ココ・ユニバース!$M$4:$M$103,A9)</f>
        <v>0</v>
      </c>
      <c r="D9" s="8">
        <f t="shared" si="0"/>
        <v>0</v>
      </c>
      <c r="E9" s="8">
        <f t="shared" si="1"/>
        <v>0</v>
      </c>
      <c r="F9" s="9">
        <f>SUMIFS(カード枠回復_ココ・ユニバース!$C$4:$C$53,カード枠回復_ココ・ユニバース!$A$4:$A$53,A9)</f>
        <v>0</v>
      </c>
      <c r="G9" s="57">
        <f t="shared" si="2"/>
        <v>0</v>
      </c>
      <c r="H9" s="63"/>
    </row>
    <row r="10" spans="1:8" ht="15" customHeight="1">
      <c r="A10" s="56">
        <v>46210</v>
      </c>
      <c r="B10" s="8">
        <f>SUMIFS(入金入力_ココ・ユニバース!$D$4:$D$103,入金入力_ココ・ユニバース!$A$4:$A$103,A10)</f>
        <v>0</v>
      </c>
      <c r="C10" s="8">
        <f>SUMIFS(未払一覧_ココ・ユニバース!$N$4:$N$103,未払一覧_ココ・ユニバース!$M$4:$M$103,A10)</f>
        <v>0</v>
      </c>
      <c r="D10" s="8">
        <f t="shared" si="0"/>
        <v>0</v>
      </c>
      <c r="E10" s="8">
        <f t="shared" si="1"/>
        <v>0</v>
      </c>
      <c r="F10" s="9">
        <f>SUMIFS(カード枠回復_ココ・ユニバース!$C$4:$C$53,カード枠回復_ココ・ユニバース!$A$4:$A$53,A10)</f>
        <v>0</v>
      </c>
      <c r="G10" s="57">
        <f t="shared" si="2"/>
        <v>0</v>
      </c>
      <c r="H10" s="63"/>
    </row>
    <row r="11" spans="1:8" ht="15" customHeight="1">
      <c r="A11" s="56">
        <v>46211</v>
      </c>
      <c r="B11" s="8">
        <f>SUMIFS(入金入力_ココ・ユニバース!$D$4:$D$103,入金入力_ココ・ユニバース!$A$4:$A$103,A11)</f>
        <v>0</v>
      </c>
      <c r="C11" s="8">
        <f>SUMIFS(未払一覧_ココ・ユニバース!$N$4:$N$103,未払一覧_ココ・ユニバース!$M$4:$M$103,A11)</f>
        <v>0</v>
      </c>
      <c r="D11" s="8">
        <f t="shared" si="0"/>
        <v>0</v>
      </c>
      <c r="E11" s="8">
        <f t="shared" si="1"/>
        <v>0</v>
      </c>
      <c r="F11" s="9">
        <f>SUMIFS(カード枠回復_ココ・ユニバース!$C$4:$C$53,カード枠回復_ココ・ユニバース!$A$4:$A$53,A11)</f>
        <v>0</v>
      </c>
      <c r="G11" s="57">
        <f t="shared" si="2"/>
        <v>0</v>
      </c>
      <c r="H11" s="63"/>
    </row>
    <row r="12" spans="1:8" ht="15" customHeight="1">
      <c r="A12" s="56">
        <v>46212</v>
      </c>
      <c r="B12" s="8">
        <f>SUMIFS(入金入力_ココ・ユニバース!$D$4:$D$103,入金入力_ココ・ユニバース!$A$4:$A$103,A12)</f>
        <v>0</v>
      </c>
      <c r="C12" s="8">
        <f>SUMIFS(未払一覧_ココ・ユニバース!$N$4:$N$103,未払一覧_ココ・ユニバース!$M$4:$M$103,A12)</f>
        <v>0</v>
      </c>
      <c r="D12" s="8">
        <f t="shared" si="0"/>
        <v>0</v>
      </c>
      <c r="E12" s="8">
        <f t="shared" si="1"/>
        <v>0</v>
      </c>
      <c r="F12" s="9">
        <f>SUMIFS(カード枠回復_ココ・ユニバース!$C$4:$C$53,カード枠回復_ココ・ユニバース!$A$4:$A$53,A12)</f>
        <v>0</v>
      </c>
      <c r="G12" s="57">
        <f t="shared" si="2"/>
        <v>0</v>
      </c>
      <c r="H12" s="63"/>
    </row>
    <row r="13" spans="1:8" ht="15" customHeight="1">
      <c r="A13" s="56">
        <v>46213</v>
      </c>
      <c r="B13" s="8">
        <f>SUMIFS(入金入力_ココ・ユニバース!$D$4:$D$103,入金入力_ココ・ユニバース!$A$4:$A$103,A13)</f>
        <v>0</v>
      </c>
      <c r="C13" s="8">
        <f>SUMIFS(未払一覧_ココ・ユニバース!$N$4:$N$103,未払一覧_ココ・ユニバース!$M$4:$M$103,A13)</f>
        <v>0</v>
      </c>
      <c r="D13" s="8">
        <f t="shared" si="0"/>
        <v>0</v>
      </c>
      <c r="E13" s="8">
        <f t="shared" si="1"/>
        <v>0</v>
      </c>
      <c r="F13" s="9">
        <f>SUMIFS(カード枠回復_ココ・ユニバース!$C$4:$C$53,カード枠回復_ココ・ユニバース!$A$4:$A$53,A13)</f>
        <v>0</v>
      </c>
      <c r="G13" s="57">
        <f t="shared" si="2"/>
        <v>0</v>
      </c>
      <c r="H13" s="63"/>
    </row>
    <row r="14" spans="1:8" ht="15" customHeight="1">
      <c r="A14" s="59">
        <v>46214</v>
      </c>
      <c r="B14" s="8">
        <f>SUMIFS(入金入力_ココ・ユニバース!$D$4:$D$103,入金入力_ココ・ユニバース!$A$4:$A$103,A14)</f>
        <v>0</v>
      </c>
      <c r="C14" s="8">
        <f>SUMIFS(未払一覧_ココ・ユニバース!$N$4:$N$103,未払一覧_ココ・ユニバース!$M$4:$M$103,A14)</f>
        <v>0</v>
      </c>
      <c r="D14" s="8">
        <f t="shared" si="0"/>
        <v>0</v>
      </c>
      <c r="E14" s="8">
        <f t="shared" si="1"/>
        <v>0</v>
      </c>
      <c r="F14" s="9">
        <f>SUMIFS(カード枠回復_ココ・ユニバース!$C$4:$C$53,カード枠回復_ココ・ユニバース!$A$4:$A$53,A14)</f>
        <v>0</v>
      </c>
      <c r="G14" s="57">
        <f t="shared" si="2"/>
        <v>0</v>
      </c>
      <c r="H14" s="60" t="s">
        <v>236</v>
      </c>
    </row>
    <row r="15" spans="1:8" ht="15" customHeight="1">
      <c r="A15" s="61">
        <v>46215</v>
      </c>
      <c r="B15" s="8">
        <f>SUMIFS(入金入力_ココ・ユニバース!$D$4:$D$103,入金入力_ココ・ユニバース!$A$4:$A$103,A15)</f>
        <v>0</v>
      </c>
      <c r="C15" s="8">
        <f>SUMIFS(未払一覧_ココ・ユニバース!$N$4:$N$103,未払一覧_ココ・ユニバース!$M$4:$M$103,A15)</f>
        <v>0</v>
      </c>
      <c r="D15" s="8">
        <f t="shared" si="0"/>
        <v>0</v>
      </c>
      <c r="E15" s="8">
        <f t="shared" si="1"/>
        <v>0</v>
      </c>
      <c r="F15" s="9">
        <f>SUMIFS(カード枠回復_ココ・ユニバース!$C$4:$C$53,カード枠回復_ココ・ユニバース!$A$4:$A$53,A15)</f>
        <v>0</v>
      </c>
      <c r="G15" s="57">
        <f t="shared" si="2"/>
        <v>0</v>
      </c>
      <c r="H15" s="60" t="s">
        <v>237</v>
      </c>
    </row>
    <row r="16" spans="1:8" ht="15" customHeight="1">
      <c r="A16" s="56">
        <v>46216</v>
      </c>
      <c r="B16" s="8">
        <f>SUMIFS(入金入力_ココ・ユニバース!$D$4:$D$103,入金入力_ココ・ユニバース!$A$4:$A$103,A16)</f>
        <v>0</v>
      </c>
      <c r="C16" s="8">
        <f>SUMIFS(未払一覧_ココ・ユニバース!$N$4:$N$103,未払一覧_ココ・ユニバース!$M$4:$M$103,A16)</f>
        <v>0</v>
      </c>
      <c r="D16" s="8">
        <f t="shared" si="0"/>
        <v>0</v>
      </c>
      <c r="E16" s="8">
        <f t="shared" si="1"/>
        <v>0</v>
      </c>
      <c r="F16" s="9">
        <f>SUMIFS(カード枠回復_ココ・ユニバース!$C$4:$C$53,カード枠回復_ココ・ユニバース!$A$4:$A$53,A16)</f>
        <v>0</v>
      </c>
      <c r="G16" s="57">
        <f t="shared" si="2"/>
        <v>0</v>
      </c>
      <c r="H16" s="63"/>
    </row>
    <row r="17" spans="1:8" ht="15" customHeight="1">
      <c r="A17" s="56">
        <v>46217</v>
      </c>
      <c r="B17" s="8">
        <f>SUMIFS(入金入力_ココ・ユニバース!$D$4:$D$103,入金入力_ココ・ユニバース!$A$4:$A$103,A17)</f>
        <v>0</v>
      </c>
      <c r="C17" s="8">
        <f>SUMIFS(未払一覧_ココ・ユニバース!$N$4:$N$103,未払一覧_ココ・ユニバース!$M$4:$M$103,A17)</f>
        <v>0</v>
      </c>
      <c r="D17" s="8">
        <f t="shared" si="0"/>
        <v>0</v>
      </c>
      <c r="E17" s="8">
        <f t="shared" si="1"/>
        <v>0</v>
      </c>
      <c r="F17" s="9">
        <f>SUMIFS(カード枠回復_ココ・ユニバース!$C$4:$C$53,カード枠回復_ココ・ユニバース!$A$4:$A$53,A17)</f>
        <v>0</v>
      </c>
      <c r="G17" s="57">
        <f t="shared" si="2"/>
        <v>0</v>
      </c>
      <c r="H17" s="63"/>
    </row>
    <row r="18" spans="1:8" ht="15" customHeight="1">
      <c r="A18" s="56">
        <v>46218</v>
      </c>
      <c r="B18" s="8">
        <f>SUMIFS(入金入力_ココ・ユニバース!$D$4:$D$103,入金入力_ココ・ユニバース!$A$4:$A$103,A18)</f>
        <v>0</v>
      </c>
      <c r="C18" s="8">
        <f>SUMIFS(未払一覧_ココ・ユニバース!$N$4:$N$103,未払一覧_ココ・ユニバース!$M$4:$M$103,A18)</f>
        <v>0</v>
      </c>
      <c r="D18" s="8">
        <f t="shared" si="0"/>
        <v>0</v>
      </c>
      <c r="E18" s="8">
        <f t="shared" si="1"/>
        <v>0</v>
      </c>
      <c r="F18" s="9">
        <f>SUMIFS(カード枠回復_ココ・ユニバース!$C$4:$C$53,カード枠回復_ココ・ユニバース!$A$4:$A$53,A18)</f>
        <v>0</v>
      </c>
      <c r="G18" s="57">
        <f t="shared" si="2"/>
        <v>0</v>
      </c>
      <c r="H18" s="63"/>
    </row>
    <row r="19" spans="1:8" ht="15" customHeight="1">
      <c r="A19" s="56">
        <v>46219</v>
      </c>
      <c r="B19" s="8">
        <f>SUMIFS(入金入力_ココ・ユニバース!$D$4:$D$103,入金入力_ココ・ユニバース!$A$4:$A$103,A19)</f>
        <v>0</v>
      </c>
      <c r="C19" s="8">
        <f>SUMIFS(未払一覧_ココ・ユニバース!$N$4:$N$103,未払一覧_ココ・ユニバース!$M$4:$M$103,A19)</f>
        <v>0</v>
      </c>
      <c r="D19" s="8">
        <f t="shared" si="0"/>
        <v>0</v>
      </c>
      <c r="E19" s="8">
        <f t="shared" si="1"/>
        <v>0</v>
      </c>
      <c r="F19" s="9">
        <f>SUMIFS(カード枠回復_ココ・ユニバース!$C$4:$C$53,カード枠回復_ココ・ユニバース!$A$4:$A$53,A19)</f>
        <v>0</v>
      </c>
      <c r="G19" s="57">
        <f t="shared" si="2"/>
        <v>0</v>
      </c>
      <c r="H19" s="63"/>
    </row>
    <row r="20" spans="1:8" ht="15" customHeight="1">
      <c r="A20" s="56">
        <v>46220</v>
      </c>
      <c r="B20" s="8">
        <f>SUMIFS(入金入力_ココ・ユニバース!$D$4:$D$103,入金入力_ココ・ユニバース!$A$4:$A$103,A20)</f>
        <v>0</v>
      </c>
      <c r="C20" s="8">
        <f>SUMIFS(未払一覧_ココ・ユニバース!$N$4:$N$103,未払一覧_ココ・ユニバース!$M$4:$M$103,A20)</f>
        <v>0</v>
      </c>
      <c r="D20" s="8">
        <f t="shared" si="0"/>
        <v>0</v>
      </c>
      <c r="E20" s="8">
        <f t="shared" si="1"/>
        <v>0</v>
      </c>
      <c r="F20" s="9">
        <f>SUMIFS(カード枠回復_ココ・ユニバース!$C$4:$C$53,カード枠回復_ココ・ユニバース!$A$4:$A$53,A20)</f>
        <v>0</v>
      </c>
      <c r="G20" s="57">
        <f t="shared" si="2"/>
        <v>0</v>
      </c>
      <c r="H20" s="63"/>
    </row>
    <row r="21" spans="1:8" ht="15" customHeight="1">
      <c r="A21" s="59">
        <v>46221</v>
      </c>
      <c r="B21" s="8">
        <f>SUMIFS(入金入力_ココ・ユニバース!$D$4:$D$103,入金入力_ココ・ユニバース!$A$4:$A$103,A21)</f>
        <v>0</v>
      </c>
      <c r="C21" s="8">
        <f>SUMIFS(未払一覧_ココ・ユニバース!$N$4:$N$103,未払一覧_ココ・ユニバース!$M$4:$M$103,A21)</f>
        <v>0</v>
      </c>
      <c r="D21" s="8">
        <f t="shared" si="0"/>
        <v>0</v>
      </c>
      <c r="E21" s="8">
        <f t="shared" si="1"/>
        <v>0</v>
      </c>
      <c r="F21" s="9">
        <f>SUMIFS(カード枠回復_ココ・ユニバース!$C$4:$C$53,カード枠回復_ココ・ユニバース!$A$4:$A$53,A21)</f>
        <v>0</v>
      </c>
      <c r="G21" s="57">
        <f t="shared" si="2"/>
        <v>0</v>
      </c>
      <c r="H21" s="60" t="s">
        <v>236</v>
      </c>
    </row>
    <row r="22" spans="1:8" ht="15" customHeight="1">
      <c r="A22" s="61">
        <v>46222</v>
      </c>
      <c r="B22" s="8">
        <f>SUMIFS(入金入力_ココ・ユニバース!$D$4:$D$103,入金入力_ココ・ユニバース!$A$4:$A$103,A22)</f>
        <v>0</v>
      </c>
      <c r="C22" s="8">
        <f>SUMIFS(未払一覧_ココ・ユニバース!$N$4:$N$103,未払一覧_ココ・ユニバース!$M$4:$M$103,A22)</f>
        <v>0</v>
      </c>
      <c r="D22" s="8">
        <f t="shared" si="0"/>
        <v>0</v>
      </c>
      <c r="E22" s="8">
        <f t="shared" si="1"/>
        <v>0</v>
      </c>
      <c r="F22" s="9">
        <f>SUMIFS(カード枠回復_ココ・ユニバース!$C$4:$C$53,カード枠回復_ココ・ユニバース!$A$4:$A$53,A22)</f>
        <v>0</v>
      </c>
      <c r="G22" s="57">
        <f t="shared" si="2"/>
        <v>0</v>
      </c>
      <c r="H22" s="60" t="s">
        <v>237</v>
      </c>
    </row>
    <row r="23" spans="1:8" ht="15" customHeight="1">
      <c r="A23" s="56">
        <v>46223</v>
      </c>
      <c r="B23" s="8">
        <f>SUMIFS(入金入力_ココ・ユニバース!$D$4:$D$103,入金入力_ココ・ユニバース!$A$4:$A$103,A23)</f>
        <v>0</v>
      </c>
      <c r="C23" s="8">
        <f>SUMIFS(未払一覧_ココ・ユニバース!$N$4:$N$103,未払一覧_ココ・ユニバース!$M$4:$M$103,A23)</f>
        <v>0</v>
      </c>
      <c r="D23" s="8">
        <f t="shared" si="0"/>
        <v>0</v>
      </c>
      <c r="E23" s="8">
        <f t="shared" si="1"/>
        <v>0</v>
      </c>
      <c r="F23" s="9">
        <f>SUMIFS(カード枠回復_ココ・ユニバース!$C$4:$C$53,カード枠回復_ココ・ユニバース!$A$4:$A$53,A23)</f>
        <v>0</v>
      </c>
      <c r="G23" s="57">
        <f t="shared" si="2"/>
        <v>0</v>
      </c>
      <c r="H23" s="63"/>
    </row>
    <row r="24" spans="1:8" ht="15" customHeight="1">
      <c r="A24" s="56">
        <v>46224</v>
      </c>
      <c r="B24" s="8">
        <f>SUMIFS(入金入力_ココ・ユニバース!$D$4:$D$103,入金入力_ココ・ユニバース!$A$4:$A$103,A24)</f>
        <v>0</v>
      </c>
      <c r="C24" s="8">
        <f>SUMIFS(未払一覧_ココ・ユニバース!$N$4:$N$103,未払一覧_ココ・ユニバース!$M$4:$M$103,A24)</f>
        <v>0</v>
      </c>
      <c r="D24" s="8">
        <f t="shared" si="0"/>
        <v>0</v>
      </c>
      <c r="E24" s="8">
        <f t="shared" si="1"/>
        <v>0</v>
      </c>
      <c r="F24" s="9">
        <f>SUMIFS(カード枠回復_ココ・ユニバース!$C$4:$C$53,カード枠回復_ココ・ユニバース!$A$4:$A$53,A24)</f>
        <v>0</v>
      </c>
      <c r="G24" s="57">
        <f t="shared" si="2"/>
        <v>0</v>
      </c>
      <c r="H24" s="63"/>
    </row>
    <row r="25" spans="1:8" ht="15" customHeight="1">
      <c r="A25" s="56">
        <v>46225</v>
      </c>
      <c r="B25" s="8">
        <f>SUMIFS(入金入力_ココ・ユニバース!$D$4:$D$103,入金入力_ココ・ユニバース!$A$4:$A$103,A25)</f>
        <v>0</v>
      </c>
      <c r="C25" s="8">
        <f>SUMIFS(未払一覧_ココ・ユニバース!$N$4:$N$103,未払一覧_ココ・ユニバース!$M$4:$M$103,A25)</f>
        <v>0</v>
      </c>
      <c r="D25" s="8">
        <f t="shared" si="0"/>
        <v>0</v>
      </c>
      <c r="E25" s="8">
        <f t="shared" si="1"/>
        <v>0</v>
      </c>
      <c r="F25" s="9">
        <f>SUMIFS(カード枠回復_ココ・ユニバース!$C$4:$C$53,カード枠回復_ココ・ユニバース!$A$4:$A$53,A25)</f>
        <v>0</v>
      </c>
      <c r="G25" s="57">
        <f t="shared" si="2"/>
        <v>0</v>
      </c>
      <c r="H25" s="63"/>
    </row>
    <row r="26" spans="1:8" ht="15" customHeight="1">
      <c r="A26" s="56">
        <v>46226</v>
      </c>
      <c r="B26" s="8">
        <f>SUMIFS(入金入力_ココ・ユニバース!$D$4:$D$103,入金入力_ココ・ユニバース!$A$4:$A$103,A26)</f>
        <v>0</v>
      </c>
      <c r="C26" s="8">
        <f>SUMIFS(未払一覧_ココ・ユニバース!$N$4:$N$103,未払一覧_ココ・ユニバース!$M$4:$M$103,A26)</f>
        <v>0</v>
      </c>
      <c r="D26" s="8">
        <f t="shared" si="0"/>
        <v>0</v>
      </c>
      <c r="E26" s="8">
        <f t="shared" si="1"/>
        <v>0</v>
      </c>
      <c r="F26" s="9">
        <f>SUMIFS(カード枠回復_ココ・ユニバース!$C$4:$C$53,カード枠回復_ココ・ユニバース!$A$4:$A$53,A26)</f>
        <v>0</v>
      </c>
      <c r="G26" s="57">
        <f t="shared" si="2"/>
        <v>0</v>
      </c>
      <c r="H26" s="63"/>
    </row>
    <row r="27" spans="1:8" ht="15" customHeight="1">
      <c r="A27" s="56">
        <v>46227</v>
      </c>
      <c r="B27" s="8">
        <f>SUMIFS(入金入力_ココ・ユニバース!$D$4:$D$103,入金入力_ココ・ユニバース!$A$4:$A$103,A27)</f>
        <v>0</v>
      </c>
      <c r="C27" s="8">
        <f>SUMIFS(未払一覧_ココ・ユニバース!$N$4:$N$103,未払一覧_ココ・ユニバース!$M$4:$M$103,A27)</f>
        <v>0</v>
      </c>
      <c r="D27" s="8">
        <f t="shared" si="0"/>
        <v>0</v>
      </c>
      <c r="E27" s="8">
        <f t="shared" si="1"/>
        <v>0</v>
      </c>
      <c r="F27" s="9">
        <f>SUMIFS(カード枠回復_ココ・ユニバース!$C$4:$C$53,カード枠回復_ココ・ユニバース!$A$4:$A$53,A27)</f>
        <v>0</v>
      </c>
      <c r="G27" s="57">
        <f t="shared" si="2"/>
        <v>0</v>
      </c>
      <c r="H27" s="63"/>
    </row>
    <row r="28" spans="1:8" ht="15" customHeight="1">
      <c r="A28" s="59">
        <v>46228</v>
      </c>
      <c r="B28" s="8">
        <f>SUMIFS(入金入力_ココ・ユニバース!$D$4:$D$103,入金入力_ココ・ユニバース!$A$4:$A$103,A28)</f>
        <v>0</v>
      </c>
      <c r="C28" s="8">
        <f>SUMIFS(未払一覧_ココ・ユニバース!$N$4:$N$103,未払一覧_ココ・ユニバース!$M$4:$M$103,A28)</f>
        <v>0</v>
      </c>
      <c r="D28" s="8">
        <f t="shared" si="0"/>
        <v>0</v>
      </c>
      <c r="E28" s="8">
        <f t="shared" si="1"/>
        <v>0</v>
      </c>
      <c r="F28" s="9">
        <f>SUMIFS(カード枠回復_ココ・ユニバース!$C$4:$C$53,カード枠回復_ココ・ユニバース!$A$4:$A$53,A28)</f>
        <v>0</v>
      </c>
      <c r="G28" s="57">
        <f t="shared" si="2"/>
        <v>0</v>
      </c>
      <c r="H28" s="60" t="s">
        <v>236</v>
      </c>
    </row>
    <row r="29" spans="1:8" ht="15" customHeight="1">
      <c r="A29" s="61">
        <v>46229</v>
      </c>
      <c r="B29" s="8">
        <f>SUMIFS(入金入力_ココ・ユニバース!$D$4:$D$103,入金入力_ココ・ユニバース!$A$4:$A$103,A29)</f>
        <v>0</v>
      </c>
      <c r="C29" s="8">
        <f>SUMIFS(未払一覧_ココ・ユニバース!$N$4:$N$103,未払一覧_ココ・ユニバース!$M$4:$M$103,A29)</f>
        <v>0</v>
      </c>
      <c r="D29" s="8">
        <f t="shared" si="0"/>
        <v>0</v>
      </c>
      <c r="E29" s="8">
        <f t="shared" si="1"/>
        <v>0</v>
      </c>
      <c r="F29" s="9">
        <f>SUMIFS(カード枠回復_ココ・ユニバース!$C$4:$C$53,カード枠回復_ココ・ユニバース!$A$4:$A$53,A29)</f>
        <v>0</v>
      </c>
      <c r="G29" s="57">
        <f t="shared" si="2"/>
        <v>0</v>
      </c>
      <c r="H29" s="60" t="s">
        <v>237</v>
      </c>
    </row>
    <row r="30" spans="1:8" ht="15" customHeight="1">
      <c r="A30" s="56">
        <v>46230</v>
      </c>
      <c r="B30" s="8">
        <f>SUMIFS(入金入力_ココ・ユニバース!$D$4:$D$103,入金入力_ココ・ユニバース!$A$4:$A$103,A30)</f>
        <v>0</v>
      </c>
      <c r="C30" s="8">
        <f>SUMIFS(未払一覧_ココ・ユニバース!$N$4:$N$103,未払一覧_ココ・ユニバース!$M$4:$M$103,A30)</f>
        <v>0</v>
      </c>
      <c r="D30" s="8">
        <f t="shared" si="0"/>
        <v>0</v>
      </c>
      <c r="E30" s="8">
        <f t="shared" si="1"/>
        <v>0</v>
      </c>
      <c r="F30" s="9">
        <f>SUMIFS(カード枠回復_ココ・ユニバース!$C$4:$C$53,カード枠回復_ココ・ユニバース!$A$4:$A$53,A30)</f>
        <v>0</v>
      </c>
      <c r="G30" s="57">
        <f t="shared" si="2"/>
        <v>0</v>
      </c>
      <c r="H30" s="63"/>
    </row>
    <row r="31" spans="1:8" ht="15" customHeight="1">
      <c r="A31" s="56">
        <v>46231</v>
      </c>
      <c r="B31" s="8">
        <f>SUMIFS(入金入力_ココ・ユニバース!$D$4:$D$103,入金入力_ココ・ユニバース!$A$4:$A$103,A31)</f>
        <v>0</v>
      </c>
      <c r="C31" s="8">
        <f>SUMIFS(未払一覧_ココ・ユニバース!$N$4:$N$103,未払一覧_ココ・ユニバース!$M$4:$M$103,A31)</f>
        <v>0</v>
      </c>
      <c r="D31" s="8">
        <f t="shared" si="0"/>
        <v>0</v>
      </c>
      <c r="E31" s="8">
        <f t="shared" si="1"/>
        <v>0</v>
      </c>
      <c r="F31" s="9">
        <f>SUMIFS(カード枠回復_ココ・ユニバース!$C$4:$C$53,カード枠回復_ココ・ユニバース!$A$4:$A$53,A31)</f>
        <v>0</v>
      </c>
      <c r="G31" s="57">
        <f t="shared" si="2"/>
        <v>0</v>
      </c>
      <c r="H31" s="63"/>
    </row>
    <row r="32" spans="1:8" ht="15" customHeight="1">
      <c r="A32" s="56">
        <v>46232</v>
      </c>
      <c r="B32" s="8">
        <f>SUMIFS(入金入力_ココ・ユニバース!$D$4:$D$103,入金入力_ココ・ユニバース!$A$4:$A$103,A32)</f>
        <v>0</v>
      </c>
      <c r="C32" s="8">
        <f>SUMIFS(未払一覧_ココ・ユニバース!$N$4:$N$103,未払一覧_ココ・ユニバース!$M$4:$M$103,A32)</f>
        <v>0</v>
      </c>
      <c r="D32" s="8">
        <f t="shared" si="0"/>
        <v>0</v>
      </c>
      <c r="E32" s="8">
        <f t="shared" si="1"/>
        <v>0</v>
      </c>
      <c r="F32" s="9">
        <f>SUMIFS(カード枠回復_ココ・ユニバース!$C$4:$C$53,カード枠回復_ココ・ユニバース!$A$4:$A$53,A32)</f>
        <v>0</v>
      </c>
      <c r="G32" s="57">
        <f t="shared" si="2"/>
        <v>0</v>
      </c>
      <c r="H32" s="63"/>
    </row>
    <row r="33" spans="1:8" ht="15" customHeight="1">
      <c r="A33" s="56">
        <v>46233</v>
      </c>
      <c r="B33" s="8">
        <f>SUMIFS(入金入力_ココ・ユニバース!$D$4:$D$103,入金入力_ココ・ユニバース!$A$4:$A$103,A33)</f>
        <v>0</v>
      </c>
      <c r="C33" s="8">
        <f>SUMIFS(未払一覧_ココ・ユニバース!$N$4:$N$103,未払一覧_ココ・ユニバース!$M$4:$M$103,A33)</f>
        <v>0</v>
      </c>
      <c r="D33" s="8">
        <f t="shared" si="0"/>
        <v>0</v>
      </c>
      <c r="E33" s="8">
        <f t="shared" si="1"/>
        <v>0</v>
      </c>
      <c r="F33" s="9">
        <f>SUMIFS(カード枠回復_ココ・ユニバース!$C$4:$C$53,カード枠回復_ココ・ユニバース!$A$4:$A$53,A33)</f>
        <v>0</v>
      </c>
      <c r="G33" s="57">
        <f t="shared" si="2"/>
        <v>0</v>
      </c>
      <c r="H33" s="63"/>
    </row>
    <row r="34" spans="1:8" ht="15" customHeight="1">
      <c r="A34" s="56">
        <v>46234</v>
      </c>
      <c r="B34" s="8">
        <f>SUMIFS(入金入力_ココ・ユニバース!$D$4:$D$103,入金入力_ココ・ユニバース!$A$4:$A$103,A34)</f>
        <v>0</v>
      </c>
      <c r="C34" s="8">
        <f>SUMIFS(未払一覧_ココ・ユニバース!$N$4:$N$103,未払一覧_ココ・ユニバース!$M$4:$M$103,A34)</f>
        <v>0</v>
      </c>
      <c r="D34" s="8">
        <f t="shared" si="0"/>
        <v>0</v>
      </c>
      <c r="E34" s="8">
        <f t="shared" si="1"/>
        <v>0</v>
      </c>
      <c r="F34" s="9">
        <f>SUMIFS(カード枠回復_ココ・ユニバース!$C$4:$C$53,カード枠回復_ココ・ユニバース!$A$4:$A$53,A34)</f>
        <v>0</v>
      </c>
      <c r="G34" s="57">
        <f t="shared" si="2"/>
        <v>0</v>
      </c>
      <c r="H34" s="63"/>
    </row>
    <row r="36" spans="1:8" ht="15" customHeight="1">
      <c r="A36" s="11" t="s">
        <v>243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4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36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00" t="s">
        <v>270</v>
      </c>
      <c r="B1" s="100"/>
      <c r="C1" s="100"/>
      <c r="D1" s="100"/>
      <c r="E1" s="100"/>
      <c r="F1" s="100"/>
      <c r="G1" s="100"/>
      <c r="H1" s="100"/>
    </row>
    <row r="2" spans="1:8" ht="15" customHeight="1">
      <c r="A2" s="85" t="s">
        <v>267</v>
      </c>
      <c r="B2" s="85"/>
      <c r="C2" s="85"/>
      <c r="D2" s="85"/>
      <c r="E2" s="85"/>
      <c r="F2" s="85"/>
      <c r="G2" s="85"/>
      <c r="H2" s="85"/>
    </row>
    <row r="3" spans="1:8" ht="23.25" customHeight="1">
      <c r="A3" s="6" t="s">
        <v>83</v>
      </c>
      <c r="B3" s="6" t="s">
        <v>22</v>
      </c>
      <c r="C3" s="6" t="s">
        <v>23</v>
      </c>
      <c r="D3" s="6" t="s">
        <v>233</v>
      </c>
      <c r="E3" s="6" t="s">
        <v>234</v>
      </c>
      <c r="F3" s="6" t="s">
        <v>26</v>
      </c>
      <c r="G3" s="6" t="s">
        <v>235</v>
      </c>
      <c r="H3" s="6" t="s">
        <v>50</v>
      </c>
    </row>
    <row r="4" spans="1:8" ht="15" customHeight="1">
      <c r="A4" s="59">
        <v>46235</v>
      </c>
      <c r="B4" s="8">
        <f>SUMIFS(入金入力_ココ・ユニバース!$D$4:$D$103,入金入力_ココ・ユニバース!$A$4:$A$103,A4)</f>
        <v>0</v>
      </c>
      <c r="C4" s="8">
        <f>SUMIFS(未払一覧_ココ・ユニバース!$N$4:$N$103,未払一覧_ココ・ユニバース!$M$4:$M$103,A4)</f>
        <v>0</v>
      </c>
      <c r="D4" s="8">
        <f t="shared" ref="D4:D34" si="0">B4-C4-F4</f>
        <v>0</v>
      </c>
      <c r="E4" s="8">
        <f>'7月_ココ・ユニバース'!E34+D4</f>
        <v>0</v>
      </c>
      <c r="F4" s="9">
        <f>SUMIFS(カード枠回復_ココ・ユニバース!$C$4:$C$53,カード枠回復_ココ・ユニバース!$A$4:$A$53,A4)</f>
        <v>0</v>
      </c>
      <c r="G4" s="57">
        <f>'7月_ココ・ユニバース'!G34+D4+F4</f>
        <v>0</v>
      </c>
      <c r="H4" s="60" t="s">
        <v>236</v>
      </c>
    </row>
    <row r="5" spans="1:8" ht="15" customHeight="1">
      <c r="A5" s="61">
        <v>46236</v>
      </c>
      <c r="B5" s="8">
        <f>SUMIFS(入金入力_ココ・ユニバース!$D$4:$D$103,入金入力_ココ・ユニバース!$A$4:$A$103,A5)</f>
        <v>0</v>
      </c>
      <c r="C5" s="8">
        <f>SUMIFS(未払一覧_ココ・ユニバース!$N$4:$N$103,未払一覧_ココ・ユニバース!$M$4:$M$103,A5)</f>
        <v>0</v>
      </c>
      <c r="D5" s="8">
        <f t="shared" si="0"/>
        <v>0</v>
      </c>
      <c r="E5" s="8">
        <f t="shared" ref="E5:E34" si="1">E4+D5</f>
        <v>0</v>
      </c>
      <c r="F5" s="9">
        <f>SUMIFS(カード枠回復_ココ・ユニバース!$C$4:$C$53,カード枠回復_ココ・ユニバース!$A$4:$A$53,A5)</f>
        <v>0</v>
      </c>
      <c r="G5" s="57">
        <f t="shared" ref="G5:G34" si="2">G4+D5+F5</f>
        <v>0</v>
      </c>
      <c r="H5" s="60" t="s">
        <v>237</v>
      </c>
    </row>
    <row r="6" spans="1:8" ht="15" customHeight="1">
      <c r="A6" s="56">
        <v>46237</v>
      </c>
      <c r="B6" s="8">
        <f>SUMIFS(入金入力_ココ・ユニバース!$D$4:$D$103,入金入力_ココ・ユニバース!$A$4:$A$103,A6)</f>
        <v>0</v>
      </c>
      <c r="C6" s="8">
        <f>SUMIFS(未払一覧_ココ・ユニバース!$N$4:$N$103,未払一覧_ココ・ユニバース!$M$4:$M$103,A6)</f>
        <v>0</v>
      </c>
      <c r="D6" s="8">
        <f t="shared" si="0"/>
        <v>0</v>
      </c>
      <c r="E6" s="8">
        <f t="shared" si="1"/>
        <v>0</v>
      </c>
      <c r="F6" s="9">
        <f>SUMIFS(カード枠回復_ココ・ユニバース!$C$4:$C$53,カード枠回復_ココ・ユニバース!$A$4:$A$53,A6)</f>
        <v>0</v>
      </c>
      <c r="G6" s="57">
        <f t="shared" si="2"/>
        <v>0</v>
      </c>
      <c r="H6" s="63"/>
    </row>
    <row r="7" spans="1:8" ht="15" customHeight="1">
      <c r="A7" s="56">
        <v>46238</v>
      </c>
      <c r="B7" s="8">
        <f>SUMIFS(入金入力_ココ・ユニバース!$D$4:$D$103,入金入力_ココ・ユニバース!$A$4:$A$103,A7)</f>
        <v>0</v>
      </c>
      <c r="C7" s="8">
        <f>SUMIFS(未払一覧_ココ・ユニバース!$N$4:$N$103,未払一覧_ココ・ユニバース!$M$4:$M$103,A7)</f>
        <v>0</v>
      </c>
      <c r="D7" s="8">
        <f t="shared" si="0"/>
        <v>0</v>
      </c>
      <c r="E7" s="8">
        <f t="shared" si="1"/>
        <v>0</v>
      </c>
      <c r="F7" s="9">
        <f>SUMIFS(カード枠回復_ココ・ユニバース!$C$4:$C$53,カード枠回復_ココ・ユニバース!$A$4:$A$53,A7)</f>
        <v>0</v>
      </c>
      <c r="G7" s="57">
        <f t="shared" si="2"/>
        <v>0</v>
      </c>
      <c r="H7" s="63"/>
    </row>
    <row r="8" spans="1:8" ht="15" customHeight="1">
      <c r="A8" s="56">
        <v>46239</v>
      </c>
      <c r="B8" s="8">
        <f>SUMIFS(入金入力_ココ・ユニバース!$D$4:$D$103,入金入力_ココ・ユニバース!$A$4:$A$103,A8)</f>
        <v>0</v>
      </c>
      <c r="C8" s="8">
        <f>SUMIFS(未払一覧_ココ・ユニバース!$N$4:$N$103,未払一覧_ココ・ユニバース!$M$4:$M$103,A8)</f>
        <v>0</v>
      </c>
      <c r="D8" s="8">
        <f t="shared" si="0"/>
        <v>0</v>
      </c>
      <c r="E8" s="8">
        <f t="shared" si="1"/>
        <v>0</v>
      </c>
      <c r="F8" s="9">
        <f>SUMIFS(カード枠回復_ココ・ユニバース!$C$4:$C$53,カード枠回復_ココ・ユニバース!$A$4:$A$53,A8)</f>
        <v>0</v>
      </c>
      <c r="G8" s="57">
        <f t="shared" si="2"/>
        <v>0</v>
      </c>
      <c r="H8" s="63"/>
    </row>
    <row r="9" spans="1:8" ht="15" customHeight="1">
      <c r="A9" s="56">
        <v>46240</v>
      </c>
      <c r="B9" s="8">
        <f>SUMIFS(入金入力_ココ・ユニバース!$D$4:$D$103,入金入力_ココ・ユニバース!$A$4:$A$103,A9)</f>
        <v>0</v>
      </c>
      <c r="C9" s="8">
        <f>SUMIFS(未払一覧_ココ・ユニバース!$N$4:$N$103,未払一覧_ココ・ユニバース!$M$4:$M$103,A9)</f>
        <v>0</v>
      </c>
      <c r="D9" s="8">
        <f t="shared" si="0"/>
        <v>0</v>
      </c>
      <c r="E9" s="8">
        <f t="shared" si="1"/>
        <v>0</v>
      </c>
      <c r="F9" s="9">
        <f>SUMIFS(カード枠回復_ココ・ユニバース!$C$4:$C$53,カード枠回復_ココ・ユニバース!$A$4:$A$53,A9)</f>
        <v>0</v>
      </c>
      <c r="G9" s="57">
        <f t="shared" si="2"/>
        <v>0</v>
      </c>
      <c r="H9" s="63"/>
    </row>
    <row r="10" spans="1:8" ht="15" customHeight="1">
      <c r="A10" s="56">
        <v>46241</v>
      </c>
      <c r="B10" s="8">
        <f>SUMIFS(入金入力_ココ・ユニバース!$D$4:$D$103,入金入力_ココ・ユニバース!$A$4:$A$103,A10)</f>
        <v>0</v>
      </c>
      <c r="C10" s="8">
        <f>SUMIFS(未払一覧_ココ・ユニバース!$N$4:$N$103,未払一覧_ココ・ユニバース!$M$4:$M$103,A10)</f>
        <v>0</v>
      </c>
      <c r="D10" s="8">
        <f t="shared" si="0"/>
        <v>0</v>
      </c>
      <c r="E10" s="8">
        <f t="shared" si="1"/>
        <v>0</v>
      </c>
      <c r="F10" s="9">
        <f>SUMIFS(カード枠回復_ココ・ユニバース!$C$4:$C$53,カード枠回復_ココ・ユニバース!$A$4:$A$53,A10)</f>
        <v>0</v>
      </c>
      <c r="G10" s="57">
        <f t="shared" si="2"/>
        <v>0</v>
      </c>
      <c r="H10" s="63"/>
    </row>
    <row r="11" spans="1:8" ht="15" customHeight="1">
      <c r="A11" s="59">
        <v>46242</v>
      </c>
      <c r="B11" s="8">
        <f>SUMIFS(入金入力_ココ・ユニバース!$D$4:$D$103,入金入力_ココ・ユニバース!$A$4:$A$103,A11)</f>
        <v>0</v>
      </c>
      <c r="C11" s="8">
        <f>SUMIFS(未払一覧_ココ・ユニバース!$N$4:$N$103,未払一覧_ココ・ユニバース!$M$4:$M$103,A11)</f>
        <v>0</v>
      </c>
      <c r="D11" s="8">
        <f t="shared" si="0"/>
        <v>0</v>
      </c>
      <c r="E11" s="8">
        <f t="shared" si="1"/>
        <v>0</v>
      </c>
      <c r="F11" s="9">
        <f>SUMIFS(カード枠回復_ココ・ユニバース!$C$4:$C$53,カード枠回復_ココ・ユニバース!$A$4:$A$53,A11)</f>
        <v>0</v>
      </c>
      <c r="G11" s="57">
        <f t="shared" si="2"/>
        <v>0</v>
      </c>
      <c r="H11" s="60" t="s">
        <v>236</v>
      </c>
    </row>
    <row r="12" spans="1:8" ht="15" customHeight="1">
      <c r="A12" s="61">
        <v>46243</v>
      </c>
      <c r="B12" s="8">
        <f>SUMIFS(入金入力_ココ・ユニバース!$D$4:$D$103,入金入力_ココ・ユニバース!$A$4:$A$103,A12)</f>
        <v>0</v>
      </c>
      <c r="C12" s="8">
        <f>SUMIFS(未払一覧_ココ・ユニバース!$N$4:$N$103,未払一覧_ココ・ユニバース!$M$4:$M$103,A12)</f>
        <v>0</v>
      </c>
      <c r="D12" s="8">
        <f t="shared" si="0"/>
        <v>0</v>
      </c>
      <c r="E12" s="8">
        <f t="shared" si="1"/>
        <v>0</v>
      </c>
      <c r="F12" s="9">
        <f>SUMIFS(カード枠回復_ココ・ユニバース!$C$4:$C$53,カード枠回復_ココ・ユニバース!$A$4:$A$53,A12)</f>
        <v>0</v>
      </c>
      <c r="G12" s="57">
        <f t="shared" si="2"/>
        <v>0</v>
      </c>
      <c r="H12" s="60" t="s">
        <v>237</v>
      </c>
    </row>
    <row r="13" spans="1:8" ht="15" customHeight="1">
      <c r="A13" s="56">
        <v>46244</v>
      </c>
      <c r="B13" s="8">
        <f>SUMIFS(入金入力_ココ・ユニバース!$D$4:$D$103,入金入力_ココ・ユニバース!$A$4:$A$103,A13)</f>
        <v>0</v>
      </c>
      <c r="C13" s="8">
        <f>SUMIFS(未払一覧_ココ・ユニバース!$N$4:$N$103,未払一覧_ココ・ユニバース!$M$4:$M$103,A13)</f>
        <v>0</v>
      </c>
      <c r="D13" s="8">
        <f t="shared" si="0"/>
        <v>0</v>
      </c>
      <c r="E13" s="8">
        <f t="shared" si="1"/>
        <v>0</v>
      </c>
      <c r="F13" s="9">
        <f>SUMIFS(カード枠回復_ココ・ユニバース!$C$4:$C$53,カード枠回復_ココ・ユニバース!$A$4:$A$53,A13)</f>
        <v>0</v>
      </c>
      <c r="G13" s="57">
        <f t="shared" si="2"/>
        <v>0</v>
      </c>
      <c r="H13" s="63"/>
    </row>
    <row r="14" spans="1:8" ht="15" customHeight="1">
      <c r="A14" s="56">
        <v>46245</v>
      </c>
      <c r="B14" s="8">
        <f>SUMIFS(入金入力_ココ・ユニバース!$D$4:$D$103,入金入力_ココ・ユニバース!$A$4:$A$103,A14)</f>
        <v>0</v>
      </c>
      <c r="C14" s="8">
        <f>SUMIFS(未払一覧_ココ・ユニバース!$N$4:$N$103,未払一覧_ココ・ユニバース!$M$4:$M$103,A14)</f>
        <v>0</v>
      </c>
      <c r="D14" s="8">
        <f t="shared" si="0"/>
        <v>0</v>
      </c>
      <c r="E14" s="8">
        <f t="shared" si="1"/>
        <v>0</v>
      </c>
      <c r="F14" s="9">
        <f>SUMIFS(カード枠回復_ココ・ユニバース!$C$4:$C$53,カード枠回復_ココ・ユニバース!$A$4:$A$53,A14)</f>
        <v>0</v>
      </c>
      <c r="G14" s="57">
        <f t="shared" si="2"/>
        <v>0</v>
      </c>
      <c r="H14" s="63"/>
    </row>
    <row r="15" spans="1:8" ht="15" customHeight="1">
      <c r="A15" s="56">
        <v>46246</v>
      </c>
      <c r="B15" s="8">
        <f>SUMIFS(入金入力_ココ・ユニバース!$D$4:$D$103,入金入力_ココ・ユニバース!$A$4:$A$103,A15)</f>
        <v>0</v>
      </c>
      <c r="C15" s="8">
        <f>SUMIFS(未払一覧_ココ・ユニバース!$N$4:$N$103,未払一覧_ココ・ユニバース!$M$4:$M$103,A15)</f>
        <v>0</v>
      </c>
      <c r="D15" s="8">
        <f t="shared" si="0"/>
        <v>0</v>
      </c>
      <c r="E15" s="8">
        <f t="shared" si="1"/>
        <v>0</v>
      </c>
      <c r="F15" s="9">
        <f>SUMIFS(カード枠回復_ココ・ユニバース!$C$4:$C$53,カード枠回復_ココ・ユニバース!$A$4:$A$53,A15)</f>
        <v>0</v>
      </c>
      <c r="G15" s="57">
        <f t="shared" si="2"/>
        <v>0</v>
      </c>
      <c r="H15" s="63"/>
    </row>
    <row r="16" spans="1:8" ht="15" customHeight="1">
      <c r="A16" s="56">
        <v>46247</v>
      </c>
      <c r="B16" s="8">
        <f>SUMIFS(入金入力_ココ・ユニバース!$D$4:$D$103,入金入力_ココ・ユニバース!$A$4:$A$103,A16)</f>
        <v>0</v>
      </c>
      <c r="C16" s="8">
        <f>SUMIFS(未払一覧_ココ・ユニバース!$N$4:$N$103,未払一覧_ココ・ユニバース!$M$4:$M$103,A16)</f>
        <v>0</v>
      </c>
      <c r="D16" s="8">
        <f t="shared" si="0"/>
        <v>0</v>
      </c>
      <c r="E16" s="8">
        <f t="shared" si="1"/>
        <v>0</v>
      </c>
      <c r="F16" s="9">
        <f>SUMIFS(カード枠回復_ココ・ユニバース!$C$4:$C$53,カード枠回復_ココ・ユニバース!$A$4:$A$53,A16)</f>
        <v>0</v>
      </c>
      <c r="G16" s="57">
        <f t="shared" si="2"/>
        <v>0</v>
      </c>
      <c r="H16" s="63"/>
    </row>
    <row r="17" spans="1:8" ht="15" customHeight="1">
      <c r="A17" s="56">
        <v>46248</v>
      </c>
      <c r="B17" s="8">
        <f>SUMIFS(入金入力_ココ・ユニバース!$D$4:$D$103,入金入力_ココ・ユニバース!$A$4:$A$103,A17)</f>
        <v>0</v>
      </c>
      <c r="C17" s="8">
        <f>SUMIFS(未払一覧_ココ・ユニバース!$N$4:$N$103,未払一覧_ココ・ユニバース!$M$4:$M$103,A17)</f>
        <v>0</v>
      </c>
      <c r="D17" s="8">
        <f t="shared" si="0"/>
        <v>0</v>
      </c>
      <c r="E17" s="8">
        <f t="shared" si="1"/>
        <v>0</v>
      </c>
      <c r="F17" s="9">
        <f>SUMIFS(カード枠回復_ココ・ユニバース!$C$4:$C$53,カード枠回復_ココ・ユニバース!$A$4:$A$53,A17)</f>
        <v>0</v>
      </c>
      <c r="G17" s="57">
        <f t="shared" si="2"/>
        <v>0</v>
      </c>
      <c r="H17" s="63"/>
    </row>
    <row r="18" spans="1:8" ht="15" customHeight="1">
      <c r="A18" s="59">
        <v>46249</v>
      </c>
      <c r="B18" s="8">
        <f>SUMIFS(入金入力_ココ・ユニバース!$D$4:$D$103,入金入力_ココ・ユニバース!$A$4:$A$103,A18)</f>
        <v>0</v>
      </c>
      <c r="C18" s="8">
        <f>SUMIFS(未払一覧_ココ・ユニバース!$N$4:$N$103,未払一覧_ココ・ユニバース!$M$4:$M$103,A18)</f>
        <v>0</v>
      </c>
      <c r="D18" s="8">
        <f t="shared" si="0"/>
        <v>0</v>
      </c>
      <c r="E18" s="8">
        <f t="shared" si="1"/>
        <v>0</v>
      </c>
      <c r="F18" s="9">
        <f>SUMIFS(カード枠回復_ココ・ユニバース!$C$4:$C$53,カード枠回復_ココ・ユニバース!$A$4:$A$53,A18)</f>
        <v>0</v>
      </c>
      <c r="G18" s="57">
        <f t="shared" si="2"/>
        <v>0</v>
      </c>
      <c r="H18" s="60" t="s">
        <v>236</v>
      </c>
    </row>
    <row r="19" spans="1:8" ht="15" customHeight="1">
      <c r="A19" s="61">
        <v>46250</v>
      </c>
      <c r="B19" s="8">
        <f>SUMIFS(入金入力_ココ・ユニバース!$D$4:$D$103,入金入力_ココ・ユニバース!$A$4:$A$103,A19)</f>
        <v>0</v>
      </c>
      <c r="C19" s="8">
        <f>SUMIFS(未払一覧_ココ・ユニバース!$N$4:$N$103,未払一覧_ココ・ユニバース!$M$4:$M$103,A19)</f>
        <v>0</v>
      </c>
      <c r="D19" s="8">
        <f t="shared" si="0"/>
        <v>0</v>
      </c>
      <c r="E19" s="8">
        <f t="shared" si="1"/>
        <v>0</v>
      </c>
      <c r="F19" s="9">
        <f>SUMIFS(カード枠回復_ココ・ユニバース!$C$4:$C$53,カード枠回復_ココ・ユニバース!$A$4:$A$53,A19)</f>
        <v>0</v>
      </c>
      <c r="G19" s="57">
        <f t="shared" si="2"/>
        <v>0</v>
      </c>
      <c r="H19" s="60" t="s">
        <v>237</v>
      </c>
    </row>
    <row r="20" spans="1:8" ht="15" customHeight="1">
      <c r="A20" s="56">
        <v>46251</v>
      </c>
      <c r="B20" s="8">
        <f>SUMIFS(入金入力_ココ・ユニバース!$D$4:$D$103,入金入力_ココ・ユニバース!$A$4:$A$103,A20)</f>
        <v>0</v>
      </c>
      <c r="C20" s="8">
        <f>SUMIFS(未払一覧_ココ・ユニバース!$N$4:$N$103,未払一覧_ココ・ユニバース!$M$4:$M$103,A20)</f>
        <v>0</v>
      </c>
      <c r="D20" s="8">
        <f t="shared" si="0"/>
        <v>0</v>
      </c>
      <c r="E20" s="8">
        <f t="shared" si="1"/>
        <v>0</v>
      </c>
      <c r="F20" s="9">
        <f>SUMIFS(カード枠回復_ココ・ユニバース!$C$4:$C$53,カード枠回復_ココ・ユニバース!$A$4:$A$53,A20)</f>
        <v>0</v>
      </c>
      <c r="G20" s="57">
        <f t="shared" si="2"/>
        <v>0</v>
      </c>
      <c r="H20" s="63"/>
    </row>
    <row r="21" spans="1:8" ht="15" customHeight="1">
      <c r="A21" s="56">
        <v>46252</v>
      </c>
      <c r="B21" s="8">
        <f>SUMIFS(入金入力_ココ・ユニバース!$D$4:$D$103,入金入力_ココ・ユニバース!$A$4:$A$103,A21)</f>
        <v>0</v>
      </c>
      <c r="C21" s="8">
        <f>SUMIFS(未払一覧_ココ・ユニバース!$N$4:$N$103,未払一覧_ココ・ユニバース!$M$4:$M$103,A21)</f>
        <v>0</v>
      </c>
      <c r="D21" s="8">
        <f t="shared" si="0"/>
        <v>0</v>
      </c>
      <c r="E21" s="8">
        <f t="shared" si="1"/>
        <v>0</v>
      </c>
      <c r="F21" s="9">
        <f>SUMIFS(カード枠回復_ココ・ユニバース!$C$4:$C$53,カード枠回復_ココ・ユニバース!$A$4:$A$53,A21)</f>
        <v>0</v>
      </c>
      <c r="G21" s="57">
        <f t="shared" si="2"/>
        <v>0</v>
      </c>
      <c r="H21" s="63"/>
    </row>
    <row r="22" spans="1:8" ht="15" customHeight="1">
      <c r="A22" s="56">
        <v>46253</v>
      </c>
      <c r="B22" s="8">
        <f>SUMIFS(入金入力_ココ・ユニバース!$D$4:$D$103,入金入力_ココ・ユニバース!$A$4:$A$103,A22)</f>
        <v>0</v>
      </c>
      <c r="C22" s="8">
        <f>SUMIFS(未払一覧_ココ・ユニバース!$N$4:$N$103,未払一覧_ココ・ユニバース!$M$4:$M$103,A22)</f>
        <v>0</v>
      </c>
      <c r="D22" s="8">
        <f t="shared" si="0"/>
        <v>0</v>
      </c>
      <c r="E22" s="8">
        <f t="shared" si="1"/>
        <v>0</v>
      </c>
      <c r="F22" s="9">
        <f>SUMIFS(カード枠回復_ココ・ユニバース!$C$4:$C$53,カード枠回復_ココ・ユニバース!$A$4:$A$53,A22)</f>
        <v>0</v>
      </c>
      <c r="G22" s="57">
        <f t="shared" si="2"/>
        <v>0</v>
      </c>
      <c r="H22" s="63"/>
    </row>
    <row r="23" spans="1:8" ht="15" customHeight="1">
      <c r="A23" s="56">
        <v>46254</v>
      </c>
      <c r="B23" s="8">
        <f>SUMIFS(入金入力_ココ・ユニバース!$D$4:$D$103,入金入力_ココ・ユニバース!$A$4:$A$103,A23)</f>
        <v>0</v>
      </c>
      <c r="C23" s="8">
        <f>SUMIFS(未払一覧_ココ・ユニバース!$N$4:$N$103,未払一覧_ココ・ユニバース!$M$4:$M$103,A23)</f>
        <v>0</v>
      </c>
      <c r="D23" s="8">
        <f t="shared" si="0"/>
        <v>0</v>
      </c>
      <c r="E23" s="8">
        <f t="shared" si="1"/>
        <v>0</v>
      </c>
      <c r="F23" s="9">
        <f>SUMIFS(カード枠回復_ココ・ユニバース!$C$4:$C$53,カード枠回復_ココ・ユニバース!$A$4:$A$53,A23)</f>
        <v>0</v>
      </c>
      <c r="G23" s="57">
        <f t="shared" si="2"/>
        <v>0</v>
      </c>
      <c r="H23" s="63"/>
    </row>
    <row r="24" spans="1:8" ht="15" customHeight="1">
      <c r="A24" s="56">
        <v>46255</v>
      </c>
      <c r="B24" s="8">
        <f>SUMIFS(入金入力_ココ・ユニバース!$D$4:$D$103,入金入力_ココ・ユニバース!$A$4:$A$103,A24)</f>
        <v>0</v>
      </c>
      <c r="C24" s="8">
        <f>SUMIFS(未払一覧_ココ・ユニバース!$N$4:$N$103,未払一覧_ココ・ユニバース!$M$4:$M$103,A24)</f>
        <v>0</v>
      </c>
      <c r="D24" s="8">
        <f t="shared" si="0"/>
        <v>0</v>
      </c>
      <c r="E24" s="8">
        <f t="shared" si="1"/>
        <v>0</v>
      </c>
      <c r="F24" s="9">
        <f>SUMIFS(カード枠回復_ココ・ユニバース!$C$4:$C$53,カード枠回復_ココ・ユニバース!$A$4:$A$53,A24)</f>
        <v>0</v>
      </c>
      <c r="G24" s="57">
        <f t="shared" si="2"/>
        <v>0</v>
      </c>
      <c r="H24" s="63"/>
    </row>
    <row r="25" spans="1:8" ht="15" customHeight="1">
      <c r="A25" s="59">
        <v>46256</v>
      </c>
      <c r="B25" s="8">
        <f>SUMIFS(入金入力_ココ・ユニバース!$D$4:$D$103,入金入力_ココ・ユニバース!$A$4:$A$103,A25)</f>
        <v>0</v>
      </c>
      <c r="C25" s="8">
        <f>SUMIFS(未払一覧_ココ・ユニバース!$N$4:$N$103,未払一覧_ココ・ユニバース!$M$4:$M$103,A25)</f>
        <v>0</v>
      </c>
      <c r="D25" s="8">
        <f t="shared" si="0"/>
        <v>0</v>
      </c>
      <c r="E25" s="8">
        <f t="shared" si="1"/>
        <v>0</v>
      </c>
      <c r="F25" s="9">
        <f>SUMIFS(カード枠回復_ココ・ユニバース!$C$4:$C$53,カード枠回復_ココ・ユニバース!$A$4:$A$53,A25)</f>
        <v>0</v>
      </c>
      <c r="G25" s="57">
        <f t="shared" si="2"/>
        <v>0</v>
      </c>
      <c r="H25" s="60" t="s">
        <v>236</v>
      </c>
    </row>
    <row r="26" spans="1:8" ht="15" customHeight="1">
      <c r="A26" s="61">
        <v>46257</v>
      </c>
      <c r="B26" s="8">
        <f>SUMIFS(入金入力_ココ・ユニバース!$D$4:$D$103,入金入力_ココ・ユニバース!$A$4:$A$103,A26)</f>
        <v>0</v>
      </c>
      <c r="C26" s="8">
        <f>SUMIFS(未払一覧_ココ・ユニバース!$N$4:$N$103,未払一覧_ココ・ユニバース!$M$4:$M$103,A26)</f>
        <v>0</v>
      </c>
      <c r="D26" s="8">
        <f t="shared" si="0"/>
        <v>0</v>
      </c>
      <c r="E26" s="8">
        <f t="shared" si="1"/>
        <v>0</v>
      </c>
      <c r="F26" s="9">
        <f>SUMIFS(カード枠回復_ココ・ユニバース!$C$4:$C$53,カード枠回復_ココ・ユニバース!$A$4:$A$53,A26)</f>
        <v>0</v>
      </c>
      <c r="G26" s="57">
        <f t="shared" si="2"/>
        <v>0</v>
      </c>
      <c r="H26" s="60" t="s">
        <v>237</v>
      </c>
    </row>
    <row r="27" spans="1:8" ht="15" customHeight="1">
      <c r="A27" s="56">
        <v>46258</v>
      </c>
      <c r="B27" s="8">
        <f>SUMIFS(入金入力_ココ・ユニバース!$D$4:$D$103,入金入力_ココ・ユニバース!$A$4:$A$103,A27)</f>
        <v>0</v>
      </c>
      <c r="C27" s="8">
        <f>SUMIFS(未払一覧_ココ・ユニバース!$N$4:$N$103,未払一覧_ココ・ユニバース!$M$4:$M$103,A27)</f>
        <v>0</v>
      </c>
      <c r="D27" s="8">
        <f t="shared" si="0"/>
        <v>0</v>
      </c>
      <c r="E27" s="8">
        <f t="shared" si="1"/>
        <v>0</v>
      </c>
      <c r="F27" s="9">
        <f>SUMIFS(カード枠回復_ココ・ユニバース!$C$4:$C$53,カード枠回復_ココ・ユニバース!$A$4:$A$53,A27)</f>
        <v>0</v>
      </c>
      <c r="G27" s="57">
        <f t="shared" si="2"/>
        <v>0</v>
      </c>
      <c r="H27" s="63"/>
    </row>
    <row r="28" spans="1:8" ht="15" customHeight="1">
      <c r="A28" s="56">
        <v>46259</v>
      </c>
      <c r="B28" s="8">
        <f>SUMIFS(入金入力_ココ・ユニバース!$D$4:$D$103,入金入力_ココ・ユニバース!$A$4:$A$103,A28)</f>
        <v>0</v>
      </c>
      <c r="C28" s="8">
        <f>SUMIFS(未払一覧_ココ・ユニバース!$N$4:$N$103,未払一覧_ココ・ユニバース!$M$4:$M$103,A28)</f>
        <v>0</v>
      </c>
      <c r="D28" s="8">
        <f t="shared" si="0"/>
        <v>0</v>
      </c>
      <c r="E28" s="8">
        <f t="shared" si="1"/>
        <v>0</v>
      </c>
      <c r="F28" s="9">
        <f>SUMIFS(カード枠回復_ココ・ユニバース!$C$4:$C$53,カード枠回復_ココ・ユニバース!$A$4:$A$53,A28)</f>
        <v>0</v>
      </c>
      <c r="G28" s="57">
        <f t="shared" si="2"/>
        <v>0</v>
      </c>
      <c r="H28" s="63"/>
    </row>
    <row r="29" spans="1:8" ht="15" customHeight="1">
      <c r="A29" s="56">
        <v>46260</v>
      </c>
      <c r="B29" s="8">
        <f>SUMIFS(入金入力_ココ・ユニバース!$D$4:$D$103,入金入力_ココ・ユニバース!$A$4:$A$103,A29)</f>
        <v>0</v>
      </c>
      <c r="C29" s="8">
        <f>SUMIFS(未払一覧_ココ・ユニバース!$N$4:$N$103,未払一覧_ココ・ユニバース!$M$4:$M$103,A29)</f>
        <v>0</v>
      </c>
      <c r="D29" s="8">
        <f t="shared" si="0"/>
        <v>0</v>
      </c>
      <c r="E29" s="8">
        <f t="shared" si="1"/>
        <v>0</v>
      </c>
      <c r="F29" s="9">
        <f>SUMIFS(カード枠回復_ココ・ユニバース!$C$4:$C$53,カード枠回復_ココ・ユニバース!$A$4:$A$53,A29)</f>
        <v>0</v>
      </c>
      <c r="G29" s="57">
        <f t="shared" si="2"/>
        <v>0</v>
      </c>
      <c r="H29" s="63"/>
    </row>
    <row r="30" spans="1:8" ht="15" customHeight="1">
      <c r="A30" s="56">
        <v>46261</v>
      </c>
      <c r="B30" s="8">
        <f>SUMIFS(入金入力_ココ・ユニバース!$D$4:$D$103,入金入力_ココ・ユニバース!$A$4:$A$103,A30)</f>
        <v>0</v>
      </c>
      <c r="C30" s="8">
        <f>SUMIFS(未払一覧_ココ・ユニバース!$N$4:$N$103,未払一覧_ココ・ユニバース!$M$4:$M$103,A30)</f>
        <v>0</v>
      </c>
      <c r="D30" s="8">
        <f t="shared" si="0"/>
        <v>0</v>
      </c>
      <c r="E30" s="8">
        <f t="shared" si="1"/>
        <v>0</v>
      </c>
      <c r="F30" s="9">
        <f>SUMIFS(カード枠回復_ココ・ユニバース!$C$4:$C$53,カード枠回復_ココ・ユニバース!$A$4:$A$53,A30)</f>
        <v>0</v>
      </c>
      <c r="G30" s="57">
        <f t="shared" si="2"/>
        <v>0</v>
      </c>
      <c r="H30" s="63"/>
    </row>
    <row r="31" spans="1:8" ht="15" customHeight="1">
      <c r="A31" s="56">
        <v>46262</v>
      </c>
      <c r="B31" s="8">
        <f>SUMIFS(入金入力_ココ・ユニバース!$D$4:$D$103,入金入力_ココ・ユニバース!$A$4:$A$103,A31)</f>
        <v>0</v>
      </c>
      <c r="C31" s="8">
        <f>SUMIFS(未払一覧_ココ・ユニバース!$N$4:$N$103,未払一覧_ココ・ユニバース!$M$4:$M$103,A31)</f>
        <v>0</v>
      </c>
      <c r="D31" s="8">
        <f t="shared" si="0"/>
        <v>0</v>
      </c>
      <c r="E31" s="8">
        <f t="shared" si="1"/>
        <v>0</v>
      </c>
      <c r="F31" s="9">
        <f>SUMIFS(カード枠回復_ココ・ユニバース!$C$4:$C$53,カード枠回復_ココ・ユニバース!$A$4:$A$53,A31)</f>
        <v>0</v>
      </c>
      <c r="G31" s="57">
        <f t="shared" si="2"/>
        <v>0</v>
      </c>
      <c r="H31" s="63"/>
    </row>
    <row r="32" spans="1:8" ht="15" customHeight="1">
      <c r="A32" s="59">
        <v>46263</v>
      </c>
      <c r="B32" s="8">
        <f>SUMIFS(入金入力_ココ・ユニバース!$D$4:$D$103,入金入力_ココ・ユニバース!$A$4:$A$103,A32)</f>
        <v>0</v>
      </c>
      <c r="C32" s="8">
        <f>SUMIFS(未払一覧_ココ・ユニバース!$N$4:$N$103,未払一覧_ココ・ユニバース!$M$4:$M$103,A32)</f>
        <v>0</v>
      </c>
      <c r="D32" s="8">
        <f t="shared" si="0"/>
        <v>0</v>
      </c>
      <c r="E32" s="8">
        <f t="shared" si="1"/>
        <v>0</v>
      </c>
      <c r="F32" s="9">
        <f>SUMIFS(カード枠回復_ココ・ユニバース!$C$4:$C$53,カード枠回復_ココ・ユニバース!$A$4:$A$53,A32)</f>
        <v>0</v>
      </c>
      <c r="G32" s="57">
        <f t="shared" si="2"/>
        <v>0</v>
      </c>
      <c r="H32" s="60" t="s">
        <v>236</v>
      </c>
    </row>
    <row r="33" spans="1:8" ht="15" customHeight="1">
      <c r="A33" s="61">
        <v>46264</v>
      </c>
      <c r="B33" s="8">
        <f>SUMIFS(入金入力_ココ・ユニバース!$D$4:$D$103,入金入力_ココ・ユニバース!$A$4:$A$103,A33)</f>
        <v>0</v>
      </c>
      <c r="C33" s="8">
        <f>SUMIFS(未払一覧_ココ・ユニバース!$N$4:$N$103,未払一覧_ココ・ユニバース!$M$4:$M$103,A33)</f>
        <v>0</v>
      </c>
      <c r="D33" s="8">
        <f t="shared" si="0"/>
        <v>0</v>
      </c>
      <c r="E33" s="8">
        <f t="shared" si="1"/>
        <v>0</v>
      </c>
      <c r="F33" s="9">
        <f>SUMIFS(カード枠回復_ココ・ユニバース!$C$4:$C$53,カード枠回復_ココ・ユニバース!$A$4:$A$53,A33)</f>
        <v>0</v>
      </c>
      <c r="G33" s="57">
        <f t="shared" si="2"/>
        <v>0</v>
      </c>
      <c r="H33" s="60" t="s">
        <v>237</v>
      </c>
    </row>
    <row r="34" spans="1:8" ht="15" customHeight="1">
      <c r="A34" s="56">
        <v>46265</v>
      </c>
      <c r="B34" s="8">
        <f>SUMIFS(入金入力_ココ・ユニバース!$D$4:$D$103,入金入力_ココ・ユニバース!$A$4:$A$103,A34)</f>
        <v>0</v>
      </c>
      <c r="C34" s="8">
        <f>SUMIFS(未払一覧_ココ・ユニバース!$N$4:$N$103,未払一覧_ココ・ユニバース!$M$4:$M$103,A34)</f>
        <v>0</v>
      </c>
      <c r="D34" s="8">
        <f t="shared" si="0"/>
        <v>0</v>
      </c>
      <c r="E34" s="8">
        <f t="shared" si="1"/>
        <v>0</v>
      </c>
      <c r="F34" s="9">
        <f>SUMIFS(カード枠回復_ココ・ユニバース!$C$4:$C$53,カード枠回復_ココ・ユニバース!$A$4:$A$53,A34)</f>
        <v>0</v>
      </c>
      <c r="G34" s="57">
        <f t="shared" si="2"/>
        <v>0</v>
      </c>
      <c r="H34" s="63"/>
    </row>
    <row r="36" spans="1:8" ht="15" customHeight="1">
      <c r="A36" s="11" t="s">
        <v>245</v>
      </c>
      <c r="B36" s="12">
        <f>SUM(B4:B34)</f>
        <v>0</v>
      </c>
      <c r="C36" s="12">
        <f>SUM(C4:C34)</f>
        <v>0</v>
      </c>
      <c r="D36" s="12">
        <f>B36-C36-F36</f>
        <v>0</v>
      </c>
      <c r="E36" s="12">
        <f>E34</f>
        <v>0</v>
      </c>
      <c r="F36" s="12">
        <f>SUM(F4:F34)</f>
        <v>0</v>
      </c>
      <c r="G36" s="12">
        <f>G34</f>
        <v>0</v>
      </c>
      <c r="H36" s="64" t="s">
        <v>239</v>
      </c>
    </row>
  </sheetData>
  <mergeCells count="2">
    <mergeCell ref="A1:H1"/>
    <mergeCell ref="A2:H2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C1000"/>
  <sheetViews>
    <sheetView zoomScaleNormal="100" workbookViewId="0">
      <selection sqref="A1:AC1"/>
    </sheetView>
  </sheetViews>
  <sheetFormatPr defaultColWidth="8.7109375" defaultRowHeight="15"/>
  <cols>
    <col min="1" max="1" width="4.85546875" customWidth="1"/>
    <col min="2" max="2" width="3.7109375" customWidth="1"/>
    <col min="3" max="3" width="6.5703125" customWidth="1"/>
    <col min="5" max="5" width="6.140625" customWidth="1"/>
    <col min="6" max="6" width="6.5703125" customWidth="1"/>
    <col min="7" max="7" width="3.5703125" customWidth="1"/>
    <col min="8" max="8" width="6.5703125" customWidth="1"/>
    <col min="9" max="9" width="3.5703125" customWidth="1"/>
    <col min="10" max="10" width="6.5703125" customWidth="1"/>
    <col min="11" max="11" width="3.5703125" customWidth="1"/>
    <col min="12" max="12" width="6.5703125" customWidth="1"/>
    <col min="13" max="13" width="3.5703125" customWidth="1"/>
    <col min="14" max="14" width="6.5703125" customWidth="1"/>
    <col min="15" max="15" width="3.5703125" customWidth="1"/>
    <col min="16" max="16" width="6.5703125" customWidth="1"/>
    <col min="17" max="17" width="3.5703125" customWidth="1"/>
    <col min="18" max="18" width="6.5703125" customWidth="1"/>
    <col min="19" max="19" width="3.5703125" customWidth="1"/>
    <col min="20" max="20" width="6.5703125" customWidth="1"/>
    <col min="21" max="21" width="3.5703125" customWidth="1"/>
    <col min="22" max="22" width="6.5703125" customWidth="1"/>
    <col min="23" max="23" width="3.5703125" customWidth="1"/>
    <col min="24" max="24" width="6.5703125" customWidth="1"/>
    <col min="25" max="25" width="3.5703125" customWidth="1"/>
    <col min="26" max="26" width="6.5703125" customWidth="1"/>
    <col min="27" max="27" width="3.42578125" customWidth="1"/>
    <col min="28" max="28" width="6.5703125" customWidth="1"/>
    <col min="29" max="29" width="3.5703125" customWidth="1"/>
  </cols>
  <sheetData>
    <row r="1" spans="1:29" ht="33" customHeight="1">
      <c r="A1" s="102" t="s">
        <v>271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spans="1:29" ht="18" customHeight="1">
      <c r="A2" s="65" t="s">
        <v>272</v>
      </c>
      <c r="B2" s="65"/>
      <c r="C2" s="65"/>
      <c r="D2" s="103" t="s">
        <v>46</v>
      </c>
      <c r="E2" s="103"/>
      <c r="F2" s="103"/>
      <c r="G2" s="103"/>
      <c r="H2" s="103"/>
      <c r="I2" s="103"/>
      <c r="J2" s="103"/>
      <c r="K2" s="66"/>
      <c r="L2" s="66"/>
      <c r="M2" s="66"/>
      <c r="N2" s="66"/>
      <c r="O2" s="67"/>
      <c r="P2" s="67"/>
      <c r="Q2" s="67"/>
      <c r="R2" s="67"/>
      <c r="S2" s="67"/>
      <c r="T2" s="68" t="s">
        <v>273</v>
      </c>
      <c r="U2" s="68" t="s">
        <v>274</v>
      </c>
      <c r="X2" s="69">
        <v>8</v>
      </c>
      <c r="Y2" s="68" t="s">
        <v>275</v>
      </c>
      <c r="Z2" s="69">
        <v>4</v>
      </c>
      <c r="AA2" s="70" t="s">
        <v>21</v>
      </c>
      <c r="AB2" s="69">
        <v>3</v>
      </c>
      <c r="AC2" s="68" t="s">
        <v>237</v>
      </c>
    </row>
    <row r="3" spans="1:29" ht="18" customHeight="1">
      <c r="A3" s="71"/>
      <c r="B3" s="71"/>
      <c r="C3" s="71"/>
      <c r="D3" s="71"/>
      <c r="E3" s="71"/>
      <c r="F3" s="66"/>
      <c r="G3" s="66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3"/>
      <c r="V3" s="72"/>
      <c r="W3" s="72"/>
      <c r="X3" s="72"/>
      <c r="Y3" s="72"/>
      <c r="Z3" s="72"/>
      <c r="AA3" s="104" t="s">
        <v>276</v>
      </c>
      <c r="AB3" s="104"/>
      <c r="AC3" s="104"/>
    </row>
    <row r="4" spans="1:29" ht="28.5" customHeight="1">
      <c r="A4" s="105"/>
      <c r="B4" s="105"/>
      <c r="C4" s="105"/>
      <c r="D4" s="105"/>
      <c r="E4" s="105"/>
      <c r="F4" s="74">
        <v>5</v>
      </c>
      <c r="G4" s="75" t="s">
        <v>21</v>
      </c>
      <c r="H4" s="74">
        <v>6</v>
      </c>
      <c r="I4" s="75" t="s">
        <v>21</v>
      </c>
      <c r="J4" s="74">
        <v>7</v>
      </c>
      <c r="K4" s="75" t="s">
        <v>21</v>
      </c>
      <c r="L4" s="76">
        <v>8</v>
      </c>
      <c r="M4" s="75" t="s">
        <v>21</v>
      </c>
      <c r="N4" s="76">
        <v>9</v>
      </c>
      <c r="O4" s="75" t="s">
        <v>21</v>
      </c>
      <c r="P4" s="76">
        <v>10</v>
      </c>
      <c r="Q4" s="75" t="s">
        <v>21</v>
      </c>
      <c r="R4" s="76">
        <v>11</v>
      </c>
      <c r="S4" s="75" t="s">
        <v>21</v>
      </c>
      <c r="T4" s="76">
        <v>12</v>
      </c>
      <c r="U4" s="75" t="s">
        <v>21</v>
      </c>
      <c r="V4" s="76">
        <v>1</v>
      </c>
      <c r="W4" s="75" t="s">
        <v>21</v>
      </c>
      <c r="X4" s="76">
        <v>2</v>
      </c>
      <c r="Y4" s="75" t="s">
        <v>21</v>
      </c>
      <c r="Z4" s="76">
        <v>3</v>
      </c>
      <c r="AA4" s="75" t="s">
        <v>21</v>
      </c>
      <c r="AB4" s="77">
        <v>4</v>
      </c>
      <c r="AC4" s="78" t="s">
        <v>21</v>
      </c>
    </row>
    <row r="5" spans="1:29" ht="15.75" customHeight="1">
      <c r="A5" s="106" t="s">
        <v>277</v>
      </c>
      <c r="B5" s="106"/>
      <c r="C5" s="106"/>
      <c r="D5" s="106"/>
      <c r="E5" s="106"/>
      <c r="F5" s="107">
        <f>資金繰り_レジデンス!F5+資金繰り_リゾート・モーテル!F5+資金繰り_ザック!F5</f>
        <v>21100</v>
      </c>
      <c r="G5" s="107"/>
      <c r="H5" s="107">
        <f>資金繰り_レジデンス!H5+資金繰り_リゾート・モーテル!H5+資金繰り_ザック!H5</f>
        <v>0</v>
      </c>
      <c r="I5" s="107"/>
      <c r="J5" s="107">
        <f>資金繰り_レジデンス!J5+資金繰り_リゾート・モーテル!J5+資金繰り_ザック!J5</f>
        <v>0</v>
      </c>
      <c r="K5" s="107"/>
      <c r="L5" s="107">
        <f>資金繰り_レジデンス!L5+資金繰り_リゾート・モーテル!L5+資金繰り_ザック!L5</f>
        <v>0</v>
      </c>
      <c r="M5" s="107"/>
      <c r="N5" s="107">
        <f>資金繰り_レジデンス!N5+資金繰り_リゾート・モーテル!N5+資金繰り_ザック!N5</f>
        <v>0</v>
      </c>
      <c r="O5" s="107"/>
      <c r="P5" s="107">
        <f>資金繰り_レジデンス!P5+資金繰り_リゾート・モーテル!P5+資金繰り_ザック!P5</f>
        <v>0</v>
      </c>
      <c r="Q5" s="107"/>
      <c r="R5" s="107">
        <f>資金繰り_レジデンス!R5+資金繰り_リゾート・モーテル!R5+資金繰り_ザック!R5</f>
        <v>0</v>
      </c>
      <c r="S5" s="107"/>
      <c r="T5" s="107">
        <f>資金繰り_レジデンス!T5+資金繰り_リゾート・モーテル!T5+資金繰り_ザック!T5</f>
        <v>0</v>
      </c>
      <c r="U5" s="107"/>
      <c r="V5" s="107">
        <f>資金繰り_レジデンス!V5+資金繰り_リゾート・モーテル!V5+資金繰り_ザック!V5</f>
        <v>0</v>
      </c>
      <c r="W5" s="107"/>
      <c r="X5" s="107">
        <f>資金繰り_レジデンス!X5+資金繰り_リゾート・モーテル!X5+資金繰り_ザック!X5</f>
        <v>0</v>
      </c>
      <c r="Y5" s="107"/>
      <c r="Z5" s="107">
        <f>資金繰り_レジデンス!Z5+資金繰り_リゾート・モーテル!Z5+資金繰り_ザック!Z5</f>
        <v>0</v>
      </c>
      <c r="AA5" s="107"/>
      <c r="AB5" s="107">
        <f>資金繰り_レジデンス!AB5+資金繰り_リゾート・モーテル!AB5+資金繰り_ザック!AB5</f>
        <v>0</v>
      </c>
      <c r="AC5" s="107"/>
    </row>
    <row r="6" spans="1:29" ht="15.75" customHeight="1">
      <c r="A6" s="112" t="s">
        <v>278</v>
      </c>
      <c r="B6" s="112"/>
      <c r="C6" s="112"/>
      <c r="D6" s="112"/>
      <c r="E6" s="112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spans="1:29" ht="15.75" customHeight="1">
      <c r="A7" s="108" t="s">
        <v>279</v>
      </c>
      <c r="B7" s="108"/>
      <c r="C7" s="108"/>
      <c r="D7" s="108"/>
      <c r="E7" s="108"/>
      <c r="F7" s="109">
        <v>0</v>
      </c>
      <c r="G7" s="109"/>
      <c r="H7" s="110">
        <f>F31</f>
        <v>10821.609</v>
      </c>
      <c r="I7" s="110"/>
      <c r="J7" s="110">
        <f>H31</f>
        <v>10821.609</v>
      </c>
      <c r="K7" s="110"/>
      <c r="L7" s="110">
        <f>J31</f>
        <v>10821.609</v>
      </c>
      <c r="M7" s="110"/>
      <c r="N7" s="110">
        <f>L31</f>
        <v>10821.609</v>
      </c>
      <c r="O7" s="110"/>
      <c r="P7" s="110">
        <f>N31</f>
        <v>10821.609</v>
      </c>
      <c r="Q7" s="110"/>
      <c r="R7" s="110">
        <f>P31</f>
        <v>10821.609</v>
      </c>
      <c r="S7" s="110"/>
      <c r="T7" s="110">
        <f>R31</f>
        <v>10821.609</v>
      </c>
      <c r="U7" s="110"/>
      <c r="V7" s="110">
        <f>T31</f>
        <v>10821.609</v>
      </c>
      <c r="W7" s="110"/>
      <c r="X7" s="110">
        <f>V31</f>
        <v>10821.609</v>
      </c>
      <c r="Y7" s="110"/>
      <c r="Z7" s="110">
        <f>X31</f>
        <v>10821.609</v>
      </c>
      <c r="AA7" s="110"/>
      <c r="AB7" s="111">
        <f>Z31</f>
        <v>10821.609</v>
      </c>
      <c r="AC7" s="111"/>
    </row>
    <row r="8" spans="1:29" ht="15.75" customHeight="1">
      <c r="A8" s="113" t="s">
        <v>280</v>
      </c>
      <c r="B8" s="114" t="s">
        <v>281</v>
      </c>
      <c r="C8" s="115" t="s">
        <v>282</v>
      </c>
      <c r="D8" s="116" t="s">
        <v>125</v>
      </c>
      <c r="E8" s="116"/>
      <c r="F8" s="117">
        <f>資金繰り_レジデンス!F8+資金繰り_リゾート・モーテル!F8+資金繰り_ザック!F8</f>
        <v>21100</v>
      </c>
      <c r="G8" s="117"/>
      <c r="H8" s="117">
        <f>資金繰り_レジデンス!H8+資金繰り_リゾート・モーテル!H8+資金繰り_ザック!H8</f>
        <v>0</v>
      </c>
      <c r="I8" s="117"/>
      <c r="J8" s="117">
        <f>資金繰り_レジデンス!J8+資金繰り_リゾート・モーテル!J8+資金繰り_ザック!J8</f>
        <v>0</v>
      </c>
      <c r="K8" s="117"/>
      <c r="L8" s="117">
        <f>資金繰り_レジデンス!L8+資金繰り_リゾート・モーテル!L8+資金繰り_ザック!L8</f>
        <v>0</v>
      </c>
      <c r="M8" s="117"/>
      <c r="N8" s="118"/>
      <c r="O8" s="118"/>
      <c r="P8" s="118"/>
      <c r="Q8" s="118"/>
      <c r="R8" s="117"/>
      <c r="S8" s="117"/>
      <c r="T8" s="117"/>
      <c r="U8" s="117"/>
      <c r="V8" s="117"/>
      <c r="W8" s="117"/>
      <c r="X8" s="117"/>
      <c r="Y8" s="117"/>
      <c r="Z8" s="118"/>
      <c r="AA8" s="118"/>
      <c r="AB8" s="118"/>
      <c r="AC8" s="118"/>
    </row>
    <row r="9" spans="1:29" ht="15.75" customHeight="1">
      <c r="A9" s="113"/>
      <c r="B9" s="114"/>
      <c r="C9" s="115"/>
      <c r="D9" s="119" t="s">
        <v>283</v>
      </c>
      <c r="E9" s="119"/>
      <c r="F9" s="120">
        <f>資金繰り_レジデンス!F9+資金繰り_リゾート・モーテル!F9+資金繰り_ザック!F9</f>
        <v>0</v>
      </c>
      <c r="G9" s="120"/>
      <c r="H9" s="120">
        <f>資金繰り_レジデンス!H9+資金繰り_リゾート・モーテル!H9+資金繰り_ザック!H9</f>
        <v>0</v>
      </c>
      <c r="I9" s="120"/>
      <c r="J9" s="120">
        <f>資金繰り_レジデンス!J9+資金繰り_リゾート・モーテル!J9+資金繰り_ザック!J9</f>
        <v>0</v>
      </c>
      <c r="K9" s="120"/>
      <c r="L9" s="120">
        <f>資金繰り_レジデンス!L9+資金繰り_リゾート・モーテル!L9+資金繰り_ザック!L9</f>
        <v>0</v>
      </c>
      <c r="M9" s="120"/>
      <c r="N9" s="121"/>
      <c r="O9" s="121"/>
      <c r="P9" s="121"/>
      <c r="Q9" s="121"/>
      <c r="R9" s="120"/>
      <c r="S9" s="120"/>
      <c r="T9" s="120"/>
      <c r="U9" s="120"/>
      <c r="V9" s="120"/>
      <c r="W9" s="120"/>
      <c r="X9" s="120"/>
      <c r="Y9" s="120"/>
      <c r="Z9" s="121"/>
      <c r="AA9" s="121"/>
      <c r="AB9" s="121"/>
      <c r="AC9" s="121"/>
    </row>
    <row r="10" spans="1:29" ht="15.75" customHeight="1">
      <c r="A10" s="113"/>
      <c r="B10" s="114"/>
      <c r="C10" s="115"/>
      <c r="D10" s="119" t="s">
        <v>284</v>
      </c>
      <c r="E10" s="119"/>
      <c r="F10" s="120">
        <f>資金繰り_レジデンス!F10+資金繰り_リゾート・モーテル!F10+資金繰り_ザック!F10</f>
        <v>0</v>
      </c>
      <c r="G10" s="120"/>
      <c r="H10" s="120">
        <f>資金繰り_レジデンス!H10+資金繰り_リゾート・モーテル!H10+資金繰り_ザック!H10</f>
        <v>0</v>
      </c>
      <c r="I10" s="120"/>
      <c r="J10" s="120">
        <f>資金繰り_レジデンス!J10+資金繰り_リゾート・モーテル!J10+資金繰り_ザック!J10</f>
        <v>0</v>
      </c>
      <c r="K10" s="120"/>
      <c r="L10" s="120">
        <f>資金繰り_レジデンス!L10+資金繰り_リゾート・モーテル!L10+資金繰り_ザック!L10</f>
        <v>0</v>
      </c>
      <c r="M10" s="120"/>
      <c r="N10" s="121"/>
      <c r="O10" s="121"/>
      <c r="P10" s="121"/>
      <c r="Q10" s="121"/>
      <c r="R10" s="120"/>
      <c r="S10" s="120"/>
      <c r="T10" s="120"/>
      <c r="U10" s="120"/>
      <c r="V10" s="120"/>
      <c r="W10" s="120"/>
      <c r="X10" s="120"/>
      <c r="Y10" s="120"/>
      <c r="Z10" s="121"/>
      <c r="AA10" s="121"/>
      <c r="AB10" s="124"/>
      <c r="AC10" s="124"/>
    </row>
    <row r="11" spans="1:29" ht="15.75" customHeight="1">
      <c r="A11" s="113"/>
      <c r="B11" s="114"/>
      <c r="C11" s="115"/>
      <c r="D11" s="119" t="s">
        <v>285</v>
      </c>
      <c r="E11" s="119"/>
      <c r="F11" s="120">
        <f>資金繰り_レジデンス!F11+資金繰り_リゾート・モーテル!F11+資金繰り_ザック!F11</f>
        <v>0</v>
      </c>
      <c r="G11" s="120"/>
      <c r="H11" s="120">
        <f>資金繰り_レジデンス!H11+資金繰り_リゾート・モーテル!H11+資金繰り_ザック!H11</f>
        <v>0</v>
      </c>
      <c r="I11" s="120"/>
      <c r="J11" s="120">
        <f>資金繰り_レジデンス!J11+資金繰り_リゾート・モーテル!J11+資金繰り_ザック!J11</f>
        <v>0</v>
      </c>
      <c r="K11" s="120"/>
      <c r="L11" s="120">
        <f>資金繰り_レジデンス!L11+資金繰り_リゾート・モーテル!L11+資金繰り_ザック!L11</f>
        <v>0</v>
      </c>
      <c r="M11" s="120"/>
      <c r="N11" s="121"/>
      <c r="O11" s="121"/>
      <c r="P11" s="121"/>
      <c r="Q11" s="121"/>
      <c r="R11" s="120"/>
      <c r="S11" s="120"/>
      <c r="T11" s="120"/>
      <c r="U11" s="120"/>
      <c r="V11" s="120"/>
      <c r="W11" s="120"/>
      <c r="X11" s="120"/>
      <c r="Y11" s="120"/>
      <c r="Z11" s="121"/>
      <c r="AA11" s="121"/>
      <c r="AB11" s="121"/>
      <c r="AC11" s="121"/>
    </row>
    <row r="12" spans="1:29" ht="15.75" customHeight="1">
      <c r="A12" s="113"/>
      <c r="B12" s="114"/>
      <c r="C12" s="122" t="s">
        <v>286</v>
      </c>
      <c r="D12" s="122"/>
      <c r="E12" s="122"/>
      <c r="F12" s="123">
        <f>SUM(F8:F11)</f>
        <v>21100</v>
      </c>
      <c r="G12" s="123"/>
      <c r="H12" s="123">
        <f>SUM(H8:H11)</f>
        <v>0</v>
      </c>
      <c r="I12" s="123"/>
      <c r="J12" s="123">
        <f>SUM(J8:J11)</f>
        <v>0</v>
      </c>
      <c r="K12" s="123"/>
      <c r="L12" s="123">
        <f>SUM(L8:L11)</f>
        <v>0</v>
      </c>
      <c r="M12" s="123"/>
      <c r="N12" s="123">
        <f>SUM(N8:N11)</f>
        <v>0</v>
      </c>
      <c r="O12" s="123"/>
      <c r="P12" s="123">
        <f>SUM(P8:P11)</f>
        <v>0</v>
      </c>
      <c r="Q12" s="123"/>
      <c r="R12" s="123">
        <f>SUM(R8:R11)</f>
        <v>0</v>
      </c>
      <c r="S12" s="123"/>
      <c r="T12" s="123">
        <f>SUM(T8:T11)</f>
        <v>0</v>
      </c>
      <c r="U12" s="123"/>
      <c r="V12" s="123">
        <f>SUM(V8:V11)</f>
        <v>0</v>
      </c>
      <c r="W12" s="123"/>
      <c r="X12" s="123">
        <f>SUM(X8:X11)</f>
        <v>0</v>
      </c>
      <c r="Y12" s="123"/>
      <c r="Z12" s="123">
        <f>SUM(Z8:Z11)</f>
        <v>0</v>
      </c>
      <c r="AA12" s="123"/>
      <c r="AB12" s="125">
        <f>SUM(AB8:AB11)</f>
        <v>0</v>
      </c>
      <c r="AC12" s="125"/>
    </row>
    <row r="13" spans="1:29" ht="15.75" customHeight="1">
      <c r="A13" s="113"/>
      <c r="B13" s="126" t="s">
        <v>287</v>
      </c>
      <c r="C13" s="127" t="s">
        <v>288</v>
      </c>
      <c r="D13" s="119" t="s">
        <v>289</v>
      </c>
      <c r="E13" s="119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</row>
    <row r="14" spans="1:29" ht="15.75" customHeight="1">
      <c r="A14" s="113"/>
      <c r="B14" s="126"/>
      <c r="C14" s="127"/>
      <c r="D14" s="119" t="s">
        <v>60</v>
      </c>
      <c r="E14" s="119"/>
      <c r="F14" s="120">
        <f>資金繰り_レジデンス!F14+資金繰り_リゾート・モーテル!F14+資金繰り_ザック!F14</f>
        <v>10278.391</v>
      </c>
      <c r="G14" s="120"/>
      <c r="H14" s="120">
        <f>資金繰り_レジデンス!H14+資金繰り_リゾート・モーテル!H14+資金繰り_ザック!H14</f>
        <v>0</v>
      </c>
      <c r="I14" s="120"/>
      <c r="J14" s="120">
        <f>資金繰り_レジデンス!J14+資金繰り_リゾート・モーテル!J14+資金繰り_ザック!J14</f>
        <v>0</v>
      </c>
      <c r="K14" s="120"/>
      <c r="L14" s="120">
        <f>資金繰り_レジデンス!L14+資金繰り_リゾート・モーテル!L14+資金繰り_ザック!L14</f>
        <v>0</v>
      </c>
      <c r="M14" s="120"/>
      <c r="N14" s="121"/>
      <c r="O14" s="121"/>
      <c r="P14" s="121"/>
      <c r="Q14" s="121"/>
      <c r="R14" s="120"/>
      <c r="S14" s="120"/>
      <c r="T14" s="120"/>
      <c r="U14" s="120"/>
      <c r="V14" s="120"/>
      <c r="W14" s="120"/>
      <c r="X14" s="120"/>
      <c r="Y14" s="120"/>
      <c r="Z14" s="121"/>
      <c r="AA14" s="121"/>
      <c r="AB14" s="121"/>
      <c r="AC14" s="121"/>
    </row>
    <row r="15" spans="1:29" ht="15.75" customHeight="1">
      <c r="A15" s="113"/>
      <c r="B15" s="126"/>
      <c r="C15" s="127"/>
      <c r="D15" s="119" t="s">
        <v>290</v>
      </c>
      <c r="E15" s="119"/>
      <c r="F15" s="120">
        <f>資金繰り_レジデンス!F15+資金繰り_リゾート・モーテル!F15+資金繰り_ザック!F15</f>
        <v>0</v>
      </c>
      <c r="G15" s="120"/>
      <c r="H15" s="120">
        <f>資金繰り_レジデンス!H15+資金繰り_リゾート・モーテル!H15+資金繰り_ザック!H15</f>
        <v>0</v>
      </c>
      <c r="I15" s="120"/>
      <c r="J15" s="120">
        <f>資金繰り_レジデンス!J15+資金繰り_リゾート・モーテル!J15+資金繰り_ザック!J15</f>
        <v>0</v>
      </c>
      <c r="K15" s="120"/>
      <c r="L15" s="120">
        <f>資金繰り_レジデンス!L15+資金繰り_リゾート・モーテル!L15+資金繰り_ザック!L15</f>
        <v>0</v>
      </c>
      <c r="M15" s="120"/>
      <c r="N15" s="121"/>
      <c r="O15" s="121"/>
      <c r="P15" s="121"/>
      <c r="Q15" s="121"/>
      <c r="R15" s="120"/>
      <c r="S15" s="120"/>
      <c r="T15" s="120"/>
      <c r="U15" s="120"/>
      <c r="V15" s="120"/>
      <c r="W15" s="120"/>
      <c r="X15" s="120"/>
      <c r="Y15" s="120"/>
      <c r="Z15" s="121"/>
      <c r="AA15" s="121"/>
      <c r="AB15" s="121"/>
      <c r="AC15" s="121"/>
    </row>
    <row r="16" spans="1:29" ht="15.75" customHeight="1">
      <c r="A16" s="113"/>
      <c r="B16" s="126"/>
      <c r="C16" s="127" t="s">
        <v>291</v>
      </c>
      <c r="D16" s="119" t="s">
        <v>76</v>
      </c>
      <c r="E16" s="119"/>
      <c r="F16" s="120">
        <f>資金繰り_レジデンス!F16+資金繰り_リゾート・モーテル!F16+資金繰り_ザック!F16</f>
        <v>0</v>
      </c>
      <c r="G16" s="120"/>
      <c r="H16" s="120">
        <f>資金繰り_レジデンス!H16+資金繰り_リゾート・モーテル!H16+資金繰り_ザック!H16</f>
        <v>0</v>
      </c>
      <c r="I16" s="120"/>
      <c r="J16" s="120">
        <f>資金繰り_レジデンス!J16+資金繰り_リゾート・モーテル!J16+資金繰り_ザック!J16</f>
        <v>0</v>
      </c>
      <c r="K16" s="120"/>
      <c r="L16" s="120">
        <f>資金繰り_レジデンス!L16+資金繰り_リゾート・モーテル!L16+資金繰り_ザック!L16</f>
        <v>0</v>
      </c>
      <c r="M16" s="120"/>
      <c r="N16" s="121"/>
      <c r="O16" s="121"/>
      <c r="P16" s="121"/>
      <c r="Q16" s="121"/>
      <c r="R16" s="120"/>
      <c r="S16" s="120"/>
      <c r="T16" s="120"/>
      <c r="U16" s="120"/>
      <c r="V16" s="120"/>
      <c r="W16" s="120"/>
      <c r="X16" s="120"/>
      <c r="Y16" s="120"/>
      <c r="Z16" s="121"/>
      <c r="AA16" s="121"/>
      <c r="AB16" s="121"/>
      <c r="AC16" s="121"/>
    </row>
    <row r="17" spans="1:29" ht="15.75" customHeight="1">
      <c r="A17" s="113"/>
      <c r="B17" s="126"/>
      <c r="C17" s="127"/>
      <c r="D17" s="119" t="s">
        <v>77</v>
      </c>
      <c r="E17" s="119"/>
      <c r="F17" s="120">
        <f>資金繰り_レジデンス!F17+資金繰り_リゾート・モーテル!F17+資金繰り_ザック!F17</f>
        <v>0</v>
      </c>
      <c r="G17" s="120"/>
      <c r="H17" s="120">
        <f>資金繰り_レジデンス!H17+資金繰り_リゾート・モーテル!H17+資金繰り_ザック!H17</f>
        <v>0</v>
      </c>
      <c r="I17" s="120"/>
      <c r="J17" s="120">
        <f>資金繰り_レジデンス!J17+資金繰り_リゾート・モーテル!J17+資金繰り_ザック!J17</f>
        <v>0</v>
      </c>
      <c r="K17" s="120"/>
      <c r="L17" s="120">
        <f>資金繰り_レジデンス!L17+資金繰り_リゾート・モーテル!L17+資金繰り_ザック!L17</f>
        <v>0</v>
      </c>
      <c r="M17" s="120"/>
      <c r="N17" s="121"/>
      <c r="O17" s="121"/>
      <c r="P17" s="121"/>
      <c r="Q17" s="121"/>
      <c r="R17" s="120"/>
      <c r="S17" s="120"/>
      <c r="T17" s="120"/>
      <c r="U17" s="120"/>
      <c r="V17" s="120"/>
      <c r="W17" s="120"/>
      <c r="X17" s="120"/>
      <c r="Y17" s="120"/>
      <c r="Z17" s="121"/>
      <c r="AA17" s="121"/>
      <c r="AB17" s="121"/>
      <c r="AC17" s="121"/>
    </row>
    <row r="18" spans="1:29" ht="15.75" customHeight="1">
      <c r="A18" s="113"/>
      <c r="B18" s="126"/>
      <c r="C18" s="127"/>
      <c r="D18" s="119" t="s">
        <v>78</v>
      </c>
      <c r="E18" s="119"/>
      <c r="F18" s="120">
        <f>資金繰り_レジデンス!F18+資金繰り_リゾート・モーテル!F18+資金繰り_ザック!F18</f>
        <v>0</v>
      </c>
      <c r="G18" s="120"/>
      <c r="H18" s="120">
        <f>資金繰り_レジデンス!H18+資金繰り_リゾート・モーテル!H18+資金繰り_ザック!H18</f>
        <v>0</v>
      </c>
      <c r="I18" s="120"/>
      <c r="J18" s="120">
        <f>資金繰り_レジデンス!J18+資金繰り_リゾート・モーテル!J18+資金繰り_ザック!J18</f>
        <v>0</v>
      </c>
      <c r="K18" s="120"/>
      <c r="L18" s="120">
        <f>資金繰り_レジデンス!L18+資金繰り_リゾート・モーテル!L18+資金繰り_ザック!L18</f>
        <v>0</v>
      </c>
      <c r="M18" s="120"/>
      <c r="N18" s="121"/>
      <c r="O18" s="121"/>
      <c r="P18" s="121"/>
      <c r="Q18" s="121"/>
      <c r="R18" s="120"/>
      <c r="S18" s="120"/>
      <c r="T18" s="120"/>
      <c r="U18" s="120"/>
      <c r="V18" s="120"/>
      <c r="W18" s="120"/>
      <c r="X18" s="120"/>
      <c r="Y18" s="120"/>
      <c r="Z18" s="121"/>
      <c r="AA18" s="121"/>
      <c r="AB18" s="121"/>
      <c r="AC18" s="121"/>
    </row>
    <row r="19" spans="1:29" ht="15.75" customHeight="1">
      <c r="A19" s="113"/>
      <c r="B19" s="126"/>
      <c r="C19" s="127"/>
      <c r="D19" s="119" t="s">
        <v>79</v>
      </c>
      <c r="E19" s="119"/>
      <c r="F19" s="120">
        <f>資金繰り_レジデンス!F19+資金繰り_リゾート・モーテル!F19+資金繰り_ザック!F19</f>
        <v>0</v>
      </c>
      <c r="G19" s="120"/>
      <c r="H19" s="120">
        <f>資金繰り_レジデンス!H19+資金繰り_リゾート・モーテル!H19+資金繰り_ザック!H19</f>
        <v>0</v>
      </c>
      <c r="I19" s="120"/>
      <c r="J19" s="120">
        <f>資金繰り_レジデンス!J19+資金繰り_リゾート・モーテル!J19+資金繰り_ザック!J19</f>
        <v>0</v>
      </c>
      <c r="K19" s="120"/>
      <c r="L19" s="120">
        <f>資金繰り_レジデンス!L19+資金繰り_リゾート・モーテル!L19+資金繰り_ザック!L19</f>
        <v>0</v>
      </c>
      <c r="M19" s="120"/>
      <c r="N19" s="121"/>
      <c r="O19" s="121"/>
      <c r="P19" s="121"/>
      <c r="Q19" s="121"/>
      <c r="R19" s="120"/>
      <c r="S19" s="120"/>
      <c r="T19" s="120"/>
      <c r="U19" s="120"/>
      <c r="V19" s="120"/>
      <c r="W19" s="120"/>
      <c r="X19" s="120"/>
      <c r="Y19" s="120"/>
      <c r="Z19" s="121"/>
      <c r="AA19" s="121"/>
      <c r="AB19" s="121"/>
      <c r="AC19" s="121"/>
    </row>
    <row r="20" spans="1:29" ht="15.75" customHeight="1">
      <c r="A20" s="113"/>
      <c r="B20" s="126"/>
      <c r="C20" s="127"/>
      <c r="D20" s="119" t="s">
        <v>70</v>
      </c>
      <c r="E20" s="119"/>
      <c r="F20" s="120">
        <f>資金繰り_レジデンス!F20+資金繰り_リゾート・モーテル!F20+資金繰り_ザック!F20</f>
        <v>0</v>
      </c>
      <c r="G20" s="120"/>
      <c r="H20" s="120">
        <f>資金繰り_レジデンス!H20+資金繰り_リゾート・モーテル!H20+資金繰り_ザック!H20</f>
        <v>0</v>
      </c>
      <c r="I20" s="120"/>
      <c r="J20" s="120">
        <f>資金繰り_レジデンス!J20+資金繰り_リゾート・モーテル!J20+資金繰り_ザック!J20</f>
        <v>0</v>
      </c>
      <c r="K20" s="120"/>
      <c r="L20" s="120">
        <f>資金繰り_レジデンス!L20+資金繰り_リゾート・モーテル!L20+資金繰り_ザック!L20</f>
        <v>0</v>
      </c>
      <c r="M20" s="120"/>
      <c r="N20" s="121"/>
      <c r="O20" s="121"/>
      <c r="P20" s="121"/>
      <c r="Q20" s="121"/>
      <c r="R20" s="120"/>
      <c r="S20" s="120"/>
      <c r="T20" s="120"/>
      <c r="U20" s="120"/>
      <c r="V20" s="120"/>
      <c r="W20" s="120"/>
      <c r="X20" s="120"/>
      <c r="Y20" s="120"/>
      <c r="Z20" s="121"/>
      <c r="AA20" s="121"/>
      <c r="AB20" s="121"/>
      <c r="AC20" s="121"/>
    </row>
    <row r="21" spans="1:29" ht="15.75" customHeight="1">
      <c r="A21" s="113"/>
      <c r="B21" s="126"/>
      <c r="C21" s="127"/>
      <c r="D21" s="119" t="s">
        <v>72</v>
      </c>
      <c r="E21" s="119"/>
      <c r="F21" s="120">
        <f>資金繰り_レジデンス!F21+資金繰り_リゾート・モーテル!F21+資金繰り_ザック!F21</f>
        <v>0</v>
      </c>
      <c r="G21" s="120"/>
      <c r="H21" s="120">
        <f>資金繰り_レジデンス!H21+資金繰り_リゾート・モーテル!H21+資金繰り_ザック!H21</f>
        <v>0</v>
      </c>
      <c r="I21" s="120"/>
      <c r="J21" s="120">
        <f>資金繰り_レジデンス!J21+資金繰り_リゾート・モーテル!J21+資金繰り_ザック!J21</f>
        <v>0</v>
      </c>
      <c r="K21" s="120"/>
      <c r="L21" s="120">
        <f>資金繰り_レジデンス!L21+資金繰り_リゾート・モーテル!L21+資金繰り_ザック!L21</f>
        <v>0</v>
      </c>
      <c r="M21" s="120"/>
      <c r="N21" s="121"/>
      <c r="O21" s="121"/>
      <c r="P21" s="121"/>
      <c r="Q21" s="121"/>
      <c r="R21" s="120"/>
      <c r="S21" s="120"/>
      <c r="T21" s="120"/>
      <c r="U21" s="120"/>
      <c r="V21" s="120"/>
      <c r="W21" s="120"/>
      <c r="X21" s="120"/>
      <c r="Y21" s="120"/>
      <c r="Z21" s="121"/>
      <c r="AA21" s="121"/>
      <c r="AB21" s="121"/>
      <c r="AC21" s="121"/>
    </row>
    <row r="22" spans="1:29" ht="15.75" customHeight="1">
      <c r="A22" s="113"/>
      <c r="B22" s="126"/>
      <c r="C22" s="122" t="s">
        <v>292</v>
      </c>
      <c r="D22" s="122"/>
      <c r="E22" s="122"/>
      <c r="F22" s="123">
        <f>SUM(F13:F21)</f>
        <v>10278.391</v>
      </c>
      <c r="G22" s="123"/>
      <c r="H22" s="123">
        <f>SUM(H13:H21)</f>
        <v>0</v>
      </c>
      <c r="I22" s="123"/>
      <c r="J22" s="123">
        <f>SUM(J13:J21)</f>
        <v>0</v>
      </c>
      <c r="K22" s="123"/>
      <c r="L22" s="123">
        <f>SUM(L13:L21)</f>
        <v>0</v>
      </c>
      <c r="M22" s="123"/>
      <c r="N22" s="123">
        <f>SUM(N13:N21)</f>
        <v>0</v>
      </c>
      <c r="O22" s="123"/>
      <c r="P22" s="123">
        <f>SUM(P13:P21)</f>
        <v>0</v>
      </c>
      <c r="Q22" s="123"/>
      <c r="R22" s="123">
        <f>SUM(R13:R21)</f>
        <v>0</v>
      </c>
      <c r="S22" s="123"/>
      <c r="T22" s="123">
        <f>SUM(T13:T21)</f>
        <v>0</v>
      </c>
      <c r="U22" s="123"/>
      <c r="V22" s="123">
        <f>SUM(V13:V21)</f>
        <v>0</v>
      </c>
      <c r="W22" s="123"/>
      <c r="X22" s="123">
        <f>SUM(X13:X21)</f>
        <v>0</v>
      </c>
      <c r="Y22" s="123"/>
      <c r="Z22" s="123">
        <f>SUM(Z13:Z21)</f>
        <v>0</v>
      </c>
      <c r="AA22" s="123"/>
      <c r="AB22" s="125">
        <f>SUM(AB13:AB21)</f>
        <v>0</v>
      </c>
      <c r="AC22" s="125"/>
    </row>
    <row r="23" spans="1:29" ht="15.75" customHeight="1">
      <c r="A23" s="113"/>
      <c r="B23" s="122" t="s">
        <v>293</v>
      </c>
      <c r="C23" s="122"/>
      <c r="D23" s="122"/>
      <c r="E23" s="122"/>
      <c r="F23" s="123">
        <f>F12-F22</f>
        <v>10821.609</v>
      </c>
      <c r="G23" s="123"/>
      <c r="H23" s="123">
        <f>H12-H22</f>
        <v>0</v>
      </c>
      <c r="I23" s="123"/>
      <c r="J23" s="123">
        <f>J12-J22</f>
        <v>0</v>
      </c>
      <c r="K23" s="123"/>
      <c r="L23" s="123">
        <f>L12-L22</f>
        <v>0</v>
      </c>
      <c r="M23" s="123"/>
      <c r="N23" s="123">
        <f>N12-N22</f>
        <v>0</v>
      </c>
      <c r="O23" s="123"/>
      <c r="P23" s="123">
        <f>P12-P22</f>
        <v>0</v>
      </c>
      <c r="Q23" s="123"/>
      <c r="R23" s="123">
        <f>R12-R22</f>
        <v>0</v>
      </c>
      <c r="S23" s="123"/>
      <c r="T23" s="123">
        <f>T12-T22</f>
        <v>0</v>
      </c>
      <c r="U23" s="123"/>
      <c r="V23" s="123">
        <f>V12-V22</f>
        <v>0</v>
      </c>
      <c r="W23" s="123"/>
      <c r="X23" s="123">
        <f>X12-X22</f>
        <v>0</v>
      </c>
      <c r="Y23" s="123"/>
      <c r="Z23" s="123">
        <f>Z12-Z22</f>
        <v>0</v>
      </c>
      <c r="AA23" s="123"/>
      <c r="AB23" s="125">
        <f>AB12-AB22</f>
        <v>0</v>
      </c>
      <c r="AC23" s="125"/>
    </row>
    <row r="24" spans="1:29" ht="15.75" customHeight="1">
      <c r="A24" s="136" t="s">
        <v>294</v>
      </c>
      <c r="B24" s="127" t="s">
        <v>281</v>
      </c>
      <c r="C24" s="119" t="s">
        <v>295</v>
      </c>
      <c r="D24" s="119"/>
      <c r="E24" s="119"/>
      <c r="F24" s="120">
        <f>資金繰り_レジデンス!F24+資金繰り_リゾート・モーテル!F24+資金繰り_ザック!F24</f>
        <v>0</v>
      </c>
      <c r="G24" s="120"/>
      <c r="H24" s="120">
        <f>資金繰り_レジデンス!H24+資金繰り_リゾート・モーテル!H24+資金繰り_ザック!H24</f>
        <v>0</v>
      </c>
      <c r="I24" s="120"/>
      <c r="J24" s="120">
        <f>資金繰り_レジデンス!J24+資金繰り_リゾート・モーテル!J24+資金繰り_ザック!J24</f>
        <v>0</v>
      </c>
      <c r="K24" s="120"/>
      <c r="L24" s="120">
        <f>資金繰り_レジデンス!L24+資金繰り_リゾート・モーテル!L24+資金繰り_ザック!L24</f>
        <v>0</v>
      </c>
      <c r="M24" s="120"/>
      <c r="N24" s="121"/>
      <c r="O24" s="121"/>
      <c r="P24" s="121"/>
      <c r="Q24" s="121"/>
      <c r="R24" s="120"/>
      <c r="S24" s="120"/>
      <c r="T24" s="120"/>
      <c r="U24" s="120"/>
      <c r="V24" s="120"/>
      <c r="W24" s="120"/>
      <c r="X24" s="120"/>
      <c r="Y24" s="120"/>
      <c r="Z24" s="121"/>
      <c r="AA24" s="121"/>
      <c r="AB24" s="121"/>
      <c r="AC24" s="121"/>
    </row>
    <row r="25" spans="1:29" ht="15.75" customHeight="1">
      <c r="A25" s="136"/>
      <c r="B25" s="127"/>
      <c r="C25" s="119" t="s">
        <v>296</v>
      </c>
      <c r="D25" s="119"/>
      <c r="E25" s="119"/>
      <c r="F25" s="120">
        <f>資金繰り_レジデンス!F25+資金繰り_リゾート・モーテル!F25+資金繰り_ザック!F25</f>
        <v>0</v>
      </c>
      <c r="G25" s="120"/>
      <c r="H25" s="120">
        <f>資金繰り_レジデンス!H25+資金繰り_リゾート・モーテル!H25+資金繰り_ザック!H25</f>
        <v>0</v>
      </c>
      <c r="I25" s="120"/>
      <c r="J25" s="120">
        <f>資金繰り_レジデンス!J25+資金繰り_リゾート・モーテル!J25+資金繰り_ザック!J25</f>
        <v>0</v>
      </c>
      <c r="K25" s="120"/>
      <c r="L25" s="120">
        <f>資金繰り_レジデンス!L25+資金繰り_リゾート・モーテル!L25+資金繰り_ザック!L25</f>
        <v>0</v>
      </c>
      <c r="M25" s="120"/>
      <c r="N25" s="121"/>
      <c r="O25" s="121"/>
      <c r="P25" s="121"/>
      <c r="Q25" s="121"/>
      <c r="R25" s="120"/>
      <c r="S25" s="120"/>
      <c r="T25" s="120"/>
      <c r="U25" s="120"/>
      <c r="V25" s="120"/>
      <c r="W25" s="120"/>
      <c r="X25" s="120"/>
      <c r="Y25" s="120"/>
      <c r="Z25" s="121"/>
      <c r="AA25" s="121"/>
      <c r="AB25" s="121"/>
      <c r="AC25" s="121"/>
    </row>
    <row r="26" spans="1:29" ht="15.75" customHeight="1">
      <c r="A26" s="136"/>
      <c r="B26" s="127"/>
      <c r="C26" s="130" t="s">
        <v>297</v>
      </c>
      <c r="D26" s="130"/>
      <c r="E26" s="130"/>
      <c r="F26" s="131">
        <f>SUM(F24:F25)</f>
        <v>0</v>
      </c>
      <c r="G26" s="131"/>
      <c r="H26" s="131">
        <f>SUM(H24:H25)</f>
        <v>0</v>
      </c>
      <c r="I26" s="131"/>
      <c r="J26" s="131">
        <f>SUM(J24:J25)</f>
        <v>0</v>
      </c>
      <c r="K26" s="131"/>
      <c r="L26" s="131">
        <f>SUM(L24:L25)</f>
        <v>0</v>
      </c>
      <c r="M26" s="131"/>
      <c r="N26" s="131">
        <f>SUM(N24:N25)</f>
        <v>0</v>
      </c>
      <c r="O26" s="131"/>
      <c r="P26" s="131">
        <f>SUM(P24:P25)</f>
        <v>0</v>
      </c>
      <c r="Q26" s="131"/>
      <c r="R26" s="131">
        <f>SUM(R24:R25)</f>
        <v>0</v>
      </c>
      <c r="S26" s="131"/>
      <c r="T26" s="131">
        <f>SUM(T24:T25)</f>
        <v>0</v>
      </c>
      <c r="U26" s="131"/>
      <c r="V26" s="131">
        <f>SUM(V24:V25)</f>
        <v>0</v>
      </c>
      <c r="W26" s="131"/>
      <c r="X26" s="131">
        <f>SUM(X24:X25)</f>
        <v>0</v>
      </c>
      <c r="Y26" s="131"/>
      <c r="Z26" s="131">
        <f>SUM(Z24:Z25)</f>
        <v>0</v>
      </c>
      <c r="AA26" s="131"/>
      <c r="AB26" s="132">
        <f>SUM(AB24:AB25)</f>
        <v>0</v>
      </c>
      <c r="AC26" s="132"/>
    </row>
    <row r="27" spans="1:29" ht="15.75" customHeight="1">
      <c r="A27" s="136"/>
      <c r="B27" s="127" t="s">
        <v>287</v>
      </c>
      <c r="C27" s="119" t="s">
        <v>298</v>
      </c>
      <c r="D27" s="119"/>
      <c r="E27" s="119"/>
      <c r="F27" s="120">
        <f>資金繰り_レジデンス!F27+資金繰り_リゾート・モーテル!F27+資金繰り_ザック!F27</f>
        <v>0</v>
      </c>
      <c r="G27" s="120"/>
      <c r="H27" s="120">
        <f>資金繰り_レジデンス!H27+資金繰り_リゾート・モーテル!H27+資金繰り_ザック!H27</f>
        <v>0</v>
      </c>
      <c r="I27" s="120"/>
      <c r="J27" s="120">
        <f>資金繰り_レジデンス!J27+資金繰り_リゾート・モーテル!J27+資金繰り_ザック!J27</f>
        <v>0</v>
      </c>
      <c r="K27" s="120"/>
      <c r="L27" s="120">
        <f>資金繰り_レジデンス!L27+資金繰り_リゾート・モーテル!L27+資金繰り_ザック!L27</f>
        <v>0</v>
      </c>
      <c r="M27" s="120"/>
      <c r="N27" s="121"/>
      <c r="O27" s="121"/>
      <c r="P27" s="121"/>
      <c r="Q27" s="121"/>
      <c r="R27" s="120"/>
      <c r="S27" s="120"/>
      <c r="T27" s="120"/>
      <c r="U27" s="120"/>
      <c r="V27" s="120"/>
      <c r="W27" s="120"/>
      <c r="X27" s="120"/>
      <c r="Y27" s="120"/>
      <c r="Z27" s="121"/>
      <c r="AA27" s="121"/>
      <c r="AB27" s="121"/>
      <c r="AC27" s="121"/>
    </row>
    <row r="28" spans="1:29" ht="15.75" customHeight="1">
      <c r="A28" s="136"/>
      <c r="B28" s="127"/>
      <c r="C28" s="119" t="s">
        <v>299</v>
      </c>
      <c r="D28" s="119"/>
      <c r="E28" s="119"/>
      <c r="F28" s="120">
        <f>資金繰り_レジデンス!F28+資金繰り_リゾート・モーテル!F28+資金繰り_ザック!F28</f>
        <v>0</v>
      </c>
      <c r="G28" s="120"/>
      <c r="H28" s="120">
        <f>資金繰り_レジデンス!H28+資金繰り_リゾート・モーテル!H28+資金繰り_ザック!H28</f>
        <v>0</v>
      </c>
      <c r="I28" s="120"/>
      <c r="J28" s="120">
        <f>資金繰り_レジデンス!J28+資金繰り_リゾート・モーテル!J28+資金繰り_ザック!J28</f>
        <v>0</v>
      </c>
      <c r="K28" s="120"/>
      <c r="L28" s="120">
        <f>資金繰り_レジデンス!L28+資金繰り_リゾート・モーテル!L28+資金繰り_ザック!L28</f>
        <v>0</v>
      </c>
      <c r="M28" s="120"/>
      <c r="N28" s="121"/>
      <c r="O28" s="121"/>
      <c r="P28" s="121"/>
      <c r="Q28" s="121"/>
      <c r="R28" s="120"/>
      <c r="S28" s="120"/>
      <c r="T28" s="120"/>
      <c r="U28" s="120"/>
      <c r="V28" s="120"/>
      <c r="W28" s="120"/>
      <c r="X28" s="120"/>
      <c r="Y28" s="120"/>
      <c r="Z28" s="121"/>
      <c r="AA28" s="121"/>
      <c r="AB28" s="121"/>
      <c r="AC28" s="121"/>
    </row>
    <row r="29" spans="1:29" ht="15.75" customHeight="1">
      <c r="A29" s="136"/>
      <c r="B29" s="127"/>
      <c r="C29" s="130" t="s">
        <v>300</v>
      </c>
      <c r="D29" s="130"/>
      <c r="E29" s="130"/>
      <c r="F29" s="131">
        <f>SUM(F27:F28)</f>
        <v>0</v>
      </c>
      <c r="G29" s="131"/>
      <c r="H29" s="131">
        <f>SUM(H27:H28)</f>
        <v>0</v>
      </c>
      <c r="I29" s="131"/>
      <c r="J29" s="131">
        <f>SUM(J27:J28)</f>
        <v>0</v>
      </c>
      <c r="K29" s="131"/>
      <c r="L29" s="131">
        <f>SUM(L27:L28)</f>
        <v>0</v>
      </c>
      <c r="M29" s="131"/>
      <c r="N29" s="131">
        <f>SUM(N27:N28)</f>
        <v>0</v>
      </c>
      <c r="O29" s="131"/>
      <c r="P29" s="131">
        <f>SUM(P27:P28)</f>
        <v>0</v>
      </c>
      <c r="Q29" s="131"/>
      <c r="R29" s="131">
        <f>SUM(R27:R28)</f>
        <v>0</v>
      </c>
      <c r="S29" s="131"/>
      <c r="T29" s="131">
        <f>SUM(T27:T28)</f>
        <v>0</v>
      </c>
      <c r="U29" s="131"/>
      <c r="V29" s="131">
        <f>SUM(V27:V28)</f>
        <v>0</v>
      </c>
      <c r="W29" s="131"/>
      <c r="X29" s="131">
        <f>SUM(X27:X28)</f>
        <v>0</v>
      </c>
      <c r="Y29" s="131"/>
      <c r="Z29" s="131">
        <f>SUM(Z27:Z28)</f>
        <v>0</v>
      </c>
      <c r="AA29" s="131"/>
      <c r="AB29" s="132">
        <f>SUM(AB27:AB28)</f>
        <v>0</v>
      </c>
      <c r="AC29" s="132"/>
    </row>
    <row r="30" spans="1:29" ht="15.75" customHeight="1">
      <c r="A30" s="136"/>
      <c r="B30" s="128" t="s">
        <v>301</v>
      </c>
      <c r="C30" s="128"/>
      <c r="D30" s="128"/>
      <c r="E30" s="128"/>
      <c r="F30" s="129">
        <f>F26-F29</f>
        <v>0</v>
      </c>
      <c r="G30" s="129"/>
      <c r="H30" s="129">
        <f>H26-H29</f>
        <v>0</v>
      </c>
      <c r="I30" s="129"/>
      <c r="J30" s="129">
        <f>J26-J29</f>
        <v>0</v>
      </c>
      <c r="K30" s="129"/>
      <c r="L30" s="129">
        <f>L26-L29</f>
        <v>0</v>
      </c>
      <c r="M30" s="129"/>
      <c r="N30" s="129">
        <f>N26-N29</f>
        <v>0</v>
      </c>
      <c r="O30" s="129"/>
      <c r="P30" s="129">
        <f>P26-P29</f>
        <v>0</v>
      </c>
      <c r="Q30" s="129"/>
      <c r="R30" s="129">
        <f>R26-R29</f>
        <v>0</v>
      </c>
      <c r="S30" s="129"/>
      <c r="T30" s="129">
        <f>T26-T29</f>
        <v>0</v>
      </c>
      <c r="U30" s="129"/>
      <c r="V30" s="129">
        <f>V26-V29</f>
        <v>0</v>
      </c>
      <c r="W30" s="129"/>
      <c r="X30" s="129">
        <f>X26-X29</f>
        <v>0</v>
      </c>
      <c r="Y30" s="129"/>
      <c r="Z30" s="129">
        <f>Z26-Z29</f>
        <v>0</v>
      </c>
      <c r="AA30" s="129"/>
      <c r="AB30" s="134">
        <f>AB26-AB29</f>
        <v>0</v>
      </c>
      <c r="AC30" s="134"/>
    </row>
    <row r="31" spans="1:29" ht="15.75" customHeight="1">
      <c r="A31" s="135" t="s">
        <v>302</v>
      </c>
      <c r="B31" s="135"/>
      <c r="C31" s="135"/>
      <c r="D31" s="135"/>
      <c r="E31" s="135"/>
      <c r="F31" s="110">
        <f>SUM(F7,F23,F30)</f>
        <v>10821.609</v>
      </c>
      <c r="G31" s="110"/>
      <c r="H31" s="110">
        <f>SUM(H7,H23,H30)</f>
        <v>10821.609</v>
      </c>
      <c r="I31" s="110"/>
      <c r="J31" s="110">
        <f>SUM(J7,J23,J30)</f>
        <v>10821.609</v>
      </c>
      <c r="K31" s="110"/>
      <c r="L31" s="110">
        <f>SUM(L7,L23,L30)</f>
        <v>10821.609</v>
      </c>
      <c r="M31" s="110"/>
      <c r="N31" s="110">
        <f>SUM(N7,N23,N30)</f>
        <v>10821.609</v>
      </c>
      <c r="O31" s="110"/>
      <c r="P31" s="110">
        <f>SUM(P7,P23,P30)</f>
        <v>10821.609</v>
      </c>
      <c r="Q31" s="110"/>
      <c r="R31" s="110">
        <f>SUM(R7,R23,R30)</f>
        <v>10821.609</v>
      </c>
      <c r="S31" s="110"/>
      <c r="T31" s="110">
        <f>SUM(T7,T23,T30)</f>
        <v>10821.609</v>
      </c>
      <c r="U31" s="110"/>
      <c r="V31" s="110">
        <f>SUM(V7,V23,V30)</f>
        <v>10821.609</v>
      </c>
      <c r="W31" s="110"/>
      <c r="X31" s="110">
        <f>SUM(X7,X23,X30)</f>
        <v>10821.609</v>
      </c>
      <c r="Y31" s="110"/>
      <c r="Z31" s="110">
        <f>SUM(Z7,Z23,Z30)</f>
        <v>10821.609</v>
      </c>
      <c r="AA31" s="110"/>
      <c r="AB31" s="110">
        <f>SUM(AB7,AB23,AB30)</f>
        <v>10821.609</v>
      </c>
      <c r="AC31" s="110"/>
    </row>
    <row r="32" spans="1:29" ht="18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4:6" ht="18" customHeight="1"/>
    <row r="50" spans="4:6" ht="18" customHeight="1"/>
    <row r="51" spans="4:6" ht="18" customHeight="1"/>
    <row r="52" spans="4:6" ht="18" customHeight="1">
      <c r="D52" s="79">
        <v>1</v>
      </c>
      <c r="F52" s="79">
        <v>1</v>
      </c>
    </row>
    <row r="53" spans="4:6" ht="18" customHeight="1">
      <c r="D53" s="79">
        <v>2</v>
      </c>
      <c r="F53" s="79">
        <v>2</v>
      </c>
    </row>
    <row r="54" spans="4:6" ht="18" customHeight="1">
      <c r="D54" s="79">
        <v>3</v>
      </c>
      <c r="F54" s="79">
        <v>3</v>
      </c>
    </row>
    <row r="55" spans="4:6" ht="18" customHeight="1">
      <c r="D55" s="79">
        <v>4</v>
      </c>
      <c r="F55" s="79">
        <v>4</v>
      </c>
    </row>
    <row r="56" spans="4:6" ht="18" customHeight="1">
      <c r="D56" s="79">
        <v>5</v>
      </c>
      <c r="F56" s="79">
        <v>5</v>
      </c>
    </row>
    <row r="57" spans="4:6" ht="18" customHeight="1">
      <c r="D57" s="79">
        <v>6</v>
      </c>
      <c r="F57" s="79">
        <v>6</v>
      </c>
    </row>
    <row r="58" spans="4:6" ht="18" customHeight="1">
      <c r="D58" s="79">
        <v>7</v>
      </c>
      <c r="F58" s="79">
        <v>7</v>
      </c>
    </row>
    <row r="59" spans="4:6" ht="18" customHeight="1">
      <c r="D59" s="79">
        <v>8</v>
      </c>
      <c r="F59" s="79">
        <v>8</v>
      </c>
    </row>
    <row r="60" spans="4:6" ht="18" customHeight="1">
      <c r="D60" s="79">
        <v>9</v>
      </c>
      <c r="F60" s="79">
        <v>9</v>
      </c>
    </row>
    <row r="61" spans="4:6" ht="18" customHeight="1">
      <c r="D61" s="79">
        <v>10</v>
      </c>
      <c r="F61" s="79">
        <v>10</v>
      </c>
    </row>
    <row r="62" spans="4:6" ht="18" customHeight="1">
      <c r="D62" s="79">
        <v>11</v>
      </c>
      <c r="F62" s="79">
        <v>11</v>
      </c>
    </row>
    <row r="63" spans="4:6" ht="18" customHeight="1">
      <c r="D63" s="79">
        <v>12</v>
      </c>
      <c r="F63" s="79">
        <v>12</v>
      </c>
    </row>
    <row r="64" spans="4:6" ht="18" customHeight="1">
      <c r="D64" s="79">
        <v>13</v>
      </c>
      <c r="F64" s="79">
        <v>13</v>
      </c>
    </row>
    <row r="65" spans="4:6" ht="18" customHeight="1">
      <c r="D65" s="79">
        <v>14</v>
      </c>
      <c r="F65" s="79">
        <v>14</v>
      </c>
    </row>
    <row r="66" spans="4:6" ht="18" customHeight="1">
      <c r="D66" s="79">
        <v>15</v>
      </c>
      <c r="F66" s="79">
        <v>15</v>
      </c>
    </row>
    <row r="67" spans="4:6" ht="18" customHeight="1">
      <c r="F67" s="79">
        <v>16</v>
      </c>
    </row>
    <row r="68" spans="4:6" ht="18" customHeight="1">
      <c r="F68" s="79">
        <v>17</v>
      </c>
    </row>
    <row r="69" spans="4:6" ht="18" customHeight="1">
      <c r="F69" s="79">
        <v>18</v>
      </c>
    </row>
    <row r="70" spans="4:6" ht="18" customHeight="1">
      <c r="F70" s="79">
        <v>19</v>
      </c>
    </row>
    <row r="71" spans="4:6" ht="18" customHeight="1">
      <c r="F71" s="79">
        <v>20</v>
      </c>
    </row>
    <row r="72" spans="4:6" ht="18" customHeight="1">
      <c r="F72" s="79">
        <v>21</v>
      </c>
    </row>
    <row r="73" spans="4:6" ht="18" customHeight="1">
      <c r="F73" s="79">
        <v>22</v>
      </c>
    </row>
    <row r="74" spans="4:6" ht="18" customHeight="1">
      <c r="F74" s="79">
        <v>23</v>
      </c>
    </row>
    <row r="75" spans="4:6" ht="18" customHeight="1">
      <c r="F75" s="79">
        <v>24</v>
      </c>
    </row>
    <row r="76" spans="4:6" ht="18" customHeight="1">
      <c r="F76" s="79">
        <v>25</v>
      </c>
    </row>
    <row r="77" spans="4:6" ht="18" customHeight="1">
      <c r="F77" s="79">
        <v>26</v>
      </c>
    </row>
    <row r="78" spans="4:6" ht="18" customHeight="1">
      <c r="F78" s="79">
        <v>27</v>
      </c>
    </row>
    <row r="79" spans="4:6" ht="18" customHeight="1">
      <c r="F79" s="79">
        <v>28</v>
      </c>
    </row>
    <row r="80" spans="4:6" ht="18" customHeight="1">
      <c r="F80" s="79">
        <v>29</v>
      </c>
    </row>
    <row r="81" spans="6:6" ht="18" customHeight="1">
      <c r="F81" s="79">
        <v>30</v>
      </c>
    </row>
    <row r="82" spans="6:6" ht="18" customHeight="1">
      <c r="F82" s="79">
        <v>31</v>
      </c>
    </row>
    <row r="83" spans="6:6" ht="18" customHeight="1"/>
    <row r="84" spans="6:6" ht="18" customHeight="1"/>
    <row r="85" spans="6:6" ht="18" customHeight="1"/>
    <row r="86" spans="6:6" ht="18" customHeight="1"/>
    <row r="87" spans="6:6" ht="18" customHeight="1"/>
    <row r="88" spans="6:6" ht="18" customHeight="1"/>
    <row r="89" spans="6:6" ht="18" customHeight="1"/>
    <row r="90" spans="6:6" ht="18" customHeight="1"/>
    <row r="91" spans="6:6" ht="18" customHeight="1"/>
    <row r="92" spans="6:6" ht="18" customHeight="1"/>
    <row r="93" spans="6:6" ht="18" customHeight="1"/>
    <row r="94" spans="6:6" ht="18" customHeight="1"/>
    <row r="95" spans="6:6" ht="18" customHeight="1"/>
    <row r="96" spans="6: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65">
    <mergeCell ref="A32:AC32"/>
    <mergeCell ref="N30:O30"/>
    <mergeCell ref="P30:Q30"/>
    <mergeCell ref="R30:S30"/>
    <mergeCell ref="T30:U30"/>
    <mergeCell ref="V30:W30"/>
    <mergeCell ref="X30:Y30"/>
    <mergeCell ref="Z30:AA30"/>
    <mergeCell ref="AB30:AC30"/>
    <mergeCell ref="A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24:A30"/>
    <mergeCell ref="B24:B26"/>
    <mergeCell ref="R28:S28"/>
    <mergeCell ref="T28:U28"/>
    <mergeCell ref="V28:W28"/>
    <mergeCell ref="X28:Y28"/>
    <mergeCell ref="Z28:AA28"/>
    <mergeCell ref="AB28:AC28"/>
    <mergeCell ref="C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L28:M28"/>
    <mergeCell ref="N28:O28"/>
    <mergeCell ref="P28:Q28"/>
    <mergeCell ref="R26:S26"/>
    <mergeCell ref="T26:U26"/>
    <mergeCell ref="V26:W26"/>
    <mergeCell ref="X26:Y26"/>
    <mergeCell ref="Z26:AA26"/>
    <mergeCell ref="AB26:AC26"/>
    <mergeCell ref="B27:B29"/>
    <mergeCell ref="C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C28:E28"/>
    <mergeCell ref="F28:G28"/>
    <mergeCell ref="H28:I28"/>
    <mergeCell ref="J28:K28"/>
    <mergeCell ref="R24:S24"/>
    <mergeCell ref="T24:U24"/>
    <mergeCell ref="V24:W24"/>
    <mergeCell ref="X24:Y24"/>
    <mergeCell ref="Z24:AA24"/>
    <mergeCell ref="AB24:AC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C24:E24"/>
    <mergeCell ref="F24:G24"/>
    <mergeCell ref="H24:I24"/>
    <mergeCell ref="J24:K24"/>
    <mergeCell ref="L24:M24"/>
    <mergeCell ref="N24:O24"/>
    <mergeCell ref="P24:Q24"/>
    <mergeCell ref="C26:E26"/>
    <mergeCell ref="F26:G26"/>
    <mergeCell ref="H26:I26"/>
    <mergeCell ref="J26:K26"/>
    <mergeCell ref="L26:M26"/>
    <mergeCell ref="N26:O26"/>
    <mergeCell ref="P26:Q26"/>
    <mergeCell ref="B30:E30"/>
    <mergeCell ref="F30:G30"/>
    <mergeCell ref="H30:I30"/>
    <mergeCell ref="J30:K30"/>
    <mergeCell ref="L30:M30"/>
    <mergeCell ref="V22:W22"/>
    <mergeCell ref="X22:Y22"/>
    <mergeCell ref="Z22:AA22"/>
    <mergeCell ref="AB22:AC22"/>
    <mergeCell ref="B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R20:S20"/>
    <mergeCell ref="T20:U20"/>
    <mergeCell ref="V20:W20"/>
    <mergeCell ref="X20:Y20"/>
    <mergeCell ref="Z20:AA20"/>
    <mergeCell ref="AB20:AC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T18:U18"/>
    <mergeCell ref="V18:W18"/>
    <mergeCell ref="X18:Y18"/>
    <mergeCell ref="Z18:AA18"/>
    <mergeCell ref="AB18:AC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T16:U16"/>
    <mergeCell ref="V16:W16"/>
    <mergeCell ref="X16:Y16"/>
    <mergeCell ref="Z16:AA16"/>
    <mergeCell ref="AB16:AC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C16:C21"/>
    <mergeCell ref="D16:E16"/>
    <mergeCell ref="F16:G16"/>
    <mergeCell ref="H16:I16"/>
    <mergeCell ref="J16:K16"/>
    <mergeCell ref="L16:M16"/>
    <mergeCell ref="N16:O16"/>
    <mergeCell ref="P16:Q16"/>
    <mergeCell ref="R16:S16"/>
    <mergeCell ref="D18:E18"/>
    <mergeCell ref="F18:G18"/>
    <mergeCell ref="H18:I18"/>
    <mergeCell ref="J18:K18"/>
    <mergeCell ref="L18:M18"/>
    <mergeCell ref="N18:O18"/>
    <mergeCell ref="P18:Q18"/>
    <mergeCell ref="R18:S18"/>
    <mergeCell ref="D20:E20"/>
    <mergeCell ref="F20:G20"/>
    <mergeCell ref="H20:I20"/>
    <mergeCell ref="J20:K20"/>
    <mergeCell ref="L20:M20"/>
    <mergeCell ref="N20:O20"/>
    <mergeCell ref="P20:Q20"/>
    <mergeCell ref="N14:O14"/>
    <mergeCell ref="P14:Q14"/>
    <mergeCell ref="R14:S14"/>
    <mergeCell ref="T14:U14"/>
    <mergeCell ref="V14:W14"/>
    <mergeCell ref="X14:Y14"/>
    <mergeCell ref="Z14:AA14"/>
    <mergeCell ref="AB14:AC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P12:Q12"/>
    <mergeCell ref="R12:S12"/>
    <mergeCell ref="T12:U12"/>
    <mergeCell ref="V12:W12"/>
    <mergeCell ref="X12:Y12"/>
    <mergeCell ref="Z12:AA12"/>
    <mergeCell ref="AB12:AC12"/>
    <mergeCell ref="B13:B22"/>
    <mergeCell ref="C13:C15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E14"/>
    <mergeCell ref="F14:G14"/>
    <mergeCell ref="P10:Q10"/>
    <mergeCell ref="R10:S10"/>
    <mergeCell ref="T10:U10"/>
    <mergeCell ref="V10:W10"/>
    <mergeCell ref="X10:Y10"/>
    <mergeCell ref="Z10:AA10"/>
    <mergeCell ref="AB10:AC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P8:Q8"/>
    <mergeCell ref="R8:S8"/>
    <mergeCell ref="T8:U8"/>
    <mergeCell ref="V8:W8"/>
    <mergeCell ref="X8:Y8"/>
    <mergeCell ref="Z8:AA8"/>
    <mergeCell ref="AB8:AC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8:A23"/>
    <mergeCell ref="B8:B12"/>
    <mergeCell ref="C8:C11"/>
    <mergeCell ref="D8:E8"/>
    <mergeCell ref="F8:G8"/>
    <mergeCell ref="H8:I8"/>
    <mergeCell ref="J8:K8"/>
    <mergeCell ref="L8:M8"/>
    <mergeCell ref="N8:O8"/>
    <mergeCell ref="D10:E10"/>
    <mergeCell ref="F10:G10"/>
    <mergeCell ref="H10:I10"/>
    <mergeCell ref="J10:K10"/>
    <mergeCell ref="L10:M10"/>
    <mergeCell ref="N10:O10"/>
    <mergeCell ref="C12:E12"/>
    <mergeCell ref="F12:G12"/>
    <mergeCell ref="H12:I12"/>
    <mergeCell ref="J12:K12"/>
    <mergeCell ref="L12:M12"/>
    <mergeCell ref="N12:O12"/>
    <mergeCell ref="H14:I14"/>
    <mergeCell ref="J14:K14"/>
    <mergeCell ref="L14:M14"/>
    <mergeCell ref="V7:W7"/>
    <mergeCell ref="X7:Y7"/>
    <mergeCell ref="Z7:AA7"/>
    <mergeCell ref="AB7:AC7"/>
    <mergeCell ref="A6:E6"/>
    <mergeCell ref="F6:G6"/>
    <mergeCell ref="H6:I6"/>
    <mergeCell ref="J6:K6"/>
    <mergeCell ref="L6:M6"/>
    <mergeCell ref="N6:O6"/>
    <mergeCell ref="P6:Q6"/>
    <mergeCell ref="A7:E7"/>
    <mergeCell ref="F7:G7"/>
    <mergeCell ref="H7:I7"/>
    <mergeCell ref="J7:K7"/>
    <mergeCell ref="L7:M7"/>
    <mergeCell ref="N7:O7"/>
    <mergeCell ref="P7:Q7"/>
    <mergeCell ref="R7:S7"/>
    <mergeCell ref="T7:U7"/>
    <mergeCell ref="R6:S6"/>
    <mergeCell ref="T6:U6"/>
    <mergeCell ref="A1:AC1"/>
    <mergeCell ref="D2:J2"/>
    <mergeCell ref="AA3:AC3"/>
    <mergeCell ref="A4:E4"/>
    <mergeCell ref="A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V6:W6"/>
    <mergeCell ref="X6:Y6"/>
    <mergeCell ref="Z6:AA6"/>
    <mergeCell ref="AB6:AC6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C1000"/>
  <sheetViews>
    <sheetView topLeftCell="A2" zoomScaleNormal="100" workbookViewId="0">
      <selection sqref="A1:AC1"/>
    </sheetView>
  </sheetViews>
  <sheetFormatPr defaultColWidth="8.7109375" defaultRowHeight="15"/>
  <cols>
    <col min="1" max="1" width="4.85546875" customWidth="1"/>
    <col min="2" max="2" width="3.7109375" customWidth="1"/>
    <col min="3" max="3" width="6.5703125" customWidth="1"/>
    <col min="5" max="5" width="6.140625" customWidth="1"/>
    <col min="6" max="6" width="6.5703125" customWidth="1"/>
    <col min="7" max="7" width="3.5703125" customWidth="1"/>
    <col min="8" max="8" width="6.5703125" customWidth="1"/>
    <col min="9" max="9" width="3.5703125" customWidth="1"/>
    <col min="10" max="10" width="6.5703125" customWidth="1"/>
    <col min="11" max="11" width="3.5703125" customWidth="1"/>
    <col min="12" max="12" width="6.5703125" customWidth="1"/>
    <col min="13" max="13" width="3.5703125" customWidth="1"/>
    <col min="14" max="14" width="6.5703125" customWidth="1"/>
    <col min="15" max="15" width="3.5703125" customWidth="1"/>
    <col min="16" max="16" width="6.5703125" customWidth="1"/>
    <col min="17" max="17" width="3.5703125" customWidth="1"/>
    <col min="18" max="18" width="6.5703125" customWidth="1"/>
    <col min="19" max="19" width="3.5703125" customWidth="1"/>
    <col min="20" max="20" width="6.5703125" customWidth="1"/>
    <col min="21" max="21" width="3.5703125" customWidth="1"/>
    <col min="22" max="22" width="6.5703125" customWidth="1"/>
    <col min="23" max="23" width="3.5703125" customWidth="1"/>
    <col min="24" max="24" width="6.5703125" customWidth="1"/>
    <col min="25" max="25" width="3.5703125" customWidth="1"/>
    <col min="26" max="26" width="6.5703125" customWidth="1"/>
    <col min="27" max="27" width="3.42578125" customWidth="1"/>
    <col min="28" max="28" width="6.5703125" customWidth="1"/>
    <col min="29" max="29" width="3.5703125" customWidth="1"/>
  </cols>
  <sheetData>
    <row r="1" spans="1:29" ht="33" customHeight="1">
      <c r="A1" s="102" t="s">
        <v>271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spans="1:29" ht="18" customHeight="1">
      <c r="A2" s="65" t="s">
        <v>272</v>
      </c>
      <c r="B2" s="65"/>
      <c r="C2" s="65"/>
      <c r="D2" s="103" t="s">
        <v>303</v>
      </c>
      <c r="E2" s="103"/>
      <c r="F2" s="103"/>
      <c r="G2" s="103"/>
      <c r="H2" s="103"/>
      <c r="I2" s="103"/>
      <c r="J2" s="103"/>
      <c r="K2" s="66"/>
      <c r="L2" s="66"/>
      <c r="M2" s="66"/>
      <c r="N2" s="66"/>
      <c r="O2" s="67"/>
      <c r="P2" s="67"/>
      <c r="Q2" s="67"/>
      <c r="R2" s="67"/>
      <c r="S2" s="67"/>
      <c r="T2" s="68" t="s">
        <v>273</v>
      </c>
      <c r="U2" s="68" t="s">
        <v>274</v>
      </c>
      <c r="X2" s="69">
        <v>8</v>
      </c>
      <c r="Y2" s="68" t="s">
        <v>275</v>
      </c>
      <c r="Z2" s="69">
        <v>4</v>
      </c>
      <c r="AA2" s="70" t="s">
        <v>21</v>
      </c>
      <c r="AB2" s="69">
        <v>3</v>
      </c>
      <c r="AC2" s="68" t="s">
        <v>237</v>
      </c>
    </row>
    <row r="3" spans="1:29" ht="18" customHeight="1">
      <c r="A3" s="71"/>
      <c r="B3" s="71"/>
      <c r="C3" s="71"/>
      <c r="D3" s="71"/>
      <c r="E3" s="71"/>
      <c r="F3" s="66"/>
      <c r="G3" s="66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3"/>
      <c r="V3" s="72"/>
      <c r="W3" s="72"/>
      <c r="X3" s="72"/>
      <c r="Y3" s="72"/>
      <c r="Z3" s="72"/>
      <c r="AA3" s="104" t="s">
        <v>276</v>
      </c>
      <c r="AB3" s="104"/>
      <c r="AC3" s="104"/>
    </row>
    <row r="4" spans="1:29" ht="28.5" customHeight="1">
      <c r="A4" s="105"/>
      <c r="B4" s="105"/>
      <c r="C4" s="105"/>
      <c r="D4" s="105"/>
      <c r="E4" s="105"/>
      <c r="F4" s="74">
        <v>5</v>
      </c>
      <c r="G4" s="75" t="s">
        <v>21</v>
      </c>
      <c r="H4" s="74">
        <v>6</v>
      </c>
      <c r="I4" s="75" t="s">
        <v>21</v>
      </c>
      <c r="J4" s="74">
        <v>7</v>
      </c>
      <c r="K4" s="75" t="s">
        <v>21</v>
      </c>
      <c r="L4" s="76">
        <v>8</v>
      </c>
      <c r="M4" s="75" t="s">
        <v>21</v>
      </c>
      <c r="N4" s="76">
        <v>9</v>
      </c>
      <c r="O4" s="75" t="s">
        <v>21</v>
      </c>
      <c r="P4" s="76">
        <v>10</v>
      </c>
      <c r="Q4" s="75" t="s">
        <v>21</v>
      </c>
      <c r="R4" s="76">
        <v>11</v>
      </c>
      <c r="S4" s="75" t="s">
        <v>21</v>
      </c>
      <c r="T4" s="76">
        <v>12</v>
      </c>
      <c r="U4" s="75" t="s">
        <v>21</v>
      </c>
      <c r="V4" s="76">
        <v>1</v>
      </c>
      <c r="W4" s="75" t="s">
        <v>21</v>
      </c>
      <c r="X4" s="76">
        <v>2</v>
      </c>
      <c r="Y4" s="75" t="s">
        <v>21</v>
      </c>
      <c r="Z4" s="76">
        <v>3</v>
      </c>
      <c r="AA4" s="75" t="s">
        <v>21</v>
      </c>
      <c r="AB4" s="77">
        <v>4</v>
      </c>
      <c r="AC4" s="78" t="s">
        <v>21</v>
      </c>
    </row>
    <row r="5" spans="1:29" ht="15.75" customHeight="1">
      <c r="A5" s="106" t="s">
        <v>277</v>
      </c>
      <c r="B5" s="106"/>
      <c r="C5" s="106"/>
      <c r="D5" s="106"/>
      <c r="E5" s="106"/>
      <c r="F5" s="107">
        <f>SUM(F8:F11)</f>
        <v>0</v>
      </c>
      <c r="G5" s="107"/>
      <c r="H5" s="107">
        <f>SUM(H8:H11)</f>
        <v>0</v>
      </c>
      <c r="I5" s="107"/>
      <c r="J5" s="107">
        <f>SUM(J8:J11)</f>
        <v>0</v>
      </c>
      <c r="K5" s="107"/>
      <c r="L5" s="107">
        <f>SUM(L8:L11)</f>
        <v>0</v>
      </c>
      <c r="M5" s="107"/>
      <c r="N5" s="107">
        <f>SUM(N8:N11)</f>
        <v>0</v>
      </c>
      <c r="O5" s="107"/>
      <c r="P5" s="107">
        <f>SUM(P8:P11)</f>
        <v>0</v>
      </c>
      <c r="Q5" s="107"/>
      <c r="R5" s="107">
        <f>SUM(R8:R11)</f>
        <v>0</v>
      </c>
      <c r="S5" s="107"/>
      <c r="T5" s="107">
        <f>SUM(T8:T11)</f>
        <v>0</v>
      </c>
      <c r="U5" s="107"/>
      <c r="V5" s="107">
        <f>SUM(V8:V11)</f>
        <v>0</v>
      </c>
      <c r="W5" s="107"/>
      <c r="X5" s="107">
        <f>SUM(X8:X11)</f>
        <v>0</v>
      </c>
      <c r="Y5" s="107"/>
      <c r="Z5" s="107">
        <f>SUM(Z8:Z11)</f>
        <v>0</v>
      </c>
      <c r="AA5" s="107"/>
      <c r="AB5" s="137">
        <f>SUM(AB8:AB11)</f>
        <v>0</v>
      </c>
      <c r="AC5" s="137"/>
    </row>
    <row r="6" spans="1:29" ht="15.75" customHeight="1">
      <c r="A6" s="112" t="s">
        <v>278</v>
      </c>
      <c r="B6" s="112"/>
      <c r="C6" s="112"/>
      <c r="D6" s="112"/>
      <c r="E6" s="112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38"/>
      <c r="Y6" s="138"/>
      <c r="Z6" s="101"/>
      <c r="AA6" s="101"/>
      <c r="AB6" s="139"/>
      <c r="AC6" s="139"/>
    </row>
    <row r="7" spans="1:29" ht="15.75" customHeight="1">
      <c r="A7" s="108" t="s">
        <v>279</v>
      </c>
      <c r="B7" s="108"/>
      <c r="C7" s="108"/>
      <c r="D7" s="108"/>
      <c r="E7" s="108"/>
      <c r="F7" s="109">
        <v>0</v>
      </c>
      <c r="G7" s="109"/>
      <c r="H7" s="110">
        <f>F31</f>
        <v>0</v>
      </c>
      <c r="I7" s="110"/>
      <c r="J7" s="110">
        <f>H31</f>
        <v>0</v>
      </c>
      <c r="K7" s="110"/>
      <c r="L7" s="110">
        <f>J31</f>
        <v>0</v>
      </c>
      <c r="M7" s="110"/>
      <c r="N7" s="110">
        <f>L31</f>
        <v>0</v>
      </c>
      <c r="O7" s="110"/>
      <c r="P7" s="110">
        <f>N31</f>
        <v>0</v>
      </c>
      <c r="Q7" s="110"/>
      <c r="R7" s="110">
        <f>P31</f>
        <v>0</v>
      </c>
      <c r="S7" s="110"/>
      <c r="T7" s="110">
        <f>R31</f>
        <v>0</v>
      </c>
      <c r="U7" s="110"/>
      <c r="V7" s="110">
        <f>T31</f>
        <v>0</v>
      </c>
      <c r="W7" s="110"/>
      <c r="X7" s="110">
        <f>V31</f>
        <v>0</v>
      </c>
      <c r="Y7" s="110"/>
      <c r="Z7" s="110">
        <f>X31</f>
        <v>0</v>
      </c>
      <c r="AA7" s="110"/>
      <c r="AB7" s="111">
        <f>Z31</f>
        <v>0</v>
      </c>
      <c r="AC7" s="111"/>
    </row>
    <row r="8" spans="1:29" ht="15.75" customHeight="1">
      <c r="A8" s="113" t="s">
        <v>280</v>
      </c>
      <c r="B8" s="114" t="s">
        <v>281</v>
      </c>
      <c r="C8" s="115" t="s">
        <v>282</v>
      </c>
      <c r="D8" s="116" t="s">
        <v>125</v>
      </c>
      <c r="E8" s="116"/>
      <c r="F8" s="117">
        <f>(SUMIFS(入金入力_レジデンス!$D$4:$D$103,入金入力_レジデンス!$A$4:$A$103,"&gt;="&amp;DATE(2026,5,1),入金入力_レジデンス!$A$4:$A$103,"&lt;="&amp;DATE(2026,5,31),入金入力_レジデンス!$C$4:$C$103,"現金売上"))/1000</f>
        <v>0</v>
      </c>
      <c r="G8" s="117"/>
      <c r="H8" s="117">
        <f>(SUMIFS(入金入力_レジデンス!$D$4:$D$103,入金入力_レジデンス!$A$4:$A$103,"&gt;="&amp;DATE(2026,6,1),入金入力_レジデンス!$A$4:$A$103,"&lt;="&amp;DATE(2026,6,30),入金入力_レジデンス!$C$4:$C$103,"現金売上"))/1000</f>
        <v>0</v>
      </c>
      <c r="I8" s="117"/>
      <c r="J8" s="117">
        <f>(SUMIFS(入金入力_レジデンス!$D$4:$D$103,入金入力_レジデンス!$A$4:$A$103,"&gt;="&amp;DATE(2026,7,1),入金入力_レジデンス!$A$4:$A$103,"&lt;="&amp;DATE(2026,7,31),入金入力_レジデンス!$C$4:$C$103,"現金売上"))/1000</f>
        <v>0</v>
      </c>
      <c r="K8" s="117"/>
      <c r="L8" s="117">
        <f>(SUMIFS(入金入力_レジデンス!$D$4:$D$103,入金入力_レジデンス!$A$4:$A$103,"&gt;="&amp;DATE(2026,8,1),入金入力_レジデンス!$A$4:$A$103,"&lt;="&amp;DATE(2026,8,31),入金入力_レジデンス!$C$4:$C$103,"現金売上"))/1000</f>
        <v>0</v>
      </c>
      <c r="M8" s="117"/>
      <c r="N8" s="118"/>
      <c r="O8" s="118"/>
      <c r="P8" s="118"/>
      <c r="Q8" s="118"/>
      <c r="R8" s="117"/>
      <c r="S8" s="117"/>
      <c r="T8" s="117"/>
      <c r="U8" s="117"/>
      <c r="V8" s="117"/>
      <c r="W8" s="117"/>
      <c r="X8" s="117"/>
      <c r="Y8" s="117"/>
      <c r="Z8" s="118"/>
      <c r="AA8" s="118"/>
      <c r="AB8" s="140"/>
      <c r="AC8" s="140"/>
    </row>
    <row r="9" spans="1:29" ht="15.75" customHeight="1">
      <c r="A9" s="113"/>
      <c r="B9" s="114"/>
      <c r="C9" s="115"/>
      <c r="D9" s="119" t="s">
        <v>283</v>
      </c>
      <c r="E9" s="119"/>
      <c r="F9" s="120">
        <f>(SUMIFS(入金入力_レジデンス!$D$4:$D$103,入金入力_レジデンス!$A$4:$A$103,"&gt;="&amp;DATE(2026,5,1),入金入力_レジデンス!$A$4:$A$103,"&lt;="&amp;DATE(2026,5,31),入金入力_レジデンス!$C$4:$C$103,"売掛金回収"))/1000</f>
        <v>0</v>
      </c>
      <c r="G9" s="120"/>
      <c r="H9" s="120">
        <f>(SUMIFS(入金入力_レジデンス!$D$4:$D$103,入金入力_レジデンス!$A$4:$A$103,"&gt;="&amp;DATE(2026,6,1),入金入力_レジデンス!$A$4:$A$103,"&lt;="&amp;DATE(2026,6,30),入金入力_レジデンス!$C$4:$C$103,"売掛金回収"))/1000</f>
        <v>0</v>
      </c>
      <c r="I9" s="120"/>
      <c r="J9" s="120">
        <f>(SUMIFS(入金入力_レジデンス!$D$4:$D$103,入金入力_レジデンス!$A$4:$A$103,"&gt;="&amp;DATE(2026,7,1),入金入力_レジデンス!$A$4:$A$103,"&lt;="&amp;DATE(2026,7,31),入金入力_レジデンス!$C$4:$C$103,"売掛金回収"))/1000</f>
        <v>0</v>
      </c>
      <c r="K9" s="120"/>
      <c r="L9" s="120">
        <f>(SUMIFS(入金入力_レジデンス!$D$4:$D$103,入金入力_レジデンス!$A$4:$A$103,"&gt;="&amp;DATE(2026,8,1),入金入力_レジデンス!$A$4:$A$103,"&lt;="&amp;DATE(2026,8,31),入金入力_レジデンス!$C$4:$C$103,"売掛金回収"))/1000</f>
        <v>0</v>
      </c>
      <c r="M9" s="120"/>
      <c r="N9" s="121"/>
      <c r="O9" s="121"/>
      <c r="P9" s="121"/>
      <c r="Q9" s="121"/>
      <c r="R9" s="120"/>
      <c r="S9" s="120"/>
      <c r="T9" s="120"/>
      <c r="U9" s="120"/>
      <c r="V9" s="120"/>
      <c r="W9" s="120"/>
      <c r="X9" s="120"/>
      <c r="Y9" s="120"/>
      <c r="Z9" s="121"/>
      <c r="AA9" s="121"/>
      <c r="AB9" s="124"/>
      <c r="AC9" s="124"/>
    </row>
    <row r="10" spans="1:29" ht="15.75" customHeight="1">
      <c r="A10" s="113"/>
      <c r="B10" s="114"/>
      <c r="C10" s="115"/>
      <c r="D10" s="119" t="s">
        <v>284</v>
      </c>
      <c r="E10" s="119"/>
      <c r="F10" s="120">
        <f>(SUMIFS(入金入力_レジデンス!$D$4:$D$103,入金入力_レジデンス!$A$4:$A$103,"&gt;="&amp;DATE(2026,5,1),入金入力_レジデンス!$A$4:$A$103,"&lt;="&amp;DATE(2026,5,31),入金入力_レジデンス!$C$4:$C$103,"手形入金"))/1000</f>
        <v>0</v>
      </c>
      <c r="G10" s="120"/>
      <c r="H10" s="120">
        <f>(SUMIFS(入金入力_レジデンス!$D$4:$D$103,入金入力_レジデンス!$A$4:$A$103,"&gt;="&amp;DATE(2026,6,1),入金入力_レジデンス!$A$4:$A$103,"&lt;="&amp;DATE(2026,6,30),入金入力_レジデンス!$C$4:$C$103,"手形入金"))/1000</f>
        <v>0</v>
      </c>
      <c r="I10" s="120"/>
      <c r="J10" s="120">
        <f>(SUMIFS(入金入力_レジデンス!$D$4:$D$103,入金入力_レジデンス!$A$4:$A$103,"&gt;="&amp;DATE(2026,7,1),入金入力_レジデンス!$A$4:$A$103,"&lt;="&amp;DATE(2026,7,31),入金入力_レジデンス!$C$4:$C$103,"手形入金"))/1000</f>
        <v>0</v>
      </c>
      <c r="K10" s="120"/>
      <c r="L10" s="120">
        <f>(SUMIFS(入金入力_レジデンス!$D$4:$D$103,入金入力_レジデンス!$A$4:$A$103,"&gt;="&amp;DATE(2026,8,1),入金入力_レジデンス!$A$4:$A$103,"&lt;="&amp;DATE(2026,8,31),入金入力_レジデンス!$C$4:$C$103,"手形入金"))/1000</f>
        <v>0</v>
      </c>
      <c r="M10" s="120"/>
      <c r="N10" s="121"/>
      <c r="O10" s="121"/>
      <c r="P10" s="121"/>
      <c r="Q10" s="121"/>
      <c r="R10" s="120"/>
      <c r="S10" s="120"/>
      <c r="T10" s="120"/>
      <c r="U10" s="120"/>
      <c r="V10" s="120"/>
      <c r="W10" s="120"/>
      <c r="X10" s="120"/>
      <c r="Y10" s="120"/>
      <c r="Z10" s="121"/>
      <c r="AA10" s="121"/>
      <c r="AB10" s="124"/>
      <c r="AC10" s="124"/>
    </row>
    <row r="11" spans="1:29" ht="15.75" customHeight="1">
      <c r="A11" s="113"/>
      <c r="B11" s="114"/>
      <c r="C11" s="115"/>
      <c r="D11" s="119" t="s">
        <v>285</v>
      </c>
      <c r="E11" s="119"/>
      <c r="F11" s="120">
        <f>(SUMIFS(入金入力_レジデンス!$D$4:$D$103,入金入力_レジデンス!$A$4:$A$103,"&gt;="&amp;DATE(2026,5,1),入金入力_レジデンス!$A$4:$A$103,"&lt;="&amp;DATE(2026,5,31),入金入力_レジデンス!$C$4:$C$103,"その他収入"))/1000</f>
        <v>0</v>
      </c>
      <c r="G11" s="120"/>
      <c r="H11" s="120">
        <f>(SUMIFS(入金入力_レジデンス!$D$4:$D$103,入金入力_レジデンス!$A$4:$A$103,"&gt;="&amp;DATE(2026,6,1),入金入力_レジデンス!$A$4:$A$103,"&lt;="&amp;DATE(2026,6,30),入金入力_レジデンス!$C$4:$C$103,"その他収入"))/1000</f>
        <v>0</v>
      </c>
      <c r="I11" s="120"/>
      <c r="J11" s="120">
        <f>(SUMIFS(入金入力_レジデンス!$D$4:$D$103,入金入力_レジデンス!$A$4:$A$103,"&gt;="&amp;DATE(2026,7,1),入金入力_レジデンス!$A$4:$A$103,"&lt;="&amp;DATE(2026,7,31),入金入力_レジデンス!$C$4:$C$103,"その他収入"))/1000</f>
        <v>0</v>
      </c>
      <c r="K11" s="120"/>
      <c r="L11" s="120">
        <f>(SUMIFS(入金入力_レジデンス!$D$4:$D$103,入金入力_レジデンス!$A$4:$A$103,"&gt;="&amp;DATE(2026,8,1),入金入力_レジデンス!$A$4:$A$103,"&lt;="&amp;DATE(2026,8,31),入金入力_レジデンス!$C$4:$C$103,"その他収入"))/1000</f>
        <v>0</v>
      </c>
      <c r="M11" s="120"/>
      <c r="N11" s="121"/>
      <c r="O11" s="121"/>
      <c r="P11" s="121"/>
      <c r="Q11" s="121"/>
      <c r="R11" s="120"/>
      <c r="S11" s="120"/>
      <c r="T11" s="120"/>
      <c r="U11" s="120"/>
      <c r="V11" s="120"/>
      <c r="W11" s="120"/>
      <c r="X11" s="120"/>
      <c r="Y11" s="120"/>
      <c r="Z11" s="121"/>
      <c r="AA11" s="121"/>
      <c r="AB11" s="121"/>
      <c r="AC11" s="121"/>
    </row>
    <row r="12" spans="1:29" ht="15.75" customHeight="1">
      <c r="A12" s="113"/>
      <c r="B12" s="114"/>
      <c r="C12" s="122" t="s">
        <v>286</v>
      </c>
      <c r="D12" s="122"/>
      <c r="E12" s="122"/>
      <c r="F12" s="123">
        <f>SUM(F8:F11)</f>
        <v>0</v>
      </c>
      <c r="G12" s="123"/>
      <c r="H12" s="123">
        <f>SUM(H8:H11)</f>
        <v>0</v>
      </c>
      <c r="I12" s="123"/>
      <c r="J12" s="123">
        <f>SUM(J8:J11)</f>
        <v>0</v>
      </c>
      <c r="K12" s="123"/>
      <c r="L12" s="123">
        <f>SUM(L8:L11)</f>
        <v>0</v>
      </c>
      <c r="M12" s="123"/>
      <c r="N12" s="123">
        <f>SUM(N8:N11)</f>
        <v>0</v>
      </c>
      <c r="O12" s="123"/>
      <c r="P12" s="123">
        <f>SUM(P8:P11)</f>
        <v>0</v>
      </c>
      <c r="Q12" s="123"/>
      <c r="R12" s="123">
        <f>SUM(R8:R11)</f>
        <v>0</v>
      </c>
      <c r="S12" s="123"/>
      <c r="T12" s="123">
        <f>SUM(T8:T11)</f>
        <v>0</v>
      </c>
      <c r="U12" s="123"/>
      <c r="V12" s="123">
        <f>SUM(V8:V11)</f>
        <v>0</v>
      </c>
      <c r="W12" s="123"/>
      <c r="X12" s="123">
        <f>SUM(X8:X11)</f>
        <v>0</v>
      </c>
      <c r="Y12" s="123"/>
      <c r="Z12" s="123">
        <f>SUM(Z8:Z11)</f>
        <v>0</v>
      </c>
      <c r="AA12" s="123"/>
      <c r="AB12" s="125">
        <f>SUM(AB8:AB11)</f>
        <v>0</v>
      </c>
      <c r="AC12" s="125"/>
    </row>
    <row r="13" spans="1:29" ht="15.75" customHeight="1">
      <c r="A13" s="113"/>
      <c r="B13" s="126" t="s">
        <v>287</v>
      </c>
      <c r="C13" s="127" t="s">
        <v>288</v>
      </c>
      <c r="D13" s="119" t="s">
        <v>289</v>
      </c>
      <c r="E13" s="119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4"/>
      <c r="AC13" s="124"/>
    </row>
    <row r="14" spans="1:29" ht="15.75" customHeight="1">
      <c r="A14" s="113"/>
      <c r="B14" s="126"/>
      <c r="C14" s="127"/>
      <c r="D14" s="119" t="s">
        <v>60</v>
      </c>
      <c r="E14" s="119"/>
      <c r="F14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買掛金支払")*未払一覧_レジデンス!$N$4:$N$103))/1000</f>
        <v>0</v>
      </c>
      <c r="G14" s="120"/>
      <c r="H14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買掛金支払")*未払一覧_レジデンス!$N$4:$N$103))/1000</f>
        <v>0</v>
      </c>
      <c r="I14" s="120"/>
      <c r="J14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買掛金支払")*未払一覧_レジデンス!$N$4:$N$103))/1000</f>
        <v>0</v>
      </c>
      <c r="K14" s="120"/>
      <c r="L14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買掛金支払")*未払一覧_レジデンス!$N$4:$N$103))/1000</f>
        <v>0</v>
      </c>
      <c r="M14" s="120"/>
      <c r="N14" s="121"/>
      <c r="O14" s="121"/>
      <c r="P14" s="121"/>
      <c r="Q14" s="121"/>
      <c r="R14" s="120"/>
      <c r="S14" s="120"/>
      <c r="T14" s="120"/>
      <c r="U14" s="120"/>
      <c r="V14" s="120"/>
      <c r="W14" s="120"/>
      <c r="X14" s="120"/>
      <c r="Y14" s="120"/>
      <c r="Z14" s="121"/>
      <c r="AA14" s="121"/>
      <c r="AB14" s="124"/>
      <c r="AC14" s="124"/>
    </row>
    <row r="15" spans="1:29" ht="15.75" customHeight="1">
      <c r="A15" s="113"/>
      <c r="B15" s="126"/>
      <c r="C15" s="127"/>
      <c r="D15" s="119" t="s">
        <v>290</v>
      </c>
      <c r="E15" s="119"/>
      <c r="F15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手形決済")*未払一覧_レジデンス!$N$4:$N$103))/1000</f>
        <v>0</v>
      </c>
      <c r="G15" s="120"/>
      <c r="H15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手形決済")*未払一覧_レジデンス!$N$4:$N$103))/1000</f>
        <v>0</v>
      </c>
      <c r="I15" s="120"/>
      <c r="J15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手形決済")*未払一覧_レジデンス!$N$4:$N$103))/1000</f>
        <v>0</v>
      </c>
      <c r="K15" s="120"/>
      <c r="L15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手形決済")*未払一覧_レジデンス!$N$4:$N$103))/1000</f>
        <v>0</v>
      </c>
      <c r="M15" s="120"/>
      <c r="N15" s="121"/>
      <c r="O15" s="121"/>
      <c r="P15" s="121"/>
      <c r="Q15" s="121"/>
      <c r="R15" s="120"/>
      <c r="S15" s="120"/>
      <c r="T15" s="120"/>
      <c r="U15" s="120"/>
      <c r="V15" s="120"/>
      <c r="W15" s="120"/>
      <c r="X15" s="120"/>
      <c r="Y15" s="120"/>
      <c r="Z15" s="121"/>
      <c r="AA15" s="121"/>
      <c r="AB15" s="124"/>
      <c r="AC15" s="124"/>
    </row>
    <row r="16" spans="1:29" ht="15.75" customHeight="1">
      <c r="A16" s="113"/>
      <c r="B16" s="126"/>
      <c r="C16" s="127" t="s">
        <v>291</v>
      </c>
      <c r="D16" s="119" t="s">
        <v>76</v>
      </c>
      <c r="E16" s="119"/>
      <c r="F16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役員報酬")*未払一覧_レジデンス!$N$4:$N$103))/1000</f>
        <v>0</v>
      </c>
      <c r="G16" s="120"/>
      <c r="H16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役員報酬")*未払一覧_レジデンス!$N$4:$N$103))/1000</f>
        <v>0</v>
      </c>
      <c r="I16" s="120"/>
      <c r="J16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役員報酬")*未払一覧_レジデンス!$N$4:$N$103))/1000</f>
        <v>0</v>
      </c>
      <c r="K16" s="120"/>
      <c r="L16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役員報酬")*未払一覧_レジデンス!$N$4:$N$103))/1000</f>
        <v>0</v>
      </c>
      <c r="M16" s="120"/>
      <c r="N16" s="121"/>
      <c r="O16" s="121"/>
      <c r="P16" s="121"/>
      <c r="Q16" s="121"/>
      <c r="R16" s="120"/>
      <c r="S16" s="120"/>
      <c r="T16" s="120"/>
      <c r="U16" s="120"/>
      <c r="V16" s="120"/>
      <c r="W16" s="120"/>
      <c r="X16" s="120"/>
      <c r="Y16" s="120"/>
      <c r="Z16" s="121"/>
      <c r="AA16" s="121"/>
      <c r="AB16" s="121"/>
      <c r="AC16" s="121"/>
    </row>
    <row r="17" spans="1:29" ht="15.75" customHeight="1">
      <c r="A17" s="113"/>
      <c r="B17" s="126"/>
      <c r="C17" s="127"/>
      <c r="D17" s="119" t="s">
        <v>77</v>
      </c>
      <c r="E17" s="119"/>
      <c r="F17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従業員給与")*未払一覧_レジデンス!$N$4:$N$103))/1000</f>
        <v>0</v>
      </c>
      <c r="G17" s="120"/>
      <c r="H17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従業員給与")*未払一覧_レジデンス!$N$4:$N$103))/1000</f>
        <v>0</v>
      </c>
      <c r="I17" s="120"/>
      <c r="J17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従業員給与")*未払一覧_レジデンス!$N$4:$N$103))/1000</f>
        <v>0</v>
      </c>
      <c r="K17" s="120"/>
      <c r="L17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従業員給与")*未払一覧_レジデンス!$N$4:$N$103))/1000</f>
        <v>0</v>
      </c>
      <c r="M17" s="120"/>
      <c r="N17" s="121"/>
      <c r="O17" s="121"/>
      <c r="P17" s="121"/>
      <c r="Q17" s="121"/>
      <c r="R17" s="120"/>
      <c r="S17" s="120"/>
      <c r="T17" s="120"/>
      <c r="U17" s="120"/>
      <c r="V17" s="120"/>
      <c r="W17" s="120"/>
      <c r="X17" s="120"/>
      <c r="Y17" s="120"/>
      <c r="Z17" s="121"/>
      <c r="AA17" s="121"/>
      <c r="AB17" s="121"/>
      <c r="AC17" s="121"/>
    </row>
    <row r="18" spans="1:29" ht="15.75" customHeight="1">
      <c r="A18" s="113"/>
      <c r="B18" s="126"/>
      <c r="C18" s="127"/>
      <c r="D18" s="119" t="s">
        <v>78</v>
      </c>
      <c r="E18" s="119"/>
      <c r="F18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地代家賃")*未払一覧_レジデンス!$N$4:$N$103))/1000</f>
        <v>0</v>
      </c>
      <c r="G18" s="120"/>
      <c r="H18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地代家賃")*未払一覧_レジデンス!$N$4:$N$103))/1000</f>
        <v>0</v>
      </c>
      <c r="I18" s="120"/>
      <c r="J18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地代家賃")*未払一覧_レジデンス!$N$4:$N$103))/1000</f>
        <v>0</v>
      </c>
      <c r="K18" s="120"/>
      <c r="L18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地代家賃")*未払一覧_レジデンス!$N$4:$N$103))/1000</f>
        <v>0</v>
      </c>
      <c r="M18" s="120"/>
      <c r="N18" s="121"/>
      <c r="O18" s="121"/>
      <c r="P18" s="121"/>
      <c r="Q18" s="121"/>
      <c r="R18" s="120"/>
      <c r="S18" s="120"/>
      <c r="T18" s="120"/>
      <c r="U18" s="120"/>
      <c r="V18" s="120"/>
      <c r="W18" s="120"/>
      <c r="X18" s="120"/>
      <c r="Y18" s="120"/>
      <c r="Z18" s="121"/>
      <c r="AA18" s="121"/>
      <c r="AB18" s="121"/>
      <c r="AC18" s="121"/>
    </row>
    <row r="19" spans="1:29" ht="15.75" customHeight="1">
      <c r="A19" s="113"/>
      <c r="B19" s="126"/>
      <c r="C19" s="127"/>
      <c r="D19" s="119" t="s">
        <v>79</v>
      </c>
      <c r="E19" s="119"/>
      <c r="F19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支払利息")*未払一覧_レジデンス!$N$4:$N$103))/1000</f>
        <v>0</v>
      </c>
      <c r="G19" s="120"/>
      <c r="H19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支払利息")*未払一覧_レジデンス!$N$4:$N$103))/1000</f>
        <v>0</v>
      </c>
      <c r="I19" s="120"/>
      <c r="J19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支払利息")*未払一覧_レジデンス!$N$4:$N$103))/1000</f>
        <v>0</v>
      </c>
      <c r="K19" s="120"/>
      <c r="L19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支払利息")*未払一覧_レジデンス!$N$4:$N$103))/1000</f>
        <v>0</v>
      </c>
      <c r="M19" s="120"/>
      <c r="N19" s="121"/>
      <c r="O19" s="121"/>
      <c r="P19" s="121"/>
      <c r="Q19" s="121"/>
      <c r="R19" s="120"/>
      <c r="S19" s="120"/>
      <c r="T19" s="120"/>
      <c r="U19" s="120"/>
      <c r="V19" s="120"/>
      <c r="W19" s="120"/>
      <c r="X19" s="120"/>
      <c r="Y19" s="120"/>
      <c r="Z19" s="121"/>
      <c r="AA19" s="121"/>
      <c r="AB19" s="121"/>
      <c r="AC19" s="121"/>
    </row>
    <row r="20" spans="1:29" ht="15.75" customHeight="1">
      <c r="A20" s="113"/>
      <c r="B20" s="126"/>
      <c r="C20" s="127"/>
      <c r="D20" s="119" t="s">
        <v>70</v>
      </c>
      <c r="E20" s="119"/>
      <c r="F20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税金・社会保険料")*未払一覧_レジデンス!$N$4:$N$103))/1000</f>
        <v>0</v>
      </c>
      <c r="G20" s="120"/>
      <c r="H20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税金・社会保険料")*未払一覧_レジデンス!$N$4:$N$103))/1000</f>
        <v>0</v>
      </c>
      <c r="I20" s="120"/>
      <c r="J20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税金・社会保険料")*未払一覧_レジデンス!$N$4:$N$103))/1000</f>
        <v>0</v>
      </c>
      <c r="K20" s="120"/>
      <c r="L20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税金・社会保険料")*未払一覧_レジデンス!$N$4:$N$103))/1000</f>
        <v>0</v>
      </c>
      <c r="M20" s="120"/>
      <c r="N20" s="121"/>
      <c r="O20" s="121"/>
      <c r="P20" s="121"/>
      <c r="Q20" s="121"/>
      <c r="R20" s="120"/>
      <c r="S20" s="120"/>
      <c r="T20" s="120"/>
      <c r="U20" s="120"/>
      <c r="V20" s="120"/>
      <c r="W20" s="120"/>
      <c r="X20" s="120"/>
      <c r="Y20" s="120"/>
      <c r="Z20" s="121"/>
      <c r="AA20" s="121"/>
      <c r="AB20" s="121"/>
      <c r="AC20" s="121"/>
    </row>
    <row r="21" spans="1:29" ht="15.75" customHeight="1">
      <c r="A21" s="113"/>
      <c r="B21" s="126"/>
      <c r="C21" s="127"/>
      <c r="D21" s="119" t="s">
        <v>72</v>
      </c>
      <c r="E21" s="119"/>
      <c r="F21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その他経費")*未払一覧_レジデンス!$N$4:$N$103))/1000</f>
        <v>0</v>
      </c>
      <c r="G21" s="120"/>
      <c r="H21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その他経費")*未払一覧_レジデンス!$N$4:$N$103))/1000</f>
        <v>0</v>
      </c>
      <c r="I21" s="120"/>
      <c r="J21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その他経費")*未払一覧_レジデンス!$N$4:$N$103))/1000</f>
        <v>0</v>
      </c>
      <c r="K21" s="120"/>
      <c r="L21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その他経費")*未払一覧_レジデンス!$N$4:$N$103))/1000</f>
        <v>0</v>
      </c>
      <c r="M21" s="120"/>
      <c r="N21" s="121"/>
      <c r="O21" s="121"/>
      <c r="P21" s="121"/>
      <c r="Q21" s="121"/>
      <c r="R21" s="120"/>
      <c r="S21" s="120"/>
      <c r="T21" s="120"/>
      <c r="U21" s="120"/>
      <c r="V21" s="120"/>
      <c r="W21" s="120"/>
      <c r="X21" s="120"/>
      <c r="Y21" s="120"/>
      <c r="Z21" s="121"/>
      <c r="AA21" s="121"/>
      <c r="AB21" s="121"/>
      <c r="AC21" s="121"/>
    </row>
    <row r="22" spans="1:29" ht="15.75" customHeight="1">
      <c r="A22" s="113"/>
      <c r="B22" s="126"/>
      <c r="C22" s="122" t="s">
        <v>292</v>
      </c>
      <c r="D22" s="122"/>
      <c r="E22" s="122"/>
      <c r="F22" s="123">
        <f>SUM(F13:F21)</f>
        <v>0</v>
      </c>
      <c r="G22" s="123"/>
      <c r="H22" s="123">
        <f>SUM(H13:H21)</f>
        <v>0</v>
      </c>
      <c r="I22" s="123"/>
      <c r="J22" s="123">
        <f>SUM(J13:J21)</f>
        <v>0</v>
      </c>
      <c r="K22" s="123"/>
      <c r="L22" s="123">
        <f>SUM(L13:L21)</f>
        <v>0</v>
      </c>
      <c r="M22" s="123"/>
      <c r="N22" s="123">
        <f>SUM(N13:N21)</f>
        <v>0</v>
      </c>
      <c r="O22" s="123"/>
      <c r="P22" s="123">
        <f>SUM(P13:P21)</f>
        <v>0</v>
      </c>
      <c r="Q22" s="123"/>
      <c r="R22" s="123">
        <f>SUM(R13:R21)</f>
        <v>0</v>
      </c>
      <c r="S22" s="123"/>
      <c r="T22" s="123">
        <f>SUM(T13:T21)</f>
        <v>0</v>
      </c>
      <c r="U22" s="123"/>
      <c r="V22" s="123">
        <f>SUM(V13:V21)</f>
        <v>0</v>
      </c>
      <c r="W22" s="123"/>
      <c r="X22" s="123">
        <f>SUM(X13:X21)</f>
        <v>0</v>
      </c>
      <c r="Y22" s="123"/>
      <c r="Z22" s="123">
        <f>SUM(Z13:Z21)</f>
        <v>0</v>
      </c>
      <c r="AA22" s="123"/>
      <c r="AB22" s="125">
        <f>SUM(AB13:AB21)</f>
        <v>0</v>
      </c>
      <c r="AC22" s="125"/>
    </row>
    <row r="23" spans="1:29" ht="15.75" customHeight="1">
      <c r="A23" s="113"/>
      <c r="B23" s="122" t="s">
        <v>293</v>
      </c>
      <c r="C23" s="122"/>
      <c r="D23" s="122"/>
      <c r="E23" s="122"/>
      <c r="F23" s="123">
        <f>F12-F22</f>
        <v>0</v>
      </c>
      <c r="G23" s="123"/>
      <c r="H23" s="123">
        <f>H12-H22</f>
        <v>0</v>
      </c>
      <c r="I23" s="123"/>
      <c r="J23" s="123">
        <f>J12-J22</f>
        <v>0</v>
      </c>
      <c r="K23" s="123"/>
      <c r="L23" s="123">
        <f>L12-L22</f>
        <v>0</v>
      </c>
      <c r="M23" s="123"/>
      <c r="N23" s="123">
        <f>N12-N22</f>
        <v>0</v>
      </c>
      <c r="O23" s="123"/>
      <c r="P23" s="123">
        <f>P12-P22</f>
        <v>0</v>
      </c>
      <c r="Q23" s="123"/>
      <c r="R23" s="123">
        <f>R12-R22</f>
        <v>0</v>
      </c>
      <c r="S23" s="123"/>
      <c r="T23" s="123">
        <f>T12-T22</f>
        <v>0</v>
      </c>
      <c r="U23" s="123"/>
      <c r="V23" s="123">
        <f>V12-V22</f>
        <v>0</v>
      </c>
      <c r="W23" s="123"/>
      <c r="X23" s="123">
        <f>X12-X22</f>
        <v>0</v>
      </c>
      <c r="Y23" s="123"/>
      <c r="Z23" s="123">
        <f>Z12-Z22</f>
        <v>0</v>
      </c>
      <c r="AA23" s="123"/>
      <c r="AB23" s="125">
        <f>AB12-AB22</f>
        <v>0</v>
      </c>
      <c r="AC23" s="125"/>
    </row>
    <row r="24" spans="1:29" ht="15.75" customHeight="1">
      <c r="A24" s="136" t="s">
        <v>294</v>
      </c>
      <c r="B24" s="127" t="s">
        <v>281</v>
      </c>
      <c r="C24" s="119" t="s">
        <v>295</v>
      </c>
      <c r="D24" s="119"/>
      <c r="E24" s="119"/>
      <c r="F24" s="120">
        <f>(SUMIFS(入金入力_レジデンス!$D$4:$D$103,入金入力_レジデンス!$A$4:$A$103,"&gt;="&amp;DATE(2026,5,1),入金入力_レジデンス!$A$4:$A$103,"&lt;="&amp;DATE(2026,5,31),入金入力_レジデンス!$C$4:$C$103,"借入金"))/1000</f>
        <v>0</v>
      </c>
      <c r="G24" s="120"/>
      <c r="H24" s="120">
        <f>(SUMIFS(入金入力_レジデンス!$D$4:$D$103,入金入力_レジデンス!$A$4:$A$103,"&gt;="&amp;DATE(2026,6,1),入金入力_レジデンス!$A$4:$A$103,"&lt;="&amp;DATE(2026,6,30),入金入力_レジデンス!$C$4:$C$103,"借入金"))/1000</f>
        <v>0</v>
      </c>
      <c r="I24" s="120"/>
      <c r="J24" s="120">
        <f>(SUMIFS(入金入力_レジデンス!$D$4:$D$103,入金入力_レジデンス!$A$4:$A$103,"&gt;="&amp;DATE(2026,7,1),入金入力_レジデンス!$A$4:$A$103,"&lt;="&amp;DATE(2026,7,31),入金入力_レジデンス!$C$4:$C$103,"借入金"))/1000</f>
        <v>0</v>
      </c>
      <c r="K24" s="120"/>
      <c r="L24" s="120">
        <f>(SUMIFS(入金入力_レジデンス!$D$4:$D$103,入金入力_レジデンス!$A$4:$A$103,"&gt;="&amp;DATE(2026,8,1),入金入力_レジデンス!$A$4:$A$103,"&lt;="&amp;DATE(2026,8,31),入金入力_レジデンス!$C$4:$C$103,"借入金"))/1000</f>
        <v>0</v>
      </c>
      <c r="M24" s="120"/>
      <c r="N24" s="121"/>
      <c r="O24" s="121"/>
      <c r="P24" s="121"/>
      <c r="Q24" s="121"/>
      <c r="R24" s="120"/>
      <c r="S24" s="120"/>
      <c r="T24" s="120"/>
      <c r="U24" s="120"/>
      <c r="V24" s="120"/>
      <c r="W24" s="120"/>
      <c r="X24" s="120"/>
      <c r="Y24" s="120"/>
      <c r="Z24" s="121"/>
      <c r="AA24" s="121"/>
      <c r="AB24" s="124"/>
      <c r="AC24" s="124"/>
    </row>
    <row r="25" spans="1:29" ht="15.75" customHeight="1">
      <c r="A25" s="136"/>
      <c r="B25" s="127"/>
      <c r="C25" s="119" t="s">
        <v>296</v>
      </c>
      <c r="D25" s="119"/>
      <c r="E25" s="119"/>
      <c r="F25" s="120">
        <f>(SUMIFS(入金入力_レジデンス!$D$4:$D$103,入金入力_レジデンス!$A$4:$A$103,"&gt;="&amp;DATE(2026,5,1),入金入力_レジデンス!$A$4:$A$103,"&lt;="&amp;DATE(2026,5,31),入金入力_レジデンス!$C$4:$C$103,"設備売却"))/1000</f>
        <v>0</v>
      </c>
      <c r="G25" s="120"/>
      <c r="H25" s="120">
        <f>(SUMIFS(入金入力_レジデンス!$D$4:$D$103,入金入力_レジデンス!$A$4:$A$103,"&gt;="&amp;DATE(2026,6,1),入金入力_レジデンス!$A$4:$A$103,"&lt;="&amp;DATE(2026,6,30),入金入力_レジデンス!$C$4:$C$103,"設備売却"))/1000</f>
        <v>0</v>
      </c>
      <c r="I25" s="120"/>
      <c r="J25" s="120">
        <f>(SUMIFS(入金入力_レジデンス!$D$4:$D$103,入金入力_レジデンス!$A$4:$A$103,"&gt;="&amp;DATE(2026,7,1),入金入力_レジデンス!$A$4:$A$103,"&lt;="&amp;DATE(2026,7,31),入金入力_レジデンス!$C$4:$C$103,"設備売却"))/1000</f>
        <v>0</v>
      </c>
      <c r="K25" s="120"/>
      <c r="L25" s="120">
        <f>(SUMIFS(入金入力_レジデンス!$D$4:$D$103,入金入力_レジデンス!$A$4:$A$103,"&gt;="&amp;DATE(2026,8,1),入金入力_レジデンス!$A$4:$A$103,"&lt;="&amp;DATE(2026,8,31),入金入力_レジデンス!$C$4:$C$103,"設備売却"))/1000</f>
        <v>0</v>
      </c>
      <c r="M25" s="120"/>
      <c r="N25" s="121"/>
      <c r="O25" s="121"/>
      <c r="P25" s="121"/>
      <c r="Q25" s="121"/>
      <c r="R25" s="120"/>
      <c r="S25" s="120"/>
      <c r="T25" s="120"/>
      <c r="U25" s="120"/>
      <c r="V25" s="120"/>
      <c r="W25" s="120"/>
      <c r="X25" s="120"/>
      <c r="Y25" s="120"/>
      <c r="Z25" s="121"/>
      <c r="AA25" s="121"/>
      <c r="AB25" s="124"/>
      <c r="AC25" s="124"/>
    </row>
    <row r="26" spans="1:29" ht="15.75" customHeight="1">
      <c r="A26" s="136"/>
      <c r="B26" s="127"/>
      <c r="C26" s="130" t="s">
        <v>297</v>
      </c>
      <c r="D26" s="130"/>
      <c r="E26" s="130"/>
      <c r="F26" s="131">
        <f>SUM(F24:F25)</f>
        <v>0</v>
      </c>
      <c r="G26" s="131"/>
      <c r="H26" s="131">
        <f>SUM(H24:H25)</f>
        <v>0</v>
      </c>
      <c r="I26" s="131"/>
      <c r="J26" s="131">
        <f>SUM(J24:J25)</f>
        <v>0</v>
      </c>
      <c r="K26" s="131"/>
      <c r="L26" s="131">
        <f>SUM(L24:L25)</f>
        <v>0</v>
      </c>
      <c r="M26" s="131"/>
      <c r="N26" s="131">
        <f>SUM(N24:N25)</f>
        <v>0</v>
      </c>
      <c r="O26" s="131"/>
      <c r="P26" s="131">
        <f>SUM(P24:P25)</f>
        <v>0</v>
      </c>
      <c r="Q26" s="131"/>
      <c r="R26" s="131">
        <f>SUM(R24:R25)</f>
        <v>0</v>
      </c>
      <c r="S26" s="131"/>
      <c r="T26" s="131">
        <f>SUM(T24:T25)</f>
        <v>0</v>
      </c>
      <c r="U26" s="131"/>
      <c r="V26" s="131">
        <f>SUM(V24:V25)</f>
        <v>0</v>
      </c>
      <c r="W26" s="131"/>
      <c r="X26" s="131">
        <f>SUM(X24:X25)</f>
        <v>0</v>
      </c>
      <c r="Y26" s="131"/>
      <c r="Z26" s="131">
        <f>SUM(Z24:Z25)</f>
        <v>0</v>
      </c>
      <c r="AA26" s="131"/>
      <c r="AB26" s="132">
        <f>SUM(AB24:AB25)</f>
        <v>0</v>
      </c>
      <c r="AC26" s="132"/>
    </row>
    <row r="27" spans="1:29" ht="15.75" customHeight="1">
      <c r="A27" s="136"/>
      <c r="B27" s="127" t="s">
        <v>287</v>
      </c>
      <c r="C27" s="119" t="s">
        <v>298</v>
      </c>
      <c r="D27" s="119"/>
      <c r="E27" s="119"/>
      <c r="F27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借入金返済")*未払一覧_レジデンス!$N$4:$N$103))/1000</f>
        <v>0</v>
      </c>
      <c r="G27" s="120"/>
      <c r="H27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借入金返済")*未払一覧_レジデンス!$N$4:$N$103))/1000</f>
        <v>0</v>
      </c>
      <c r="I27" s="120"/>
      <c r="J27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借入金返済")*未払一覧_レジデンス!$N$4:$N$103))/1000</f>
        <v>0</v>
      </c>
      <c r="K27" s="120"/>
      <c r="L27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借入金返済")*未払一覧_レジデンス!$N$4:$N$103))/1000</f>
        <v>0</v>
      </c>
      <c r="M27" s="120"/>
      <c r="N27" s="121"/>
      <c r="O27" s="121"/>
      <c r="P27" s="121"/>
      <c r="Q27" s="121"/>
      <c r="R27" s="120"/>
      <c r="S27" s="120"/>
      <c r="T27" s="120"/>
      <c r="U27" s="120"/>
      <c r="V27" s="120"/>
      <c r="W27" s="120"/>
      <c r="X27" s="120"/>
      <c r="Y27" s="120"/>
      <c r="Z27" s="121"/>
      <c r="AA27" s="121"/>
      <c r="AB27" s="124"/>
      <c r="AC27" s="124"/>
    </row>
    <row r="28" spans="1:29" ht="15.75" customHeight="1">
      <c r="A28" s="136"/>
      <c r="B28" s="127"/>
      <c r="C28" s="119" t="s">
        <v>299</v>
      </c>
      <c r="D28" s="119"/>
      <c r="E28" s="119"/>
      <c r="F28" s="120">
        <f>(SUMPRODUCT((未払一覧_レジデンス!$M$4:$M$103&gt;=DATE(2026,5,1))*(未払一覧_レジデンス!$M$4:$M$103&lt;=DATE(2026,5,31))*(IFERROR(VLOOKUP(未払一覧_レジデンス!$D$4:$D$103,マスター_勘定科目!$A$4:$B$30,2,FALSE()),"その他経費")="設備購入等")*未払一覧_レジデンス!$N$4:$N$103))/1000</f>
        <v>0</v>
      </c>
      <c r="G28" s="120"/>
      <c r="H28" s="120">
        <f>(SUMPRODUCT((未払一覧_レジデンス!$M$4:$M$103&gt;=DATE(2026,6,1))*(未払一覧_レジデンス!$M$4:$M$103&lt;=DATE(2026,6,30))*(IFERROR(VLOOKUP(未払一覧_レジデンス!$D$4:$D$103,マスター_勘定科目!$A$4:$B$30,2,FALSE()),"その他経費")="設備購入等")*未払一覧_レジデンス!$N$4:$N$103))/1000</f>
        <v>0</v>
      </c>
      <c r="I28" s="120"/>
      <c r="J28" s="120">
        <f>(SUMPRODUCT((未払一覧_レジデンス!$M$4:$M$103&gt;=DATE(2026,7,1))*(未払一覧_レジデンス!$M$4:$M$103&lt;=DATE(2026,7,31))*(IFERROR(VLOOKUP(未払一覧_レジデンス!$D$4:$D$103,マスター_勘定科目!$A$4:$B$30,2,FALSE()),"その他経費")="設備購入等")*未払一覧_レジデンス!$N$4:$N$103))/1000</f>
        <v>0</v>
      </c>
      <c r="K28" s="120"/>
      <c r="L28" s="120">
        <f>(SUMPRODUCT((未払一覧_レジデンス!$M$4:$M$103&gt;=DATE(2026,8,1))*(未払一覧_レジデンス!$M$4:$M$103&lt;=DATE(2026,8,31))*(IFERROR(VLOOKUP(未払一覧_レジデンス!$D$4:$D$103,マスター_勘定科目!$A$4:$B$30,2,FALSE()),"その他経費")="設備購入等")*未払一覧_レジデンス!$N$4:$N$103))/1000</f>
        <v>0</v>
      </c>
      <c r="M28" s="120"/>
      <c r="N28" s="121"/>
      <c r="O28" s="121"/>
      <c r="P28" s="121"/>
      <c r="Q28" s="121"/>
      <c r="R28" s="120"/>
      <c r="S28" s="120"/>
      <c r="T28" s="120"/>
      <c r="U28" s="120"/>
      <c r="V28" s="120"/>
      <c r="W28" s="120"/>
      <c r="X28" s="120"/>
      <c r="Y28" s="120"/>
      <c r="Z28" s="121"/>
      <c r="AA28" s="121"/>
      <c r="AB28" s="124"/>
      <c r="AC28" s="124"/>
    </row>
    <row r="29" spans="1:29" ht="15.75" customHeight="1">
      <c r="A29" s="136"/>
      <c r="B29" s="127"/>
      <c r="C29" s="130" t="s">
        <v>300</v>
      </c>
      <c r="D29" s="130"/>
      <c r="E29" s="130"/>
      <c r="F29" s="131">
        <f>SUM(F27:F28)</f>
        <v>0</v>
      </c>
      <c r="G29" s="131"/>
      <c r="H29" s="131">
        <f>SUM(H27:H28)</f>
        <v>0</v>
      </c>
      <c r="I29" s="131"/>
      <c r="J29" s="131">
        <f>SUM(J27:J28)</f>
        <v>0</v>
      </c>
      <c r="K29" s="131"/>
      <c r="L29" s="131">
        <f>SUM(L27:L28)</f>
        <v>0</v>
      </c>
      <c r="M29" s="131"/>
      <c r="N29" s="131">
        <f>SUM(N27:N28)</f>
        <v>0</v>
      </c>
      <c r="O29" s="131"/>
      <c r="P29" s="131">
        <f>SUM(P27:P28)</f>
        <v>0</v>
      </c>
      <c r="Q29" s="131"/>
      <c r="R29" s="131">
        <f>SUM(R27:R28)</f>
        <v>0</v>
      </c>
      <c r="S29" s="131"/>
      <c r="T29" s="131">
        <f>SUM(T27:T28)</f>
        <v>0</v>
      </c>
      <c r="U29" s="131"/>
      <c r="V29" s="131">
        <f>SUM(V27:V28)</f>
        <v>0</v>
      </c>
      <c r="W29" s="131"/>
      <c r="X29" s="131">
        <f>SUM(X27:X28)</f>
        <v>0</v>
      </c>
      <c r="Y29" s="131"/>
      <c r="Z29" s="131">
        <f>SUM(Z27:Z28)</f>
        <v>0</v>
      </c>
      <c r="AA29" s="131"/>
      <c r="AB29" s="132">
        <f>SUM(AB27:AB28)</f>
        <v>0</v>
      </c>
      <c r="AC29" s="132"/>
    </row>
    <row r="30" spans="1:29" ht="15.75" customHeight="1">
      <c r="A30" s="136"/>
      <c r="B30" s="128" t="s">
        <v>301</v>
      </c>
      <c r="C30" s="128"/>
      <c r="D30" s="128"/>
      <c r="E30" s="128"/>
      <c r="F30" s="129">
        <f>F26-F29</f>
        <v>0</v>
      </c>
      <c r="G30" s="129"/>
      <c r="H30" s="129">
        <f>H26-H29</f>
        <v>0</v>
      </c>
      <c r="I30" s="129"/>
      <c r="J30" s="129">
        <f>J26-J29</f>
        <v>0</v>
      </c>
      <c r="K30" s="129"/>
      <c r="L30" s="129">
        <f>L26-L29</f>
        <v>0</v>
      </c>
      <c r="M30" s="129"/>
      <c r="N30" s="129">
        <f>N26-N29</f>
        <v>0</v>
      </c>
      <c r="O30" s="129"/>
      <c r="P30" s="129">
        <f>P26-P29</f>
        <v>0</v>
      </c>
      <c r="Q30" s="129"/>
      <c r="R30" s="129">
        <f>R26-R29</f>
        <v>0</v>
      </c>
      <c r="S30" s="129"/>
      <c r="T30" s="129">
        <f>T26-T29</f>
        <v>0</v>
      </c>
      <c r="U30" s="129"/>
      <c r="V30" s="129">
        <f>V26-V29</f>
        <v>0</v>
      </c>
      <c r="W30" s="129"/>
      <c r="X30" s="129">
        <f>X26-X29</f>
        <v>0</v>
      </c>
      <c r="Y30" s="129"/>
      <c r="Z30" s="129">
        <f>Z26-Z29</f>
        <v>0</v>
      </c>
      <c r="AA30" s="129"/>
      <c r="AB30" s="134">
        <f>AB26-AB29</f>
        <v>0</v>
      </c>
      <c r="AC30" s="134"/>
    </row>
    <row r="31" spans="1:29" ht="15.75" customHeight="1">
      <c r="A31" s="135" t="s">
        <v>302</v>
      </c>
      <c r="B31" s="135"/>
      <c r="C31" s="135"/>
      <c r="D31" s="135"/>
      <c r="E31" s="135"/>
      <c r="F31" s="110">
        <f>SUM(F7,F23,F30)</f>
        <v>0</v>
      </c>
      <c r="G31" s="110"/>
      <c r="H31" s="110">
        <f>SUM(H7,H23,H30)</f>
        <v>0</v>
      </c>
      <c r="I31" s="110"/>
      <c r="J31" s="110">
        <f>SUM(J7,J23,J30)</f>
        <v>0</v>
      </c>
      <c r="K31" s="110"/>
      <c r="L31" s="110">
        <f>SUM(L7,L23,L30)</f>
        <v>0</v>
      </c>
      <c r="M31" s="110"/>
      <c r="N31" s="110">
        <f>SUM(N7,N23,N30)</f>
        <v>0</v>
      </c>
      <c r="O31" s="110"/>
      <c r="P31" s="110">
        <f>SUM(P7,P23,P30)</f>
        <v>0</v>
      </c>
      <c r="Q31" s="110"/>
      <c r="R31" s="110">
        <f>SUM(R7,R23,R30)</f>
        <v>0</v>
      </c>
      <c r="S31" s="110"/>
      <c r="T31" s="110">
        <f>SUM(T7,T23,T30)</f>
        <v>0</v>
      </c>
      <c r="U31" s="110"/>
      <c r="V31" s="110">
        <f>SUM(V7,V23,V30)</f>
        <v>0</v>
      </c>
      <c r="W31" s="110"/>
      <c r="X31" s="110">
        <f>SUM(X7,X23,X30)</f>
        <v>0</v>
      </c>
      <c r="Y31" s="110"/>
      <c r="Z31" s="110">
        <f>SUM(Z7,Z23,Z30)</f>
        <v>0</v>
      </c>
      <c r="AA31" s="110"/>
      <c r="AB31" s="110">
        <f>SUM(AB7,AB23,AB30)</f>
        <v>0</v>
      </c>
      <c r="AC31" s="110"/>
    </row>
    <row r="32" spans="1:29" ht="18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4:6" ht="18" customHeight="1"/>
    <row r="50" spans="4:6" ht="18" customHeight="1"/>
    <row r="51" spans="4:6" ht="18" customHeight="1"/>
    <row r="52" spans="4:6" ht="18" customHeight="1">
      <c r="D52" s="79">
        <v>1</v>
      </c>
      <c r="F52" s="79">
        <v>1</v>
      </c>
    </row>
    <row r="53" spans="4:6" ht="18" customHeight="1">
      <c r="D53" s="79">
        <v>2</v>
      </c>
      <c r="F53" s="79">
        <v>2</v>
      </c>
    </row>
    <row r="54" spans="4:6" ht="18" customHeight="1">
      <c r="D54" s="79">
        <v>3</v>
      </c>
      <c r="F54" s="79">
        <v>3</v>
      </c>
    </row>
    <row r="55" spans="4:6" ht="18" customHeight="1">
      <c r="D55" s="79">
        <v>4</v>
      </c>
      <c r="F55" s="79">
        <v>4</v>
      </c>
    </row>
    <row r="56" spans="4:6" ht="18" customHeight="1">
      <c r="D56" s="79">
        <v>5</v>
      </c>
      <c r="F56" s="79">
        <v>5</v>
      </c>
    </row>
    <row r="57" spans="4:6" ht="18" customHeight="1">
      <c r="D57" s="79">
        <v>6</v>
      </c>
      <c r="F57" s="79">
        <v>6</v>
      </c>
    </row>
    <row r="58" spans="4:6" ht="18" customHeight="1">
      <c r="D58" s="79">
        <v>7</v>
      </c>
      <c r="F58" s="79">
        <v>7</v>
      </c>
    </row>
    <row r="59" spans="4:6" ht="18" customHeight="1">
      <c r="D59" s="79">
        <v>8</v>
      </c>
      <c r="F59" s="79">
        <v>8</v>
      </c>
    </row>
    <row r="60" spans="4:6" ht="18" customHeight="1">
      <c r="D60" s="79">
        <v>9</v>
      </c>
      <c r="F60" s="79">
        <v>9</v>
      </c>
    </row>
    <row r="61" spans="4:6" ht="18" customHeight="1">
      <c r="D61" s="79">
        <v>10</v>
      </c>
      <c r="F61" s="79">
        <v>10</v>
      </c>
    </row>
    <row r="62" spans="4:6" ht="18" customHeight="1">
      <c r="D62" s="79">
        <v>11</v>
      </c>
      <c r="F62" s="79">
        <v>11</v>
      </c>
    </row>
    <row r="63" spans="4:6" ht="18" customHeight="1">
      <c r="D63" s="79">
        <v>12</v>
      </c>
      <c r="F63" s="79">
        <v>12</v>
      </c>
    </row>
    <row r="64" spans="4:6" ht="18" customHeight="1">
      <c r="D64" s="79">
        <v>13</v>
      </c>
      <c r="F64" s="79">
        <v>13</v>
      </c>
    </row>
    <row r="65" spans="4:6" ht="18" customHeight="1">
      <c r="D65" s="79">
        <v>14</v>
      </c>
      <c r="F65" s="79">
        <v>14</v>
      </c>
    </row>
    <row r="66" spans="4:6" ht="18" customHeight="1">
      <c r="D66" s="79">
        <v>15</v>
      </c>
      <c r="F66" s="79">
        <v>15</v>
      </c>
    </row>
    <row r="67" spans="4:6" ht="18" customHeight="1">
      <c r="F67" s="79">
        <v>16</v>
      </c>
    </row>
    <row r="68" spans="4:6" ht="18" customHeight="1">
      <c r="F68" s="79">
        <v>17</v>
      </c>
    </row>
    <row r="69" spans="4:6" ht="18" customHeight="1">
      <c r="F69" s="79">
        <v>18</v>
      </c>
    </row>
    <row r="70" spans="4:6" ht="18" customHeight="1">
      <c r="F70" s="79">
        <v>19</v>
      </c>
    </row>
    <row r="71" spans="4:6" ht="18" customHeight="1">
      <c r="F71" s="79">
        <v>20</v>
      </c>
    </row>
    <row r="72" spans="4:6" ht="18" customHeight="1">
      <c r="F72" s="79">
        <v>21</v>
      </c>
    </row>
    <row r="73" spans="4:6" ht="18" customHeight="1">
      <c r="F73" s="79">
        <v>22</v>
      </c>
    </row>
    <row r="74" spans="4:6" ht="18" customHeight="1">
      <c r="F74" s="79">
        <v>23</v>
      </c>
    </row>
    <row r="75" spans="4:6" ht="18" customHeight="1">
      <c r="F75" s="79">
        <v>24</v>
      </c>
    </row>
    <row r="76" spans="4:6" ht="18" customHeight="1">
      <c r="F76" s="79">
        <v>25</v>
      </c>
    </row>
    <row r="77" spans="4:6" ht="18" customHeight="1">
      <c r="F77" s="79">
        <v>26</v>
      </c>
    </row>
    <row r="78" spans="4:6" ht="18" customHeight="1">
      <c r="F78" s="79">
        <v>27</v>
      </c>
    </row>
    <row r="79" spans="4:6" ht="18" customHeight="1">
      <c r="F79" s="79">
        <v>28</v>
      </c>
    </row>
    <row r="80" spans="4:6" ht="18" customHeight="1">
      <c r="F80" s="79">
        <v>29</v>
      </c>
    </row>
    <row r="81" spans="6:6" ht="18" customHeight="1">
      <c r="F81" s="79">
        <v>30</v>
      </c>
    </row>
    <row r="82" spans="6:6" ht="18" customHeight="1">
      <c r="F82" s="79">
        <v>31</v>
      </c>
    </row>
    <row r="83" spans="6:6" ht="18" customHeight="1"/>
    <row r="84" spans="6:6" ht="18" customHeight="1"/>
    <row r="85" spans="6:6" ht="18" customHeight="1"/>
    <row r="86" spans="6:6" ht="18" customHeight="1"/>
    <row r="87" spans="6:6" ht="18" customHeight="1"/>
    <row r="88" spans="6:6" ht="18" customHeight="1"/>
    <row r="89" spans="6:6" ht="18" customHeight="1"/>
    <row r="90" spans="6:6" ht="18" customHeight="1"/>
    <row r="91" spans="6:6" ht="18" customHeight="1"/>
    <row r="92" spans="6:6" ht="18" customHeight="1"/>
    <row r="93" spans="6:6" ht="18" customHeight="1"/>
    <row r="94" spans="6:6" ht="18" customHeight="1"/>
    <row r="95" spans="6:6" ht="18" customHeight="1"/>
    <row r="96" spans="6: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65">
    <mergeCell ref="A32:AC32"/>
    <mergeCell ref="N30:O30"/>
    <mergeCell ref="P30:Q30"/>
    <mergeCell ref="R30:S30"/>
    <mergeCell ref="T30:U30"/>
    <mergeCell ref="V30:W30"/>
    <mergeCell ref="X30:Y30"/>
    <mergeCell ref="Z30:AA30"/>
    <mergeCell ref="AB30:AC30"/>
    <mergeCell ref="A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24:A30"/>
    <mergeCell ref="B24:B26"/>
    <mergeCell ref="R28:S28"/>
    <mergeCell ref="T28:U28"/>
    <mergeCell ref="V28:W28"/>
    <mergeCell ref="X28:Y28"/>
    <mergeCell ref="Z28:AA28"/>
    <mergeCell ref="AB28:AC28"/>
    <mergeCell ref="C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L28:M28"/>
    <mergeCell ref="N28:O28"/>
    <mergeCell ref="P28:Q28"/>
    <mergeCell ref="R26:S26"/>
    <mergeCell ref="T26:U26"/>
    <mergeCell ref="V26:W26"/>
    <mergeCell ref="X26:Y26"/>
    <mergeCell ref="Z26:AA26"/>
    <mergeCell ref="AB26:AC26"/>
    <mergeCell ref="B27:B29"/>
    <mergeCell ref="C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C28:E28"/>
    <mergeCell ref="F28:G28"/>
    <mergeCell ref="H28:I28"/>
    <mergeCell ref="J28:K28"/>
    <mergeCell ref="R24:S24"/>
    <mergeCell ref="T24:U24"/>
    <mergeCell ref="V24:W24"/>
    <mergeCell ref="X24:Y24"/>
    <mergeCell ref="Z24:AA24"/>
    <mergeCell ref="AB24:AC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C24:E24"/>
    <mergeCell ref="F24:G24"/>
    <mergeCell ref="H24:I24"/>
    <mergeCell ref="J24:K24"/>
    <mergeCell ref="L24:M24"/>
    <mergeCell ref="N24:O24"/>
    <mergeCell ref="P24:Q24"/>
    <mergeCell ref="C26:E26"/>
    <mergeCell ref="F26:G26"/>
    <mergeCell ref="H26:I26"/>
    <mergeCell ref="J26:K26"/>
    <mergeCell ref="L26:M26"/>
    <mergeCell ref="N26:O26"/>
    <mergeCell ref="P26:Q26"/>
    <mergeCell ref="B30:E30"/>
    <mergeCell ref="F30:G30"/>
    <mergeCell ref="H30:I30"/>
    <mergeCell ref="J30:K30"/>
    <mergeCell ref="L30:M30"/>
    <mergeCell ref="V22:W22"/>
    <mergeCell ref="X22:Y22"/>
    <mergeCell ref="Z22:AA22"/>
    <mergeCell ref="AB22:AC22"/>
    <mergeCell ref="B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R20:S20"/>
    <mergeCell ref="T20:U20"/>
    <mergeCell ref="V20:W20"/>
    <mergeCell ref="X20:Y20"/>
    <mergeCell ref="Z20:AA20"/>
    <mergeCell ref="AB20:AC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T18:U18"/>
    <mergeCell ref="V18:W18"/>
    <mergeCell ref="X18:Y18"/>
    <mergeCell ref="Z18:AA18"/>
    <mergeCell ref="AB18:AC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T16:U16"/>
    <mergeCell ref="V16:W16"/>
    <mergeCell ref="X16:Y16"/>
    <mergeCell ref="Z16:AA16"/>
    <mergeCell ref="AB16:AC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C16:C21"/>
    <mergeCell ref="D16:E16"/>
    <mergeCell ref="F16:G16"/>
    <mergeCell ref="H16:I16"/>
    <mergeCell ref="J16:K16"/>
    <mergeCell ref="L16:M16"/>
    <mergeCell ref="N16:O16"/>
    <mergeCell ref="P16:Q16"/>
    <mergeCell ref="R16:S16"/>
    <mergeCell ref="D18:E18"/>
    <mergeCell ref="F18:G18"/>
    <mergeCell ref="H18:I18"/>
    <mergeCell ref="J18:K18"/>
    <mergeCell ref="L18:M18"/>
    <mergeCell ref="N18:O18"/>
    <mergeCell ref="P18:Q18"/>
    <mergeCell ref="R18:S18"/>
    <mergeCell ref="D20:E20"/>
    <mergeCell ref="F20:G20"/>
    <mergeCell ref="H20:I20"/>
    <mergeCell ref="J20:K20"/>
    <mergeCell ref="L20:M20"/>
    <mergeCell ref="N20:O20"/>
    <mergeCell ref="P20:Q20"/>
    <mergeCell ref="N14:O14"/>
    <mergeCell ref="P14:Q14"/>
    <mergeCell ref="R14:S14"/>
    <mergeCell ref="T14:U14"/>
    <mergeCell ref="V14:W14"/>
    <mergeCell ref="X14:Y14"/>
    <mergeCell ref="Z14:AA14"/>
    <mergeCell ref="AB14:AC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P12:Q12"/>
    <mergeCell ref="R12:S12"/>
    <mergeCell ref="T12:U12"/>
    <mergeCell ref="V12:W12"/>
    <mergeCell ref="X12:Y12"/>
    <mergeCell ref="Z12:AA12"/>
    <mergeCell ref="AB12:AC12"/>
    <mergeCell ref="B13:B22"/>
    <mergeCell ref="C13:C15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E14"/>
    <mergeCell ref="F14:G14"/>
    <mergeCell ref="P10:Q10"/>
    <mergeCell ref="R10:S10"/>
    <mergeCell ref="T10:U10"/>
    <mergeCell ref="V10:W10"/>
    <mergeCell ref="X10:Y10"/>
    <mergeCell ref="Z10:AA10"/>
    <mergeCell ref="AB10:AC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P8:Q8"/>
    <mergeCell ref="R8:S8"/>
    <mergeCell ref="T8:U8"/>
    <mergeCell ref="V8:W8"/>
    <mergeCell ref="X8:Y8"/>
    <mergeCell ref="Z8:AA8"/>
    <mergeCell ref="AB8:AC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8:A23"/>
    <mergeCell ref="B8:B12"/>
    <mergeCell ref="C8:C11"/>
    <mergeCell ref="D8:E8"/>
    <mergeCell ref="F8:G8"/>
    <mergeCell ref="H8:I8"/>
    <mergeCell ref="J8:K8"/>
    <mergeCell ref="L8:M8"/>
    <mergeCell ref="N8:O8"/>
    <mergeCell ref="D10:E10"/>
    <mergeCell ref="F10:G10"/>
    <mergeCell ref="H10:I10"/>
    <mergeCell ref="J10:K10"/>
    <mergeCell ref="L10:M10"/>
    <mergeCell ref="N10:O10"/>
    <mergeCell ref="C12:E12"/>
    <mergeCell ref="F12:G12"/>
    <mergeCell ref="H12:I12"/>
    <mergeCell ref="J12:K12"/>
    <mergeCell ref="L12:M12"/>
    <mergeCell ref="N12:O12"/>
    <mergeCell ref="H14:I14"/>
    <mergeCell ref="J14:K14"/>
    <mergeCell ref="L14:M14"/>
    <mergeCell ref="V7:W7"/>
    <mergeCell ref="X7:Y7"/>
    <mergeCell ref="Z7:AA7"/>
    <mergeCell ref="AB7:AC7"/>
    <mergeCell ref="A6:E6"/>
    <mergeCell ref="F6:G6"/>
    <mergeCell ref="H6:I6"/>
    <mergeCell ref="J6:K6"/>
    <mergeCell ref="L6:M6"/>
    <mergeCell ref="N6:O6"/>
    <mergeCell ref="P6:Q6"/>
    <mergeCell ref="A7:E7"/>
    <mergeCell ref="F7:G7"/>
    <mergeCell ref="H7:I7"/>
    <mergeCell ref="J7:K7"/>
    <mergeCell ref="L7:M7"/>
    <mergeCell ref="N7:O7"/>
    <mergeCell ref="P7:Q7"/>
    <mergeCell ref="R7:S7"/>
    <mergeCell ref="T7:U7"/>
    <mergeCell ref="R6:S6"/>
    <mergeCell ref="T6:U6"/>
    <mergeCell ref="A1:AC1"/>
    <mergeCell ref="D2:J2"/>
    <mergeCell ref="AA3:AC3"/>
    <mergeCell ref="A4:E4"/>
    <mergeCell ref="A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V6:W6"/>
    <mergeCell ref="X6:Y6"/>
    <mergeCell ref="Z6:AA6"/>
    <mergeCell ref="AB6:AC6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C1000"/>
  <sheetViews>
    <sheetView zoomScaleNormal="100" workbookViewId="0">
      <selection sqref="A1:AC1"/>
    </sheetView>
  </sheetViews>
  <sheetFormatPr defaultColWidth="8.7109375" defaultRowHeight="15"/>
  <cols>
    <col min="1" max="1" width="4.85546875" customWidth="1"/>
    <col min="2" max="2" width="3.5703125" customWidth="1"/>
    <col min="3" max="3" width="6.5703125" customWidth="1"/>
    <col min="5" max="5" width="6.140625" customWidth="1"/>
    <col min="6" max="6" width="7.5703125" customWidth="1"/>
  </cols>
  <sheetData>
    <row r="1" spans="1:29" ht="33" customHeight="1">
      <c r="A1" s="102" t="s">
        <v>271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spans="1:29" ht="18" customHeight="1">
      <c r="A2" s="65" t="s">
        <v>272</v>
      </c>
      <c r="B2" s="65"/>
      <c r="C2" s="65"/>
      <c r="D2" s="103" t="s">
        <v>304</v>
      </c>
      <c r="E2" s="103"/>
      <c r="F2" s="103"/>
      <c r="G2" s="103"/>
      <c r="H2" s="103"/>
      <c r="I2" s="103"/>
      <c r="J2" s="103"/>
      <c r="K2" s="66"/>
      <c r="L2" s="66"/>
      <c r="M2" s="66"/>
      <c r="N2" s="66"/>
      <c r="O2" s="67"/>
      <c r="P2" s="67"/>
      <c r="Q2" s="67"/>
      <c r="R2" s="67"/>
      <c r="S2" s="67"/>
      <c r="T2" s="68" t="s">
        <v>273</v>
      </c>
      <c r="U2" s="68" t="s">
        <v>274</v>
      </c>
      <c r="X2" s="69">
        <v>8</v>
      </c>
      <c r="Y2" s="68" t="s">
        <v>275</v>
      </c>
      <c r="Z2" s="69">
        <v>4</v>
      </c>
      <c r="AA2" s="70" t="s">
        <v>21</v>
      </c>
      <c r="AB2" s="69">
        <v>3</v>
      </c>
      <c r="AC2" s="68" t="s">
        <v>237</v>
      </c>
    </row>
    <row r="3" spans="1:29" ht="18" customHeight="1">
      <c r="A3" s="71"/>
      <c r="B3" s="71"/>
      <c r="C3" s="71"/>
      <c r="D3" s="71"/>
      <c r="E3" s="71"/>
      <c r="F3" s="66"/>
      <c r="G3" s="66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3"/>
      <c r="V3" s="72"/>
      <c r="W3" s="72"/>
      <c r="X3" s="72"/>
      <c r="Y3" s="72"/>
      <c r="Z3" s="72"/>
      <c r="AA3" s="104" t="s">
        <v>276</v>
      </c>
      <c r="AB3" s="104"/>
      <c r="AC3" s="104"/>
    </row>
    <row r="4" spans="1:29" ht="28.5" customHeight="1">
      <c r="A4" s="105"/>
      <c r="B4" s="105"/>
      <c r="C4" s="105"/>
      <c r="D4" s="105"/>
      <c r="E4" s="105"/>
      <c r="F4" s="74">
        <v>5</v>
      </c>
      <c r="G4" s="75" t="s">
        <v>21</v>
      </c>
      <c r="H4" s="74">
        <v>6</v>
      </c>
      <c r="I4" s="75" t="s">
        <v>21</v>
      </c>
      <c r="J4" s="74">
        <v>7</v>
      </c>
      <c r="K4" s="75" t="s">
        <v>21</v>
      </c>
      <c r="L4" s="76">
        <v>8</v>
      </c>
      <c r="M4" s="75" t="s">
        <v>21</v>
      </c>
      <c r="N4" s="76">
        <v>9</v>
      </c>
      <c r="O4" s="75" t="s">
        <v>21</v>
      </c>
      <c r="P4" s="76">
        <v>10</v>
      </c>
      <c r="Q4" s="75" t="s">
        <v>21</v>
      </c>
      <c r="R4" s="76">
        <v>11</v>
      </c>
      <c r="S4" s="75" t="s">
        <v>21</v>
      </c>
      <c r="T4" s="76">
        <v>12</v>
      </c>
      <c r="U4" s="75" t="s">
        <v>21</v>
      </c>
      <c r="V4" s="76">
        <v>1</v>
      </c>
      <c r="W4" s="75" t="s">
        <v>21</v>
      </c>
      <c r="X4" s="76">
        <v>2</v>
      </c>
      <c r="Y4" s="75" t="s">
        <v>21</v>
      </c>
      <c r="Z4" s="76">
        <v>3</v>
      </c>
      <c r="AA4" s="75" t="s">
        <v>21</v>
      </c>
      <c r="AB4" s="77">
        <v>4</v>
      </c>
      <c r="AC4" s="78" t="s">
        <v>21</v>
      </c>
    </row>
    <row r="5" spans="1:29" ht="15.75" customHeight="1">
      <c r="A5" s="106" t="s">
        <v>277</v>
      </c>
      <c r="B5" s="106"/>
      <c r="C5" s="106"/>
      <c r="D5" s="106"/>
      <c r="E5" s="106"/>
      <c r="F5" s="107">
        <f>SUM(F8:F11)</f>
        <v>21100</v>
      </c>
      <c r="G5" s="107"/>
      <c r="H5" s="107">
        <f>SUM(H8:H11)</f>
        <v>0</v>
      </c>
      <c r="I5" s="107"/>
      <c r="J5" s="107">
        <f>SUM(J8:J11)</f>
        <v>0</v>
      </c>
      <c r="K5" s="107"/>
      <c r="L5" s="107">
        <f>SUM(L8:L11)</f>
        <v>0</v>
      </c>
      <c r="M5" s="107"/>
      <c r="N5" s="107">
        <f>SUM(N8:N11)</f>
        <v>0</v>
      </c>
      <c r="O5" s="107"/>
      <c r="P5" s="107">
        <f>SUM(P8:P11)</f>
        <v>0</v>
      </c>
      <c r="Q5" s="107"/>
      <c r="R5" s="107">
        <f>SUM(R8:R11)</f>
        <v>0</v>
      </c>
      <c r="S5" s="107"/>
      <c r="T5" s="107">
        <f>SUM(T8:T11)</f>
        <v>0</v>
      </c>
      <c r="U5" s="107"/>
      <c r="V5" s="107">
        <f>SUM(V8:V11)</f>
        <v>0</v>
      </c>
      <c r="W5" s="107"/>
      <c r="X5" s="107">
        <f>SUM(X8:X11)</f>
        <v>0</v>
      </c>
      <c r="Y5" s="107"/>
      <c r="Z5" s="107">
        <f>SUM(Z8:Z11)</f>
        <v>0</v>
      </c>
      <c r="AA5" s="107"/>
      <c r="AB5" s="107">
        <f>SUM(AB8:AB11)</f>
        <v>0</v>
      </c>
      <c r="AC5" s="107"/>
    </row>
    <row r="6" spans="1:29" ht="15.75" customHeight="1">
      <c r="A6" s="112" t="s">
        <v>278</v>
      </c>
      <c r="B6" s="112"/>
      <c r="C6" s="112"/>
      <c r="D6" s="112"/>
      <c r="E6" s="112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spans="1:29" ht="15.75" customHeight="1">
      <c r="A7" s="108" t="s">
        <v>279</v>
      </c>
      <c r="B7" s="108"/>
      <c r="C7" s="108"/>
      <c r="D7" s="108"/>
      <c r="E7" s="108"/>
      <c r="F7" s="109">
        <v>0</v>
      </c>
      <c r="G7" s="109"/>
      <c r="H7" s="110">
        <f>F31</f>
        <v>10821.609</v>
      </c>
      <c r="I7" s="110"/>
      <c r="J7" s="110">
        <f>H31</f>
        <v>10821.609</v>
      </c>
      <c r="K7" s="110"/>
      <c r="L7" s="110">
        <f>J31</f>
        <v>10821.609</v>
      </c>
      <c r="M7" s="110"/>
      <c r="N7" s="110">
        <f>L31</f>
        <v>10821.609</v>
      </c>
      <c r="O7" s="110"/>
      <c r="P7" s="110">
        <f>N31</f>
        <v>10821.609</v>
      </c>
      <c r="Q7" s="110"/>
      <c r="R7" s="110">
        <f>P31</f>
        <v>10821.609</v>
      </c>
      <c r="S7" s="110"/>
      <c r="T7" s="110">
        <f>R31</f>
        <v>10821.609</v>
      </c>
      <c r="U7" s="110"/>
      <c r="V7" s="110">
        <f>T31</f>
        <v>10821.609</v>
      </c>
      <c r="W7" s="110"/>
      <c r="X7" s="110">
        <f>V31</f>
        <v>10821.609</v>
      </c>
      <c r="Y7" s="110"/>
      <c r="Z7" s="110">
        <f>X31</f>
        <v>10821.609</v>
      </c>
      <c r="AA7" s="110"/>
      <c r="AB7" s="111">
        <f>Z31</f>
        <v>10821.609</v>
      </c>
      <c r="AC7" s="111"/>
    </row>
    <row r="8" spans="1:29" ht="15.75" customHeight="1">
      <c r="A8" s="113" t="s">
        <v>280</v>
      </c>
      <c r="B8" s="114" t="s">
        <v>281</v>
      </c>
      <c r="C8" s="115" t="s">
        <v>282</v>
      </c>
      <c r="D8" s="116" t="s">
        <v>125</v>
      </c>
      <c r="E8" s="116"/>
      <c r="F8" s="117">
        <f>(SUMIFS(入金入力_リゾート!$D$4:$D$103,入金入力_リゾート!$A$4:$A$103,"&gt;="&amp;DATE(2026,5,1),入金入力_リゾート!$A$4:$A$103,"&lt;="&amp;DATE(2026,5,31),入金入力_リゾート!$C$4:$C$103,"現金売上")+SUMIFS(入金入力_モーテル!$D$4:$D$103,入金入力_モーテル!$A$4:$A$103,"&gt;="&amp;DATE(2026,5,1),入金入力_モーテル!$A$4:$A$103,"&lt;="&amp;DATE(2026,5,31),入金入力_モーテル!$C$4:$C$103,"現金売上"))/1000</f>
        <v>21100</v>
      </c>
      <c r="G8" s="117"/>
      <c r="H8" s="117">
        <f>(SUMIFS(入金入力_リゾート!$D$4:$D$103,入金入力_リゾート!$A$4:$A$103,"&gt;="&amp;DATE(2026,6,1),入金入力_リゾート!$A$4:$A$103,"&lt;="&amp;DATE(2026,6,30),入金入力_リゾート!$C$4:$C$103,"現金売上")+SUMIFS(入金入力_モーテル!$D$4:$D$103,入金入力_モーテル!$A$4:$A$103,"&gt;="&amp;DATE(2026,6,1),入金入力_モーテル!$A$4:$A$103,"&lt;="&amp;DATE(2026,6,30),入金入力_モーテル!$C$4:$C$103,"現金売上"))/1000</f>
        <v>0</v>
      </c>
      <c r="I8" s="117"/>
      <c r="J8" s="117">
        <f>(SUMIFS(入金入力_リゾート!$D$4:$D$103,入金入力_リゾート!$A$4:$A$103,"&gt;="&amp;DATE(2026,7,1),入金入力_リゾート!$A$4:$A$103,"&lt;="&amp;DATE(2026,7,31),入金入力_リゾート!$C$4:$C$103,"現金売上")+SUMIFS(入金入力_モーテル!$D$4:$D$103,入金入力_モーテル!$A$4:$A$103,"&gt;="&amp;DATE(2026,7,1),入金入力_モーテル!$A$4:$A$103,"&lt;="&amp;DATE(2026,7,31),入金入力_モーテル!$C$4:$C$103,"現金売上"))/1000</f>
        <v>0</v>
      </c>
      <c r="K8" s="117"/>
      <c r="L8" s="117">
        <f>(SUMIFS(入金入力_リゾート!$D$4:$D$103,入金入力_リゾート!$A$4:$A$103,"&gt;="&amp;DATE(2026,8,1),入金入力_リゾート!$A$4:$A$103,"&lt;="&amp;DATE(2026,8,31),入金入力_リゾート!$C$4:$C$103,"現金売上")+SUMIFS(入金入力_モーテル!$D$4:$D$103,入金入力_モーテル!$A$4:$A$103,"&gt;="&amp;DATE(2026,8,1),入金入力_モーテル!$A$4:$A$103,"&lt;="&amp;DATE(2026,8,31),入金入力_モーテル!$C$4:$C$103,"現金売上"))/1000</f>
        <v>0</v>
      </c>
      <c r="M8" s="117"/>
      <c r="N8" s="118"/>
      <c r="O8" s="118"/>
      <c r="P8" s="118"/>
      <c r="Q8" s="118"/>
      <c r="R8" s="117"/>
      <c r="S8" s="117"/>
      <c r="T8" s="117"/>
      <c r="U8" s="117"/>
      <c r="V8" s="117"/>
      <c r="W8" s="117"/>
      <c r="X8" s="117"/>
      <c r="Y8" s="117"/>
      <c r="Z8" s="118"/>
      <c r="AA8" s="118"/>
      <c r="AB8" s="140"/>
      <c r="AC8" s="140"/>
    </row>
    <row r="9" spans="1:29" ht="15.75" customHeight="1">
      <c r="A9" s="113"/>
      <c r="B9" s="114"/>
      <c r="C9" s="115"/>
      <c r="D9" s="119" t="s">
        <v>283</v>
      </c>
      <c r="E9" s="119"/>
      <c r="F9" s="120">
        <f>(SUMIFS(入金入力_リゾート!$D$4:$D$103,入金入力_リゾート!$A$4:$A$103,"&gt;="&amp;DATE(2026,5,1),入金入力_リゾート!$A$4:$A$103,"&lt;="&amp;DATE(2026,5,31),入金入力_リゾート!$C$4:$C$103,"売掛金回収")+SUMIFS(入金入力_モーテル!$D$4:$D$103,入金入力_モーテル!$A$4:$A$103,"&gt;="&amp;DATE(2026,5,1),入金入力_モーテル!$A$4:$A$103,"&lt;="&amp;DATE(2026,5,31),入金入力_モーテル!$C$4:$C$103,"売掛金回収"))/1000</f>
        <v>0</v>
      </c>
      <c r="G9" s="120"/>
      <c r="H9" s="120">
        <f>(SUMIFS(入金入力_リゾート!$D$4:$D$103,入金入力_リゾート!$A$4:$A$103,"&gt;="&amp;DATE(2026,6,1),入金入力_リゾート!$A$4:$A$103,"&lt;="&amp;DATE(2026,6,30),入金入力_リゾート!$C$4:$C$103,"売掛金回収")+SUMIFS(入金入力_モーテル!$D$4:$D$103,入金入力_モーテル!$A$4:$A$103,"&gt;="&amp;DATE(2026,6,1),入金入力_モーテル!$A$4:$A$103,"&lt;="&amp;DATE(2026,6,30),入金入力_モーテル!$C$4:$C$103,"売掛金回収"))/1000</f>
        <v>0</v>
      </c>
      <c r="I9" s="120"/>
      <c r="J9" s="120">
        <f>(SUMIFS(入金入力_リゾート!$D$4:$D$103,入金入力_リゾート!$A$4:$A$103,"&gt;="&amp;DATE(2026,7,1),入金入力_リゾート!$A$4:$A$103,"&lt;="&amp;DATE(2026,7,31),入金入力_リゾート!$C$4:$C$103,"売掛金回収")+SUMIFS(入金入力_モーテル!$D$4:$D$103,入金入力_モーテル!$A$4:$A$103,"&gt;="&amp;DATE(2026,7,1),入金入力_モーテル!$A$4:$A$103,"&lt;="&amp;DATE(2026,7,31),入金入力_モーテル!$C$4:$C$103,"売掛金回収"))/1000</f>
        <v>0</v>
      </c>
      <c r="K9" s="120"/>
      <c r="L9" s="120">
        <f>(SUMIFS(入金入力_リゾート!$D$4:$D$103,入金入力_リゾート!$A$4:$A$103,"&gt;="&amp;DATE(2026,8,1),入金入力_リゾート!$A$4:$A$103,"&lt;="&amp;DATE(2026,8,31),入金入力_リゾート!$C$4:$C$103,"売掛金回収")+SUMIFS(入金入力_モーテル!$D$4:$D$103,入金入力_モーテル!$A$4:$A$103,"&gt;="&amp;DATE(2026,8,1),入金入力_モーテル!$A$4:$A$103,"&lt;="&amp;DATE(2026,8,31),入金入力_モーテル!$C$4:$C$103,"売掛金回収"))/1000</f>
        <v>0</v>
      </c>
      <c r="M9" s="120"/>
      <c r="N9" s="121"/>
      <c r="O9" s="121"/>
      <c r="P9" s="121"/>
      <c r="Q9" s="121"/>
      <c r="R9" s="120"/>
      <c r="S9" s="120"/>
      <c r="T9" s="120"/>
      <c r="U9" s="120"/>
      <c r="V9" s="120"/>
      <c r="W9" s="120"/>
      <c r="X9" s="120"/>
      <c r="Y9" s="120"/>
      <c r="Z9" s="121"/>
      <c r="AA9" s="121"/>
      <c r="AB9" s="124"/>
      <c r="AC9" s="124"/>
    </row>
    <row r="10" spans="1:29" ht="15.75" customHeight="1">
      <c r="A10" s="113"/>
      <c r="B10" s="114"/>
      <c r="C10" s="115"/>
      <c r="D10" s="119" t="s">
        <v>284</v>
      </c>
      <c r="E10" s="119"/>
      <c r="F10" s="120">
        <f>(SUMIFS(入金入力_リゾート!$D$4:$D$103,入金入力_リゾート!$A$4:$A$103,"&gt;="&amp;DATE(2026,5,1),入金入力_リゾート!$A$4:$A$103,"&lt;="&amp;DATE(2026,5,31),入金入力_リゾート!$C$4:$C$103,"手形入金")+SUMIFS(入金入力_モーテル!$D$4:$D$103,入金入力_モーテル!$A$4:$A$103,"&gt;="&amp;DATE(2026,5,1),入金入力_モーテル!$A$4:$A$103,"&lt;="&amp;DATE(2026,5,31),入金入力_モーテル!$C$4:$C$103,"手形入金"))/1000</f>
        <v>0</v>
      </c>
      <c r="G10" s="120"/>
      <c r="H10" s="120">
        <f>(SUMIFS(入金入力_リゾート!$D$4:$D$103,入金入力_リゾート!$A$4:$A$103,"&gt;="&amp;DATE(2026,6,1),入金入力_リゾート!$A$4:$A$103,"&lt;="&amp;DATE(2026,6,30),入金入力_リゾート!$C$4:$C$103,"手形入金")+SUMIFS(入金入力_モーテル!$D$4:$D$103,入金入力_モーテル!$A$4:$A$103,"&gt;="&amp;DATE(2026,6,1),入金入力_モーテル!$A$4:$A$103,"&lt;="&amp;DATE(2026,6,30),入金入力_モーテル!$C$4:$C$103,"手形入金"))/1000</f>
        <v>0</v>
      </c>
      <c r="I10" s="120"/>
      <c r="J10" s="120">
        <f>(SUMIFS(入金入力_リゾート!$D$4:$D$103,入金入力_リゾート!$A$4:$A$103,"&gt;="&amp;DATE(2026,7,1),入金入力_リゾート!$A$4:$A$103,"&lt;="&amp;DATE(2026,7,31),入金入力_リゾート!$C$4:$C$103,"手形入金")+SUMIFS(入金入力_モーテル!$D$4:$D$103,入金入力_モーテル!$A$4:$A$103,"&gt;="&amp;DATE(2026,7,1),入金入力_モーテル!$A$4:$A$103,"&lt;="&amp;DATE(2026,7,31),入金入力_モーテル!$C$4:$C$103,"手形入金"))/1000</f>
        <v>0</v>
      </c>
      <c r="K10" s="120"/>
      <c r="L10" s="120">
        <f>(SUMIFS(入金入力_リゾート!$D$4:$D$103,入金入力_リゾート!$A$4:$A$103,"&gt;="&amp;DATE(2026,8,1),入金入力_リゾート!$A$4:$A$103,"&lt;="&amp;DATE(2026,8,31),入金入力_リゾート!$C$4:$C$103,"手形入金")+SUMIFS(入金入力_モーテル!$D$4:$D$103,入金入力_モーテル!$A$4:$A$103,"&gt;="&amp;DATE(2026,8,1),入金入力_モーテル!$A$4:$A$103,"&lt;="&amp;DATE(2026,8,31),入金入力_モーテル!$C$4:$C$103,"手形入金"))/1000</f>
        <v>0</v>
      </c>
      <c r="M10" s="120"/>
      <c r="N10" s="121"/>
      <c r="O10" s="121"/>
      <c r="P10" s="121"/>
      <c r="Q10" s="121"/>
      <c r="R10" s="120"/>
      <c r="S10" s="120"/>
      <c r="T10" s="120"/>
      <c r="U10" s="120"/>
      <c r="V10" s="120"/>
      <c r="W10" s="120"/>
      <c r="X10" s="120"/>
      <c r="Y10" s="120"/>
      <c r="Z10" s="121"/>
      <c r="AA10" s="121"/>
      <c r="AB10" s="124"/>
      <c r="AC10" s="124"/>
    </row>
    <row r="11" spans="1:29" ht="15.75" customHeight="1">
      <c r="A11" s="113"/>
      <c r="B11" s="114"/>
      <c r="C11" s="115"/>
      <c r="D11" s="119" t="s">
        <v>285</v>
      </c>
      <c r="E11" s="119"/>
      <c r="F11" s="120">
        <f>(SUMIFS(入金入力_リゾート!$D$4:$D$103,入金入力_リゾート!$A$4:$A$103,"&gt;="&amp;DATE(2026,5,1),入金入力_リゾート!$A$4:$A$103,"&lt;="&amp;DATE(2026,5,31),入金入力_リゾート!$C$4:$C$103,"その他収入")+SUMIFS(入金入力_モーテル!$D$4:$D$103,入金入力_モーテル!$A$4:$A$103,"&gt;="&amp;DATE(2026,5,1),入金入力_モーテル!$A$4:$A$103,"&lt;="&amp;DATE(2026,5,31),入金入力_モーテル!$C$4:$C$103,"その他収入"))/1000</f>
        <v>0</v>
      </c>
      <c r="G11" s="120"/>
      <c r="H11" s="120">
        <f>(SUMIFS(入金入力_リゾート!$D$4:$D$103,入金入力_リゾート!$A$4:$A$103,"&gt;="&amp;DATE(2026,6,1),入金入力_リゾート!$A$4:$A$103,"&lt;="&amp;DATE(2026,6,30),入金入力_リゾート!$C$4:$C$103,"その他収入")+SUMIFS(入金入力_モーテル!$D$4:$D$103,入金入力_モーテル!$A$4:$A$103,"&gt;="&amp;DATE(2026,6,1),入金入力_モーテル!$A$4:$A$103,"&lt;="&amp;DATE(2026,6,30),入金入力_モーテル!$C$4:$C$103,"その他収入"))/1000</f>
        <v>0</v>
      </c>
      <c r="I11" s="120"/>
      <c r="J11" s="120">
        <f>(SUMIFS(入金入力_リゾート!$D$4:$D$103,入金入力_リゾート!$A$4:$A$103,"&gt;="&amp;DATE(2026,7,1),入金入力_リゾート!$A$4:$A$103,"&lt;="&amp;DATE(2026,7,31),入金入力_リゾート!$C$4:$C$103,"その他収入")+SUMIFS(入金入力_モーテル!$D$4:$D$103,入金入力_モーテル!$A$4:$A$103,"&gt;="&amp;DATE(2026,7,1),入金入力_モーテル!$A$4:$A$103,"&lt;="&amp;DATE(2026,7,31),入金入力_モーテル!$C$4:$C$103,"その他収入"))/1000</f>
        <v>0</v>
      </c>
      <c r="K11" s="120"/>
      <c r="L11" s="120">
        <f>(SUMIFS(入金入力_リゾート!$D$4:$D$103,入金入力_リゾート!$A$4:$A$103,"&gt;="&amp;DATE(2026,8,1),入金入力_リゾート!$A$4:$A$103,"&lt;="&amp;DATE(2026,8,31),入金入力_リゾート!$C$4:$C$103,"その他収入")+SUMIFS(入金入力_モーテル!$D$4:$D$103,入金入力_モーテル!$A$4:$A$103,"&gt;="&amp;DATE(2026,8,1),入金入力_モーテル!$A$4:$A$103,"&lt;="&amp;DATE(2026,8,31),入金入力_モーテル!$C$4:$C$103,"その他収入"))/1000</f>
        <v>0</v>
      </c>
      <c r="M11" s="120"/>
      <c r="N11" s="121"/>
      <c r="O11" s="121"/>
      <c r="P11" s="121"/>
      <c r="Q11" s="121"/>
      <c r="R11" s="120"/>
      <c r="S11" s="120"/>
      <c r="T11" s="120"/>
      <c r="U11" s="120"/>
      <c r="V11" s="120"/>
      <c r="W11" s="120"/>
      <c r="X11" s="120"/>
      <c r="Y11" s="120"/>
      <c r="Z11" s="121"/>
      <c r="AA11" s="121"/>
      <c r="AB11" s="121"/>
      <c r="AC11" s="121"/>
    </row>
    <row r="12" spans="1:29" ht="15.75" customHeight="1">
      <c r="A12" s="113"/>
      <c r="B12" s="114"/>
      <c r="C12" s="122" t="s">
        <v>286</v>
      </c>
      <c r="D12" s="122"/>
      <c r="E12" s="122"/>
      <c r="F12" s="123">
        <f>SUM(F8:F11)</f>
        <v>21100</v>
      </c>
      <c r="G12" s="123"/>
      <c r="H12" s="123">
        <f>SUM(H8:H11)</f>
        <v>0</v>
      </c>
      <c r="I12" s="123"/>
      <c r="J12" s="123">
        <f>SUM(J8:J11)</f>
        <v>0</v>
      </c>
      <c r="K12" s="123"/>
      <c r="L12" s="123">
        <f>SUM(L8:L11)</f>
        <v>0</v>
      </c>
      <c r="M12" s="123"/>
      <c r="N12" s="123">
        <f>SUM(N8:N11)</f>
        <v>0</v>
      </c>
      <c r="O12" s="123"/>
      <c r="P12" s="123">
        <f>SUM(P8:P11)</f>
        <v>0</v>
      </c>
      <c r="Q12" s="123"/>
      <c r="R12" s="123">
        <f>SUM(R8:R11)</f>
        <v>0</v>
      </c>
      <c r="S12" s="123"/>
      <c r="T12" s="123">
        <f>SUM(T8:T11)</f>
        <v>0</v>
      </c>
      <c r="U12" s="123"/>
      <c r="V12" s="123">
        <f>SUM(V8:V11)</f>
        <v>0</v>
      </c>
      <c r="W12" s="123"/>
      <c r="X12" s="123">
        <f>SUM(X8:X11)</f>
        <v>0</v>
      </c>
      <c r="Y12" s="123"/>
      <c r="Z12" s="123">
        <f>SUM(Z8:Z11)</f>
        <v>0</v>
      </c>
      <c r="AA12" s="123"/>
      <c r="AB12" s="125">
        <f>SUM(AB8:AB11)</f>
        <v>0</v>
      </c>
      <c r="AC12" s="125"/>
    </row>
    <row r="13" spans="1:29" ht="15.75" customHeight="1">
      <c r="A13" s="113"/>
      <c r="B13" s="126" t="s">
        <v>287</v>
      </c>
      <c r="C13" s="127" t="s">
        <v>288</v>
      </c>
      <c r="D13" s="119" t="s">
        <v>289</v>
      </c>
      <c r="E13" s="119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</row>
    <row r="14" spans="1:29" ht="15.75" customHeight="1">
      <c r="A14" s="113"/>
      <c r="B14" s="126"/>
      <c r="C14" s="127"/>
      <c r="D14" s="119" t="s">
        <v>60</v>
      </c>
      <c r="E14" s="119"/>
      <c r="F14" s="120">
        <f>(SUMPRODUCT((未払一覧_リゾート!$M$4:$M$102&gt;=DATE(2026,5,1))*(未払一覧_リゾート!$M$4:$M$102&lt;=DATE(2026,5,31))*(IFERROR(VLOOKUP(未払一覧_リゾート!$D$4:$D$102,マスター_勘定科目!$A$4:$B$30,2,FALSE()),"その他経費")="買掛金支払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買掛金支払")*未払一覧_モーテル!$N$4:$N$103))/1000</f>
        <v>10278.391</v>
      </c>
      <c r="G14" s="120"/>
      <c r="H14" s="120">
        <f>(SUMPRODUCT((未払一覧_リゾート!$M$4:$M$102&gt;=DATE(2026,6,1))*(未払一覧_リゾート!$M$4:$M$102&lt;=DATE(2026,6,30))*(IFERROR(VLOOKUP(未払一覧_リゾート!$D$4:$D$102,マスター_勘定科目!$A$4:$B$30,2,FALSE()),"その他経費")="買掛金支払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買掛金支払")*未払一覧_モーテル!$N$4:$N$103))/1000</f>
        <v>0</v>
      </c>
      <c r="I14" s="120"/>
      <c r="J14" s="120">
        <f>(SUMPRODUCT((未払一覧_リゾート!$M$4:$M$102&gt;=DATE(2026,7,1))*(未払一覧_リゾート!$M$4:$M$102&lt;=DATE(2026,7,31))*(IFERROR(VLOOKUP(未払一覧_リゾート!$D$4:$D$102,マスター_勘定科目!$A$4:$B$30,2,FALSE()),"その他経費")="買掛金支払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買掛金支払")*未払一覧_モーテル!$N$4:$N$103))/1000</f>
        <v>0</v>
      </c>
      <c r="K14" s="120"/>
      <c r="L14" s="120">
        <f>(SUMPRODUCT((未払一覧_リゾート!$M$4:$M$102&gt;=DATE(2026,8,1))*(未払一覧_リゾート!$M$4:$M$102&lt;=DATE(2026,8,31))*(IFERROR(VLOOKUP(未払一覧_リゾート!$D$4:$D$102,マスター_勘定科目!$A$4:$B$30,2,FALSE()),"その他経費")="買掛金支払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買掛金支払")*未払一覧_モーテル!$N$4:$N$103))/1000</f>
        <v>0</v>
      </c>
      <c r="M14" s="120"/>
      <c r="N14" s="121"/>
      <c r="O14" s="121"/>
      <c r="P14" s="121"/>
      <c r="Q14" s="121"/>
      <c r="R14" s="120"/>
      <c r="S14" s="120"/>
      <c r="T14" s="120"/>
      <c r="U14" s="120"/>
      <c r="V14" s="120"/>
      <c r="W14" s="120"/>
      <c r="X14" s="120"/>
      <c r="Y14" s="120"/>
      <c r="Z14" s="121"/>
      <c r="AA14" s="121"/>
      <c r="AB14" s="124"/>
      <c r="AC14" s="124"/>
    </row>
    <row r="15" spans="1:29" ht="15.75" customHeight="1">
      <c r="A15" s="113"/>
      <c r="B15" s="126"/>
      <c r="C15" s="127"/>
      <c r="D15" s="119" t="s">
        <v>290</v>
      </c>
      <c r="E15" s="119"/>
      <c r="F15" s="120">
        <f>(SUMPRODUCT((未払一覧_リゾート!$M$4:$M$102&gt;=DATE(2026,5,1))*(未払一覧_リゾート!$M$4:$M$102&lt;=DATE(2026,5,31))*(IFERROR(VLOOKUP(未払一覧_リゾート!$D$4:$D$102,マスター_勘定科目!$A$4:$B$30,2,FALSE()),"その他経費")="手形決済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手形決済")*未払一覧_モーテル!$N$4:$N$103))/1000</f>
        <v>0</v>
      </c>
      <c r="G15" s="120"/>
      <c r="H15" s="120">
        <f>(SUMPRODUCT((未払一覧_リゾート!$M$4:$M$102&gt;=DATE(2026,6,1))*(未払一覧_リゾート!$M$4:$M$102&lt;=DATE(2026,6,30))*(IFERROR(VLOOKUP(未払一覧_リゾート!$D$4:$D$102,マスター_勘定科目!$A$4:$B$30,2,FALSE()),"その他経費")="手形決済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手形決済")*未払一覧_モーテル!$N$4:$N$103))/1000</f>
        <v>0</v>
      </c>
      <c r="I15" s="120"/>
      <c r="J15" s="120">
        <f>(SUMPRODUCT((未払一覧_リゾート!$M$4:$M$102&gt;=DATE(2026,7,1))*(未払一覧_リゾート!$M$4:$M$102&lt;=DATE(2026,7,31))*(IFERROR(VLOOKUP(未払一覧_リゾート!$D$4:$D$102,マスター_勘定科目!$A$4:$B$30,2,FALSE()),"その他経費")="手形決済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手形決済")*未払一覧_モーテル!$N$4:$N$103))/1000</f>
        <v>0</v>
      </c>
      <c r="K15" s="120"/>
      <c r="L15" s="120">
        <f>(SUMPRODUCT((未払一覧_リゾート!$M$4:$M$102&gt;=DATE(2026,8,1))*(未払一覧_リゾート!$M$4:$M$102&lt;=DATE(2026,8,31))*(IFERROR(VLOOKUP(未払一覧_リゾート!$D$4:$D$102,マスター_勘定科目!$A$4:$B$30,2,FALSE()),"その他経費")="手形決済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手形決済")*未払一覧_モーテル!$N$4:$N$103))/1000</f>
        <v>0</v>
      </c>
      <c r="M15" s="120"/>
      <c r="N15" s="121"/>
      <c r="O15" s="121"/>
      <c r="P15" s="121"/>
      <c r="Q15" s="121"/>
      <c r="R15" s="120"/>
      <c r="S15" s="120"/>
      <c r="T15" s="120"/>
      <c r="U15" s="120"/>
      <c r="V15" s="120"/>
      <c r="W15" s="120"/>
      <c r="X15" s="120"/>
      <c r="Y15" s="120"/>
      <c r="Z15" s="121"/>
      <c r="AA15" s="121"/>
      <c r="AB15" s="124"/>
      <c r="AC15" s="124"/>
    </row>
    <row r="16" spans="1:29" ht="15.75" customHeight="1">
      <c r="A16" s="113"/>
      <c r="B16" s="126"/>
      <c r="C16" s="127" t="s">
        <v>291</v>
      </c>
      <c r="D16" s="119" t="s">
        <v>76</v>
      </c>
      <c r="E16" s="119"/>
      <c r="F16" s="120">
        <f>(SUMPRODUCT((未払一覧_リゾート!$M$4:$M$102&gt;=DATE(2026,5,1))*(未払一覧_リゾート!$M$4:$M$102&lt;=DATE(2026,5,31))*(IFERROR(VLOOKUP(未払一覧_リゾート!$D$4:$D$102,マスター_勘定科目!$A$4:$B$30,2,FALSE()),"その他経費")="役員報酬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役員報酬")*未払一覧_モーテル!$N$4:$N$103))/1000</f>
        <v>0</v>
      </c>
      <c r="G16" s="120"/>
      <c r="H16" s="120">
        <f>(SUMPRODUCT((未払一覧_リゾート!$M$4:$M$102&gt;=DATE(2026,6,1))*(未払一覧_リゾート!$M$4:$M$102&lt;=DATE(2026,6,30))*(IFERROR(VLOOKUP(未払一覧_リゾート!$D$4:$D$102,マスター_勘定科目!$A$4:$B$30,2,FALSE()),"その他経費")="役員報酬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役員報酬")*未払一覧_モーテル!$N$4:$N$103))/1000</f>
        <v>0</v>
      </c>
      <c r="I16" s="120"/>
      <c r="J16" s="120">
        <f>(SUMPRODUCT((未払一覧_リゾート!$M$4:$M$102&gt;=DATE(2026,7,1))*(未払一覧_リゾート!$M$4:$M$102&lt;=DATE(2026,7,31))*(IFERROR(VLOOKUP(未払一覧_リゾート!$D$4:$D$102,マスター_勘定科目!$A$4:$B$30,2,FALSE()),"その他経費")="役員報酬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役員報酬")*未払一覧_モーテル!$N$4:$N$103))/1000</f>
        <v>0</v>
      </c>
      <c r="K16" s="120"/>
      <c r="L16" s="120">
        <f>(SUMPRODUCT((未払一覧_リゾート!$M$4:$M$102&gt;=DATE(2026,8,1))*(未払一覧_リゾート!$M$4:$M$102&lt;=DATE(2026,8,31))*(IFERROR(VLOOKUP(未払一覧_リゾート!$D$4:$D$102,マスター_勘定科目!$A$4:$B$30,2,FALSE()),"その他経費")="役員報酬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役員報酬")*未払一覧_モーテル!$N$4:$N$103))/1000</f>
        <v>0</v>
      </c>
      <c r="M16" s="120"/>
      <c r="N16" s="121"/>
      <c r="O16" s="121"/>
      <c r="P16" s="121"/>
      <c r="Q16" s="121"/>
      <c r="R16" s="120"/>
      <c r="S16" s="120"/>
      <c r="T16" s="120"/>
      <c r="U16" s="120"/>
      <c r="V16" s="120"/>
      <c r="W16" s="120"/>
      <c r="X16" s="120"/>
      <c r="Y16" s="120"/>
      <c r="Z16" s="121"/>
      <c r="AA16" s="121"/>
      <c r="AB16" s="124"/>
      <c r="AC16" s="124"/>
    </row>
    <row r="17" spans="1:29" ht="15.75" customHeight="1">
      <c r="A17" s="113"/>
      <c r="B17" s="126"/>
      <c r="C17" s="127"/>
      <c r="D17" s="119" t="s">
        <v>77</v>
      </c>
      <c r="E17" s="119"/>
      <c r="F17" s="120">
        <f>(SUMPRODUCT((未払一覧_リゾート!$M$4:$M$102&gt;=DATE(2026,5,1))*(未払一覧_リゾート!$M$4:$M$102&lt;=DATE(2026,5,31))*(IFERROR(VLOOKUP(未払一覧_リゾート!$D$4:$D$102,マスター_勘定科目!$A$4:$B$30,2,FALSE()),"その他経費")="従業員給与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従業員給与")*未払一覧_モーテル!$N$4:$N$103))/1000</f>
        <v>0</v>
      </c>
      <c r="G17" s="120"/>
      <c r="H17" s="120">
        <f>(SUMPRODUCT((未払一覧_リゾート!$M$4:$M$102&gt;=DATE(2026,6,1))*(未払一覧_リゾート!$M$4:$M$102&lt;=DATE(2026,6,30))*(IFERROR(VLOOKUP(未払一覧_リゾート!$D$4:$D$102,マスター_勘定科目!$A$4:$B$30,2,FALSE()),"その他経費")="従業員給与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従業員給与")*未払一覧_モーテル!$N$4:$N$103))/1000</f>
        <v>0</v>
      </c>
      <c r="I17" s="120"/>
      <c r="J17" s="120">
        <f>(SUMPRODUCT((未払一覧_リゾート!$M$4:$M$102&gt;=DATE(2026,7,1))*(未払一覧_リゾート!$M$4:$M$102&lt;=DATE(2026,7,31))*(IFERROR(VLOOKUP(未払一覧_リゾート!$D$4:$D$102,マスター_勘定科目!$A$4:$B$30,2,FALSE()),"その他経費")="従業員給与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従業員給与")*未払一覧_モーテル!$N$4:$N$103))/1000</f>
        <v>0</v>
      </c>
      <c r="K17" s="120"/>
      <c r="L17" s="120">
        <f>(SUMPRODUCT((未払一覧_リゾート!$M$4:$M$102&gt;=DATE(2026,8,1))*(未払一覧_リゾート!$M$4:$M$102&lt;=DATE(2026,8,31))*(IFERROR(VLOOKUP(未払一覧_リゾート!$D$4:$D$102,マスター_勘定科目!$A$4:$B$30,2,FALSE()),"その他経費")="従業員給与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従業員給与")*未払一覧_モーテル!$N$4:$N$103))/1000</f>
        <v>0</v>
      </c>
      <c r="M17" s="120"/>
      <c r="N17" s="121"/>
      <c r="O17" s="121"/>
      <c r="P17" s="121"/>
      <c r="Q17" s="121"/>
      <c r="R17" s="120"/>
      <c r="S17" s="120"/>
      <c r="T17" s="120"/>
      <c r="U17" s="120"/>
      <c r="V17" s="120"/>
      <c r="W17" s="120"/>
      <c r="X17" s="120"/>
      <c r="Y17" s="120"/>
      <c r="Z17" s="121"/>
      <c r="AA17" s="121"/>
      <c r="AB17" s="121"/>
      <c r="AC17" s="121"/>
    </row>
    <row r="18" spans="1:29" ht="15.75" customHeight="1">
      <c r="A18" s="113"/>
      <c r="B18" s="126"/>
      <c r="C18" s="127"/>
      <c r="D18" s="119" t="s">
        <v>78</v>
      </c>
      <c r="E18" s="119"/>
      <c r="F18" s="120">
        <f>(SUMPRODUCT((未払一覧_リゾート!$M$4:$M$102&gt;=DATE(2026,5,1))*(未払一覧_リゾート!$M$4:$M$102&lt;=DATE(2026,5,31))*(IFERROR(VLOOKUP(未払一覧_リゾート!$D$4:$D$102,マスター_勘定科目!$A$4:$B$30,2,FALSE()),"その他経費")="地代家賃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地代家賃")*未払一覧_モーテル!$N$4:$N$103))/1000</f>
        <v>0</v>
      </c>
      <c r="G18" s="120"/>
      <c r="H18" s="120">
        <f>(SUMPRODUCT((未払一覧_リゾート!$M$4:$M$102&gt;=DATE(2026,6,1))*(未払一覧_リゾート!$M$4:$M$102&lt;=DATE(2026,6,30))*(IFERROR(VLOOKUP(未払一覧_リゾート!$D$4:$D$102,マスター_勘定科目!$A$4:$B$30,2,FALSE()),"その他経費")="地代家賃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地代家賃")*未払一覧_モーテル!$N$4:$N$103))/1000</f>
        <v>0</v>
      </c>
      <c r="I18" s="120"/>
      <c r="J18" s="120">
        <f>(SUMPRODUCT((未払一覧_リゾート!$M$4:$M$102&gt;=DATE(2026,7,1))*(未払一覧_リゾート!$M$4:$M$102&lt;=DATE(2026,7,31))*(IFERROR(VLOOKUP(未払一覧_リゾート!$D$4:$D$102,マスター_勘定科目!$A$4:$B$30,2,FALSE()),"その他経費")="地代家賃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地代家賃")*未払一覧_モーテル!$N$4:$N$103))/1000</f>
        <v>0</v>
      </c>
      <c r="K18" s="120"/>
      <c r="L18" s="120">
        <f>(SUMPRODUCT((未払一覧_リゾート!$M$4:$M$102&gt;=DATE(2026,8,1))*(未払一覧_リゾート!$M$4:$M$102&lt;=DATE(2026,8,31))*(IFERROR(VLOOKUP(未払一覧_リゾート!$D$4:$D$102,マスター_勘定科目!$A$4:$B$30,2,FALSE()),"その他経費")="地代家賃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地代家賃")*未払一覧_モーテル!$N$4:$N$103))/1000</f>
        <v>0</v>
      </c>
      <c r="M18" s="120"/>
      <c r="N18" s="121"/>
      <c r="O18" s="121"/>
      <c r="P18" s="121"/>
      <c r="Q18" s="121"/>
      <c r="R18" s="120"/>
      <c r="S18" s="120"/>
      <c r="T18" s="120"/>
      <c r="U18" s="120"/>
      <c r="V18" s="120"/>
      <c r="W18" s="120"/>
      <c r="X18" s="120"/>
      <c r="Y18" s="120"/>
      <c r="Z18" s="121"/>
      <c r="AA18" s="121"/>
      <c r="AB18" s="121"/>
      <c r="AC18" s="121"/>
    </row>
    <row r="19" spans="1:29" ht="15.75" customHeight="1">
      <c r="A19" s="113"/>
      <c r="B19" s="126"/>
      <c r="C19" s="127"/>
      <c r="D19" s="119" t="s">
        <v>79</v>
      </c>
      <c r="E19" s="119"/>
      <c r="F19" s="120">
        <f>(SUMPRODUCT((未払一覧_リゾート!$M$4:$M$102&gt;=DATE(2026,5,1))*(未払一覧_リゾート!$M$4:$M$102&lt;=DATE(2026,5,31))*(IFERROR(VLOOKUP(未払一覧_リゾート!$D$4:$D$102,マスター_勘定科目!$A$4:$B$30,2,FALSE()),"その他経費")="支払利息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支払利息")*未払一覧_モーテル!$N$4:$N$103))/1000</f>
        <v>0</v>
      </c>
      <c r="G19" s="120"/>
      <c r="H19" s="120">
        <f>(SUMPRODUCT((未払一覧_リゾート!$M$4:$M$102&gt;=DATE(2026,6,1))*(未払一覧_リゾート!$M$4:$M$102&lt;=DATE(2026,6,30))*(IFERROR(VLOOKUP(未払一覧_リゾート!$D$4:$D$102,マスター_勘定科目!$A$4:$B$30,2,FALSE()),"その他経費")="支払利息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支払利息")*未払一覧_モーテル!$N$4:$N$103))/1000</f>
        <v>0</v>
      </c>
      <c r="I19" s="120"/>
      <c r="J19" s="120">
        <f>(SUMPRODUCT((未払一覧_リゾート!$M$4:$M$102&gt;=DATE(2026,7,1))*(未払一覧_リゾート!$M$4:$M$102&lt;=DATE(2026,7,31))*(IFERROR(VLOOKUP(未払一覧_リゾート!$D$4:$D$102,マスター_勘定科目!$A$4:$B$30,2,FALSE()),"その他経費")="支払利息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支払利息")*未払一覧_モーテル!$N$4:$N$103))/1000</f>
        <v>0</v>
      </c>
      <c r="K19" s="120"/>
      <c r="L19" s="120">
        <f>(SUMPRODUCT((未払一覧_リゾート!$M$4:$M$102&gt;=DATE(2026,8,1))*(未払一覧_リゾート!$M$4:$M$102&lt;=DATE(2026,8,31))*(IFERROR(VLOOKUP(未払一覧_リゾート!$D$4:$D$102,マスター_勘定科目!$A$4:$B$30,2,FALSE()),"その他経費")="支払利息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支払利息")*未払一覧_モーテル!$N$4:$N$103))/1000</f>
        <v>0</v>
      </c>
      <c r="M19" s="120"/>
      <c r="N19" s="121"/>
      <c r="O19" s="121"/>
      <c r="P19" s="121"/>
      <c r="Q19" s="121"/>
      <c r="R19" s="120"/>
      <c r="S19" s="120"/>
      <c r="T19" s="120"/>
      <c r="U19" s="120"/>
      <c r="V19" s="120"/>
      <c r="W19" s="120"/>
      <c r="X19" s="120"/>
      <c r="Y19" s="120"/>
      <c r="Z19" s="121"/>
      <c r="AA19" s="121"/>
      <c r="AB19" s="121"/>
      <c r="AC19" s="121"/>
    </row>
    <row r="20" spans="1:29" ht="15.75" customHeight="1">
      <c r="A20" s="113"/>
      <c r="B20" s="126"/>
      <c r="C20" s="127"/>
      <c r="D20" s="119" t="s">
        <v>70</v>
      </c>
      <c r="E20" s="119"/>
      <c r="F20" s="120">
        <f>(SUMPRODUCT((未払一覧_リゾート!$M$4:$M$102&gt;=DATE(2026,5,1))*(未払一覧_リゾート!$M$4:$M$102&lt;=DATE(2026,5,31))*(IFERROR(VLOOKUP(未払一覧_リゾート!$D$4:$D$102,マスター_勘定科目!$A$4:$B$30,2,FALSE()),"その他経費")="税金・社会保険料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税金・社会保険料")*未払一覧_モーテル!$N$4:$N$103))/1000</f>
        <v>0</v>
      </c>
      <c r="G20" s="120"/>
      <c r="H20" s="120">
        <f>(SUMPRODUCT((未払一覧_リゾート!$M$4:$M$102&gt;=DATE(2026,6,1))*(未払一覧_リゾート!$M$4:$M$102&lt;=DATE(2026,6,30))*(IFERROR(VLOOKUP(未払一覧_リゾート!$D$4:$D$102,マスター_勘定科目!$A$4:$B$30,2,FALSE()),"その他経費")="税金・社会保険料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税金・社会保険料")*未払一覧_モーテル!$N$4:$N$103))/1000</f>
        <v>0</v>
      </c>
      <c r="I20" s="120"/>
      <c r="J20" s="120">
        <f>(SUMPRODUCT((未払一覧_リゾート!$M$4:$M$102&gt;=DATE(2026,7,1))*(未払一覧_リゾート!$M$4:$M$102&lt;=DATE(2026,7,31))*(IFERROR(VLOOKUP(未払一覧_リゾート!$D$4:$D$102,マスター_勘定科目!$A$4:$B$30,2,FALSE()),"その他経費")="税金・社会保険料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税金・社会保険料")*未払一覧_モーテル!$N$4:$N$103))/1000</f>
        <v>0</v>
      </c>
      <c r="K20" s="120"/>
      <c r="L20" s="120">
        <f>(SUMPRODUCT((未払一覧_リゾート!$M$4:$M$102&gt;=DATE(2026,8,1))*(未払一覧_リゾート!$M$4:$M$102&lt;=DATE(2026,8,31))*(IFERROR(VLOOKUP(未払一覧_リゾート!$D$4:$D$102,マスター_勘定科目!$A$4:$B$30,2,FALSE()),"その他経費")="税金・社会保険料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税金・社会保険料")*未払一覧_モーテル!$N$4:$N$103))/1000</f>
        <v>0</v>
      </c>
      <c r="M20" s="120"/>
      <c r="N20" s="121"/>
      <c r="O20" s="121"/>
      <c r="P20" s="121"/>
      <c r="Q20" s="121"/>
      <c r="R20" s="120"/>
      <c r="S20" s="120"/>
      <c r="T20" s="120"/>
      <c r="U20" s="120"/>
      <c r="V20" s="120"/>
      <c r="W20" s="120"/>
      <c r="X20" s="120"/>
      <c r="Y20" s="120"/>
      <c r="Z20" s="121"/>
      <c r="AA20" s="121"/>
      <c r="AB20" s="121"/>
      <c r="AC20" s="121"/>
    </row>
    <row r="21" spans="1:29" ht="15.75" customHeight="1">
      <c r="A21" s="113"/>
      <c r="B21" s="126"/>
      <c r="C21" s="127"/>
      <c r="D21" s="119" t="s">
        <v>72</v>
      </c>
      <c r="E21" s="119"/>
      <c r="F21" s="120">
        <f>(SUMPRODUCT((未払一覧_リゾート!$M$4:$M$102&gt;=DATE(2026,5,1))*(未払一覧_リゾート!$M$4:$M$102&lt;=DATE(2026,5,31))*(IFERROR(VLOOKUP(未払一覧_リゾート!$D$4:$D$102,マスター_勘定科目!$A$4:$B$30,2,FALSE()),"その他経費")="その他経費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その他経費")*未払一覧_モーテル!$N$4:$N$103))/1000</f>
        <v>0</v>
      </c>
      <c r="G21" s="120"/>
      <c r="H21" s="120">
        <f>(SUMPRODUCT((未払一覧_リゾート!$M$4:$M$102&gt;=DATE(2026,6,1))*(未払一覧_リゾート!$M$4:$M$102&lt;=DATE(2026,6,30))*(IFERROR(VLOOKUP(未払一覧_リゾート!$D$4:$D$102,マスター_勘定科目!$A$4:$B$30,2,FALSE()),"その他経費")="その他経費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その他経費")*未払一覧_モーテル!$N$4:$N$103))/1000</f>
        <v>0</v>
      </c>
      <c r="I21" s="120"/>
      <c r="J21" s="120">
        <f>(SUMPRODUCT((未払一覧_リゾート!$M$4:$M$102&gt;=DATE(2026,7,1))*(未払一覧_リゾート!$M$4:$M$102&lt;=DATE(2026,7,31))*(IFERROR(VLOOKUP(未払一覧_リゾート!$D$4:$D$102,マスター_勘定科目!$A$4:$B$30,2,FALSE()),"その他経費")="その他経費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その他経費")*未払一覧_モーテル!$N$4:$N$103))/1000</f>
        <v>0</v>
      </c>
      <c r="K21" s="120"/>
      <c r="L21" s="120">
        <f>(SUMPRODUCT((未払一覧_リゾート!$M$4:$M$102&gt;=DATE(2026,8,1))*(未払一覧_リゾート!$M$4:$M$102&lt;=DATE(2026,8,31))*(IFERROR(VLOOKUP(未払一覧_リゾート!$D$4:$D$102,マスター_勘定科目!$A$4:$B$30,2,FALSE()),"その他経費")="その他経費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その他経費")*未払一覧_モーテル!$N$4:$N$103))/1000</f>
        <v>0</v>
      </c>
      <c r="M21" s="120"/>
      <c r="N21" s="121"/>
      <c r="O21" s="121"/>
      <c r="P21" s="121"/>
      <c r="Q21" s="121"/>
      <c r="R21" s="120"/>
      <c r="S21" s="120"/>
      <c r="T21" s="120"/>
      <c r="U21" s="120"/>
      <c r="V21" s="120"/>
      <c r="W21" s="120"/>
      <c r="X21" s="120"/>
      <c r="Y21" s="120"/>
      <c r="Z21" s="121"/>
      <c r="AA21" s="121"/>
      <c r="AB21" s="121"/>
      <c r="AC21" s="121"/>
    </row>
    <row r="22" spans="1:29" ht="15.75" customHeight="1">
      <c r="A22" s="113"/>
      <c r="B22" s="126"/>
      <c r="C22" s="122" t="s">
        <v>292</v>
      </c>
      <c r="D22" s="122"/>
      <c r="E22" s="122"/>
      <c r="F22" s="123">
        <f>SUM(F13:F21)</f>
        <v>10278.391</v>
      </c>
      <c r="G22" s="123"/>
      <c r="H22" s="123">
        <f>SUM(H13:H21)</f>
        <v>0</v>
      </c>
      <c r="I22" s="123"/>
      <c r="J22" s="123">
        <f>SUM(J13:J21)</f>
        <v>0</v>
      </c>
      <c r="K22" s="123"/>
      <c r="L22" s="123">
        <f>SUM(L13:L21)</f>
        <v>0</v>
      </c>
      <c r="M22" s="123"/>
      <c r="N22" s="123">
        <f>SUM(N13:N21)</f>
        <v>0</v>
      </c>
      <c r="O22" s="123"/>
      <c r="P22" s="123">
        <f>SUM(P13:P21)</f>
        <v>0</v>
      </c>
      <c r="Q22" s="123"/>
      <c r="R22" s="123">
        <f>SUM(R13:R21)</f>
        <v>0</v>
      </c>
      <c r="S22" s="123"/>
      <c r="T22" s="123">
        <f>SUM(T13:T21)</f>
        <v>0</v>
      </c>
      <c r="U22" s="123"/>
      <c r="V22" s="123">
        <f>SUM(V13:V21)</f>
        <v>0</v>
      </c>
      <c r="W22" s="123"/>
      <c r="X22" s="123">
        <f>SUM(X13:X21)</f>
        <v>0</v>
      </c>
      <c r="Y22" s="123"/>
      <c r="Z22" s="123">
        <f>SUM(Z13:Z21)</f>
        <v>0</v>
      </c>
      <c r="AA22" s="123"/>
      <c r="AB22" s="125">
        <f>SUM(AB13:AB21)</f>
        <v>0</v>
      </c>
      <c r="AC22" s="125"/>
    </row>
    <row r="23" spans="1:29" ht="15.75" customHeight="1">
      <c r="A23" s="113"/>
      <c r="B23" s="122" t="s">
        <v>293</v>
      </c>
      <c r="C23" s="122"/>
      <c r="D23" s="122"/>
      <c r="E23" s="122"/>
      <c r="F23" s="123">
        <f>F12-F22</f>
        <v>10821.609</v>
      </c>
      <c r="G23" s="123"/>
      <c r="H23" s="123">
        <f>H12-H22</f>
        <v>0</v>
      </c>
      <c r="I23" s="123"/>
      <c r="J23" s="123">
        <f>J12-J22</f>
        <v>0</v>
      </c>
      <c r="K23" s="123"/>
      <c r="L23" s="123">
        <f>L12-L22</f>
        <v>0</v>
      </c>
      <c r="M23" s="123"/>
      <c r="N23" s="123">
        <f>N12-N22</f>
        <v>0</v>
      </c>
      <c r="O23" s="123"/>
      <c r="P23" s="123">
        <f>P12-P22</f>
        <v>0</v>
      </c>
      <c r="Q23" s="123"/>
      <c r="R23" s="123">
        <f>R12-R22</f>
        <v>0</v>
      </c>
      <c r="S23" s="123"/>
      <c r="T23" s="123">
        <f>T12-T22</f>
        <v>0</v>
      </c>
      <c r="U23" s="123"/>
      <c r="V23" s="123">
        <f>V12-V22</f>
        <v>0</v>
      </c>
      <c r="W23" s="123"/>
      <c r="X23" s="123">
        <f>X12-X22</f>
        <v>0</v>
      </c>
      <c r="Y23" s="123"/>
      <c r="Z23" s="123">
        <f>Z12-Z22</f>
        <v>0</v>
      </c>
      <c r="AA23" s="123"/>
      <c r="AB23" s="125">
        <f>AB12-AB22</f>
        <v>0</v>
      </c>
      <c r="AC23" s="125"/>
    </row>
    <row r="24" spans="1:29" ht="15.75" customHeight="1">
      <c r="A24" s="136" t="s">
        <v>294</v>
      </c>
      <c r="B24" s="127" t="s">
        <v>281</v>
      </c>
      <c r="C24" s="119" t="s">
        <v>295</v>
      </c>
      <c r="D24" s="119"/>
      <c r="E24" s="119"/>
      <c r="F24" s="120">
        <f>(SUMIFS(入金入力_リゾート!$D$4:$D$103,入金入力_リゾート!$A$4:$A$103,"&gt;="&amp;DATE(2026,5,1),入金入力_リゾート!$A$4:$A$103,"&lt;="&amp;DATE(2026,5,31),入金入力_リゾート!$C$4:$C$103,"借入金")+SUMIFS(入金入力_モーテル!$D$4:$D$103,入金入力_モーテル!$A$4:$A$103,"&gt;="&amp;DATE(2026,5,1),入金入力_モーテル!$A$4:$A$103,"&lt;="&amp;DATE(2026,5,31),入金入力_モーテル!$C$4:$C$103,"借入金"))/1000</f>
        <v>0</v>
      </c>
      <c r="G24" s="120"/>
      <c r="H24" s="120">
        <f>(SUMIFS(入金入力_リゾート!$D$4:$D$103,入金入力_リゾート!$A$4:$A$103,"&gt;="&amp;DATE(2026,6,1),入金入力_リゾート!$A$4:$A$103,"&lt;="&amp;DATE(2026,6,30),入金入力_リゾート!$C$4:$C$103,"借入金")+SUMIFS(入金入力_モーテル!$D$4:$D$103,入金入力_モーテル!$A$4:$A$103,"&gt;="&amp;DATE(2026,6,1),入金入力_モーテル!$A$4:$A$103,"&lt;="&amp;DATE(2026,6,30),入金入力_モーテル!$C$4:$C$103,"借入金"))/1000</f>
        <v>0</v>
      </c>
      <c r="I24" s="120"/>
      <c r="J24" s="120">
        <f>(SUMIFS(入金入力_リゾート!$D$4:$D$103,入金入力_リゾート!$A$4:$A$103,"&gt;="&amp;DATE(2026,7,1),入金入力_リゾート!$A$4:$A$103,"&lt;="&amp;DATE(2026,7,31),入金入力_リゾート!$C$4:$C$103,"借入金")+SUMIFS(入金入力_モーテル!$D$4:$D$103,入金入力_モーテル!$A$4:$A$103,"&gt;="&amp;DATE(2026,7,1),入金入力_モーテル!$A$4:$A$103,"&lt;="&amp;DATE(2026,7,31),入金入力_モーテル!$C$4:$C$103,"借入金"))/1000</f>
        <v>0</v>
      </c>
      <c r="K24" s="120"/>
      <c r="L24" s="120">
        <f>(SUMIFS(入金入力_リゾート!$D$4:$D$103,入金入力_リゾート!$A$4:$A$103,"&gt;="&amp;DATE(2026,8,1),入金入力_リゾート!$A$4:$A$103,"&lt;="&amp;DATE(2026,8,31),入金入力_リゾート!$C$4:$C$103,"借入金")+SUMIFS(入金入力_モーテル!$D$4:$D$103,入金入力_モーテル!$A$4:$A$103,"&gt;="&amp;DATE(2026,8,1),入金入力_モーテル!$A$4:$A$103,"&lt;="&amp;DATE(2026,8,31),入金入力_モーテル!$C$4:$C$103,"借入金"))/1000</f>
        <v>0</v>
      </c>
      <c r="M24" s="120"/>
      <c r="N24" s="121"/>
      <c r="O24" s="121"/>
      <c r="P24" s="121"/>
      <c r="Q24" s="121"/>
      <c r="R24" s="120"/>
      <c r="S24" s="120"/>
      <c r="T24" s="120"/>
      <c r="U24" s="120"/>
      <c r="V24" s="120"/>
      <c r="W24" s="120"/>
      <c r="X24" s="120"/>
      <c r="Y24" s="120"/>
      <c r="Z24" s="121"/>
      <c r="AA24" s="121"/>
      <c r="AB24" s="124"/>
      <c r="AC24" s="124"/>
    </row>
    <row r="25" spans="1:29" ht="15.75" customHeight="1">
      <c r="A25" s="136"/>
      <c r="B25" s="127"/>
      <c r="C25" s="119" t="s">
        <v>296</v>
      </c>
      <c r="D25" s="119"/>
      <c r="E25" s="119"/>
      <c r="F25" s="120">
        <f>(SUMIFS(入金入力_リゾート!$D$4:$D$103,入金入力_リゾート!$A$4:$A$103,"&gt;="&amp;DATE(2026,5,1),入金入力_リゾート!$A$4:$A$103,"&lt;="&amp;DATE(2026,5,31),入金入力_リゾート!$C$4:$C$103,"設備売却")+SUMIFS(入金入力_モーテル!$D$4:$D$103,入金入力_モーテル!$A$4:$A$103,"&gt;="&amp;DATE(2026,5,1),入金入力_モーテル!$A$4:$A$103,"&lt;="&amp;DATE(2026,5,31),入金入力_モーテル!$C$4:$C$103,"設備売却"))/1000</f>
        <v>0</v>
      </c>
      <c r="G25" s="120"/>
      <c r="H25" s="120">
        <f>(SUMIFS(入金入力_リゾート!$D$4:$D$103,入金入力_リゾート!$A$4:$A$103,"&gt;="&amp;DATE(2026,6,1),入金入力_リゾート!$A$4:$A$103,"&lt;="&amp;DATE(2026,6,30),入金入力_リゾート!$C$4:$C$103,"設備売却")+SUMIFS(入金入力_モーテル!$D$4:$D$103,入金入力_モーテル!$A$4:$A$103,"&gt;="&amp;DATE(2026,6,1),入金入力_モーテル!$A$4:$A$103,"&lt;="&amp;DATE(2026,6,30),入金入力_モーテル!$C$4:$C$103,"設備売却"))/1000</f>
        <v>0</v>
      </c>
      <c r="I25" s="120"/>
      <c r="J25" s="120">
        <f>(SUMIFS(入金入力_リゾート!$D$4:$D$103,入金入力_リゾート!$A$4:$A$103,"&gt;="&amp;DATE(2026,7,1),入金入力_リゾート!$A$4:$A$103,"&lt;="&amp;DATE(2026,7,31),入金入力_リゾート!$C$4:$C$103,"設備売却")+SUMIFS(入金入力_モーテル!$D$4:$D$103,入金入力_モーテル!$A$4:$A$103,"&gt;="&amp;DATE(2026,7,1),入金入力_モーテル!$A$4:$A$103,"&lt;="&amp;DATE(2026,7,31),入金入力_モーテル!$C$4:$C$103,"設備売却"))/1000</f>
        <v>0</v>
      </c>
      <c r="K25" s="120"/>
      <c r="L25" s="120">
        <f>(SUMIFS(入金入力_リゾート!$D$4:$D$103,入金入力_リゾート!$A$4:$A$103,"&gt;="&amp;DATE(2026,8,1),入金入力_リゾート!$A$4:$A$103,"&lt;="&amp;DATE(2026,8,31),入金入力_リゾート!$C$4:$C$103,"設備売却")+SUMIFS(入金入力_モーテル!$D$4:$D$103,入金入力_モーテル!$A$4:$A$103,"&gt;="&amp;DATE(2026,8,1),入金入力_モーテル!$A$4:$A$103,"&lt;="&amp;DATE(2026,8,31),入金入力_モーテル!$C$4:$C$103,"設備売却"))/1000</f>
        <v>0</v>
      </c>
      <c r="M25" s="120"/>
      <c r="N25" s="121"/>
      <c r="O25" s="121"/>
      <c r="P25" s="121"/>
      <c r="Q25" s="121"/>
      <c r="R25" s="120"/>
      <c r="S25" s="120"/>
      <c r="T25" s="120"/>
      <c r="U25" s="120"/>
      <c r="V25" s="120"/>
      <c r="W25" s="120"/>
      <c r="X25" s="120"/>
      <c r="Y25" s="120"/>
      <c r="Z25" s="121"/>
      <c r="AA25" s="121"/>
      <c r="AB25" s="124"/>
      <c r="AC25" s="124"/>
    </row>
    <row r="26" spans="1:29" ht="15.75" customHeight="1">
      <c r="A26" s="136"/>
      <c r="B26" s="127"/>
      <c r="C26" s="130" t="s">
        <v>297</v>
      </c>
      <c r="D26" s="130"/>
      <c r="E26" s="130"/>
      <c r="F26" s="131">
        <f>SUM(F24:F25)</f>
        <v>0</v>
      </c>
      <c r="G26" s="131"/>
      <c r="H26" s="131">
        <f>SUM(H24:H25)</f>
        <v>0</v>
      </c>
      <c r="I26" s="131"/>
      <c r="J26" s="131">
        <f>SUM(J24:J25)</f>
        <v>0</v>
      </c>
      <c r="K26" s="131"/>
      <c r="L26" s="131">
        <f>SUM(L24:L25)</f>
        <v>0</v>
      </c>
      <c r="M26" s="131"/>
      <c r="N26" s="131">
        <f>SUM(N24:N25)</f>
        <v>0</v>
      </c>
      <c r="O26" s="131"/>
      <c r="P26" s="131">
        <f>SUM(P24:P25)</f>
        <v>0</v>
      </c>
      <c r="Q26" s="131"/>
      <c r="R26" s="131">
        <f>SUM(R24:R25)</f>
        <v>0</v>
      </c>
      <c r="S26" s="131"/>
      <c r="T26" s="131">
        <f>SUM(T24:T25)</f>
        <v>0</v>
      </c>
      <c r="U26" s="131"/>
      <c r="V26" s="131">
        <f>SUM(V24:V25)</f>
        <v>0</v>
      </c>
      <c r="W26" s="131"/>
      <c r="X26" s="131">
        <f>SUM(X24:X25)</f>
        <v>0</v>
      </c>
      <c r="Y26" s="131"/>
      <c r="Z26" s="131">
        <f>SUM(Z24:Z25)</f>
        <v>0</v>
      </c>
      <c r="AA26" s="131"/>
      <c r="AB26" s="132">
        <f>SUM(AB24:AB25)</f>
        <v>0</v>
      </c>
      <c r="AC26" s="132"/>
    </row>
    <row r="27" spans="1:29" ht="15.75" customHeight="1">
      <c r="A27" s="136"/>
      <c r="B27" s="127" t="s">
        <v>287</v>
      </c>
      <c r="C27" s="119" t="s">
        <v>298</v>
      </c>
      <c r="D27" s="119"/>
      <c r="E27" s="119"/>
      <c r="F27" s="120">
        <f>(SUMPRODUCT((未払一覧_リゾート!$M$4:$M$102&gt;=DATE(2026,5,1))*(未払一覧_リゾート!$M$4:$M$102&lt;=DATE(2026,5,31))*(IFERROR(VLOOKUP(未払一覧_リゾート!$D$4:$D$102,マスター_勘定科目!$A$4:$B$30,2,FALSE()),"その他経費")="借入金返済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借入金返済")*未払一覧_モーテル!$N$4:$N$103))/1000</f>
        <v>0</v>
      </c>
      <c r="G27" s="120"/>
      <c r="H27" s="120">
        <f>(SUMPRODUCT((未払一覧_リゾート!$M$4:$M$102&gt;=DATE(2026,6,1))*(未払一覧_リゾート!$M$4:$M$102&lt;=DATE(2026,6,30))*(IFERROR(VLOOKUP(未払一覧_リゾート!$D$4:$D$102,マスター_勘定科目!$A$4:$B$30,2,FALSE()),"その他経費")="借入金返済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借入金返済")*未払一覧_モーテル!$N$4:$N$103))/1000</f>
        <v>0</v>
      </c>
      <c r="I27" s="120"/>
      <c r="J27" s="120">
        <f>(SUMPRODUCT((未払一覧_リゾート!$M$4:$M$102&gt;=DATE(2026,7,1))*(未払一覧_リゾート!$M$4:$M$102&lt;=DATE(2026,7,31))*(IFERROR(VLOOKUP(未払一覧_リゾート!$D$4:$D$102,マスター_勘定科目!$A$4:$B$30,2,FALSE()),"その他経費")="借入金返済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借入金返済")*未払一覧_モーテル!$N$4:$N$103))/1000</f>
        <v>0</v>
      </c>
      <c r="K27" s="120"/>
      <c r="L27" s="120">
        <f>(SUMPRODUCT((未払一覧_リゾート!$M$4:$M$102&gt;=DATE(2026,8,1))*(未払一覧_リゾート!$M$4:$M$102&lt;=DATE(2026,8,31))*(IFERROR(VLOOKUP(未払一覧_リゾート!$D$4:$D$102,マスター_勘定科目!$A$4:$B$30,2,FALSE()),"その他経費")="借入金返済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借入金返済")*未払一覧_モーテル!$N$4:$N$103))/1000</f>
        <v>0</v>
      </c>
      <c r="M27" s="120"/>
      <c r="N27" s="121"/>
      <c r="O27" s="121"/>
      <c r="P27" s="121"/>
      <c r="Q27" s="121"/>
      <c r="R27" s="120"/>
      <c r="S27" s="120"/>
      <c r="T27" s="120"/>
      <c r="U27" s="120"/>
      <c r="V27" s="120"/>
      <c r="W27" s="120"/>
      <c r="X27" s="120"/>
      <c r="Y27" s="120"/>
      <c r="Z27" s="121"/>
      <c r="AA27" s="121"/>
      <c r="AB27" s="124"/>
      <c r="AC27" s="124"/>
    </row>
    <row r="28" spans="1:29" ht="15.75" customHeight="1">
      <c r="A28" s="136"/>
      <c r="B28" s="127"/>
      <c r="C28" s="119" t="s">
        <v>299</v>
      </c>
      <c r="D28" s="119"/>
      <c r="E28" s="119"/>
      <c r="F28" s="120">
        <f>(SUMPRODUCT((未払一覧_リゾート!$M$4:$M$102&gt;=DATE(2026,5,1))*(未払一覧_リゾート!$M$4:$M$102&lt;=DATE(2026,5,31))*(IFERROR(VLOOKUP(未払一覧_リゾート!$D$4:$D$102,マスター_勘定科目!$A$4:$B$30,2,FALSE()),"その他経費")="設備購入等")*未払一覧_リゾート!$N$4:$N$102)+SUMPRODUCT((未払一覧_モーテル!$M$4:$M$103&gt;=DATE(2026,5,1))*(未払一覧_モーテル!$M$4:$M$103&lt;=DATE(2026,5,31))*(IFERROR(VLOOKUP(未払一覧_モーテル!$D$4:$D$103,マスター_勘定科目!$A$4:$B$30,2,FALSE()),"その他経費")="設備購入等")*未払一覧_モーテル!$N$4:$N$103))/1000</f>
        <v>0</v>
      </c>
      <c r="G28" s="120"/>
      <c r="H28" s="120">
        <f>(SUMPRODUCT((未払一覧_リゾート!$M$4:$M$102&gt;=DATE(2026,6,1))*(未払一覧_リゾート!$M$4:$M$102&lt;=DATE(2026,6,30))*(IFERROR(VLOOKUP(未払一覧_リゾート!$D$4:$D$102,マスター_勘定科目!$A$4:$B$30,2,FALSE()),"その他経費")="設備購入等")*未払一覧_リゾート!$N$4:$N$102)+SUMPRODUCT((未払一覧_モーテル!$M$4:$M$103&gt;=DATE(2026,6,1))*(未払一覧_モーテル!$M$4:$M$103&lt;=DATE(2026,6,30))*(IFERROR(VLOOKUP(未払一覧_モーテル!$D$4:$D$103,マスター_勘定科目!$A$4:$B$30,2,FALSE()),"その他経費")="設備購入等")*未払一覧_モーテル!$N$4:$N$103))/1000</f>
        <v>0</v>
      </c>
      <c r="I28" s="120"/>
      <c r="J28" s="120">
        <f>(SUMPRODUCT((未払一覧_リゾート!$M$4:$M$102&gt;=DATE(2026,7,1))*(未払一覧_リゾート!$M$4:$M$102&lt;=DATE(2026,7,31))*(IFERROR(VLOOKUP(未払一覧_リゾート!$D$4:$D$102,マスター_勘定科目!$A$4:$B$30,2,FALSE()),"その他経費")="設備購入等")*未払一覧_リゾート!$N$4:$N$102)+SUMPRODUCT((未払一覧_モーテル!$M$4:$M$103&gt;=DATE(2026,7,1))*(未払一覧_モーテル!$M$4:$M$103&lt;=DATE(2026,7,31))*(IFERROR(VLOOKUP(未払一覧_モーテル!$D$4:$D$103,マスター_勘定科目!$A$4:$B$30,2,FALSE()),"その他経費")="設備購入等")*未払一覧_モーテル!$N$4:$N$103))/1000</f>
        <v>0</v>
      </c>
      <c r="K28" s="120"/>
      <c r="L28" s="120">
        <f>(SUMPRODUCT((未払一覧_リゾート!$M$4:$M$102&gt;=DATE(2026,8,1))*(未払一覧_リゾート!$M$4:$M$102&lt;=DATE(2026,8,31))*(IFERROR(VLOOKUP(未払一覧_リゾート!$D$4:$D$102,マスター_勘定科目!$A$4:$B$30,2,FALSE()),"その他経費")="設備購入等")*未払一覧_リゾート!$N$4:$N$102)+SUMPRODUCT((未払一覧_モーテル!$M$4:$M$103&gt;=DATE(2026,8,1))*(未払一覧_モーテル!$M$4:$M$103&lt;=DATE(2026,8,31))*(IFERROR(VLOOKUP(未払一覧_モーテル!$D$4:$D$103,マスター_勘定科目!$A$4:$B$30,2,FALSE()),"その他経費")="設備購入等")*未払一覧_モーテル!$N$4:$N$103))/1000</f>
        <v>0</v>
      </c>
      <c r="M28" s="120"/>
      <c r="N28" s="121"/>
      <c r="O28" s="121"/>
      <c r="P28" s="121"/>
      <c r="Q28" s="121"/>
      <c r="R28" s="120"/>
      <c r="S28" s="120"/>
      <c r="T28" s="120"/>
      <c r="U28" s="120"/>
      <c r="V28" s="120"/>
      <c r="W28" s="120"/>
      <c r="X28" s="120"/>
      <c r="Y28" s="120"/>
      <c r="Z28" s="121"/>
      <c r="AA28" s="121"/>
      <c r="AB28" s="124"/>
      <c r="AC28" s="124"/>
    </row>
    <row r="29" spans="1:29" ht="15.75" customHeight="1">
      <c r="A29" s="136"/>
      <c r="B29" s="127"/>
      <c r="C29" s="130" t="s">
        <v>300</v>
      </c>
      <c r="D29" s="130"/>
      <c r="E29" s="130"/>
      <c r="F29" s="131">
        <f>SUM(F27:F28)</f>
        <v>0</v>
      </c>
      <c r="G29" s="131"/>
      <c r="H29" s="131">
        <f>SUM(H27:H28)</f>
        <v>0</v>
      </c>
      <c r="I29" s="131"/>
      <c r="J29" s="131">
        <f>SUM(J27:J28)</f>
        <v>0</v>
      </c>
      <c r="K29" s="131"/>
      <c r="L29" s="131">
        <f>SUM(L27:L28)</f>
        <v>0</v>
      </c>
      <c r="M29" s="131"/>
      <c r="N29" s="131">
        <f>SUM(N27:N28)</f>
        <v>0</v>
      </c>
      <c r="O29" s="131"/>
      <c r="P29" s="131">
        <f>SUM(P27:P28)</f>
        <v>0</v>
      </c>
      <c r="Q29" s="131"/>
      <c r="R29" s="131">
        <f>SUM(R27:R28)</f>
        <v>0</v>
      </c>
      <c r="S29" s="131"/>
      <c r="T29" s="131">
        <f>SUM(T27:T28)</f>
        <v>0</v>
      </c>
      <c r="U29" s="131"/>
      <c r="V29" s="131">
        <f>SUM(V27:V28)</f>
        <v>0</v>
      </c>
      <c r="W29" s="131"/>
      <c r="X29" s="131">
        <f>SUM(X27:X28)</f>
        <v>0</v>
      </c>
      <c r="Y29" s="131"/>
      <c r="Z29" s="131">
        <f>SUM(Z27:Z28)</f>
        <v>0</v>
      </c>
      <c r="AA29" s="131"/>
      <c r="AB29" s="132">
        <f>SUM(AB27:AB28)</f>
        <v>0</v>
      </c>
      <c r="AC29" s="132"/>
    </row>
    <row r="30" spans="1:29" ht="15.75" customHeight="1">
      <c r="A30" s="136"/>
      <c r="B30" s="128" t="s">
        <v>301</v>
      </c>
      <c r="C30" s="128"/>
      <c r="D30" s="128"/>
      <c r="E30" s="128"/>
      <c r="F30" s="129">
        <f>F26-F29</f>
        <v>0</v>
      </c>
      <c r="G30" s="129"/>
      <c r="H30" s="129">
        <f>H26-H29</f>
        <v>0</v>
      </c>
      <c r="I30" s="129"/>
      <c r="J30" s="129">
        <f>J26-J29</f>
        <v>0</v>
      </c>
      <c r="K30" s="129"/>
      <c r="L30" s="129">
        <f>L26-L29</f>
        <v>0</v>
      </c>
      <c r="M30" s="129"/>
      <c r="N30" s="129">
        <f>N26-N29</f>
        <v>0</v>
      </c>
      <c r="O30" s="129"/>
      <c r="P30" s="129">
        <f>P26-P29</f>
        <v>0</v>
      </c>
      <c r="Q30" s="129"/>
      <c r="R30" s="129">
        <f>R26-R29</f>
        <v>0</v>
      </c>
      <c r="S30" s="129"/>
      <c r="T30" s="129">
        <f>T26-T29</f>
        <v>0</v>
      </c>
      <c r="U30" s="129"/>
      <c r="V30" s="129">
        <f>V26-V29</f>
        <v>0</v>
      </c>
      <c r="W30" s="129"/>
      <c r="X30" s="129">
        <f>X26-X29</f>
        <v>0</v>
      </c>
      <c r="Y30" s="129"/>
      <c r="Z30" s="129">
        <f>Z26-Z29</f>
        <v>0</v>
      </c>
      <c r="AA30" s="129"/>
      <c r="AB30" s="134">
        <f>AB26-AB29</f>
        <v>0</v>
      </c>
      <c r="AC30" s="134"/>
    </row>
    <row r="31" spans="1:29" ht="15.75" customHeight="1">
      <c r="A31" s="135" t="s">
        <v>302</v>
      </c>
      <c r="B31" s="135"/>
      <c r="C31" s="135"/>
      <c r="D31" s="135"/>
      <c r="E31" s="135"/>
      <c r="F31" s="110">
        <f>SUM(F7,F23,F30)</f>
        <v>10821.609</v>
      </c>
      <c r="G31" s="110"/>
      <c r="H31" s="110">
        <f>SUM(H7,H23,H30)</f>
        <v>10821.609</v>
      </c>
      <c r="I31" s="110"/>
      <c r="J31" s="110">
        <f>SUM(J7,J23,J30)</f>
        <v>10821.609</v>
      </c>
      <c r="K31" s="110"/>
      <c r="L31" s="110">
        <f>SUM(L7,L23,L30)</f>
        <v>10821.609</v>
      </c>
      <c r="M31" s="110"/>
      <c r="N31" s="110">
        <f>SUM(N7,N23,N30)</f>
        <v>10821.609</v>
      </c>
      <c r="O31" s="110"/>
      <c r="P31" s="110">
        <f>SUM(P7,P23,P30)</f>
        <v>10821.609</v>
      </c>
      <c r="Q31" s="110"/>
      <c r="R31" s="110">
        <f>SUM(R7,R23,R30)</f>
        <v>10821.609</v>
      </c>
      <c r="S31" s="110"/>
      <c r="T31" s="110">
        <f>SUM(T7,T23,T30)</f>
        <v>10821.609</v>
      </c>
      <c r="U31" s="110"/>
      <c r="V31" s="110">
        <f>SUM(V7,V23,V30)</f>
        <v>10821.609</v>
      </c>
      <c r="W31" s="110"/>
      <c r="X31" s="110">
        <f>SUM(X7,X23,X30)</f>
        <v>10821.609</v>
      </c>
      <c r="Y31" s="110"/>
      <c r="Z31" s="110">
        <f>SUM(Z7,Z23,Z30)</f>
        <v>10821.609</v>
      </c>
      <c r="AA31" s="110"/>
      <c r="AB31" s="110">
        <f>SUM(AB7,AB23,AB30)</f>
        <v>10821.609</v>
      </c>
      <c r="AC31" s="110"/>
    </row>
    <row r="32" spans="1:29" ht="18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4:6" ht="18" customHeight="1"/>
    <row r="50" spans="4:6" ht="18" customHeight="1"/>
    <row r="51" spans="4:6" ht="18" customHeight="1"/>
    <row r="52" spans="4:6" ht="18" customHeight="1">
      <c r="D52" s="79">
        <v>1</v>
      </c>
      <c r="F52" s="79">
        <v>1</v>
      </c>
    </row>
    <row r="53" spans="4:6" ht="18" customHeight="1">
      <c r="D53" s="79">
        <v>2</v>
      </c>
      <c r="F53" s="79">
        <v>2</v>
      </c>
    </row>
    <row r="54" spans="4:6" ht="18" customHeight="1">
      <c r="D54" s="79">
        <v>3</v>
      </c>
      <c r="F54" s="79">
        <v>3</v>
      </c>
    </row>
    <row r="55" spans="4:6" ht="18" customHeight="1">
      <c r="D55" s="79">
        <v>4</v>
      </c>
      <c r="F55" s="79">
        <v>4</v>
      </c>
    </row>
    <row r="56" spans="4:6" ht="18" customHeight="1">
      <c r="D56" s="79">
        <v>5</v>
      </c>
      <c r="F56" s="79">
        <v>5</v>
      </c>
    </row>
    <row r="57" spans="4:6" ht="18" customHeight="1">
      <c r="D57" s="79">
        <v>6</v>
      </c>
      <c r="F57" s="79">
        <v>6</v>
      </c>
    </row>
    <row r="58" spans="4:6" ht="18" customHeight="1">
      <c r="D58" s="79">
        <v>7</v>
      </c>
      <c r="F58" s="79">
        <v>7</v>
      </c>
    </row>
    <row r="59" spans="4:6" ht="18" customHeight="1">
      <c r="D59" s="79">
        <v>8</v>
      </c>
      <c r="F59" s="79">
        <v>8</v>
      </c>
    </row>
    <row r="60" spans="4:6" ht="18" customHeight="1">
      <c r="D60" s="79">
        <v>9</v>
      </c>
      <c r="F60" s="79">
        <v>9</v>
      </c>
    </row>
    <row r="61" spans="4:6" ht="18" customHeight="1">
      <c r="D61" s="79">
        <v>10</v>
      </c>
      <c r="F61" s="79">
        <v>10</v>
      </c>
    </row>
    <row r="62" spans="4:6" ht="18" customHeight="1">
      <c r="D62" s="79">
        <v>11</v>
      </c>
      <c r="F62" s="79">
        <v>11</v>
      </c>
    </row>
    <row r="63" spans="4:6" ht="18" customHeight="1">
      <c r="D63" s="79">
        <v>12</v>
      </c>
      <c r="F63" s="79">
        <v>12</v>
      </c>
    </row>
    <row r="64" spans="4:6" ht="18" customHeight="1">
      <c r="D64" s="79">
        <v>13</v>
      </c>
      <c r="F64" s="79">
        <v>13</v>
      </c>
    </row>
    <row r="65" spans="4:6" ht="18" customHeight="1">
      <c r="D65" s="79">
        <v>14</v>
      </c>
      <c r="F65" s="79">
        <v>14</v>
      </c>
    </row>
    <row r="66" spans="4:6" ht="18" customHeight="1">
      <c r="D66" s="79">
        <v>15</v>
      </c>
      <c r="F66" s="79">
        <v>15</v>
      </c>
    </row>
    <row r="67" spans="4:6" ht="18" customHeight="1">
      <c r="F67" s="79">
        <v>16</v>
      </c>
    </row>
    <row r="68" spans="4:6" ht="18" customHeight="1">
      <c r="F68" s="79">
        <v>17</v>
      </c>
    </row>
    <row r="69" spans="4:6" ht="18" customHeight="1">
      <c r="F69" s="79">
        <v>18</v>
      </c>
    </row>
    <row r="70" spans="4:6" ht="18" customHeight="1">
      <c r="F70" s="79">
        <v>19</v>
      </c>
    </row>
    <row r="71" spans="4:6" ht="18" customHeight="1">
      <c r="F71" s="79">
        <v>20</v>
      </c>
    </row>
    <row r="72" spans="4:6" ht="18" customHeight="1">
      <c r="F72" s="79">
        <v>21</v>
      </c>
    </row>
    <row r="73" spans="4:6" ht="18" customHeight="1">
      <c r="F73" s="79">
        <v>22</v>
      </c>
    </row>
    <row r="74" spans="4:6" ht="18" customHeight="1">
      <c r="F74" s="79">
        <v>23</v>
      </c>
    </row>
    <row r="75" spans="4:6" ht="18" customHeight="1">
      <c r="F75" s="79">
        <v>24</v>
      </c>
    </row>
    <row r="76" spans="4:6" ht="18" customHeight="1">
      <c r="F76" s="79">
        <v>25</v>
      </c>
    </row>
    <row r="77" spans="4:6" ht="18" customHeight="1">
      <c r="F77" s="79">
        <v>26</v>
      </c>
    </row>
    <row r="78" spans="4:6" ht="18" customHeight="1">
      <c r="F78" s="79">
        <v>27</v>
      </c>
    </row>
    <row r="79" spans="4:6" ht="18" customHeight="1">
      <c r="F79" s="79">
        <v>28</v>
      </c>
    </row>
    <row r="80" spans="4:6" ht="18" customHeight="1">
      <c r="F80" s="79">
        <v>29</v>
      </c>
    </row>
    <row r="81" spans="6:6" ht="18" customHeight="1">
      <c r="F81" s="79">
        <v>30</v>
      </c>
    </row>
    <row r="82" spans="6:6" ht="18" customHeight="1">
      <c r="F82" s="79">
        <v>31</v>
      </c>
    </row>
    <row r="83" spans="6:6" ht="18" customHeight="1"/>
    <row r="84" spans="6:6" ht="18" customHeight="1"/>
    <row r="85" spans="6:6" ht="18" customHeight="1"/>
    <row r="86" spans="6:6" ht="18" customHeight="1"/>
    <row r="87" spans="6:6" ht="18" customHeight="1"/>
    <row r="88" spans="6:6" ht="18" customHeight="1"/>
    <row r="89" spans="6:6" ht="18" customHeight="1"/>
    <row r="90" spans="6:6" ht="18" customHeight="1"/>
    <row r="91" spans="6:6" ht="18" customHeight="1"/>
    <row r="92" spans="6:6" ht="18" customHeight="1"/>
    <row r="93" spans="6:6" ht="18" customHeight="1"/>
    <row r="94" spans="6:6" ht="18" customHeight="1"/>
    <row r="95" spans="6:6" ht="18" customHeight="1"/>
    <row r="96" spans="6: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65">
    <mergeCell ref="A32:AC32"/>
    <mergeCell ref="N30:O30"/>
    <mergeCell ref="P30:Q30"/>
    <mergeCell ref="R30:S30"/>
    <mergeCell ref="T30:U30"/>
    <mergeCell ref="V30:W30"/>
    <mergeCell ref="X30:Y30"/>
    <mergeCell ref="Z30:AA30"/>
    <mergeCell ref="AB30:AC30"/>
    <mergeCell ref="A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24:A30"/>
    <mergeCell ref="B24:B26"/>
    <mergeCell ref="R28:S28"/>
    <mergeCell ref="T28:U28"/>
    <mergeCell ref="V28:W28"/>
    <mergeCell ref="X28:Y28"/>
    <mergeCell ref="Z28:AA28"/>
    <mergeCell ref="AB28:AC28"/>
    <mergeCell ref="C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L28:M28"/>
    <mergeCell ref="N28:O28"/>
    <mergeCell ref="P28:Q28"/>
    <mergeCell ref="R26:S26"/>
    <mergeCell ref="T26:U26"/>
    <mergeCell ref="V26:W26"/>
    <mergeCell ref="X26:Y26"/>
    <mergeCell ref="Z26:AA26"/>
    <mergeCell ref="AB26:AC26"/>
    <mergeCell ref="B27:B29"/>
    <mergeCell ref="C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C28:E28"/>
    <mergeCell ref="F28:G28"/>
    <mergeCell ref="H28:I28"/>
    <mergeCell ref="J28:K28"/>
    <mergeCell ref="R24:S24"/>
    <mergeCell ref="T24:U24"/>
    <mergeCell ref="V24:W24"/>
    <mergeCell ref="X24:Y24"/>
    <mergeCell ref="Z24:AA24"/>
    <mergeCell ref="AB24:AC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C24:E24"/>
    <mergeCell ref="F24:G24"/>
    <mergeCell ref="H24:I24"/>
    <mergeCell ref="J24:K24"/>
    <mergeCell ref="L24:M24"/>
    <mergeCell ref="N24:O24"/>
    <mergeCell ref="P24:Q24"/>
    <mergeCell ref="C26:E26"/>
    <mergeCell ref="F26:G26"/>
    <mergeCell ref="H26:I26"/>
    <mergeCell ref="J26:K26"/>
    <mergeCell ref="L26:M26"/>
    <mergeCell ref="N26:O26"/>
    <mergeCell ref="P26:Q26"/>
    <mergeCell ref="B30:E30"/>
    <mergeCell ref="F30:G30"/>
    <mergeCell ref="H30:I30"/>
    <mergeCell ref="J30:K30"/>
    <mergeCell ref="L30:M30"/>
    <mergeCell ref="V22:W22"/>
    <mergeCell ref="X22:Y22"/>
    <mergeCell ref="Z22:AA22"/>
    <mergeCell ref="AB22:AC22"/>
    <mergeCell ref="B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R20:S20"/>
    <mergeCell ref="T20:U20"/>
    <mergeCell ref="V20:W20"/>
    <mergeCell ref="X20:Y20"/>
    <mergeCell ref="Z20:AA20"/>
    <mergeCell ref="AB20:AC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T18:U18"/>
    <mergeCell ref="V18:W18"/>
    <mergeCell ref="X18:Y18"/>
    <mergeCell ref="Z18:AA18"/>
    <mergeCell ref="AB18:AC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T16:U16"/>
    <mergeCell ref="V16:W16"/>
    <mergeCell ref="X16:Y16"/>
    <mergeCell ref="Z16:AA16"/>
    <mergeCell ref="AB16:AC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C16:C21"/>
    <mergeCell ref="D16:E16"/>
    <mergeCell ref="F16:G16"/>
    <mergeCell ref="H16:I16"/>
    <mergeCell ref="J16:K16"/>
    <mergeCell ref="L16:M16"/>
    <mergeCell ref="N16:O16"/>
    <mergeCell ref="P16:Q16"/>
    <mergeCell ref="R16:S16"/>
    <mergeCell ref="D18:E18"/>
    <mergeCell ref="F18:G18"/>
    <mergeCell ref="H18:I18"/>
    <mergeCell ref="J18:K18"/>
    <mergeCell ref="L18:M18"/>
    <mergeCell ref="N18:O18"/>
    <mergeCell ref="P18:Q18"/>
    <mergeCell ref="R18:S18"/>
    <mergeCell ref="D20:E20"/>
    <mergeCell ref="F20:G20"/>
    <mergeCell ref="H20:I20"/>
    <mergeCell ref="J20:K20"/>
    <mergeCell ref="L20:M20"/>
    <mergeCell ref="N20:O20"/>
    <mergeCell ref="P20:Q20"/>
    <mergeCell ref="N14:O14"/>
    <mergeCell ref="P14:Q14"/>
    <mergeCell ref="R14:S14"/>
    <mergeCell ref="T14:U14"/>
    <mergeCell ref="V14:W14"/>
    <mergeCell ref="X14:Y14"/>
    <mergeCell ref="Z14:AA14"/>
    <mergeCell ref="AB14:AC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P12:Q12"/>
    <mergeCell ref="R12:S12"/>
    <mergeCell ref="T12:U12"/>
    <mergeCell ref="V12:W12"/>
    <mergeCell ref="X12:Y12"/>
    <mergeCell ref="Z12:AA12"/>
    <mergeCell ref="AB12:AC12"/>
    <mergeCell ref="B13:B22"/>
    <mergeCell ref="C13:C15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E14"/>
    <mergeCell ref="F14:G14"/>
    <mergeCell ref="P10:Q10"/>
    <mergeCell ref="R10:S10"/>
    <mergeCell ref="T10:U10"/>
    <mergeCell ref="V10:W10"/>
    <mergeCell ref="X10:Y10"/>
    <mergeCell ref="Z10:AA10"/>
    <mergeCell ref="AB10:AC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P8:Q8"/>
    <mergeCell ref="R8:S8"/>
    <mergeCell ref="T8:U8"/>
    <mergeCell ref="V8:W8"/>
    <mergeCell ref="X8:Y8"/>
    <mergeCell ref="Z8:AA8"/>
    <mergeCell ref="AB8:AC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8:A23"/>
    <mergeCell ref="B8:B12"/>
    <mergeCell ref="C8:C11"/>
    <mergeCell ref="D8:E8"/>
    <mergeCell ref="F8:G8"/>
    <mergeCell ref="H8:I8"/>
    <mergeCell ref="J8:K8"/>
    <mergeCell ref="L8:M8"/>
    <mergeCell ref="N8:O8"/>
    <mergeCell ref="D10:E10"/>
    <mergeCell ref="F10:G10"/>
    <mergeCell ref="H10:I10"/>
    <mergeCell ref="J10:K10"/>
    <mergeCell ref="L10:M10"/>
    <mergeCell ref="N10:O10"/>
    <mergeCell ref="C12:E12"/>
    <mergeCell ref="F12:G12"/>
    <mergeCell ref="H12:I12"/>
    <mergeCell ref="J12:K12"/>
    <mergeCell ref="L12:M12"/>
    <mergeCell ref="N12:O12"/>
    <mergeCell ref="H14:I14"/>
    <mergeCell ref="J14:K14"/>
    <mergeCell ref="L14:M14"/>
    <mergeCell ref="V7:W7"/>
    <mergeCell ref="X7:Y7"/>
    <mergeCell ref="Z7:AA7"/>
    <mergeCell ref="AB7:AC7"/>
    <mergeCell ref="A6:E6"/>
    <mergeCell ref="F6:G6"/>
    <mergeCell ref="H6:I6"/>
    <mergeCell ref="J6:K6"/>
    <mergeCell ref="L6:M6"/>
    <mergeCell ref="N6:O6"/>
    <mergeCell ref="P6:Q6"/>
    <mergeCell ref="A7:E7"/>
    <mergeCell ref="F7:G7"/>
    <mergeCell ref="H7:I7"/>
    <mergeCell ref="J7:K7"/>
    <mergeCell ref="L7:M7"/>
    <mergeCell ref="N7:O7"/>
    <mergeCell ref="P7:Q7"/>
    <mergeCell ref="R7:S7"/>
    <mergeCell ref="T7:U7"/>
    <mergeCell ref="R6:S6"/>
    <mergeCell ref="T6:U6"/>
    <mergeCell ref="A1:AC1"/>
    <mergeCell ref="D2:J2"/>
    <mergeCell ref="AA3:AC3"/>
    <mergeCell ref="A4:E4"/>
    <mergeCell ref="A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V6:W6"/>
    <mergeCell ref="X6:Y6"/>
    <mergeCell ref="Z6:AA6"/>
    <mergeCell ref="AB6:AC6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C1000"/>
  <sheetViews>
    <sheetView tabSelected="1" zoomScaleNormal="100" workbookViewId="0">
      <selection sqref="A1:AC1"/>
    </sheetView>
  </sheetViews>
  <sheetFormatPr defaultColWidth="8.7109375" defaultRowHeight="15"/>
  <cols>
    <col min="1" max="1" width="4.85546875" customWidth="1"/>
    <col min="2" max="2" width="3.7109375" customWidth="1"/>
    <col min="3" max="3" width="6.5703125" customWidth="1"/>
    <col min="5" max="5" width="6.140625" customWidth="1"/>
    <col min="6" max="6" width="6.5703125" customWidth="1"/>
    <col min="7" max="7" width="3.5703125" customWidth="1"/>
    <col min="8" max="8" width="6.5703125" customWidth="1"/>
    <col min="9" max="9" width="3.5703125" customWidth="1"/>
    <col min="10" max="10" width="6.5703125" customWidth="1"/>
    <col min="11" max="11" width="3.5703125" customWidth="1"/>
    <col min="12" max="12" width="6.5703125" customWidth="1"/>
    <col min="13" max="13" width="3.5703125" customWidth="1"/>
    <col min="14" max="14" width="6.5703125" customWidth="1"/>
    <col min="15" max="15" width="3.5703125" customWidth="1"/>
    <col min="16" max="16" width="6.5703125" customWidth="1"/>
    <col min="17" max="17" width="3.5703125" customWidth="1"/>
    <col min="18" max="18" width="6.5703125" customWidth="1"/>
    <col min="19" max="19" width="3.5703125" customWidth="1"/>
    <col min="20" max="20" width="6.5703125" customWidth="1"/>
    <col min="21" max="21" width="3.5703125" customWidth="1"/>
    <col min="22" max="22" width="6.5703125" customWidth="1"/>
    <col min="23" max="23" width="3.5703125" customWidth="1"/>
    <col min="24" max="24" width="6.5703125" customWidth="1"/>
    <col min="25" max="25" width="3.5703125" customWidth="1"/>
    <col min="26" max="26" width="6.5703125" customWidth="1"/>
    <col min="27" max="27" width="3.42578125" customWidth="1"/>
    <col min="28" max="28" width="6.5703125" customWidth="1"/>
    <col min="29" max="29" width="3.5703125" customWidth="1"/>
  </cols>
  <sheetData>
    <row r="1" spans="1:29" ht="33" customHeight="1">
      <c r="A1" s="102" t="s">
        <v>271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spans="1:29" ht="18" customHeight="1">
      <c r="A2" s="65" t="s">
        <v>272</v>
      </c>
      <c r="B2" s="65"/>
      <c r="C2" s="65"/>
      <c r="D2" s="103" t="s">
        <v>305</v>
      </c>
      <c r="E2" s="103"/>
      <c r="F2" s="103"/>
      <c r="G2" s="103"/>
      <c r="H2" s="103"/>
      <c r="I2" s="103"/>
      <c r="J2" s="103"/>
      <c r="K2" s="66"/>
      <c r="L2" s="66"/>
      <c r="M2" s="66"/>
      <c r="N2" s="66"/>
      <c r="O2" s="67"/>
      <c r="P2" s="67"/>
      <c r="Q2" s="67"/>
      <c r="R2" s="67"/>
      <c r="S2" s="67"/>
      <c r="T2" s="68" t="s">
        <v>273</v>
      </c>
      <c r="U2" s="68" t="s">
        <v>274</v>
      </c>
      <c r="X2" s="69">
        <v>8</v>
      </c>
      <c r="Y2" s="68" t="s">
        <v>275</v>
      </c>
      <c r="Z2" s="69">
        <v>4</v>
      </c>
      <c r="AA2" s="70" t="s">
        <v>21</v>
      </c>
      <c r="AB2" s="69">
        <v>3</v>
      </c>
      <c r="AC2" s="68" t="s">
        <v>237</v>
      </c>
    </row>
    <row r="3" spans="1:29" ht="18" customHeight="1">
      <c r="A3" s="71"/>
      <c r="B3" s="71"/>
      <c r="C3" s="71"/>
      <c r="D3" s="71"/>
      <c r="E3" s="71"/>
      <c r="F3" s="66"/>
      <c r="G3" s="66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3"/>
      <c r="V3" s="72"/>
      <c r="W3" s="72"/>
      <c r="X3" s="72"/>
      <c r="Y3" s="72"/>
      <c r="Z3" s="72"/>
      <c r="AA3" s="104" t="s">
        <v>276</v>
      </c>
      <c r="AB3" s="104"/>
      <c r="AC3" s="104"/>
    </row>
    <row r="4" spans="1:29" ht="28.5" customHeight="1">
      <c r="A4" s="105"/>
      <c r="B4" s="105"/>
      <c r="C4" s="105"/>
      <c r="D4" s="105"/>
      <c r="E4" s="105"/>
      <c r="F4" s="74">
        <v>5</v>
      </c>
      <c r="G4" s="75" t="s">
        <v>21</v>
      </c>
      <c r="H4" s="74">
        <v>6</v>
      </c>
      <c r="I4" s="75" t="s">
        <v>21</v>
      </c>
      <c r="J4" s="74">
        <v>7</v>
      </c>
      <c r="K4" s="75" t="s">
        <v>21</v>
      </c>
      <c r="L4" s="76">
        <v>8</v>
      </c>
      <c r="M4" s="75" t="s">
        <v>21</v>
      </c>
      <c r="N4" s="76">
        <v>9</v>
      </c>
      <c r="O4" s="75" t="s">
        <v>21</v>
      </c>
      <c r="P4" s="76">
        <v>10</v>
      </c>
      <c r="Q4" s="75" t="s">
        <v>21</v>
      </c>
      <c r="R4" s="76">
        <v>11</v>
      </c>
      <c r="S4" s="75" t="s">
        <v>21</v>
      </c>
      <c r="T4" s="76">
        <v>12</v>
      </c>
      <c r="U4" s="75" t="s">
        <v>21</v>
      </c>
      <c r="V4" s="76">
        <v>1</v>
      </c>
      <c r="W4" s="75" t="s">
        <v>21</v>
      </c>
      <c r="X4" s="76">
        <v>2</v>
      </c>
      <c r="Y4" s="75" t="s">
        <v>21</v>
      </c>
      <c r="Z4" s="76">
        <v>3</v>
      </c>
      <c r="AA4" s="75" t="s">
        <v>21</v>
      </c>
      <c r="AB4" s="77">
        <v>4</v>
      </c>
      <c r="AC4" s="78" t="s">
        <v>21</v>
      </c>
    </row>
    <row r="5" spans="1:29" ht="15.75" customHeight="1">
      <c r="A5" s="106" t="s">
        <v>277</v>
      </c>
      <c r="B5" s="106"/>
      <c r="C5" s="106"/>
      <c r="D5" s="106"/>
      <c r="E5" s="106"/>
      <c r="F5" s="107">
        <f>SUM(F8:F11)</f>
        <v>0</v>
      </c>
      <c r="G5" s="107"/>
      <c r="H5" s="107">
        <f>SUM(H8:H11)</f>
        <v>0</v>
      </c>
      <c r="I5" s="107"/>
      <c r="J5" s="107">
        <f>SUM(J8:J11)</f>
        <v>0</v>
      </c>
      <c r="K5" s="107"/>
      <c r="L5" s="107">
        <f>SUM(L8:L11)</f>
        <v>0</v>
      </c>
      <c r="M5" s="107"/>
      <c r="N5" s="107">
        <f>SUM(N8:N11)</f>
        <v>0</v>
      </c>
      <c r="O5" s="107"/>
      <c r="P5" s="107">
        <f>SUM(P8:P11)</f>
        <v>0</v>
      </c>
      <c r="Q5" s="107"/>
      <c r="R5" s="107">
        <f>SUM(R8:R11)</f>
        <v>0</v>
      </c>
      <c r="S5" s="107"/>
      <c r="T5" s="107">
        <f>SUM(T8:T11)</f>
        <v>0</v>
      </c>
      <c r="U5" s="107"/>
      <c r="V5" s="107">
        <f>SUM(V8:V11)</f>
        <v>0</v>
      </c>
      <c r="W5" s="107"/>
      <c r="X5" s="107">
        <f>SUM(X8:X11)</f>
        <v>0</v>
      </c>
      <c r="Y5" s="107"/>
      <c r="Z5" s="107">
        <f>SUM(Z8:Z11)</f>
        <v>0</v>
      </c>
      <c r="AA5" s="107"/>
      <c r="AB5" s="137">
        <f>SUM(AB8:AB11)</f>
        <v>0</v>
      </c>
      <c r="AC5" s="137"/>
    </row>
    <row r="6" spans="1:29" ht="15.75" customHeight="1">
      <c r="A6" s="112" t="s">
        <v>278</v>
      </c>
      <c r="B6" s="112"/>
      <c r="C6" s="112"/>
      <c r="D6" s="112"/>
      <c r="E6" s="112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38"/>
      <c r="Y6" s="138"/>
      <c r="Z6" s="101"/>
      <c r="AA6" s="101"/>
      <c r="AB6" s="139"/>
      <c r="AC6" s="139"/>
    </row>
    <row r="7" spans="1:29" ht="15.75" customHeight="1">
      <c r="A7" s="108" t="s">
        <v>279</v>
      </c>
      <c r="B7" s="108"/>
      <c r="C7" s="108"/>
      <c r="D7" s="108"/>
      <c r="E7" s="108"/>
      <c r="F7" s="109">
        <v>0</v>
      </c>
      <c r="G7" s="109"/>
      <c r="H7" s="110">
        <f>F31</f>
        <v>0</v>
      </c>
      <c r="I7" s="110"/>
      <c r="J7" s="110">
        <f>H31</f>
        <v>0</v>
      </c>
      <c r="K7" s="110"/>
      <c r="L7" s="110">
        <f>J31</f>
        <v>0</v>
      </c>
      <c r="M7" s="110"/>
      <c r="N7" s="110">
        <f>L31</f>
        <v>0</v>
      </c>
      <c r="O7" s="110"/>
      <c r="P7" s="110">
        <f>N31</f>
        <v>0</v>
      </c>
      <c r="Q7" s="110"/>
      <c r="R7" s="110">
        <f>P31</f>
        <v>0</v>
      </c>
      <c r="S7" s="110"/>
      <c r="T7" s="110">
        <f>R31</f>
        <v>0</v>
      </c>
      <c r="U7" s="110"/>
      <c r="V7" s="110">
        <f>T31</f>
        <v>0</v>
      </c>
      <c r="W7" s="110"/>
      <c r="X7" s="110">
        <f>V31</f>
        <v>0</v>
      </c>
      <c r="Y7" s="110"/>
      <c r="Z7" s="110">
        <f>X31</f>
        <v>0</v>
      </c>
      <c r="AA7" s="110"/>
      <c r="AB7" s="111">
        <f>Z31</f>
        <v>0</v>
      </c>
      <c r="AC7" s="111"/>
    </row>
    <row r="8" spans="1:29" ht="15.75" customHeight="1">
      <c r="A8" s="113" t="s">
        <v>280</v>
      </c>
      <c r="B8" s="114" t="s">
        <v>281</v>
      </c>
      <c r="C8" s="115" t="s">
        <v>282</v>
      </c>
      <c r="D8" s="116" t="s">
        <v>125</v>
      </c>
      <c r="E8" s="116"/>
      <c r="F8" s="117">
        <f>(SUMIFS(入金入力_ザック!$D$4:$D$103,入金入力_ザック!$A$4:$A$103,"&gt;="&amp;DATE(2026,5,1),入金入力_ザック!$A$4:$A$103,"&lt;="&amp;DATE(2026,5,31),入金入力_ザック!$C$4:$C$103,"現金売上"))/1000</f>
        <v>0</v>
      </c>
      <c r="G8" s="117"/>
      <c r="H8" s="117">
        <f>(SUMIFS(入金入力_ザック!$D$4:$D$103,入金入力_ザック!$A$4:$A$103,"&gt;="&amp;DATE(2026,6,1),入金入力_ザック!$A$4:$A$103,"&lt;="&amp;DATE(2026,6,30),入金入力_ザック!$C$4:$C$103,"現金売上"))/1000</f>
        <v>0</v>
      </c>
      <c r="I8" s="117"/>
      <c r="J8" s="117">
        <f>(SUMIFS(入金入力_ザック!$D$4:$D$103,入金入力_ザック!$A$4:$A$103,"&gt;="&amp;DATE(2026,7,1),入金入力_ザック!$A$4:$A$103,"&lt;="&amp;DATE(2026,7,31),入金入力_ザック!$C$4:$C$103,"現金売上"))/1000</f>
        <v>0</v>
      </c>
      <c r="K8" s="117"/>
      <c r="L8" s="117">
        <f>(SUMIFS(入金入力_ザック!$D$4:$D$103,入金入力_ザック!$A$4:$A$103,"&gt;="&amp;DATE(2026,8,1),入金入力_ザック!$A$4:$A$103,"&lt;="&amp;DATE(2026,8,31),入金入力_ザック!$C$4:$C$103,"現金売上"))/1000</f>
        <v>0</v>
      </c>
      <c r="M8" s="117"/>
      <c r="N8" s="118"/>
      <c r="O8" s="118"/>
      <c r="P8" s="118"/>
      <c r="Q8" s="118"/>
      <c r="R8" s="117"/>
      <c r="S8" s="117"/>
      <c r="T8" s="117"/>
      <c r="U8" s="117"/>
      <c r="V8" s="117"/>
      <c r="W8" s="117"/>
      <c r="X8" s="117"/>
      <c r="Y8" s="117"/>
      <c r="Z8" s="118"/>
      <c r="AA8" s="118"/>
      <c r="AB8" s="140"/>
      <c r="AC8" s="140"/>
    </row>
    <row r="9" spans="1:29" ht="15.75" customHeight="1">
      <c r="A9" s="113"/>
      <c r="B9" s="114"/>
      <c r="C9" s="115"/>
      <c r="D9" s="119" t="s">
        <v>283</v>
      </c>
      <c r="E9" s="119"/>
      <c r="F9" s="120">
        <f>(SUMIFS(入金入力_ザック!$D$4:$D$103,入金入力_ザック!$A$4:$A$103,"&gt;="&amp;DATE(2026,5,1),入金入力_ザック!$A$4:$A$103,"&lt;="&amp;DATE(2026,5,31),入金入力_ザック!$C$4:$C$103,"売掛金回収"))/1000</f>
        <v>0</v>
      </c>
      <c r="G9" s="120"/>
      <c r="H9" s="120">
        <f>(SUMIFS(入金入力_ザック!$D$4:$D$103,入金入力_ザック!$A$4:$A$103,"&gt;="&amp;DATE(2026,6,1),入金入力_ザック!$A$4:$A$103,"&lt;="&amp;DATE(2026,6,30),入金入力_ザック!$C$4:$C$103,"売掛金回収"))/1000</f>
        <v>0</v>
      </c>
      <c r="I9" s="120"/>
      <c r="J9" s="120">
        <f>(SUMIFS(入金入力_ザック!$D$4:$D$103,入金入力_ザック!$A$4:$A$103,"&gt;="&amp;DATE(2026,7,1),入金入力_ザック!$A$4:$A$103,"&lt;="&amp;DATE(2026,7,31),入金入力_ザック!$C$4:$C$103,"売掛金回収"))/1000</f>
        <v>0</v>
      </c>
      <c r="K9" s="120"/>
      <c r="L9" s="120">
        <f>(SUMIFS(入金入力_ザック!$D$4:$D$103,入金入力_ザック!$A$4:$A$103,"&gt;="&amp;DATE(2026,8,1),入金入力_ザック!$A$4:$A$103,"&lt;="&amp;DATE(2026,8,31),入金入力_ザック!$C$4:$C$103,"売掛金回収"))/1000</f>
        <v>0</v>
      </c>
      <c r="M9" s="120"/>
      <c r="N9" s="121"/>
      <c r="O9" s="121"/>
      <c r="P9" s="121"/>
      <c r="Q9" s="121"/>
      <c r="R9" s="120"/>
      <c r="S9" s="120"/>
      <c r="T9" s="120"/>
      <c r="U9" s="120"/>
      <c r="V9" s="120"/>
      <c r="W9" s="120"/>
      <c r="X9" s="120"/>
      <c r="Y9" s="120"/>
      <c r="Z9" s="121"/>
      <c r="AA9" s="121"/>
      <c r="AB9" s="124"/>
      <c r="AC9" s="124"/>
    </row>
    <row r="10" spans="1:29" ht="15.75" customHeight="1">
      <c r="A10" s="113"/>
      <c r="B10" s="114"/>
      <c r="C10" s="115"/>
      <c r="D10" s="119" t="s">
        <v>284</v>
      </c>
      <c r="E10" s="119"/>
      <c r="F10" s="120">
        <f>(SUMIFS(入金入力_ザック!$D$4:$D$103,入金入力_ザック!$A$4:$A$103,"&gt;="&amp;DATE(2026,5,1),入金入力_ザック!$A$4:$A$103,"&lt;="&amp;DATE(2026,5,31),入金入力_ザック!$C$4:$C$103,"手形入金"))/1000</f>
        <v>0</v>
      </c>
      <c r="G10" s="120"/>
      <c r="H10" s="120">
        <f>(SUMIFS(入金入力_ザック!$D$4:$D$103,入金入力_ザック!$A$4:$A$103,"&gt;="&amp;DATE(2026,6,1),入金入力_ザック!$A$4:$A$103,"&lt;="&amp;DATE(2026,6,30),入金入力_ザック!$C$4:$C$103,"手形入金"))/1000</f>
        <v>0</v>
      </c>
      <c r="I10" s="120"/>
      <c r="J10" s="120">
        <f>(SUMIFS(入金入力_ザック!$D$4:$D$103,入金入力_ザック!$A$4:$A$103,"&gt;="&amp;DATE(2026,7,1),入金入力_ザック!$A$4:$A$103,"&lt;="&amp;DATE(2026,7,31),入金入力_ザック!$C$4:$C$103,"手形入金"))/1000</f>
        <v>0</v>
      </c>
      <c r="K10" s="120"/>
      <c r="L10" s="120">
        <f>(SUMIFS(入金入力_ザック!$D$4:$D$103,入金入力_ザック!$A$4:$A$103,"&gt;="&amp;DATE(2026,8,1),入金入力_ザック!$A$4:$A$103,"&lt;="&amp;DATE(2026,8,31),入金入力_ザック!$C$4:$C$103,"手形入金"))/1000</f>
        <v>0</v>
      </c>
      <c r="M10" s="120"/>
      <c r="N10" s="121"/>
      <c r="O10" s="121"/>
      <c r="P10" s="121"/>
      <c r="Q10" s="121"/>
      <c r="R10" s="120"/>
      <c r="S10" s="120"/>
      <c r="T10" s="120"/>
      <c r="U10" s="120"/>
      <c r="V10" s="120"/>
      <c r="W10" s="120"/>
      <c r="X10" s="120"/>
      <c r="Y10" s="120"/>
      <c r="Z10" s="121"/>
      <c r="AA10" s="121"/>
      <c r="AB10" s="124"/>
      <c r="AC10" s="124"/>
    </row>
    <row r="11" spans="1:29" ht="15.75" customHeight="1">
      <c r="A11" s="113"/>
      <c r="B11" s="114"/>
      <c r="C11" s="115"/>
      <c r="D11" s="119" t="s">
        <v>285</v>
      </c>
      <c r="E11" s="119"/>
      <c r="F11" s="120">
        <f>(SUMIFS(入金入力_ザック!$D$4:$D$103,入金入力_ザック!$A$4:$A$103,"&gt;="&amp;DATE(2026,5,1),入金入力_ザック!$A$4:$A$103,"&lt;="&amp;DATE(2026,5,31),入金入力_ザック!$C$4:$C$103,"その他収入"))/1000</f>
        <v>0</v>
      </c>
      <c r="G11" s="120"/>
      <c r="H11" s="120">
        <f>(SUMIFS(入金入力_ザック!$D$4:$D$103,入金入力_ザック!$A$4:$A$103,"&gt;="&amp;DATE(2026,6,1),入金入力_ザック!$A$4:$A$103,"&lt;="&amp;DATE(2026,6,30),入金入力_ザック!$C$4:$C$103,"その他収入"))/1000</f>
        <v>0</v>
      </c>
      <c r="I11" s="120"/>
      <c r="J11" s="120">
        <f>(SUMIFS(入金入力_ザック!$D$4:$D$103,入金入力_ザック!$A$4:$A$103,"&gt;="&amp;DATE(2026,7,1),入金入力_ザック!$A$4:$A$103,"&lt;="&amp;DATE(2026,7,31),入金入力_ザック!$C$4:$C$103,"その他収入"))/1000</f>
        <v>0</v>
      </c>
      <c r="K11" s="120"/>
      <c r="L11" s="120">
        <f>(SUMIFS(入金入力_ザック!$D$4:$D$103,入金入力_ザック!$A$4:$A$103,"&gt;="&amp;DATE(2026,8,1),入金入力_ザック!$A$4:$A$103,"&lt;="&amp;DATE(2026,8,31),入金入力_ザック!$C$4:$C$103,"その他収入"))/1000</f>
        <v>0</v>
      </c>
      <c r="M11" s="120"/>
      <c r="N11" s="121"/>
      <c r="O11" s="121"/>
      <c r="P11" s="121"/>
      <c r="Q11" s="121"/>
      <c r="R11" s="120"/>
      <c r="S11" s="120"/>
      <c r="T11" s="120"/>
      <c r="U11" s="120"/>
      <c r="V11" s="120"/>
      <c r="W11" s="120"/>
      <c r="X11" s="120"/>
      <c r="Y11" s="120"/>
      <c r="Z11" s="121"/>
      <c r="AA11" s="121"/>
      <c r="AB11" s="124"/>
      <c r="AC11" s="124"/>
    </row>
    <row r="12" spans="1:29" ht="15.75" customHeight="1">
      <c r="A12" s="113"/>
      <c r="B12" s="114"/>
      <c r="C12" s="122" t="s">
        <v>286</v>
      </c>
      <c r="D12" s="122"/>
      <c r="E12" s="122"/>
      <c r="F12" s="123">
        <f>SUM(F8:F11)</f>
        <v>0</v>
      </c>
      <c r="G12" s="123"/>
      <c r="H12" s="123">
        <f>SUM(H8:H11)</f>
        <v>0</v>
      </c>
      <c r="I12" s="123"/>
      <c r="J12" s="123">
        <f>SUM(J8:J11)</f>
        <v>0</v>
      </c>
      <c r="K12" s="123"/>
      <c r="L12" s="123">
        <f>SUM(L8:L11)</f>
        <v>0</v>
      </c>
      <c r="M12" s="123"/>
      <c r="N12" s="123">
        <f>SUM(N8:N11)</f>
        <v>0</v>
      </c>
      <c r="O12" s="123"/>
      <c r="P12" s="123">
        <f>SUM(P8:P11)</f>
        <v>0</v>
      </c>
      <c r="Q12" s="123"/>
      <c r="R12" s="123">
        <f>SUM(R8:R11)</f>
        <v>0</v>
      </c>
      <c r="S12" s="123"/>
      <c r="T12" s="123">
        <f>SUM(T8:T11)</f>
        <v>0</v>
      </c>
      <c r="U12" s="123"/>
      <c r="V12" s="123">
        <f>SUM(V8:V11)</f>
        <v>0</v>
      </c>
      <c r="W12" s="123"/>
      <c r="X12" s="123">
        <f>SUM(X8:X11)</f>
        <v>0</v>
      </c>
      <c r="Y12" s="123"/>
      <c r="Z12" s="123">
        <f>SUM(Z8:Z11)</f>
        <v>0</v>
      </c>
      <c r="AA12" s="123"/>
      <c r="AB12" s="125">
        <f>SUM(AB8:AB11)</f>
        <v>0</v>
      </c>
      <c r="AC12" s="125"/>
    </row>
    <row r="13" spans="1:29" ht="15.75" customHeight="1">
      <c r="A13" s="113"/>
      <c r="B13" s="126" t="s">
        <v>287</v>
      </c>
      <c r="C13" s="127" t="s">
        <v>288</v>
      </c>
      <c r="D13" s="119" t="s">
        <v>289</v>
      </c>
      <c r="E13" s="119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4"/>
      <c r="AC13" s="124"/>
    </row>
    <row r="14" spans="1:29" ht="15.75" customHeight="1">
      <c r="A14" s="113"/>
      <c r="B14" s="126"/>
      <c r="C14" s="127"/>
      <c r="D14" s="119" t="s">
        <v>60</v>
      </c>
      <c r="E14" s="119"/>
      <c r="F14" s="120">
        <f>(SUMPRODUCT((未払一覧_ザック!$M$4:$M$103&gt;=DATE(2026,5,1))*(未払一覧_ザック!$M$4:$M$103&lt;=DATE(2026,5,31))*(IFERROR(VLOOKUP(未払一覧_ザック!$D$4:$D$103,マスター_勘定科目!$A$4:$B$30,2,FALSE()),"その他経費")="買掛金支払")*未払一覧_ザック!$N$4:$N$103))/1000</f>
        <v>0</v>
      </c>
      <c r="G14" s="120"/>
      <c r="H14" s="120">
        <f>(SUMPRODUCT((未払一覧_ザック!$M$4:$M$103&gt;=DATE(2026,6,1))*(未払一覧_ザック!$M$4:$M$103&lt;=DATE(2026,6,30))*(IFERROR(VLOOKUP(未払一覧_ザック!$D$4:$D$103,マスター_勘定科目!$A$4:$B$30,2,FALSE()),"その他経費")="買掛金支払")*未払一覧_ザック!$N$4:$N$103))/1000</f>
        <v>0</v>
      </c>
      <c r="I14" s="120"/>
      <c r="J14" s="120">
        <f>(SUMPRODUCT((未払一覧_ザック!$M$4:$M$103&gt;=DATE(2026,7,1))*(未払一覧_ザック!$M$4:$M$103&lt;=DATE(2026,7,31))*(IFERROR(VLOOKUP(未払一覧_ザック!$D$4:$D$103,マスター_勘定科目!$A$4:$B$30,2,FALSE()),"その他経費")="買掛金支払")*未払一覧_ザック!$N$4:$N$103))/1000</f>
        <v>0</v>
      </c>
      <c r="K14" s="120"/>
      <c r="L14" s="120">
        <f>(SUMPRODUCT((未払一覧_ザック!$M$4:$M$103&gt;=DATE(2026,8,1))*(未払一覧_ザック!$M$4:$M$103&lt;=DATE(2026,8,31))*(IFERROR(VLOOKUP(未払一覧_ザック!$D$4:$D$103,マスター_勘定科目!$A$4:$B$30,2,FALSE()),"その他経費")="買掛金支払")*未払一覧_ザック!$N$4:$N$103))/1000</f>
        <v>0</v>
      </c>
      <c r="M14" s="120"/>
      <c r="N14" s="121"/>
      <c r="O14" s="121"/>
      <c r="P14" s="121"/>
      <c r="Q14" s="121"/>
      <c r="R14" s="120"/>
      <c r="S14" s="120"/>
      <c r="T14" s="120"/>
      <c r="U14" s="120"/>
      <c r="V14" s="120"/>
      <c r="W14" s="120"/>
      <c r="X14" s="120"/>
      <c r="Y14" s="120"/>
      <c r="Z14" s="121"/>
      <c r="AA14" s="121"/>
      <c r="AB14" s="124"/>
      <c r="AC14" s="124"/>
    </row>
    <row r="15" spans="1:29" ht="15.75" customHeight="1">
      <c r="A15" s="113"/>
      <c r="B15" s="126"/>
      <c r="C15" s="127"/>
      <c r="D15" s="119" t="s">
        <v>290</v>
      </c>
      <c r="E15" s="119"/>
      <c r="F15" s="120">
        <f>(SUMPRODUCT((未払一覧_ザック!$M$4:$M$103&gt;=DATE(2026,5,1))*(未払一覧_ザック!$M$4:$M$103&lt;=DATE(2026,5,31))*(IFERROR(VLOOKUP(未払一覧_ザック!$D$4:$D$103,マスター_勘定科目!$A$4:$B$30,2,FALSE()),"その他経費")="手形決済")*未払一覧_ザック!$N$4:$N$103))/1000</f>
        <v>0</v>
      </c>
      <c r="G15" s="120"/>
      <c r="H15" s="120">
        <f>(SUMPRODUCT((未払一覧_ザック!$M$4:$M$103&gt;=DATE(2026,6,1))*(未払一覧_ザック!$M$4:$M$103&lt;=DATE(2026,6,30))*(IFERROR(VLOOKUP(未払一覧_ザック!$D$4:$D$103,マスター_勘定科目!$A$4:$B$30,2,FALSE()),"その他経費")="手形決済")*未払一覧_ザック!$N$4:$N$103))/1000</f>
        <v>0</v>
      </c>
      <c r="I15" s="120"/>
      <c r="J15" s="120">
        <f>(SUMPRODUCT((未払一覧_ザック!$M$4:$M$103&gt;=DATE(2026,7,1))*(未払一覧_ザック!$M$4:$M$103&lt;=DATE(2026,7,31))*(IFERROR(VLOOKUP(未払一覧_ザック!$D$4:$D$103,マスター_勘定科目!$A$4:$B$30,2,FALSE()),"その他経費")="手形決済")*未払一覧_ザック!$N$4:$N$103))/1000</f>
        <v>0</v>
      </c>
      <c r="K15" s="120"/>
      <c r="L15" s="120">
        <f>(SUMPRODUCT((未払一覧_ザック!$M$4:$M$103&gt;=DATE(2026,8,1))*(未払一覧_ザック!$M$4:$M$103&lt;=DATE(2026,8,31))*(IFERROR(VLOOKUP(未払一覧_ザック!$D$4:$D$103,マスター_勘定科目!$A$4:$B$30,2,FALSE()),"その他経費")="手形決済")*未払一覧_ザック!$N$4:$N$103))/1000</f>
        <v>0</v>
      </c>
      <c r="M15" s="120"/>
      <c r="N15" s="121"/>
      <c r="O15" s="121"/>
      <c r="P15" s="121"/>
      <c r="Q15" s="121"/>
      <c r="R15" s="120"/>
      <c r="S15" s="120"/>
      <c r="T15" s="120"/>
      <c r="U15" s="120"/>
      <c r="V15" s="120"/>
      <c r="W15" s="120"/>
      <c r="X15" s="120"/>
      <c r="Y15" s="120"/>
      <c r="Z15" s="121"/>
      <c r="AA15" s="121"/>
      <c r="AB15" s="124"/>
      <c r="AC15" s="124"/>
    </row>
    <row r="16" spans="1:29" ht="15.75" customHeight="1">
      <c r="A16" s="113"/>
      <c r="B16" s="126"/>
      <c r="C16" s="127" t="s">
        <v>291</v>
      </c>
      <c r="D16" s="119" t="s">
        <v>76</v>
      </c>
      <c r="E16" s="119"/>
      <c r="F16" s="120">
        <f>(SUMPRODUCT((未払一覧_ザック!$M$4:$M$103&gt;=DATE(2026,5,1))*(未払一覧_ザック!$M$4:$M$103&lt;=DATE(2026,5,31))*(IFERROR(VLOOKUP(未払一覧_ザック!$D$4:$D$103,マスター_勘定科目!$A$4:$B$30,2,FALSE()),"その他経費")="役員報酬")*未払一覧_ザック!$N$4:$N$103))/1000</f>
        <v>0</v>
      </c>
      <c r="G16" s="120"/>
      <c r="H16" s="120">
        <f>(SUMPRODUCT((未払一覧_ザック!$M$4:$M$103&gt;=DATE(2026,6,1))*(未払一覧_ザック!$M$4:$M$103&lt;=DATE(2026,6,30))*(IFERROR(VLOOKUP(未払一覧_ザック!$D$4:$D$103,マスター_勘定科目!$A$4:$B$30,2,FALSE()),"その他経費")="役員報酬")*未払一覧_ザック!$N$4:$N$103))/1000</f>
        <v>0</v>
      </c>
      <c r="I16" s="120"/>
      <c r="J16" s="120">
        <f>(SUMPRODUCT((未払一覧_ザック!$M$4:$M$103&gt;=DATE(2026,7,1))*(未払一覧_ザック!$M$4:$M$103&lt;=DATE(2026,7,31))*(IFERROR(VLOOKUP(未払一覧_ザック!$D$4:$D$103,マスター_勘定科目!$A$4:$B$30,2,FALSE()),"その他経費")="役員報酬")*未払一覧_ザック!$N$4:$N$103))/1000</f>
        <v>0</v>
      </c>
      <c r="K16" s="120"/>
      <c r="L16" s="120">
        <f>(SUMPRODUCT((未払一覧_ザック!$M$4:$M$103&gt;=DATE(2026,8,1))*(未払一覧_ザック!$M$4:$M$103&lt;=DATE(2026,8,31))*(IFERROR(VLOOKUP(未払一覧_ザック!$D$4:$D$103,マスター_勘定科目!$A$4:$B$30,2,FALSE()),"その他経費")="役員報酬")*未払一覧_ザック!$N$4:$N$103))/1000</f>
        <v>0</v>
      </c>
      <c r="M16" s="120"/>
      <c r="N16" s="121"/>
      <c r="O16" s="121"/>
      <c r="P16" s="121"/>
      <c r="Q16" s="121"/>
      <c r="R16" s="120"/>
      <c r="S16" s="120"/>
      <c r="T16" s="120"/>
      <c r="U16" s="120"/>
      <c r="V16" s="120"/>
      <c r="W16" s="120"/>
      <c r="X16" s="120"/>
      <c r="Y16" s="120"/>
      <c r="Z16" s="121"/>
      <c r="AA16" s="121"/>
      <c r="AB16" s="124"/>
      <c r="AC16" s="124"/>
    </row>
    <row r="17" spans="1:29" ht="15.75" customHeight="1">
      <c r="A17" s="113"/>
      <c r="B17" s="126"/>
      <c r="C17" s="127"/>
      <c r="D17" s="119" t="s">
        <v>77</v>
      </c>
      <c r="E17" s="119"/>
      <c r="F17" s="120">
        <f>(SUMPRODUCT((未払一覧_ザック!$M$4:$M$103&gt;=DATE(2026,5,1))*(未払一覧_ザック!$M$4:$M$103&lt;=DATE(2026,5,31))*(IFERROR(VLOOKUP(未払一覧_ザック!$D$4:$D$103,マスター_勘定科目!$A$4:$B$30,2,FALSE()),"その他経費")="従業員給与")*未払一覧_ザック!$N$4:$N$103))/1000</f>
        <v>0</v>
      </c>
      <c r="G17" s="120"/>
      <c r="H17" s="120">
        <f>(SUMPRODUCT((未払一覧_ザック!$M$4:$M$103&gt;=DATE(2026,6,1))*(未払一覧_ザック!$M$4:$M$103&lt;=DATE(2026,6,30))*(IFERROR(VLOOKUP(未払一覧_ザック!$D$4:$D$103,マスター_勘定科目!$A$4:$B$30,2,FALSE()),"その他経費")="従業員給与")*未払一覧_ザック!$N$4:$N$103))/1000</f>
        <v>0</v>
      </c>
      <c r="I17" s="120"/>
      <c r="J17" s="120">
        <f>(SUMPRODUCT((未払一覧_ザック!$M$4:$M$103&gt;=DATE(2026,7,1))*(未払一覧_ザック!$M$4:$M$103&lt;=DATE(2026,7,31))*(IFERROR(VLOOKUP(未払一覧_ザック!$D$4:$D$103,マスター_勘定科目!$A$4:$B$30,2,FALSE()),"その他経費")="従業員給与")*未払一覧_ザック!$N$4:$N$103))/1000</f>
        <v>0</v>
      </c>
      <c r="K17" s="120"/>
      <c r="L17" s="120">
        <f>(SUMPRODUCT((未払一覧_ザック!$M$4:$M$103&gt;=DATE(2026,8,1))*(未払一覧_ザック!$M$4:$M$103&lt;=DATE(2026,8,31))*(IFERROR(VLOOKUP(未払一覧_ザック!$D$4:$D$103,マスター_勘定科目!$A$4:$B$30,2,FALSE()),"その他経費")="従業員給与")*未払一覧_ザック!$N$4:$N$103))/1000</f>
        <v>0</v>
      </c>
      <c r="M17" s="120"/>
      <c r="N17" s="121"/>
      <c r="O17" s="121"/>
      <c r="P17" s="121"/>
      <c r="Q17" s="121"/>
      <c r="R17" s="120"/>
      <c r="S17" s="120"/>
      <c r="T17" s="120"/>
      <c r="U17" s="120"/>
      <c r="V17" s="120"/>
      <c r="W17" s="120"/>
      <c r="X17" s="120"/>
      <c r="Y17" s="120"/>
      <c r="Z17" s="121"/>
      <c r="AA17" s="121"/>
      <c r="AB17" s="124"/>
      <c r="AC17" s="124"/>
    </row>
    <row r="18" spans="1:29" ht="15.75" customHeight="1">
      <c r="A18" s="113"/>
      <c r="B18" s="126"/>
      <c r="C18" s="127"/>
      <c r="D18" s="119" t="s">
        <v>78</v>
      </c>
      <c r="E18" s="119"/>
      <c r="F18" s="120">
        <f>(SUMPRODUCT((未払一覧_ザック!$M$4:$M$103&gt;=DATE(2026,5,1))*(未払一覧_ザック!$M$4:$M$103&lt;=DATE(2026,5,31))*(IFERROR(VLOOKUP(未払一覧_ザック!$D$4:$D$103,マスター_勘定科目!$A$4:$B$30,2,FALSE()),"その他経費")="地代家賃")*未払一覧_ザック!$N$4:$N$103))/1000</f>
        <v>0</v>
      </c>
      <c r="G18" s="120"/>
      <c r="H18" s="120">
        <f>(SUMPRODUCT((未払一覧_ザック!$M$4:$M$103&gt;=DATE(2026,6,1))*(未払一覧_ザック!$M$4:$M$103&lt;=DATE(2026,6,30))*(IFERROR(VLOOKUP(未払一覧_ザック!$D$4:$D$103,マスター_勘定科目!$A$4:$B$30,2,FALSE()),"その他経費")="地代家賃")*未払一覧_ザック!$N$4:$N$103))/1000</f>
        <v>0</v>
      </c>
      <c r="I18" s="120"/>
      <c r="J18" s="120">
        <f>(SUMPRODUCT((未払一覧_ザック!$M$4:$M$103&gt;=DATE(2026,7,1))*(未払一覧_ザック!$M$4:$M$103&lt;=DATE(2026,7,31))*(IFERROR(VLOOKUP(未払一覧_ザック!$D$4:$D$103,マスター_勘定科目!$A$4:$B$30,2,FALSE()),"その他経費")="地代家賃")*未払一覧_ザック!$N$4:$N$103))/1000</f>
        <v>0</v>
      </c>
      <c r="K18" s="120"/>
      <c r="L18" s="120">
        <f>(SUMPRODUCT((未払一覧_ザック!$M$4:$M$103&gt;=DATE(2026,8,1))*(未払一覧_ザック!$M$4:$M$103&lt;=DATE(2026,8,31))*(IFERROR(VLOOKUP(未払一覧_ザック!$D$4:$D$103,マスター_勘定科目!$A$4:$B$30,2,FALSE()),"その他経費")="地代家賃")*未払一覧_ザック!$N$4:$N$103))/1000</f>
        <v>0</v>
      </c>
      <c r="M18" s="120"/>
      <c r="N18" s="121"/>
      <c r="O18" s="121"/>
      <c r="P18" s="121"/>
      <c r="Q18" s="121"/>
      <c r="R18" s="120"/>
      <c r="S18" s="120"/>
      <c r="T18" s="120"/>
      <c r="U18" s="120"/>
      <c r="V18" s="120"/>
      <c r="W18" s="120"/>
      <c r="X18" s="120"/>
      <c r="Y18" s="120"/>
      <c r="Z18" s="121"/>
      <c r="AA18" s="121"/>
      <c r="AB18" s="124"/>
      <c r="AC18" s="124"/>
    </row>
    <row r="19" spans="1:29" ht="15.75" customHeight="1">
      <c r="A19" s="113"/>
      <c r="B19" s="126"/>
      <c r="C19" s="127"/>
      <c r="D19" s="119" t="s">
        <v>79</v>
      </c>
      <c r="E19" s="119"/>
      <c r="F19" s="120">
        <f>(SUMPRODUCT((未払一覧_ザック!$M$4:$M$103&gt;=DATE(2026,5,1))*(未払一覧_ザック!$M$4:$M$103&lt;=DATE(2026,5,31))*(IFERROR(VLOOKUP(未払一覧_ザック!$D$4:$D$103,マスター_勘定科目!$A$4:$B$30,2,FALSE()),"その他経費")="支払利息")*未払一覧_ザック!$N$4:$N$103))/1000</f>
        <v>0</v>
      </c>
      <c r="G19" s="120"/>
      <c r="H19" s="120">
        <f>(SUMPRODUCT((未払一覧_ザック!$M$4:$M$103&gt;=DATE(2026,6,1))*(未払一覧_ザック!$M$4:$M$103&lt;=DATE(2026,6,30))*(IFERROR(VLOOKUP(未払一覧_ザック!$D$4:$D$103,マスター_勘定科目!$A$4:$B$30,2,FALSE()),"その他経費")="支払利息")*未払一覧_ザック!$N$4:$N$103))/1000</f>
        <v>0</v>
      </c>
      <c r="I19" s="120"/>
      <c r="J19" s="120">
        <f>(SUMPRODUCT((未払一覧_ザック!$M$4:$M$103&gt;=DATE(2026,7,1))*(未払一覧_ザック!$M$4:$M$103&lt;=DATE(2026,7,31))*(IFERROR(VLOOKUP(未払一覧_ザック!$D$4:$D$103,マスター_勘定科目!$A$4:$B$30,2,FALSE()),"その他経費")="支払利息")*未払一覧_ザック!$N$4:$N$103))/1000</f>
        <v>0</v>
      </c>
      <c r="K19" s="120"/>
      <c r="L19" s="120">
        <f>(SUMPRODUCT((未払一覧_ザック!$M$4:$M$103&gt;=DATE(2026,8,1))*(未払一覧_ザック!$M$4:$M$103&lt;=DATE(2026,8,31))*(IFERROR(VLOOKUP(未払一覧_ザック!$D$4:$D$103,マスター_勘定科目!$A$4:$B$30,2,FALSE()),"その他経費")="支払利息")*未払一覧_ザック!$N$4:$N$103))/1000</f>
        <v>0</v>
      </c>
      <c r="M19" s="120"/>
      <c r="N19" s="121"/>
      <c r="O19" s="121"/>
      <c r="P19" s="121"/>
      <c r="Q19" s="121"/>
      <c r="R19" s="120"/>
      <c r="S19" s="120"/>
      <c r="T19" s="120"/>
      <c r="U19" s="120"/>
      <c r="V19" s="120"/>
      <c r="W19" s="120"/>
      <c r="X19" s="120"/>
      <c r="Y19" s="120"/>
      <c r="Z19" s="121"/>
      <c r="AA19" s="121"/>
      <c r="AB19" s="121"/>
      <c r="AC19" s="121"/>
    </row>
    <row r="20" spans="1:29" ht="15.75" customHeight="1">
      <c r="A20" s="113"/>
      <c r="B20" s="126"/>
      <c r="C20" s="127"/>
      <c r="D20" s="119" t="s">
        <v>70</v>
      </c>
      <c r="E20" s="119"/>
      <c r="F20" s="120">
        <f>(SUMPRODUCT((未払一覧_ザック!$M$4:$M$103&gt;=DATE(2026,5,1))*(未払一覧_ザック!$M$4:$M$103&lt;=DATE(2026,5,31))*(IFERROR(VLOOKUP(未払一覧_ザック!$D$4:$D$103,マスター_勘定科目!$A$4:$B$30,2,FALSE()),"その他経費")="税金・社会保険料")*未払一覧_ザック!$N$4:$N$103))/1000</f>
        <v>0</v>
      </c>
      <c r="G20" s="120"/>
      <c r="H20" s="120">
        <f>(SUMPRODUCT((未払一覧_ザック!$M$4:$M$103&gt;=DATE(2026,6,1))*(未払一覧_ザック!$M$4:$M$103&lt;=DATE(2026,6,30))*(IFERROR(VLOOKUP(未払一覧_ザック!$D$4:$D$103,マスター_勘定科目!$A$4:$B$30,2,FALSE()),"その他経費")="税金・社会保険料")*未払一覧_ザック!$N$4:$N$103))/1000</f>
        <v>0</v>
      </c>
      <c r="I20" s="120"/>
      <c r="J20" s="120">
        <f>(SUMPRODUCT((未払一覧_ザック!$M$4:$M$103&gt;=DATE(2026,7,1))*(未払一覧_ザック!$M$4:$M$103&lt;=DATE(2026,7,31))*(IFERROR(VLOOKUP(未払一覧_ザック!$D$4:$D$103,マスター_勘定科目!$A$4:$B$30,2,FALSE()),"その他経費")="税金・社会保険料")*未払一覧_ザック!$N$4:$N$103))/1000</f>
        <v>0</v>
      </c>
      <c r="K20" s="120"/>
      <c r="L20" s="120">
        <f>(SUMPRODUCT((未払一覧_ザック!$M$4:$M$103&gt;=DATE(2026,8,1))*(未払一覧_ザック!$M$4:$M$103&lt;=DATE(2026,8,31))*(IFERROR(VLOOKUP(未払一覧_ザック!$D$4:$D$103,マスター_勘定科目!$A$4:$B$30,2,FALSE()),"その他経費")="税金・社会保険料")*未払一覧_ザック!$N$4:$N$103))/1000</f>
        <v>0</v>
      </c>
      <c r="M20" s="120"/>
      <c r="N20" s="121"/>
      <c r="O20" s="121"/>
      <c r="P20" s="121"/>
      <c r="Q20" s="121"/>
      <c r="R20" s="120"/>
      <c r="S20" s="120"/>
      <c r="T20" s="120"/>
      <c r="U20" s="120"/>
      <c r="V20" s="120"/>
      <c r="W20" s="120"/>
      <c r="X20" s="120"/>
      <c r="Y20" s="120"/>
      <c r="Z20" s="121"/>
      <c r="AA20" s="121"/>
      <c r="AB20" s="121"/>
      <c r="AC20" s="121"/>
    </row>
    <row r="21" spans="1:29" ht="15.75" customHeight="1">
      <c r="A21" s="113"/>
      <c r="B21" s="126"/>
      <c r="C21" s="127"/>
      <c r="D21" s="119" t="s">
        <v>72</v>
      </c>
      <c r="E21" s="119"/>
      <c r="F21" s="120">
        <f>(SUMPRODUCT((未払一覧_ザック!$M$4:$M$103&gt;=DATE(2026,5,1))*(未払一覧_ザック!$M$4:$M$103&lt;=DATE(2026,5,31))*(IFERROR(VLOOKUP(未払一覧_ザック!$D$4:$D$103,マスター_勘定科目!$A$4:$B$30,2,FALSE()),"その他経費")="その他経費")*未払一覧_ザック!$N$4:$N$103))/1000</f>
        <v>0</v>
      </c>
      <c r="G21" s="120"/>
      <c r="H21" s="120">
        <f>(SUMPRODUCT((未払一覧_ザック!$M$4:$M$103&gt;=DATE(2026,6,1))*(未払一覧_ザック!$M$4:$M$103&lt;=DATE(2026,6,30))*(IFERROR(VLOOKUP(未払一覧_ザック!$D$4:$D$103,マスター_勘定科目!$A$4:$B$30,2,FALSE()),"その他経費")="その他経費")*未払一覧_ザック!$N$4:$N$103))/1000</f>
        <v>0</v>
      </c>
      <c r="I21" s="120"/>
      <c r="J21" s="120">
        <f>(SUMPRODUCT((未払一覧_ザック!$M$4:$M$103&gt;=DATE(2026,7,1))*(未払一覧_ザック!$M$4:$M$103&lt;=DATE(2026,7,31))*(IFERROR(VLOOKUP(未払一覧_ザック!$D$4:$D$103,マスター_勘定科目!$A$4:$B$30,2,FALSE()),"その他経費")="その他経費")*未払一覧_ザック!$N$4:$N$103))/1000</f>
        <v>0</v>
      </c>
      <c r="K21" s="120"/>
      <c r="L21" s="120">
        <f>(SUMPRODUCT((未払一覧_ザック!$M$4:$M$103&gt;=DATE(2026,8,1))*(未払一覧_ザック!$M$4:$M$103&lt;=DATE(2026,8,31))*(IFERROR(VLOOKUP(未払一覧_ザック!$D$4:$D$103,マスター_勘定科目!$A$4:$B$30,2,FALSE()),"その他経費")="その他経費")*未払一覧_ザック!$N$4:$N$103))/1000</f>
        <v>0</v>
      </c>
      <c r="M21" s="120"/>
      <c r="N21" s="121"/>
      <c r="O21" s="121"/>
      <c r="P21" s="121"/>
      <c r="Q21" s="121"/>
      <c r="R21" s="120"/>
      <c r="S21" s="120"/>
      <c r="T21" s="120"/>
      <c r="U21" s="120"/>
      <c r="V21" s="120"/>
      <c r="W21" s="120"/>
      <c r="X21" s="120"/>
      <c r="Y21" s="120"/>
      <c r="Z21" s="121"/>
      <c r="AA21" s="121"/>
      <c r="AB21" s="121"/>
      <c r="AC21" s="121"/>
    </row>
    <row r="22" spans="1:29" ht="15.75" customHeight="1">
      <c r="A22" s="113"/>
      <c r="B22" s="126"/>
      <c r="C22" s="122" t="s">
        <v>292</v>
      </c>
      <c r="D22" s="122"/>
      <c r="E22" s="122"/>
      <c r="F22" s="123">
        <f>SUM(F13:F21)</f>
        <v>0</v>
      </c>
      <c r="G22" s="123"/>
      <c r="H22" s="123">
        <f>SUM(H13:H21)</f>
        <v>0</v>
      </c>
      <c r="I22" s="123"/>
      <c r="J22" s="123">
        <f>SUM(J13:J21)</f>
        <v>0</v>
      </c>
      <c r="K22" s="123"/>
      <c r="L22" s="123">
        <f>SUM(L13:L21)</f>
        <v>0</v>
      </c>
      <c r="M22" s="123"/>
      <c r="N22" s="123">
        <f>SUM(N13:N21)</f>
        <v>0</v>
      </c>
      <c r="O22" s="123"/>
      <c r="P22" s="123">
        <f>SUM(P13:P21)</f>
        <v>0</v>
      </c>
      <c r="Q22" s="123"/>
      <c r="R22" s="123">
        <f>SUM(R13:R21)</f>
        <v>0</v>
      </c>
      <c r="S22" s="123"/>
      <c r="T22" s="123">
        <f>SUM(T13:T21)</f>
        <v>0</v>
      </c>
      <c r="U22" s="123"/>
      <c r="V22" s="123">
        <f>SUM(V13:V21)</f>
        <v>0</v>
      </c>
      <c r="W22" s="123"/>
      <c r="X22" s="123">
        <f>SUM(X13:X21)</f>
        <v>0</v>
      </c>
      <c r="Y22" s="123"/>
      <c r="Z22" s="123">
        <f>SUM(Z13:Z21)</f>
        <v>0</v>
      </c>
      <c r="AA22" s="123"/>
      <c r="AB22" s="125">
        <f>SUM(AB13:AB21)</f>
        <v>0</v>
      </c>
      <c r="AC22" s="125"/>
    </row>
    <row r="23" spans="1:29" ht="15.75" customHeight="1">
      <c r="A23" s="113"/>
      <c r="B23" s="122" t="s">
        <v>293</v>
      </c>
      <c r="C23" s="122"/>
      <c r="D23" s="122"/>
      <c r="E23" s="122"/>
      <c r="F23" s="123">
        <f>F12-F22</f>
        <v>0</v>
      </c>
      <c r="G23" s="123"/>
      <c r="H23" s="123">
        <f>H12-H22</f>
        <v>0</v>
      </c>
      <c r="I23" s="123"/>
      <c r="J23" s="123">
        <f>J12-J22</f>
        <v>0</v>
      </c>
      <c r="K23" s="123"/>
      <c r="L23" s="123">
        <f>L12-L22</f>
        <v>0</v>
      </c>
      <c r="M23" s="123"/>
      <c r="N23" s="123">
        <f>N12-N22</f>
        <v>0</v>
      </c>
      <c r="O23" s="123"/>
      <c r="P23" s="123">
        <f>P12-P22</f>
        <v>0</v>
      </c>
      <c r="Q23" s="123"/>
      <c r="R23" s="123">
        <f>R12-R22</f>
        <v>0</v>
      </c>
      <c r="S23" s="123"/>
      <c r="T23" s="123">
        <f>T12-T22</f>
        <v>0</v>
      </c>
      <c r="U23" s="123"/>
      <c r="V23" s="123">
        <f>V12-V22</f>
        <v>0</v>
      </c>
      <c r="W23" s="123"/>
      <c r="X23" s="123">
        <f>X12-X22</f>
        <v>0</v>
      </c>
      <c r="Y23" s="123"/>
      <c r="Z23" s="123">
        <f>Z12-Z22</f>
        <v>0</v>
      </c>
      <c r="AA23" s="123"/>
      <c r="AB23" s="125">
        <f>AB12-AB22</f>
        <v>0</v>
      </c>
      <c r="AC23" s="125"/>
    </row>
    <row r="24" spans="1:29" ht="15.75" customHeight="1">
      <c r="A24" s="136" t="s">
        <v>294</v>
      </c>
      <c r="B24" s="127" t="s">
        <v>281</v>
      </c>
      <c r="C24" s="119" t="s">
        <v>295</v>
      </c>
      <c r="D24" s="119"/>
      <c r="E24" s="119"/>
      <c r="F24" s="120">
        <f>(SUMIFS(入金入力_ザック!$D$4:$D$103,入金入力_ザック!$A$4:$A$103,"&gt;="&amp;DATE(2026,5,1),入金入力_ザック!$A$4:$A$103,"&lt;="&amp;DATE(2026,5,31),入金入力_ザック!$C$4:$C$103,"借入金"))/1000</f>
        <v>0</v>
      </c>
      <c r="G24" s="120"/>
      <c r="H24" s="120">
        <f>(SUMIFS(入金入力_ザック!$D$4:$D$103,入金入力_ザック!$A$4:$A$103,"&gt;="&amp;DATE(2026,6,1),入金入力_ザック!$A$4:$A$103,"&lt;="&amp;DATE(2026,6,30),入金入力_ザック!$C$4:$C$103,"借入金"))/1000</f>
        <v>0</v>
      </c>
      <c r="I24" s="120"/>
      <c r="J24" s="120">
        <f>(SUMIFS(入金入力_ザック!$D$4:$D$103,入金入力_ザック!$A$4:$A$103,"&gt;="&amp;DATE(2026,7,1),入金入力_ザック!$A$4:$A$103,"&lt;="&amp;DATE(2026,7,31),入金入力_ザック!$C$4:$C$103,"借入金"))/1000</f>
        <v>0</v>
      </c>
      <c r="K24" s="120"/>
      <c r="L24" s="120">
        <f>(SUMIFS(入金入力_ザック!$D$4:$D$103,入金入力_ザック!$A$4:$A$103,"&gt;="&amp;DATE(2026,8,1),入金入力_ザック!$A$4:$A$103,"&lt;="&amp;DATE(2026,8,31),入金入力_ザック!$C$4:$C$103,"借入金"))/1000</f>
        <v>0</v>
      </c>
      <c r="M24" s="120"/>
      <c r="N24" s="121"/>
      <c r="O24" s="121"/>
      <c r="P24" s="121"/>
      <c r="Q24" s="121"/>
      <c r="R24" s="120"/>
      <c r="S24" s="120"/>
      <c r="T24" s="120"/>
      <c r="U24" s="120"/>
      <c r="V24" s="120"/>
      <c r="W24" s="120"/>
      <c r="X24" s="120"/>
      <c r="Y24" s="120"/>
      <c r="Z24" s="121"/>
      <c r="AA24" s="121"/>
      <c r="AB24" s="124"/>
      <c r="AC24" s="124"/>
    </row>
    <row r="25" spans="1:29" ht="15.75" customHeight="1">
      <c r="A25" s="136"/>
      <c r="B25" s="127"/>
      <c r="C25" s="119" t="s">
        <v>296</v>
      </c>
      <c r="D25" s="119"/>
      <c r="E25" s="119"/>
      <c r="F25" s="120">
        <f>(SUMIFS(入金入力_ザック!$D$4:$D$103,入金入力_ザック!$A$4:$A$103,"&gt;="&amp;DATE(2026,5,1),入金入力_ザック!$A$4:$A$103,"&lt;="&amp;DATE(2026,5,31),入金入力_ザック!$C$4:$C$103,"設備売却"))/1000</f>
        <v>0</v>
      </c>
      <c r="G25" s="120"/>
      <c r="H25" s="120">
        <f>(SUMIFS(入金入力_ザック!$D$4:$D$103,入金入力_ザック!$A$4:$A$103,"&gt;="&amp;DATE(2026,6,1),入金入力_ザック!$A$4:$A$103,"&lt;="&amp;DATE(2026,6,30),入金入力_ザック!$C$4:$C$103,"設備売却"))/1000</f>
        <v>0</v>
      </c>
      <c r="I25" s="120"/>
      <c r="J25" s="120">
        <f>(SUMIFS(入金入力_ザック!$D$4:$D$103,入金入力_ザック!$A$4:$A$103,"&gt;="&amp;DATE(2026,7,1),入金入力_ザック!$A$4:$A$103,"&lt;="&amp;DATE(2026,7,31),入金入力_ザック!$C$4:$C$103,"設備売却"))/1000</f>
        <v>0</v>
      </c>
      <c r="K25" s="120"/>
      <c r="L25" s="120">
        <f>(SUMIFS(入金入力_ザック!$D$4:$D$103,入金入力_ザック!$A$4:$A$103,"&gt;="&amp;DATE(2026,8,1),入金入力_ザック!$A$4:$A$103,"&lt;="&amp;DATE(2026,8,31),入金入力_ザック!$C$4:$C$103,"設備売却"))/1000</f>
        <v>0</v>
      </c>
      <c r="M25" s="120"/>
      <c r="N25" s="121"/>
      <c r="O25" s="121"/>
      <c r="P25" s="121"/>
      <c r="Q25" s="121"/>
      <c r="R25" s="120"/>
      <c r="S25" s="120"/>
      <c r="T25" s="120"/>
      <c r="U25" s="120"/>
      <c r="V25" s="120"/>
      <c r="W25" s="120"/>
      <c r="X25" s="120"/>
      <c r="Y25" s="120"/>
      <c r="Z25" s="121"/>
      <c r="AA25" s="121"/>
      <c r="AB25" s="124"/>
      <c r="AC25" s="124"/>
    </row>
    <row r="26" spans="1:29" ht="15.75" customHeight="1">
      <c r="A26" s="136"/>
      <c r="B26" s="127"/>
      <c r="C26" s="130" t="s">
        <v>297</v>
      </c>
      <c r="D26" s="130"/>
      <c r="E26" s="130"/>
      <c r="F26" s="131">
        <f>SUM(F24:F25)</f>
        <v>0</v>
      </c>
      <c r="G26" s="131"/>
      <c r="H26" s="131">
        <f>SUM(H24:H25)</f>
        <v>0</v>
      </c>
      <c r="I26" s="131"/>
      <c r="J26" s="131">
        <f>SUM(J24:J25)</f>
        <v>0</v>
      </c>
      <c r="K26" s="131"/>
      <c r="L26" s="131">
        <f>SUM(L24:L25)</f>
        <v>0</v>
      </c>
      <c r="M26" s="131"/>
      <c r="N26" s="131">
        <f>SUM(N24:N25)</f>
        <v>0</v>
      </c>
      <c r="O26" s="131"/>
      <c r="P26" s="131">
        <f>SUM(P24:P25)</f>
        <v>0</v>
      </c>
      <c r="Q26" s="131"/>
      <c r="R26" s="131">
        <f>SUM(R24:R25)</f>
        <v>0</v>
      </c>
      <c r="S26" s="131"/>
      <c r="T26" s="131">
        <f>SUM(T24:T25)</f>
        <v>0</v>
      </c>
      <c r="U26" s="131"/>
      <c r="V26" s="131">
        <f>SUM(V24:V25)</f>
        <v>0</v>
      </c>
      <c r="W26" s="131"/>
      <c r="X26" s="131">
        <f>SUM(X24:X25)</f>
        <v>0</v>
      </c>
      <c r="Y26" s="131"/>
      <c r="Z26" s="131">
        <f>SUM(Z24:Z25)</f>
        <v>0</v>
      </c>
      <c r="AA26" s="131"/>
      <c r="AB26" s="132">
        <f>SUM(AB24:AB25)</f>
        <v>0</v>
      </c>
      <c r="AC26" s="132"/>
    </row>
    <row r="27" spans="1:29" ht="15.75" customHeight="1">
      <c r="A27" s="136"/>
      <c r="B27" s="127" t="s">
        <v>287</v>
      </c>
      <c r="C27" s="119" t="s">
        <v>298</v>
      </c>
      <c r="D27" s="119"/>
      <c r="E27" s="119"/>
      <c r="F27" s="120">
        <f>(SUMPRODUCT((未払一覧_ザック!$M$4:$M$103&gt;=DATE(2026,5,1))*(未払一覧_ザック!$M$4:$M$103&lt;=DATE(2026,5,31))*(IFERROR(VLOOKUP(未払一覧_ザック!$D$4:$D$103,マスター_勘定科目!$A$4:$B$30,2,FALSE()),"その他経費")="借入金返済")*未払一覧_ザック!$N$4:$N$103))/1000</f>
        <v>0</v>
      </c>
      <c r="G27" s="120"/>
      <c r="H27" s="120">
        <f>(SUMPRODUCT((未払一覧_ザック!$M$4:$M$103&gt;=DATE(2026,6,1))*(未払一覧_ザック!$M$4:$M$103&lt;=DATE(2026,6,30))*(IFERROR(VLOOKUP(未払一覧_ザック!$D$4:$D$103,マスター_勘定科目!$A$4:$B$30,2,FALSE()),"その他経費")="借入金返済")*未払一覧_ザック!$N$4:$N$103))/1000</f>
        <v>0</v>
      </c>
      <c r="I27" s="120"/>
      <c r="J27" s="120">
        <f>(SUMPRODUCT((未払一覧_ザック!$M$4:$M$103&gt;=DATE(2026,7,1))*(未払一覧_ザック!$M$4:$M$103&lt;=DATE(2026,7,31))*(IFERROR(VLOOKUP(未払一覧_ザック!$D$4:$D$103,マスター_勘定科目!$A$4:$B$30,2,FALSE()),"その他経費")="借入金返済")*未払一覧_ザック!$N$4:$N$103))/1000</f>
        <v>0</v>
      </c>
      <c r="K27" s="120"/>
      <c r="L27" s="120">
        <f>(SUMPRODUCT((未払一覧_ザック!$M$4:$M$103&gt;=DATE(2026,8,1))*(未払一覧_ザック!$M$4:$M$103&lt;=DATE(2026,8,31))*(IFERROR(VLOOKUP(未払一覧_ザック!$D$4:$D$103,マスター_勘定科目!$A$4:$B$30,2,FALSE()),"その他経費")="借入金返済")*未払一覧_ザック!$N$4:$N$103))/1000</f>
        <v>0</v>
      </c>
      <c r="M27" s="120"/>
      <c r="N27" s="121"/>
      <c r="O27" s="121"/>
      <c r="P27" s="121"/>
      <c r="Q27" s="121"/>
      <c r="R27" s="120"/>
      <c r="S27" s="120"/>
      <c r="T27" s="120"/>
      <c r="U27" s="120"/>
      <c r="V27" s="120"/>
      <c r="W27" s="120"/>
      <c r="X27" s="120"/>
      <c r="Y27" s="120"/>
      <c r="Z27" s="121"/>
      <c r="AA27" s="121"/>
      <c r="AB27" s="124"/>
      <c r="AC27" s="124"/>
    </row>
    <row r="28" spans="1:29" ht="15.75" customHeight="1">
      <c r="A28" s="136"/>
      <c r="B28" s="127"/>
      <c r="C28" s="119" t="s">
        <v>299</v>
      </c>
      <c r="D28" s="119"/>
      <c r="E28" s="119"/>
      <c r="F28" s="120">
        <f>(SUMPRODUCT((未払一覧_ザック!$M$4:$M$103&gt;=DATE(2026,5,1))*(未払一覧_ザック!$M$4:$M$103&lt;=DATE(2026,5,31))*(IFERROR(VLOOKUP(未払一覧_ザック!$D$4:$D$103,マスター_勘定科目!$A$4:$B$30,2,FALSE()),"その他経費")="設備購入等")*未払一覧_ザック!$N$4:$N$103))/1000</f>
        <v>0</v>
      </c>
      <c r="G28" s="120"/>
      <c r="H28" s="120">
        <f>(SUMPRODUCT((未払一覧_ザック!$M$4:$M$103&gt;=DATE(2026,6,1))*(未払一覧_ザック!$M$4:$M$103&lt;=DATE(2026,6,30))*(IFERROR(VLOOKUP(未払一覧_ザック!$D$4:$D$103,マスター_勘定科目!$A$4:$B$30,2,FALSE()),"その他経費")="設備購入等")*未払一覧_ザック!$N$4:$N$103))/1000</f>
        <v>0</v>
      </c>
      <c r="I28" s="120"/>
      <c r="J28" s="120">
        <f>(SUMPRODUCT((未払一覧_ザック!$M$4:$M$103&gt;=DATE(2026,7,1))*(未払一覧_ザック!$M$4:$M$103&lt;=DATE(2026,7,31))*(IFERROR(VLOOKUP(未払一覧_ザック!$D$4:$D$103,マスター_勘定科目!$A$4:$B$30,2,FALSE()),"その他経費")="設備購入等")*未払一覧_ザック!$N$4:$N$103))/1000</f>
        <v>0</v>
      </c>
      <c r="K28" s="120"/>
      <c r="L28" s="120">
        <f>(SUMPRODUCT((未払一覧_ザック!$M$4:$M$103&gt;=DATE(2026,8,1))*(未払一覧_ザック!$M$4:$M$103&lt;=DATE(2026,8,31))*(IFERROR(VLOOKUP(未払一覧_ザック!$D$4:$D$103,マスター_勘定科目!$A$4:$B$30,2,FALSE()),"その他経費")="設備購入等")*未払一覧_ザック!$N$4:$N$103))/1000</f>
        <v>0</v>
      </c>
      <c r="M28" s="120"/>
      <c r="N28" s="121"/>
      <c r="O28" s="121"/>
      <c r="P28" s="121"/>
      <c r="Q28" s="121"/>
      <c r="R28" s="120"/>
      <c r="S28" s="120"/>
      <c r="T28" s="120"/>
      <c r="U28" s="120"/>
      <c r="V28" s="120"/>
      <c r="W28" s="120"/>
      <c r="X28" s="120"/>
      <c r="Y28" s="120"/>
      <c r="Z28" s="121"/>
      <c r="AA28" s="121"/>
      <c r="AB28" s="124"/>
      <c r="AC28" s="124"/>
    </row>
    <row r="29" spans="1:29" ht="15.75" customHeight="1">
      <c r="A29" s="136"/>
      <c r="B29" s="127"/>
      <c r="C29" s="130" t="s">
        <v>300</v>
      </c>
      <c r="D29" s="130"/>
      <c r="E29" s="130"/>
      <c r="F29" s="131">
        <f>SUM(F27:F28)</f>
        <v>0</v>
      </c>
      <c r="G29" s="131"/>
      <c r="H29" s="131">
        <f>SUM(H27:H28)</f>
        <v>0</v>
      </c>
      <c r="I29" s="131"/>
      <c r="J29" s="131">
        <f>SUM(J27:J28)</f>
        <v>0</v>
      </c>
      <c r="K29" s="131"/>
      <c r="L29" s="131">
        <f>SUM(L27:L28)</f>
        <v>0</v>
      </c>
      <c r="M29" s="131"/>
      <c r="N29" s="131">
        <f>SUM(N27:N28)</f>
        <v>0</v>
      </c>
      <c r="O29" s="131"/>
      <c r="P29" s="131">
        <f>SUM(P27:P28)</f>
        <v>0</v>
      </c>
      <c r="Q29" s="131"/>
      <c r="R29" s="131">
        <f>SUM(R27:R28)</f>
        <v>0</v>
      </c>
      <c r="S29" s="131"/>
      <c r="T29" s="131">
        <f>SUM(T27:T28)</f>
        <v>0</v>
      </c>
      <c r="U29" s="131"/>
      <c r="V29" s="131">
        <f>SUM(V27:V28)</f>
        <v>0</v>
      </c>
      <c r="W29" s="131"/>
      <c r="X29" s="131">
        <f>SUM(X27:X28)</f>
        <v>0</v>
      </c>
      <c r="Y29" s="131"/>
      <c r="Z29" s="131">
        <f>SUM(Z27:Z28)</f>
        <v>0</v>
      </c>
      <c r="AA29" s="131"/>
      <c r="AB29" s="132">
        <f>SUM(AB27:AB28)</f>
        <v>0</v>
      </c>
      <c r="AC29" s="132"/>
    </row>
    <row r="30" spans="1:29" ht="15.75" customHeight="1">
      <c r="A30" s="136"/>
      <c r="B30" s="128" t="s">
        <v>301</v>
      </c>
      <c r="C30" s="128"/>
      <c r="D30" s="128"/>
      <c r="E30" s="128"/>
      <c r="F30" s="129">
        <f>F26-F29</f>
        <v>0</v>
      </c>
      <c r="G30" s="129"/>
      <c r="H30" s="129">
        <f>H26-H29</f>
        <v>0</v>
      </c>
      <c r="I30" s="129"/>
      <c r="J30" s="129">
        <f>J26-J29</f>
        <v>0</v>
      </c>
      <c r="K30" s="129"/>
      <c r="L30" s="129">
        <f>L26-L29</f>
        <v>0</v>
      </c>
      <c r="M30" s="129"/>
      <c r="N30" s="129">
        <f>N26-N29</f>
        <v>0</v>
      </c>
      <c r="O30" s="129"/>
      <c r="P30" s="129">
        <f>P26-P29</f>
        <v>0</v>
      </c>
      <c r="Q30" s="129"/>
      <c r="R30" s="129">
        <f>R26-R29</f>
        <v>0</v>
      </c>
      <c r="S30" s="129"/>
      <c r="T30" s="129">
        <f>T26-T29</f>
        <v>0</v>
      </c>
      <c r="U30" s="129"/>
      <c r="V30" s="129">
        <f>V26-V29</f>
        <v>0</v>
      </c>
      <c r="W30" s="129"/>
      <c r="X30" s="129">
        <f>X26-X29</f>
        <v>0</v>
      </c>
      <c r="Y30" s="129"/>
      <c r="Z30" s="129">
        <f>Z26-Z29</f>
        <v>0</v>
      </c>
      <c r="AA30" s="129"/>
      <c r="AB30" s="134">
        <f>AB26-AB29</f>
        <v>0</v>
      </c>
      <c r="AC30" s="134"/>
    </row>
    <row r="31" spans="1:29" ht="15.75" customHeight="1">
      <c r="A31" s="135" t="s">
        <v>302</v>
      </c>
      <c r="B31" s="135"/>
      <c r="C31" s="135"/>
      <c r="D31" s="135"/>
      <c r="E31" s="135"/>
      <c r="F31" s="110">
        <f>SUM(F7,F23,F30)</f>
        <v>0</v>
      </c>
      <c r="G31" s="110"/>
      <c r="H31" s="110">
        <f>SUM(H7,H23,H30)</f>
        <v>0</v>
      </c>
      <c r="I31" s="110"/>
      <c r="J31" s="110">
        <f>SUM(J7,J23,J30)</f>
        <v>0</v>
      </c>
      <c r="K31" s="110"/>
      <c r="L31" s="110">
        <f>SUM(L7,L23,L30)</f>
        <v>0</v>
      </c>
      <c r="M31" s="110"/>
      <c r="N31" s="110">
        <f>SUM(N7,N23,N30)</f>
        <v>0</v>
      </c>
      <c r="O31" s="110"/>
      <c r="P31" s="110">
        <f>SUM(P7,P23,P30)</f>
        <v>0</v>
      </c>
      <c r="Q31" s="110"/>
      <c r="R31" s="110">
        <f>SUM(R7,R23,R30)</f>
        <v>0</v>
      </c>
      <c r="S31" s="110"/>
      <c r="T31" s="110">
        <f>SUM(T7,T23,T30)</f>
        <v>0</v>
      </c>
      <c r="U31" s="110"/>
      <c r="V31" s="110">
        <f>SUM(V7,V23,V30)</f>
        <v>0</v>
      </c>
      <c r="W31" s="110"/>
      <c r="X31" s="110">
        <f>SUM(X7,X23,X30)</f>
        <v>0</v>
      </c>
      <c r="Y31" s="110"/>
      <c r="Z31" s="110">
        <f>SUM(Z7,Z23,Z30)</f>
        <v>0</v>
      </c>
      <c r="AA31" s="110"/>
      <c r="AB31" s="110">
        <f>SUM(AB7,AB23,AB30)</f>
        <v>0</v>
      </c>
      <c r="AC31" s="110"/>
    </row>
    <row r="32" spans="1:29" ht="18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4:6" ht="18" customHeight="1"/>
    <row r="50" spans="4:6" ht="18" customHeight="1"/>
    <row r="51" spans="4:6" ht="18" customHeight="1"/>
    <row r="52" spans="4:6" ht="18" customHeight="1">
      <c r="D52" s="79">
        <v>1</v>
      </c>
      <c r="F52" s="79">
        <v>1</v>
      </c>
    </row>
    <row r="53" spans="4:6" ht="18" customHeight="1">
      <c r="D53" s="79">
        <v>2</v>
      </c>
      <c r="F53" s="79">
        <v>2</v>
      </c>
    </row>
    <row r="54" spans="4:6" ht="18" customHeight="1">
      <c r="D54" s="79">
        <v>3</v>
      </c>
      <c r="F54" s="79">
        <v>3</v>
      </c>
    </row>
    <row r="55" spans="4:6" ht="18" customHeight="1">
      <c r="D55" s="79">
        <v>4</v>
      </c>
      <c r="F55" s="79">
        <v>4</v>
      </c>
    </row>
    <row r="56" spans="4:6" ht="18" customHeight="1">
      <c r="D56" s="79">
        <v>5</v>
      </c>
      <c r="F56" s="79">
        <v>5</v>
      </c>
    </row>
    <row r="57" spans="4:6" ht="18" customHeight="1">
      <c r="D57" s="79">
        <v>6</v>
      </c>
      <c r="F57" s="79">
        <v>6</v>
      </c>
    </row>
    <row r="58" spans="4:6" ht="18" customHeight="1">
      <c r="D58" s="79">
        <v>7</v>
      </c>
      <c r="F58" s="79">
        <v>7</v>
      </c>
    </row>
    <row r="59" spans="4:6" ht="18" customHeight="1">
      <c r="D59" s="79">
        <v>8</v>
      </c>
      <c r="F59" s="79">
        <v>8</v>
      </c>
    </row>
    <row r="60" spans="4:6" ht="18" customHeight="1">
      <c r="D60" s="79">
        <v>9</v>
      </c>
      <c r="F60" s="79">
        <v>9</v>
      </c>
    </row>
    <row r="61" spans="4:6" ht="18" customHeight="1">
      <c r="D61" s="79">
        <v>10</v>
      </c>
      <c r="F61" s="79">
        <v>10</v>
      </c>
    </row>
    <row r="62" spans="4:6" ht="18" customHeight="1">
      <c r="D62" s="79">
        <v>11</v>
      </c>
      <c r="F62" s="79">
        <v>11</v>
      </c>
    </row>
    <row r="63" spans="4:6" ht="18" customHeight="1">
      <c r="D63" s="79">
        <v>12</v>
      </c>
      <c r="F63" s="79">
        <v>12</v>
      </c>
    </row>
    <row r="64" spans="4:6" ht="18" customHeight="1">
      <c r="D64" s="79">
        <v>13</v>
      </c>
      <c r="F64" s="79">
        <v>13</v>
      </c>
    </row>
    <row r="65" spans="4:6" ht="18" customHeight="1">
      <c r="D65" s="79">
        <v>14</v>
      </c>
      <c r="F65" s="79">
        <v>14</v>
      </c>
    </row>
    <row r="66" spans="4:6" ht="18" customHeight="1">
      <c r="D66" s="79">
        <v>15</v>
      </c>
      <c r="F66" s="79">
        <v>15</v>
      </c>
    </row>
    <row r="67" spans="4:6" ht="18" customHeight="1">
      <c r="F67" s="79">
        <v>16</v>
      </c>
    </row>
    <row r="68" spans="4:6" ht="18" customHeight="1">
      <c r="F68" s="79">
        <v>17</v>
      </c>
    </row>
    <row r="69" spans="4:6" ht="18" customHeight="1">
      <c r="F69" s="79">
        <v>18</v>
      </c>
    </row>
    <row r="70" spans="4:6" ht="18" customHeight="1">
      <c r="F70" s="79">
        <v>19</v>
      </c>
    </row>
    <row r="71" spans="4:6" ht="18" customHeight="1">
      <c r="F71" s="79">
        <v>20</v>
      </c>
    </row>
    <row r="72" spans="4:6" ht="18" customHeight="1">
      <c r="F72" s="79">
        <v>21</v>
      </c>
    </row>
    <row r="73" spans="4:6" ht="18" customHeight="1">
      <c r="F73" s="79">
        <v>22</v>
      </c>
    </row>
    <row r="74" spans="4:6" ht="18" customHeight="1">
      <c r="F74" s="79">
        <v>23</v>
      </c>
    </row>
    <row r="75" spans="4:6" ht="18" customHeight="1">
      <c r="F75" s="79">
        <v>24</v>
      </c>
    </row>
    <row r="76" spans="4:6" ht="18" customHeight="1">
      <c r="F76" s="79">
        <v>25</v>
      </c>
    </row>
    <row r="77" spans="4:6" ht="18" customHeight="1">
      <c r="F77" s="79">
        <v>26</v>
      </c>
    </row>
    <row r="78" spans="4:6" ht="18" customHeight="1">
      <c r="F78" s="79">
        <v>27</v>
      </c>
    </row>
    <row r="79" spans="4:6" ht="18" customHeight="1">
      <c r="F79" s="79">
        <v>28</v>
      </c>
    </row>
    <row r="80" spans="4:6" ht="18" customHeight="1">
      <c r="F80" s="79">
        <v>29</v>
      </c>
    </row>
    <row r="81" spans="6:6" ht="18" customHeight="1">
      <c r="F81" s="79">
        <v>30</v>
      </c>
    </row>
    <row r="82" spans="6:6" ht="18" customHeight="1">
      <c r="F82" s="79">
        <v>31</v>
      </c>
    </row>
    <row r="83" spans="6:6" ht="18" customHeight="1"/>
    <row r="84" spans="6:6" ht="18" customHeight="1"/>
    <row r="85" spans="6:6" ht="18" customHeight="1"/>
    <row r="86" spans="6:6" ht="18" customHeight="1"/>
    <row r="87" spans="6:6" ht="18" customHeight="1"/>
    <row r="88" spans="6:6" ht="18" customHeight="1"/>
    <row r="89" spans="6:6" ht="18" customHeight="1"/>
    <row r="90" spans="6:6" ht="18" customHeight="1"/>
    <row r="91" spans="6:6" ht="18" customHeight="1"/>
    <row r="92" spans="6:6" ht="18" customHeight="1"/>
    <row r="93" spans="6:6" ht="18" customHeight="1"/>
    <row r="94" spans="6:6" ht="18" customHeight="1"/>
    <row r="95" spans="6:6" ht="18" customHeight="1"/>
    <row r="96" spans="6: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65">
    <mergeCell ref="A32:AC32"/>
    <mergeCell ref="N30:O30"/>
    <mergeCell ref="P30:Q30"/>
    <mergeCell ref="R30:S30"/>
    <mergeCell ref="T30:U30"/>
    <mergeCell ref="V30:W30"/>
    <mergeCell ref="X30:Y30"/>
    <mergeCell ref="Z30:AA30"/>
    <mergeCell ref="AB30:AC30"/>
    <mergeCell ref="A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24:A30"/>
    <mergeCell ref="B24:B26"/>
    <mergeCell ref="R28:S28"/>
    <mergeCell ref="T28:U28"/>
    <mergeCell ref="V28:W28"/>
    <mergeCell ref="X28:Y28"/>
    <mergeCell ref="Z28:AA28"/>
    <mergeCell ref="AB28:AC28"/>
    <mergeCell ref="C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L28:M28"/>
    <mergeCell ref="N28:O28"/>
    <mergeCell ref="P28:Q28"/>
    <mergeCell ref="R26:S26"/>
    <mergeCell ref="T26:U26"/>
    <mergeCell ref="V26:W26"/>
    <mergeCell ref="X26:Y26"/>
    <mergeCell ref="Z26:AA26"/>
    <mergeCell ref="AB26:AC26"/>
    <mergeCell ref="B27:B29"/>
    <mergeCell ref="C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C28:E28"/>
    <mergeCell ref="F28:G28"/>
    <mergeCell ref="H28:I28"/>
    <mergeCell ref="J28:K28"/>
    <mergeCell ref="R24:S24"/>
    <mergeCell ref="T24:U24"/>
    <mergeCell ref="V24:W24"/>
    <mergeCell ref="X24:Y24"/>
    <mergeCell ref="Z24:AA24"/>
    <mergeCell ref="AB24:AC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C24:E24"/>
    <mergeCell ref="F24:G24"/>
    <mergeCell ref="H24:I24"/>
    <mergeCell ref="J24:K24"/>
    <mergeCell ref="L24:M24"/>
    <mergeCell ref="N24:O24"/>
    <mergeCell ref="P24:Q24"/>
    <mergeCell ref="C26:E26"/>
    <mergeCell ref="F26:G26"/>
    <mergeCell ref="H26:I26"/>
    <mergeCell ref="J26:K26"/>
    <mergeCell ref="L26:M26"/>
    <mergeCell ref="N26:O26"/>
    <mergeCell ref="P26:Q26"/>
    <mergeCell ref="B30:E30"/>
    <mergeCell ref="F30:G30"/>
    <mergeCell ref="H30:I30"/>
    <mergeCell ref="J30:K30"/>
    <mergeCell ref="L30:M30"/>
    <mergeCell ref="V22:W22"/>
    <mergeCell ref="X22:Y22"/>
    <mergeCell ref="Z22:AA22"/>
    <mergeCell ref="AB22:AC22"/>
    <mergeCell ref="B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R20:S20"/>
    <mergeCell ref="T20:U20"/>
    <mergeCell ref="V20:W20"/>
    <mergeCell ref="X20:Y20"/>
    <mergeCell ref="Z20:AA20"/>
    <mergeCell ref="AB20:AC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T18:U18"/>
    <mergeCell ref="V18:W18"/>
    <mergeCell ref="X18:Y18"/>
    <mergeCell ref="Z18:AA18"/>
    <mergeCell ref="AB18:AC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T16:U16"/>
    <mergeCell ref="V16:W16"/>
    <mergeCell ref="X16:Y16"/>
    <mergeCell ref="Z16:AA16"/>
    <mergeCell ref="AB16:AC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C16:C21"/>
    <mergeCell ref="D16:E16"/>
    <mergeCell ref="F16:G16"/>
    <mergeCell ref="H16:I16"/>
    <mergeCell ref="J16:K16"/>
    <mergeCell ref="L16:M16"/>
    <mergeCell ref="N16:O16"/>
    <mergeCell ref="P16:Q16"/>
    <mergeCell ref="R16:S16"/>
    <mergeCell ref="D18:E18"/>
    <mergeCell ref="F18:G18"/>
    <mergeCell ref="H18:I18"/>
    <mergeCell ref="J18:K18"/>
    <mergeCell ref="L18:M18"/>
    <mergeCell ref="N18:O18"/>
    <mergeCell ref="P18:Q18"/>
    <mergeCell ref="R18:S18"/>
    <mergeCell ref="D20:E20"/>
    <mergeCell ref="F20:G20"/>
    <mergeCell ref="H20:I20"/>
    <mergeCell ref="J20:K20"/>
    <mergeCell ref="L20:M20"/>
    <mergeCell ref="N20:O20"/>
    <mergeCell ref="P20:Q20"/>
    <mergeCell ref="N14:O14"/>
    <mergeCell ref="P14:Q14"/>
    <mergeCell ref="R14:S14"/>
    <mergeCell ref="T14:U14"/>
    <mergeCell ref="V14:W14"/>
    <mergeCell ref="X14:Y14"/>
    <mergeCell ref="Z14:AA14"/>
    <mergeCell ref="AB14:AC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P12:Q12"/>
    <mergeCell ref="R12:S12"/>
    <mergeCell ref="T12:U12"/>
    <mergeCell ref="V12:W12"/>
    <mergeCell ref="X12:Y12"/>
    <mergeCell ref="Z12:AA12"/>
    <mergeCell ref="AB12:AC12"/>
    <mergeCell ref="B13:B22"/>
    <mergeCell ref="C13:C15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E14"/>
    <mergeCell ref="F14:G14"/>
    <mergeCell ref="P10:Q10"/>
    <mergeCell ref="R10:S10"/>
    <mergeCell ref="T10:U10"/>
    <mergeCell ref="V10:W10"/>
    <mergeCell ref="X10:Y10"/>
    <mergeCell ref="Z10:AA10"/>
    <mergeCell ref="AB10:AC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P8:Q8"/>
    <mergeCell ref="R8:S8"/>
    <mergeCell ref="T8:U8"/>
    <mergeCell ref="V8:W8"/>
    <mergeCell ref="X8:Y8"/>
    <mergeCell ref="Z8:AA8"/>
    <mergeCell ref="AB8:AC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8:A23"/>
    <mergeCell ref="B8:B12"/>
    <mergeCell ref="C8:C11"/>
    <mergeCell ref="D8:E8"/>
    <mergeCell ref="F8:G8"/>
    <mergeCell ref="H8:I8"/>
    <mergeCell ref="J8:K8"/>
    <mergeCell ref="L8:M8"/>
    <mergeCell ref="N8:O8"/>
    <mergeCell ref="D10:E10"/>
    <mergeCell ref="F10:G10"/>
    <mergeCell ref="H10:I10"/>
    <mergeCell ref="J10:K10"/>
    <mergeCell ref="L10:M10"/>
    <mergeCell ref="N10:O10"/>
    <mergeCell ref="C12:E12"/>
    <mergeCell ref="F12:G12"/>
    <mergeCell ref="H12:I12"/>
    <mergeCell ref="J12:K12"/>
    <mergeCell ref="L12:M12"/>
    <mergeCell ref="N12:O12"/>
    <mergeCell ref="H14:I14"/>
    <mergeCell ref="J14:K14"/>
    <mergeCell ref="L14:M14"/>
    <mergeCell ref="V7:W7"/>
    <mergeCell ref="X7:Y7"/>
    <mergeCell ref="Z7:AA7"/>
    <mergeCell ref="AB7:AC7"/>
    <mergeCell ref="A6:E6"/>
    <mergeCell ref="F6:G6"/>
    <mergeCell ref="H6:I6"/>
    <mergeCell ref="J6:K6"/>
    <mergeCell ref="L6:M6"/>
    <mergeCell ref="N6:O6"/>
    <mergeCell ref="P6:Q6"/>
    <mergeCell ref="A7:E7"/>
    <mergeCell ref="F7:G7"/>
    <mergeCell ref="H7:I7"/>
    <mergeCell ref="J7:K7"/>
    <mergeCell ref="L7:M7"/>
    <mergeCell ref="N7:O7"/>
    <mergeCell ref="P7:Q7"/>
    <mergeCell ref="R7:S7"/>
    <mergeCell ref="T7:U7"/>
    <mergeCell ref="R6:S6"/>
    <mergeCell ref="T6:U6"/>
    <mergeCell ref="A1:AC1"/>
    <mergeCell ref="D2:J2"/>
    <mergeCell ref="AA3:AC3"/>
    <mergeCell ref="A4:E4"/>
    <mergeCell ref="A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V6:W6"/>
    <mergeCell ref="X6:Y6"/>
    <mergeCell ref="Z6:AA6"/>
    <mergeCell ref="AB6:AC6"/>
  </mergeCells>
  <phoneticPr fontId="4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51</vt:i4>
      </vt:variant>
    </vt:vector>
  </HeadingPairs>
  <TitlesOfParts>
    <vt:vector size="51" baseType="lpstr">
      <vt:lpstr>トップ</vt:lpstr>
      <vt:lpstr>全社合算サマリー</vt:lpstr>
      <vt:lpstr>全社月次サマリー</vt:lpstr>
      <vt:lpstr>マスター_物件</vt:lpstr>
      <vt:lpstr>マスター_勘定科目</vt:lpstr>
      <vt:lpstr>入金入力_レジデンス</vt:lpstr>
      <vt:lpstr>未払一覧_レジデンス</vt:lpstr>
      <vt:lpstr>カード枠回復_レジデンス</vt:lpstr>
      <vt:lpstr>入金入力_リゾート</vt:lpstr>
      <vt:lpstr>未払一覧_リゾート</vt:lpstr>
      <vt:lpstr>カード枠回復_リゾート</vt:lpstr>
      <vt:lpstr>入金入力_モーテル</vt:lpstr>
      <vt:lpstr>未払一覧_モーテル</vt:lpstr>
      <vt:lpstr>カード枠回復_モーテル</vt:lpstr>
      <vt:lpstr>入金入力_ザック</vt:lpstr>
      <vt:lpstr>未払一覧_ザック</vt:lpstr>
      <vt:lpstr>カード枠回復_ザック</vt:lpstr>
      <vt:lpstr>入金入力_ワールド・レイ</vt:lpstr>
      <vt:lpstr>未払一覧_ワールド・レイ</vt:lpstr>
      <vt:lpstr>カード枠回復_ワールド・レイ</vt:lpstr>
      <vt:lpstr>入金入力_ココ・ユニバース</vt:lpstr>
      <vt:lpstr>未払一覧_ココ・ユニバース</vt:lpstr>
      <vt:lpstr>カード枠回復_ココ・ユニバース</vt:lpstr>
      <vt:lpstr>5月_レジデンス</vt:lpstr>
      <vt:lpstr>6月_レジデンス</vt:lpstr>
      <vt:lpstr>7月_レジデンス</vt:lpstr>
      <vt:lpstr>8月_レジデンス</vt:lpstr>
      <vt:lpstr>5月_リゾート</vt:lpstr>
      <vt:lpstr>6月_リゾート</vt:lpstr>
      <vt:lpstr>7月_リゾート</vt:lpstr>
      <vt:lpstr>8月_リゾート</vt:lpstr>
      <vt:lpstr>5月_モーテル</vt:lpstr>
      <vt:lpstr>6月_モーテル</vt:lpstr>
      <vt:lpstr>7月_モーテル</vt:lpstr>
      <vt:lpstr>8月_モーテル</vt:lpstr>
      <vt:lpstr>5月_ザック</vt:lpstr>
      <vt:lpstr>6月_ザック</vt:lpstr>
      <vt:lpstr>7月_ザック</vt:lpstr>
      <vt:lpstr>8月_ザック</vt:lpstr>
      <vt:lpstr>5月_ワールド・レイ</vt:lpstr>
      <vt:lpstr>6月_ワールド・レイ</vt:lpstr>
      <vt:lpstr>7月_ワールド・レイ</vt:lpstr>
      <vt:lpstr>8月_ワールド・レイ</vt:lpstr>
      <vt:lpstr>5月_ココ・ユニバース</vt:lpstr>
      <vt:lpstr>6月_ココ・ユニバース</vt:lpstr>
      <vt:lpstr>7月_ココ・ユニバース</vt:lpstr>
      <vt:lpstr>8月_ココ・ユニバース</vt:lpstr>
      <vt:lpstr>資金繰り_全社合計</vt:lpstr>
      <vt:lpstr>資金繰り_レジデンス</vt:lpstr>
      <vt:lpstr>資金繰り_リゾート・モーテル</vt:lpstr>
      <vt:lpstr>資金繰り_ザック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 owner</cp:lastModifiedBy>
  <cp:revision>0</cp:revision>
  <dcterms:created xsi:type="dcterms:W3CDTF">2026-05-06T09:57:53Z</dcterms:created>
  <dcterms:modified xsi:type="dcterms:W3CDTF">2026-05-08T02:13:08Z</dcterms:modified>
  <dc:language>en-US</dc:language>
</cp:coreProperties>
</file>