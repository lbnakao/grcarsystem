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9f732d2157fb0a2/ドキュメント/_経理/_売上実績/_2026年度/"/>
    </mc:Choice>
  </mc:AlternateContent>
  <xr:revisionPtr revIDLastSave="638" documentId="11_8E2AB23913415F2E98518CAA4A3E0150061DEF11" xr6:coauthVersionLast="47" xr6:coauthVersionMax="47" xr10:uidLastSave="{F4741813-F0B7-4F63-B374-70ACEE8A59F0}"/>
  <bookViews>
    <workbookView xWindow="-110" yWindow="-110" windowWidth="19420" windowHeight="10300" tabRatio="500" firstSheet="1" activeTab="3" xr2:uid="{00000000-000D-0000-FFFF-FFFF00000000}"/>
  </bookViews>
  <sheets>
    <sheet name="グローバルリゾート全体収支" sheetId="1" r:id="rId1"/>
    <sheet name="年間　全施設（客室単価・稼働率）" sheetId="2" r:id="rId2"/>
    <sheet name="ホテル部門→" sheetId="3" r:id="rId3"/>
    <sheet name="弥山" sheetId="4" r:id="rId4"/>
    <sheet name="温井" sheetId="5" r:id="rId5"/>
    <sheet name="いこいの村" sheetId="6" r:id="rId6"/>
    <sheet name="深入山GS" sheetId="7" r:id="rId7"/>
    <sheet name="フォレストヒルズガーデン" sheetId="8" r:id="rId8"/>
    <sheet name="マンスリー部門" sheetId="9" r:id="rId9"/>
    <sheet name="竹原" sheetId="10" r:id="rId10"/>
    <sheet name="サウナ" sheetId="11" r:id="rId1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3" l="1"/>
  <c r="I3" i="8"/>
  <c r="G34" i="10"/>
  <c r="K60" i="3"/>
  <c r="H12" i="4"/>
  <c r="E47" i="10"/>
  <c r="F47" i="10"/>
  <c r="H47" i="10"/>
  <c r="I47" i="10"/>
  <c r="J47" i="10"/>
  <c r="K47" i="10"/>
  <c r="L47" i="10"/>
  <c r="M47" i="10"/>
  <c r="N47" i="10"/>
  <c r="O47" i="10"/>
  <c r="P47" i="10"/>
  <c r="D3" i="10"/>
  <c r="D47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F16" i="1" l="1"/>
  <c r="F17" i="1" s="1"/>
  <c r="G3" i="10" l="1"/>
  <c r="H3" i="10"/>
  <c r="I3" i="10"/>
  <c r="J34" i="1" s="1"/>
  <c r="J36" i="1" s="1"/>
  <c r="J3" i="10"/>
  <c r="K3" i="10"/>
  <c r="L3" i="10"/>
  <c r="M3" i="10"/>
  <c r="N3" i="10"/>
  <c r="O3" i="10"/>
  <c r="P34" i="1" s="1"/>
  <c r="P36" i="1" s="1"/>
  <c r="F48" i="1"/>
  <c r="M16" i="11"/>
  <c r="L16" i="11"/>
  <c r="K16" i="11"/>
  <c r="J16" i="11"/>
  <c r="I16" i="11"/>
  <c r="H16" i="11"/>
  <c r="G16" i="11"/>
  <c r="F16" i="11"/>
  <c r="E16" i="11"/>
  <c r="D16" i="11"/>
  <c r="C16" i="11"/>
  <c r="B16" i="11"/>
  <c r="N16" i="11" s="1"/>
  <c r="L15" i="11"/>
  <c r="K15" i="11"/>
  <c r="J15" i="11"/>
  <c r="I15" i="11"/>
  <c r="H15" i="11"/>
  <c r="G15" i="11"/>
  <c r="F15" i="11"/>
  <c r="E15" i="11"/>
  <c r="D15" i="11"/>
  <c r="C15" i="11"/>
  <c r="B15" i="11"/>
  <c r="N15" i="11" s="1"/>
  <c r="N14" i="11"/>
  <c r="N13" i="11"/>
  <c r="N12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M9" i="11"/>
  <c r="L9" i="11"/>
  <c r="K9" i="11"/>
  <c r="J9" i="11"/>
  <c r="I9" i="11"/>
  <c r="H9" i="11"/>
  <c r="G9" i="11"/>
  <c r="F9" i="11"/>
  <c r="E9" i="11"/>
  <c r="D9" i="11"/>
  <c r="C9" i="11"/>
  <c r="B9" i="11"/>
  <c r="N9" i="11" s="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M7" i="11"/>
  <c r="L7" i="11"/>
  <c r="K7" i="11"/>
  <c r="J7" i="11"/>
  <c r="I7" i="11"/>
  <c r="H7" i="11"/>
  <c r="G7" i="11"/>
  <c r="F7" i="11"/>
  <c r="E7" i="11"/>
  <c r="D7" i="11"/>
  <c r="C7" i="11"/>
  <c r="B7" i="11"/>
  <c r="N7" i="11" s="1"/>
  <c r="N6" i="11"/>
  <c r="N5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N3" i="11"/>
  <c r="P49" i="10"/>
  <c r="O49" i="10"/>
  <c r="N49" i="10"/>
  <c r="M49" i="10"/>
  <c r="L49" i="10"/>
  <c r="K49" i="10"/>
  <c r="J49" i="10"/>
  <c r="I49" i="10"/>
  <c r="H49" i="10"/>
  <c r="F49" i="10"/>
  <c r="D38" i="10"/>
  <c r="P34" i="10"/>
  <c r="O34" i="10"/>
  <c r="N34" i="10"/>
  <c r="M34" i="10"/>
  <c r="L34" i="10"/>
  <c r="K34" i="10"/>
  <c r="J34" i="10"/>
  <c r="I34" i="10"/>
  <c r="H34" i="10"/>
  <c r="F34" i="10"/>
  <c r="F3" i="10" s="1"/>
  <c r="G34" i="1" s="1"/>
  <c r="E34" i="10"/>
  <c r="E3" i="10" s="1"/>
  <c r="D34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O6" i="10"/>
  <c r="N6" i="10"/>
  <c r="M6" i="10"/>
  <c r="L6" i="10"/>
  <c r="K6" i="10"/>
  <c r="J6" i="10"/>
  <c r="I6" i="10"/>
  <c r="H6" i="10"/>
  <c r="G6" i="10"/>
  <c r="F6" i="10"/>
  <c r="D6" i="10"/>
  <c r="O5" i="10"/>
  <c r="N5" i="10"/>
  <c r="M5" i="10"/>
  <c r="L5" i="10"/>
  <c r="K5" i="10"/>
  <c r="J5" i="10"/>
  <c r="I5" i="10"/>
  <c r="H5" i="10"/>
  <c r="G5" i="10"/>
  <c r="F5" i="10"/>
  <c r="D5" i="10"/>
  <c r="O4" i="10"/>
  <c r="N4" i="10"/>
  <c r="M4" i="10"/>
  <c r="L4" i="10"/>
  <c r="K4" i="10"/>
  <c r="J4" i="10"/>
  <c r="I4" i="10"/>
  <c r="H4" i="10"/>
  <c r="G4" i="10"/>
  <c r="F4" i="10"/>
  <c r="D4" i="10"/>
  <c r="D49" i="10" s="1"/>
  <c r="N121" i="9"/>
  <c r="M121" i="9"/>
  <c r="F121" i="9"/>
  <c r="N120" i="9"/>
  <c r="M120" i="9"/>
  <c r="N119" i="9"/>
  <c r="M59" i="9" s="1"/>
  <c r="M60" i="9" s="1"/>
  <c r="M119" i="9"/>
  <c r="L119" i="9"/>
  <c r="K59" i="9" s="1"/>
  <c r="K60" i="9" s="1"/>
  <c r="K119" i="9"/>
  <c r="J119" i="9"/>
  <c r="I119" i="9"/>
  <c r="H59" i="9" s="1"/>
  <c r="H60" i="9" s="1"/>
  <c r="H119" i="9"/>
  <c r="G119" i="9"/>
  <c r="F119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O117" i="9"/>
  <c r="O116" i="9"/>
  <c r="O111" i="9"/>
  <c r="O119" i="9" s="1"/>
  <c r="N110" i="9"/>
  <c r="M110" i="9"/>
  <c r="L110" i="9"/>
  <c r="K110" i="9"/>
  <c r="J110" i="9"/>
  <c r="I110" i="9"/>
  <c r="H110" i="9"/>
  <c r="G110" i="9"/>
  <c r="F110" i="9"/>
  <c r="E110" i="9"/>
  <c r="D110" i="9"/>
  <c r="C110" i="9"/>
  <c r="O109" i="9"/>
  <c r="N108" i="9"/>
  <c r="M108" i="9"/>
  <c r="L108" i="9"/>
  <c r="K108" i="9"/>
  <c r="J108" i="9"/>
  <c r="I108" i="9"/>
  <c r="H108" i="9"/>
  <c r="G108" i="9"/>
  <c r="F108" i="9"/>
  <c r="F120" i="9" s="1"/>
  <c r="E108" i="9"/>
  <c r="E109" i="9" s="1"/>
  <c r="D44" i="9" s="1"/>
  <c r="D45" i="9" s="1"/>
  <c r="D108" i="9"/>
  <c r="D109" i="9" s="1"/>
  <c r="C44" i="9" s="1"/>
  <c r="C45" i="9" s="1"/>
  <c r="C108" i="9"/>
  <c r="O107" i="9"/>
  <c r="O106" i="9"/>
  <c r="O101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C109" i="9" s="1"/>
  <c r="B44" i="9" s="1"/>
  <c r="O99" i="9"/>
  <c r="N99" i="9"/>
  <c r="M99" i="9"/>
  <c r="L99" i="9"/>
  <c r="K99" i="9"/>
  <c r="J99" i="9"/>
  <c r="I29" i="9" s="1"/>
  <c r="I30" i="9" s="1"/>
  <c r="I99" i="9"/>
  <c r="H29" i="9" s="1"/>
  <c r="H30" i="9" s="1"/>
  <c r="H99" i="9"/>
  <c r="G29" i="9" s="1"/>
  <c r="G30" i="9" s="1"/>
  <c r="G99" i="9"/>
  <c r="F99" i="9"/>
  <c r="N98" i="9"/>
  <c r="M98" i="9"/>
  <c r="L98" i="9"/>
  <c r="K98" i="9"/>
  <c r="K120" i="9" s="1"/>
  <c r="J98" i="9"/>
  <c r="I98" i="9"/>
  <c r="H98" i="9"/>
  <c r="G98" i="9"/>
  <c r="F98" i="9"/>
  <c r="E98" i="9"/>
  <c r="E120" i="9" s="1"/>
  <c r="D98" i="9"/>
  <c r="D99" i="9" s="1"/>
  <c r="C98" i="9"/>
  <c r="C99" i="9" s="1"/>
  <c r="B29" i="9" s="1"/>
  <c r="O97" i="9"/>
  <c r="O96" i="9"/>
  <c r="O91" i="9"/>
  <c r="N90" i="9"/>
  <c r="M90" i="9"/>
  <c r="L90" i="9"/>
  <c r="K90" i="9"/>
  <c r="J90" i="9"/>
  <c r="I90" i="9"/>
  <c r="H90" i="9"/>
  <c r="G90" i="9"/>
  <c r="F90" i="9"/>
  <c r="E90" i="9"/>
  <c r="E99" i="9" s="1"/>
  <c r="D29" i="9" s="1"/>
  <c r="D30" i="9" s="1"/>
  <c r="D90" i="9"/>
  <c r="C90" i="9"/>
  <c r="O89" i="9"/>
  <c r="N89" i="9"/>
  <c r="M89" i="9"/>
  <c r="L89" i="9"/>
  <c r="L121" i="9" s="1"/>
  <c r="K89" i="9"/>
  <c r="J89" i="9"/>
  <c r="J121" i="9" s="1"/>
  <c r="I89" i="9"/>
  <c r="I121" i="9" s="1"/>
  <c r="H89" i="9"/>
  <c r="H121" i="9" s="1"/>
  <c r="G89" i="9"/>
  <c r="G121" i="9" s="1"/>
  <c r="F89" i="9"/>
  <c r="N88" i="9"/>
  <c r="M88" i="9"/>
  <c r="L88" i="9"/>
  <c r="L120" i="9" s="1"/>
  <c r="K88" i="9"/>
  <c r="J88" i="9"/>
  <c r="J120" i="9" s="1"/>
  <c r="I88" i="9"/>
  <c r="I120" i="9" s="1"/>
  <c r="H88" i="9"/>
  <c r="H120" i="9" s="1"/>
  <c r="G88" i="9"/>
  <c r="F88" i="9"/>
  <c r="E88" i="9"/>
  <c r="D88" i="9"/>
  <c r="D120" i="9" s="1"/>
  <c r="C88" i="9"/>
  <c r="C120" i="9" s="1"/>
  <c r="O87" i="9"/>
  <c r="O86" i="9"/>
  <c r="O85" i="9"/>
  <c r="O84" i="9"/>
  <c r="O83" i="9"/>
  <c r="O82" i="9"/>
  <c r="O81" i="9"/>
  <c r="N80" i="9"/>
  <c r="M80" i="9"/>
  <c r="L80" i="9"/>
  <c r="K80" i="9"/>
  <c r="J80" i="9"/>
  <c r="I80" i="9"/>
  <c r="H80" i="9"/>
  <c r="G80" i="9"/>
  <c r="F80" i="9"/>
  <c r="E80" i="9"/>
  <c r="E89" i="9" s="1"/>
  <c r="D80" i="9"/>
  <c r="D89" i="9" s="1"/>
  <c r="D121" i="9" s="1"/>
  <c r="C80" i="9"/>
  <c r="M74" i="9"/>
  <c r="M75" i="9" s="1"/>
  <c r="L74" i="9"/>
  <c r="L75" i="9" s="1"/>
  <c r="K74" i="9"/>
  <c r="K75" i="9" s="1"/>
  <c r="J74" i="9"/>
  <c r="J75" i="9" s="1"/>
  <c r="I74" i="9"/>
  <c r="I75" i="9" s="1"/>
  <c r="H74" i="9"/>
  <c r="H75" i="9" s="1"/>
  <c r="G74" i="9"/>
  <c r="G75" i="9" s="1"/>
  <c r="F74" i="9"/>
  <c r="F75" i="9" s="1"/>
  <c r="E74" i="9"/>
  <c r="E75" i="9" s="1"/>
  <c r="D74" i="9"/>
  <c r="D75" i="9" s="1"/>
  <c r="C74" i="9"/>
  <c r="C75" i="9" s="1"/>
  <c r="B74" i="9"/>
  <c r="B75" i="9" s="1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M71" i="9"/>
  <c r="L71" i="9"/>
  <c r="K71" i="9"/>
  <c r="J71" i="9"/>
  <c r="I71" i="9"/>
  <c r="H71" i="9"/>
  <c r="G71" i="9"/>
  <c r="F71" i="9"/>
  <c r="E71" i="9"/>
  <c r="D71" i="9"/>
  <c r="C71" i="9"/>
  <c r="B71" i="9"/>
  <c r="M70" i="9"/>
  <c r="L70" i="9"/>
  <c r="K70" i="9"/>
  <c r="J70" i="9"/>
  <c r="I70" i="9"/>
  <c r="H70" i="9"/>
  <c r="G70" i="9"/>
  <c r="F70" i="9"/>
  <c r="E70" i="9"/>
  <c r="D70" i="9"/>
  <c r="C70" i="9"/>
  <c r="B70" i="9"/>
  <c r="N69" i="9"/>
  <c r="P6" i="10" s="1"/>
  <c r="N68" i="9"/>
  <c r="M67" i="9"/>
  <c r="L67" i="9"/>
  <c r="K67" i="9"/>
  <c r="J67" i="9"/>
  <c r="I67" i="9"/>
  <c r="H67" i="9"/>
  <c r="G67" i="9"/>
  <c r="F67" i="9"/>
  <c r="E67" i="9"/>
  <c r="D67" i="9"/>
  <c r="C67" i="9"/>
  <c r="B67" i="9"/>
  <c r="M66" i="9"/>
  <c r="L66" i="9"/>
  <c r="K66" i="9"/>
  <c r="J66" i="9"/>
  <c r="I66" i="9"/>
  <c r="H66" i="9"/>
  <c r="G66" i="9"/>
  <c r="F66" i="9"/>
  <c r="E66" i="9"/>
  <c r="D66" i="9"/>
  <c r="C66" i="9"/>
  <c r="B66" i="9"/>
  <c r="N66" i="9" s="1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N64" i="9"/>
  <c r="N71" i="9" s="1"/>
  <c r="E16" i="2" s="1"/>
  <c r="L59" i="9"/>
  <c r="L60" i="9" s="1"/>
  <c r="J59" i="9"/>
  <c r="J60" i="9" s="1"/>
  <c r="I59" i="9"/>
  <c r="I60" i="9" s="1"/>
  <c r="G59" i="9"/>
  <c r="G60" i="9" s="1"/>
  <c r="F59" i="9"/>
  <c r="F60" i="9" s="1"/>
  <c r="E59" i="9"/>
  <c r="E60" i="9" s="1"/>
  <c r="D59" i="9"/>
  <c r="D60" i="9" s="1"/>
  <c r="C59" i="9"/>
  <c r="C60" i="9" s="1"/>
  <c r="B59" i="9"/>
  <c r="B60" i="9" s="1"/>
  <c r="M58" i="9"/>
  <c r="L58" i="9"/>
  <c r="K58" i="9"/>
  <c r="J58" i="9"/>
  <c r="I58" i="9"/>
  <c r="H58" i="9"/>
  <c r="G58" i="9"/>
  <c r="F58" i="9"/>
  <c r="E58" i="9"/>
  <c r="D58" i="9"/>
  <c r="C58" i="9"/>
  <c r="B58" i="9"/>
  <c r="N57" i="9"/>
  <c r="M56" i="9"/>
  <c r="L56" i="9"/>
  <c r="K56" i="9"/>
  <c r="J56" i="9"/>
  <c r="I56" i="9"/>
  <c r="H56" i="9"/>
  <c r="G56" i="9"/>
  <c r="F56" i="9"/>
  <c r="E56" i="9"/>
  <c r="D56" i="9"/>
  <c r="C56" i="9"/>
  <c r="B56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N54" i="9"/>
  <c r="N53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M51" i="9"/>
  <c r="L51" i="9"/>
  <c r="K51" i="9"/>
  <c r="J51" i="9"/>
  <c r="I51" i="9"/>
  <c r="H51" i="9"/>
  <c r="G51" i="9"/>
  <c r="F51" i="9"/>
  <c r="E51" i="9"/>
  <c r="D51" i="9"/>
  <c r="C51" i="9"/>
  <c r="B51" i="9"/>
  <c r="N51" i="9" s="1"/>
  <c r="M50" i="9"/>
  <c r="L50" i="9"/>
  <c r="K50" i="9"/>
  <c r="J50" i="9"/>
  <c r="I50" i="9"/>
  <c r="H50" i="9"/>
  <c r="G50" i="9"/>
  <c r="F50" i="9"/>
  <c r="E50" i="9"/>
  <c r="D50" i="9"/>
  <c r="C50" i="9"/>
  <c r="B50" i="9"/>
  <c r="N49" i="9"/>
  <c r="N58" i="9" s="1"/>
  <c r="N48" i="9"/>
  <c r="N50" i="9" s="1"/>
  <c r="J45" i="9"/>
  <c r="I45" i="9"/>
  <c r="F45" i="9"/>
  <c r="E45" i="9"/>
  <c r="M44" i="9"/>
  <c r="M45" i="9" s="1"/>
  <c r="L44" i="9"/>
  <c r="L45" i="9" s="1"/>
  <c r="K44" i="9"/>
  <c r="K45" i="9" s="1"/>
  <c r="J44" i="9"/>
  <c r="I44" i="9"/>
  <c r="H44" i="9"/>
  <c r="H45" i="9" s="1"/>
  <c r="G44" i="9"/>
  <c r="G45" i="9" s="1"/>
  <c r="F44" i="9"/>
  <c r="E44" i="9"/>
  <c r="M43" i="9"/>
  <c r="L43" i="9"/>
  <c r="K43" i="9"/>
  <c r="J43" i="9"/>
  <c r="I43" i="9"/>
  <c r="H43" i="9"/>
  <c r="G43" i="9"/>
  <c r="F43" i="9"/>
  <c r="E43" i="9"/>
  <c r="D43" i="9"/>
  <c r="C43" i="9"/>
  <c r="B43" i="9"/>
  <c r="M41" i="9"/>
  <c r="L41" i="9"/>
  <c r="K41" i="9"/>
  <c r="J41" i="9"/>
  <c r="I41" i="9"/>
  <c r="H41" i="9"/>
  <c r="G41" i="9"/>
  <c r="F41" i="9"/>
  <c r="E41" i="9"/>
  <c r="D41" i="9"/>
  <c r="C41" i="9"/>
  <c r="B41" i="9"/>
  <c r="N41" i="9" s="1"/>
  <c r="E14" i="2" s="1"/>
  <c r="M40" i="9"/>
  <c r="L40" i="9"/>
  <c r="K40" i="9"/>
  <c r="J40" i="9"/>
  <c r="I40" i="9"/>
  <c r="H40" i="9"/>
  <c r="G40" i="9"/>
  <c r="F40" i="9"/>
  <c r="E40" i="9"/>
  <c r="D40" i="9"/>
  <c r="C40" i="9"/>
  <c r="B40" i="9"/>
  <c r="N40" i="9" s="1"/>
  <c r="D14" i="2" s="1"/>
  <c r="N39" i="9"/>
  <c r="C14" i="2" s="1"/>
  <c r="N38" i="9"/>
  <c r="M37" i="9"/>
  <c r="L37" i="9"/>
  <c r="K37" i="9"/>
  <c r="J37" i="9"/>
  <c r="I37" i="9"/>
  <c r="H37" i="9"/>
  <c r="G37" i="9"/>
  <c r="F37" i="9"/>
  <c r="E37" i="9"/>
  <c r="D37" i="9"/>
  <c r="C37" i="9"/>
  <c r="B37" i="9"/>
  <c r="M36" i="9"/>
  <c r="L36" i="9"/>
  <c r="K36" i="9"/>
  <c r="J36" i="9"/>
  <c r="I36" i="9"/>
  <c r="H36" i="9"/>
  <c r="G36" i="9"/>
  <c r="F36" i="9"/>
  <c r="E36" i="9"/>
  <c r="D36" i="9"/>
  <c r="C36" i="9"/>
  <c r="B36" i="9"/>
  <c r="M35" i="9"/>
  <c r="L35" i="9"/>
  <c r="K35" i="9"/>
  <c r="J35" i="9"/>
  <c r="I35" i="9"/>
  <c r="H35" i="9"/>
  <c r="G35" i="9"/>
  <c r="F35" i="9"/>
  <c r="E35" i="9"/>
  <c r="D35" i="9"/>
  <c r="C35" i="9"/>
  <c r="B35" i="9"/>
  <c r="N34" i="9"/>
  <c r="M30" i="9"/>
  <c r="E30" i="9"/>
  <c r="B30" i="9"/>
  <c r="M29" i="9"/>
  <c r="L29" i="9"/>
  <c r="L30" i="9" s="1"/>
  <c r="K29" i="9"/>
  <c r="K30" i="9" s="1"/>
  <c r="F29" i="9"/>
  <c r="F30" i="9" s="1"/>
  <c r="E29" i="9"/>
  <c r="C29" i="9"/>
  <c r="C30" i="9" s="1"/>
  <c r="M28" i="9"/>
  <c r="L28" i="9"/>
  <c r="K28" i="9"/>
  <c r="J28" i="9"/>
  <c r="I28" i="9"/>
  <c r="H28" i="9"/>
  <c r="G28" i="9"/>
  <c r="F28" i="9"/>
  <c r="E28" i="9"/>
  <c r="D28" i="9"/>
  <c r="C28" i="9"/>
  <c r="B28" i="9"/>
  <c r="M26" i="9"/>
  <c r="L26" i="9"/>
  <c r="K26" i="9"/>
  <c r="J26" i="9"/>
  <c r="I26" i="9"/>
  <c r="H26" i="9"/>
  <c r="G26" i="9"/>
  <c r="F26" i="9"/>
  <c r="E26" i="9"/>
  <c r="D26" i="9"/>
  <c r="C26" i="9"/>
  <c r="B26" i="9"/>
  <c r="N26" i="9" s="1"/>
  <c r="E13" i="2" s="1"/>
  <c r="M25" i="9"/>
  <c r="L25" i="9"/>
  <c r="K25" i="9"/>
  <c r="J25" i="9"/>
  <c r="I25" i="9"/>
  <c r="H25" i="9"/>
  <c r="G25" i="9"/>
  <c r="F25" i="9"/>
  <c r="N25" i="9" s="1"/>
  <c r="D13" i="2" s="1"/>
  <c r="E25" i="9"/>
  <c r="D25" i="9"/>
  <c r="B25" i="9"/>
  <c r="N24" i="9"/>
  <c r="C13" i="2" s="1"/>
  <c r="N23" i="9"/>
  <c r="M22" i="9"/>
  <c r="L22" i="9"/>
  <c r="K22" i="9"/>
  <c r="J22" i="9"/>
  <c r="I22" i="9"/>
  <c r="H22" i="9"/>
  <c r="G22" i="9"/>
  <c r="F22" i="9"/>
  <c r="E22" i="9"/>
  <c r="C22" i="9"/>
  <c r="B22" i="9"/>
  <c r="M21" i="9"/>
  <c r="L21" i="9"/>
  <c r="K21" i="9"/>
  <c r="J21" i="9"/>
  <c r="I21" i="9"/>
  <c r="H21" i="9"/>
  <c r="G21" i="9"/>
  <c r="F21" i="9"/>
  <c r="E21" i="9"/>
  <c r="D21" i="9"/>
  <c r="C21" i="9"/>
  <c r="B21" i="9"/>
  <c r="M20" i="9"/>
  <c r="L20" i="9"/>
  <c r="K20" i="9"/>
  <c r="J20" i="9"/>
  <c r="I20" i="9"/>
  <c r="H20" i="9"/>
  <c r="G20" i="9"/>
  <c r="F20" i="9"/>
  <c r="E20" i="9"/>
  <c r="D20" i="9"/>
  <c r="C20" i="9"/>
  <c r="B20" i="9"/>
  <c r="N19" i="9"/>
  <c r="M15" i="9"/>
  <c r="L15" i="9"/>
  <c r="K15" i="9"/>
  <c r="J15" i="9"/>
  <c r="I15" i="9"/>
  <c r="H15" i="9"/>
  <c r="G15" i="9"/>
  <c r="F15" i="9"/>
  <c r="E15" i="9"/>
  <c r="D15" i="9"/>
  <c r="C15" i="9"/>
  <c r="B15" i="9"/>
  <c r="N14" i="9"/>
  <c r="M13" i="9"/>
  <c r="L13" i="9"/>
  <c r="K13" i="9"/>
  <c r="J13" i="9"/>
  <c r="I13" i="9"/>
  <c r="H13" i="9"/>
  <c r="G13" i="9"/>
  <c r="F13" i="9"/>
  <c r="E13" i="9"/>
  <c r="D13" i="9"/>
  <c r="C13" i="9"/>
  <c r="B13" i="9"/>
  <c r="M11" i="9"/>
  <c r="L11" i="9"/>
  <c r="K11" i="9"/>
  <c r="J11" i="9"/>
  <c r="I11" i="9"/>
  <c r="H11" i="9"/>
  <c r="G11" i="9"/>
  <c r="F11" i="9"/>
  <c r="E11" i="9"/>
  <c r="D11" i="9"/>
  <c r="C11" i="9"/>
  <c r="B11" i="9"/>
  <c r="M10" i="9"/>
  <c r="L10" i="9"/>
  <c r="K10" i="9"/>
  <c r="J10" i="9"/>
  <c r="I10" i="9"/>
  <c r="H10" i="9"/>
  <c r="G10" i="9"/>
  <c r="F10" i="9"/>
  <c r="E10" i="9"/>
  <c r="D10" i="9"/>
  <c r="C10" i="9"/>
  <c r="B10" i="9"/>
  <c r="N9" i="9"/>
  <c r="C12" i="2" s="1"/>
  <c r="N8" i="9"/>
  <c r="N7" i="9" s="1"/>
  <c r="F12" i="2" s="1"/>
  <c r="M7" i="9"/>
  <c r="L7" i="9"/>
  <c r="K7" i="9"/>
  <c r="J7" i="9"/>
  <c r="I7" i="9"/>
  <c r="H7" i="9"/>
  <c r="G7" i="9"/>
  <c r="F7" i="9"/>
  <c r="E7" i="9"/>
  <c r="D7" i="9"/>
  <c r="C7" i="9"/>
  <c r="B7" i="9"/>
  <c r="M6" i="9"/>
  <c r="L6" i="9"/>
  <c r="K6" i="9"/>
  <c r="J6" i="9"/>
  <c r="I6" i="9"/>
  <c r="H6" i="9"/>
  <c r="G6" i="9"/>
  <c r="F6" i="9"/>
  <c r="E6" i="9"/>
  <c r="D6" i="9"/>
  <c r="C6" i="9"/>
  <c r="B6" i="9"/>
  <c r="M5" i="9"/>
  <c r="L5" i="9"/>
  <c r="K5" i="9"/>
  <c r="J5" i="9"/>
  <c r="I5" i="9"/>
  <c r="H5" i="9"/>
  <c r="G5" i="9"/>
  <c r="F5" i="9"/>
  <c r="E5" i="9"/>
  <c r="D5" i="9"/>
  <c r="C5" i="9"/>
  <c r="B5" i="9"/>
  <c r="N4" i="9"/>
  <c r="N13" i="9" s="1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N12" i="8"/>
  <c r="E18" i="2" s="1"/>
  <c r="M12" i="8"/>
  <c r="L12" i="8"/>
  <c r="K12" i="8"/>
  <c r="J12" i="8"/>
  <c r="I12" i="8"/>
  <c r="H12" i="8"/>
  <c r="G12" i="8"/>
  <c r="F12" i="8"/>
  <c r="E12" i="8"/>
  <c r="D12" i="8"/>
  <c r="C12" i="8"/>
  <c r="B12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N8" i="8"/>
  <c r="M8" i="8"/>
  <c r="L8" i="8"/>
  <c r="K8" i="8"/>
  <c r="J8" i="8"/>
  <c r="I8" i="8"/>
  <c r="H8" i="8"/>
  <c r="G8" i="8"/>
  <c r="F8" i="8"/>
  <c r="E8" i="8"/>
  <c r="D8" i="8"/>
  <c r="C8" i="8"/>
  <c r="B8" i="8"/>
  <c r="M7" i="8"/>
  <c r="L7" i="8"/>
  <c r="K7" i="8"/>
  <c r="J7" i="8"/>
  <c r="I7" i="8"/>
  <c r="H7" i="8"/>
  <c r="G7" i="8"/>
  <c r="F7" i="8"/>
  <c r="E7" i="8"/>
  <c r="D7" i="8"/>
  <c r="C7" i="8"/>
  <c r="B7" i="8"/>
  <c r="N6" i="8"/>
  <c r="M6" i="8"/>
  <c r="L6" i="8"/>
  <c r="K6" i="8"/>
  <c r="J6" i="8"/>
  <c r="I6" i="8"/>
  <c r="H6" i="8"/>
  <c r="G6" i="8"/>
  <c r="F6" i="8"/>
  <c r="E6" i="8"/>
  <c r="D6" i="8"/>
  <c r="C6" i="8"/>
  <c r="B6" i="8"/>
  <c r="N5" i="8"/>
  <c r="N3" i="8"/>
  <c r="M3" i="8"/>
  <c r="L3" i="8"/>
  <c r="O37" i="1" s="1"/>
  <c r="K3" i="8"/>
  <c r="J3" i="8"/>
  <c r="H3" i="8"/>
  <c r="G3" i="8"/>
  <c r="J37" i="1" s="1"/>
  <c r="J39" i="1" s="1"/>
  <c r="F3" i="8"/>
  <c r="I37" i="1" s="1"/>
  <c r="I39" i="1" s="1"/>
  <c r="E3" i="8"/>
  <c r="D3" i="8"/>
  <c r="C3" i="8"/>
  <c r="B3" i="8"/>
  <c r="N2" i="8"/>
  <c r="K62" i="7"/>
  <c r="J62" i="7"/>
  <c r="I62" i="7"/>
  <c r="G62" i="7"/>
  <c r="C62" i="7"/>
  <c r="M61" i="7"/>
  <c r="L61" i="7"/>
  <c r="K61" i="7"/>
  <c r="J61" i="7"/>
  <c r="I61" i="7"/>
  <c r="H61" i="7"/>
  <c r="G61" i="7"/>
  <c r="F61" i="7"/>
  <c r="E61" i="7"/>
  <c r="D61" i="7"/>
  <c r="C61" i="7"/>
  <c r="O61" i="7" s="1"/>
  <c r="O60" i="7"/>
  <c r="O59" i="7"/>
  <c r="O58" i="7"/>
  <c r="N57" i="7"/>
  <c r="L57" i="7"/>
  <c r="K57" i="7"/>
  <c r="J57" i="7"/>
  <c r="I57" i="7"/>
  <c r="C57" i="7"/>
  <c r="O56" i="7"/>
  <c r="N55" i="7"/>
  <c r="M55" i="7"/>
  <c r="J55" i="7"/>
  <c r="I55" i="7"/>
  <c r="E55" i="7"/>
  <c r="C55" i="7"/>
  <c r="N54" i="7"/>
  <c r="K54" i="7"/>
  <c r="J54" i="7"/>
  <c r="I54" i="7"/>
  <c r="C54" i="7"/>
  <c r="O53" i="7"/>
  <c r="N52" i="7"/>
  <c r="N62" i="7" s="1"/>
  <c r="M52" i="7"/>
  <c r="M54" i="7" s="1"/>
  <c r="L52" i="7"/>
  <c r="L55" i="7" s="1"/>
  <c r="K52" i="7"/>
  <c r="K55" i="7" s="1"/>
  <c r="J52" i="7"/>
  <c r="I52" i="7"/>
  <c r="H52" i="7"/>
  <c r="G52" i="7"/>
  <c r="G57" i="7" s="1"/>
  <c r="F52" i="7"/>
  <c r="E52" i="7"/>
  <c r="E51" i="7" s="1"/>
  <c r="G40" i="1" s="1"/>
  <c r="G42" i="1" s="1"/>
  <c r="D52" i="7"/>
  <c r="C52" i="7"/>
  <c r="N51" i="7"/>
  <c r="M51" i="7"/>
  <c r="J51" i="7"/>
  <c r="I51" i="7"/>
  <c r="C51" i="7"/>
  <c r="P47" i="7"/>
  <c r="P46" i="7"/>
  <c r="P45" i="7"/>
  <c r="P44" i="7"/>
  <c r="P43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2" i="7"/>
  <c r="P21" i="7"/>
  <c r="P20" i="7"/>
  <c r="P19" i="7"/>
  <c r="P18" i="7"/>
  <c r="P17" i="7"/>
  <c r="P16" i="7"/>
  <c r="P15" i="7"/>
  <c r="P14" i="7"/>
  <c r="P13" i="7"/>
  <c r="P11" i="7"/>
  <c r="P10" i="7"/>
  <c r="P9" i="7"/>
  <c r="P8" i="7"/>
  <c r="P7" i="7"/>
  <c r="P6" i="7"/>
  <c r="P5" i="7"/>
  <c r="P4" i="7"/>
  <c r="P3" i="7"/>
  <c r="N90" i="5"/>
  <c r="M90" i="5"/>
  <c r="D90" i="5"/>
  <c r="M89" i="5"/>
  <c r="L89" i="5"/>
  <c r="K89" i="5"/>
  <c r="J89" i="5"/>
  <c r="I89" i="5"/>
  <c r="H89" i="5"/>
  <c r="G89" i="5"/>
  <c r="F89" i="5"/>
  <c r="E89" i="5"/>
  <c r="D89" i="5"/>
  <c r="C89" i="5"/>
  <c r="O87" i="5"/>
  <c r="O86" i="5"/>
  <c r="M85" i="5"/>
  <c r="E85" i="5"/>
  <c r="D85" i="5"/>
  <c r="C85" i="5"/>
  <c r="O84" i="5"/>
  <c r="N83" i="5"/>
  <c r="M83" i="5"/>
  <c r="E83" i="5"/>
  <c r="N82" i="5"/>
  <c r="M82" i="5"/>
  <c r="N81" i="5"/>
  <c r="N85" i="5" s="1"/>
  <c r="M81" i="5"/>
  <c r="L81" i="5"/>
  <c r="K81" i="5"/>
  <c r="J81" i="5"/>
  <c r="J90" i="5" s="1"/>
  <c r="I81" i="5"/>
  <c r="H81" i="5"/>
  <c r="G81" i="5"/>
  <c r="F81" i="5"/>
  <c r="E81" i="5"/>
  <c r="E82" i="5" s="1"/>
  <c r="D81" i="5"/>
  <c r="D83" i="5" s="1"/>
  <c r="C81" i="5"/>
  <c r="C83" i="5" s="1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29" i="5"/>
  <c r="G10" i="2" s="1"/>
  <c r="P26" i="5"/>
  <c r="P22" i="5"/>
  <c r="C20" i="5"/>
  <c r="C18" i="5"/>
  <c r="P17" i="5"/>
  <c r="P16" i="5"/>
  <c r="P15" i="5"/>
  <c r="P14" i="5"/>
  <c r="E10" i="2" s="1"/>
  <c r="P13" i="5"/>
  <c r="D10" i="2" s="1"/>
  <c r="P12" i="5"/>
  <c r="P11" i="5"/>
  <c r="P10" i="5"/>
  <c r="F10" i="2" s="1"/>
  <c r="P9" i="5"/>
  <c r="P8" i="5"/>
  <c r="P7" i="5"/>
  <c r="P6" i="5"/>
  <c r="P5" i="5"/>
  <c r="C10" i="2" s="1"/>
  <c r="P4" i="5"/>
  <c r="B10" i="2" s="1"/>
  <c r="P3" i="5"/>
  <c r="H10" i="2" s="1"/>
  <c r="T73" i="4"/>
  <c r="S73" i="4"/>
  <c r="N73" i="4"/>
  <c r="S72" i="4"/>
  <c r="T71" i="4"/>
  <c r="S71" i="4"/>
  <c r="C71" i="4"/>
  <c r="S70" i="4"/>
  <c r="N69" i="4"/>
  <c r="N68" i="4"/>
  <c r="T66" i="4"/>
  <c r="S66" i="4"/>
  <c r="N66" i="4"/>
  <c r="S65" i="4"/>
  <c r="N65" i="4"/>
  <c r="T64" i="4"/>
  <c r="S64" i="4"/>
  <c r="N64" i="4"/>
  <c r="S63" i="4"/>
  <c r="S67" i="4" s="1"/>
  <c r="N61" i="4"/>
  <c r="M60" i="4"/>
  <c r="L60" i="4"/>
  <c r="K60" i="4"/>
  <c r="J60" i="4"/>
  <c r="I60" i="4"/>
  <c r="H60" i="4"/>
  <c r="G60" i="4"/>
  <c r="F60" i="4"/>
  <c r="E60" i="4"/>
  <c r="D60" i="4"/>
  <c r="C60" i="4"/>
  <c r="B60" i="4"/>
  <c r="N60" i="4" s="1"/>
  <c r="M59" i="4"/>
  <c r="L59" i="4"/>
  <c r="K59" i="4"/>
  <c r="J59" i="4"/>
  <c r="I59" i="4"/>
  <c r="H59" i="4"/>
  <c r="G59" i="4"/>
  <c r="F59" i="4"/>
  <c r="E59" i="4"/>
  <c r="D59" i="4"/>
  <c r="C59" i="4"/>
  <c r="B59" i="4"/>
  <c r="M55" i="4"/>
  <c r="L55" i="4"/>
  <c r="K55" i="4"/>
  <c r="J55" i="4"/>
  <c r="I55" i="4"/>
  <c r="H55" i="4"/>
  <c r="G55" i="4"/>
  <c r="F55" i="4"/>
  <c r="E55" i="4"/>
  <c r="D55" i="4"/>
  <c r="C55" i="4"/>
  <c r="B55" i="4"/>
  <c r="N54" i="4"/>
  <c r="M53" i="4"/>
  <c r="L53" i="4"/>
  <c r="K53" i="4"/>
  <c r="J53" i="4"/>
  <c r="I53" i="4"/>
  <c r="H53" i="4"/>
  <c r="G53" i="4"/>
  <c r="F53" i="4"/>
  <c r="E53" i="4"/>
  <c r="D53" i="4"/>
  <c r="C53" i="4"/>
  <c r="B53" i="4"/>
  <c r="M52" i="4"/>
  <c r="L52" i="4"/>
  <c r="K52" i="4"/>
  <c r="J52" i="4"/>
  <c r="I52" i="4"/>
  <c r="H52" i="4"/>
  <c r="G52" i="4"/>
  <c r="F52" i="4"/>
  <c r="E52" i="4"/>
  <c r="D52" i="4"/>
  <c r="C52" i="4"/>
  <c r="B52" i="4"/>
  <c r="N51" i="4"/>
  <c r="N50" i="4"/>
  <c r="M49" i="4"/>
  <c r="L49" i="4"/>
  <c r="K49" i="4"/>
  <c r="J49" i="4"/>
  <c r="I49" i="4"/>
  <c r="H49" i="4"/>
  <c r="G49" i="4"/>
  <c r="F49" i="4"/>
  <c r="E49" i="4"/>
  <c r="D49" i="4"/>
  <c r="C49" i="4"/>
  <c r="B49" i="4"/>
  <c r="M48" i="4"/>
  <c r="L48" i="4"/>
  <c r="K48" i="4"/>
  <c r="J48" i="4"/>
  <c r="I48" i="4"/>
  <c r="H48" i="4"/>
  <c r="G48" i="4"/>
  <c r="F48" i="4"/>
  <c r="E48" i="4"/>
  <c r="D48" i="4"/>
  <c r="C48" i="4"/>
  <c r="B48" i="4"/>
  <c r="N48" i="4" s="1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N45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N36" i="4"/>
  <c r="M35" i="4"/>
  <c r="L35" i="4"/>
  <c r="K35" i="4"/>
  <c r="J35" i="4"/>
  <c r="I35" i="4"/>
  <c r="H35" i="4"/>
  <c r="G35" i="4"/>
  <c r="F35" i="4"/>
  <c r="E35" i="4"/>
  <c r="D35" i="4"/>
  <c r="C35" i="4"/>
  <c r="B35" i="4"/>
  <c r="M34" i="4"/>
  <c r="L34" i="4"/>
  <c r="K34" i="4"/>
  <c r="J34" i="4"/>
  <c r="I34" i="4"/>
  <c r="H34" i="4"/>
  <c r="G34" i="4"/>
  <c r="F34" i="4"/>
  <c r="E34" i="4"/>
  <c r="D34" i="4"/>
  <c r="C34" i="4"/>
  <c r="B34" i="4"/>
  <c r="N34" i="4" s="1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N31" i="4"/>
  <c r="N28" i="4"/>
  <c r="M25" i="4"/>
  <c r="L25" i="4"/>
  <c r="K25" i="4"/>
  <c r="J25" i="4"/>
  <c r="I25" i="4"/>
  <c r="H25" i="4"/>
  <c r="G25" i="4"/>
  <c r="F25" i="4"/>
  <c r="E25" i="4"/>
  <c r="D25" i="4"/>
  <c r="C25" i="4"/>
  <c r="B25" i="4"/>
  <c r="L24" i="4"/>
  <c r="K24" i="4"/>
  <c r="J24" i="4"/>
  <c r="I24" i="4"/>
  <c r="H24" i="4"/>
  <c r="N24" i="4" s="1"/>
  <c r="G24" i="4"/>
  <c r="F24" i="4"/>
  <c r="E24" i="4"/>
  <c r="D24" i="4"/>
  <c r="C24" i="4"/>
  <c r="B24" i="4"/>
  <c r="N23" i="4"/>
  <c r="N21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N18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N15" i="4"/>
  <c r="M14" i="4"/>
  <c r="M63" i="4" s="1"/>
  <c r="M67" i="4" s="1"/>
  <c r="M72" i="4" s="1"/>
  <c r="M74" i="4" s="1"/>
  <c r="L14" i="4"/>
  <c r="K14" i="4"/>
  <c r="J14" i="4"/>
  <c r="I14" i="4"/>
  <c r="H14" i="4"/>
  <c r="G14" i="4"/>
  <c r="G4" i="4" s="1"/>
  <c r="G8" i="4" s="1"/>
  <c r="F14" i="4"/>
  <c r="F63" i="4" s="1"/>
  <c r="F67" i="4" s="1"/>
  <c r="E14" i="4"/>
  <c r="E63" i="4" s="1"/>
  <c r="E67" i="4" s="1"/>
  <c r="E70" i="4" s="1"/>
  <c r="D14" i="4"/>
  <c r="C14" i="4"/>
  <c r="C63" i="4" s="1"/>
  <c r="C67" i="4" s="1"/>
  <c r="B14" i="4"/>
  <c r="B63" i="4" s="1"/>
  <c r="B67" i="4" s="1"/>
  <c r="M13" i="4"/>
  <c r="L13" i="4"/>
  <c r="K13" i="4"/>
  <c r="J13" i="4"/>
  <c r="I13" i="4"/>
  <c r="H13" i="4"/>
  <c r="G13" i="4"/>
  <c r="F13" i="4"/>
  <c r="E13" i="4"/>
  <c r="D13" i="4"/>
  <c r="C13" i="4"/>
  <c r="B13" i="4"/>
  <c r="M12" i="4"/>
  <c r="L12" i="4"/>
  <c r="K12" i="4"/>
  <c r="J12" i="4"/>
  <c r="I12" i="4"/>
  <c r="G12" i="4"/>
  <c r="F12" i="4"/>
  <c r="E12" i="4"/>
  <c r="D12" i="4"/>
  <c r="C12" i="4"/>
  <c r="B12" i="4"/>
  <c r="N11" i="4"/>
  <c r="C9" i="2" s="1"/>
  <c r="N10" i="4"/>
  <c r="B9" i="2" s="1"/>
  <c r="M9" i="4"/>
  <c r="L9" i="4"/>
  <c r="K9" i="4"/>
  <c r="J9" i="4"/>
  <c r="I9" i="4"/>
  <c r="H9" i="4"/>
  <c r="G9" i="4"/>
  <c r="F9" i="4"/>
  <c r="E9" i="4"/>
  <c r="D9" i="4"/>
  <c r="C9" i="4"/>
  <c r="B9" i="4"/>
  <c r="B8" i="4"/>
  <c r="N5" i="4"/>
  <c r="M4" i="4"/>
  <c r="M8" i="4" s="1"/>
  <c r="C4" i="4"/>
  <c r="C27" i="4" s="1"/>
  <c r="B4" i="4"/>
  <c r="N97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M94" i="3"/>
  <c r="L94" i="3"/>
  <c r="K94" i="3"/>
  <c r="J94" i="3"/>
  <c r="I94" i="3"/>
  <c r="H94" i="3"/>
  <c r="G94" i="3"/>
  <c r="F94" i="3"/>
  <c r="E94" i="3"/>
  <c r="D94" i="3"/>
  <c r="C94" i="3"/>
  <c r="B94" i="3"/>
  <c r="M93" i="3"/>
  <c r="L93" i="3"/>
  <c r="K93" i="3"/>
  <c r="J93" i="3"/>
  <c r="I93" i="3"/>
  <c r="H93" i="3"/>
  <c r="G93" i="3"/>
  <c r="F93" i="3"/>
  <c r="E93" i="3"/>
  <c r="D93" i="3"/>
  <c r="C93" i="3"/>
  <c r="B93" i="3"/>
  <c r="N92" i="3"/>
  <c r="N91" i="3"/>
  <c r="B8" i="2" s="1"/>
  <c r="M90" i="3"/>
  <c r="L90" i="3"/>
  <c r="K90" i="3"/>
  <c r="J90" i="3"/>
  <c r="I90" i="3"/>
  <c r="H90" i="3"/>
  <c r="G90" i="3"/>
  <c r="F90" i="3"/>
  <c r="E90" i="3"/>
  <c r="D90" i="3"/>
  <c r="C90" i="3"/>
  <c r="B90" i="3"/>
  <c r="M89" i="3"/>
  <c r="L89" i="3"/>
  <c r="K89" i="3"/>
  <c r="J89" i="3"/>
  <c r="I89" i="3"/>
  <c r="H89" i="3"/>
  <c r="G89" i="3"/>
  <c r="F89" i="3"/>
  <c r="E89" i="3"/>
  <c r="D89" i="3"/>
  <c r="C89" i="3"/>
  <c r="B89" i="3"/>
  <c r="N89" i="3" s="1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N86" i="3"/>
  <c r="N83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M80" i="3"/>
  <c r="L80" i="3"/>
  <c r="K80" i="3"/>
  <c r="J80" i="3"/>
  <c r="I80" i="3"/>
  <c r="H80" i="3"/>
  <c r="G80" i="3"/>
  <c r="F80" i="3"/>
  <c r="E80" i="3"/>
  <c r="D80" i="3"/>
  <c r="C80" i="3"/>
  <c r="B80" i="3"/>
  <c r="M79" i="3"/>
  <c r="L79" i="3"/>
  <c r="K79" i="3"/>
  <c r="J79" i="3"/>
  <c r="I79" i="3"/>
  <c r="H79" i="3"/>
  <c r="G79" i="3"/>
  <c r="F79" i="3"/>
  <c r="E79" i="3"/>
  <c r="D79" i="3"/>
  <c r="C79" i="3"/>
  <c r="B79" i="3"/>
  <c r="N78" i="3"/>
  <c r="N80" i="3" s="1"/>
  <c r="E7" i="2" s="1"/>
  <c r="N77" i="3"/>
  <c r="M76" i="3"/>
  <c r="L76" i="3"/>
  <c r="K76" i="3"/>
  <c r="J76" i="3"/>
  <c r="I76" i="3"/>
  <c r="H76" i="3"/>
  <c r="G76" i="3"/>
  <c r="F76" i="3"/>
  <c r="E76" i="3"/>
  <c r="D76" i="3"/>
  <c r="C76" i="3"/>
  <c r="B76" i="3"/>
  <c r="M75" i="3"/>
  <c r="L75" i="3"/>
  <c r="K75" i="3"/>
  <c r="J75" i="3"/>
  <c r="I75" i="3"/>
  <c r="H75" i="3"/>
  <c r="G75" i="3"/>
  <c r="F75" i="3"/>
  <c r="E75" i="3"/>
  <c r="D75" i="3"/>
  <c r="C75" i="3"/>
  <c r="B75" i="3"/>
  <c r="M74" i="3"/>
  <c r="L74" i="3"/>
  <c r="K74" i="3"/>
  <c r="J74" i="3"/>
  <c r="I74" i="3"/>
  <c r="H74" i="3"/>
  <c r="G74" i="3"/>
  <c r="F74" i="3"/>
  <c r="E74" i="3"/>
  <c r="D74" i="3"/>
  <c r="C74" i="3"/>
  <c r="B74" i="3"/>
  <c r="N72" i="3"/>
  <c r="N74" i="3" s="1"/>
  <c r="N69" i="3"/>
  <c r="M68" i="3"/>
  <c r="L68" i="3"/>
  <c r="K68" i="3"/>
  <c r="J68" i="3"/>
  <c r="I68" i="3"/>
  <c r="H68" i="3"/>
  <c r="G68" i="3"/>
  <c r="F68" i="3"/>
  <c r="E68" i="3"/>
  <c r="D68" i="3"/>
  <c r="C68" i="3"/>
  <c r="B68" i="3"/>
  <c r="M66" i="3"/>
  <c r="L66" i="3"/>
  <c r="K66" i="3"/>
  <c r="J66" i="3"/>
  <c r="I66" i="3"/>
  <c r="H66" i="3"/>
  <c r="G66" i="3"/>
  <c r="F66" i="3"/>
  <c r="E66" i="3"/>
  <c r="D66" i="3"/>
  <c r="C66" i="3"/>
  <c r="B66" i="3"/>
  <c r="M65" i="3"/>
  <c r="L65" i="3"/>
  <c r="K65" i="3"/>
  <c r="J65" i="3"/>
  <c r="I65" i="3"/>
  <c r="H65" i="3"/>
  <c r="G65" i="3"/>
  <c r="F65" i="3"/>
  <c r="E65" i="3"/>
  <c r="D65" i="3"/>
  <c r="C65" i="3"/>
  <c r="B65" i="3"/>
  <c r="N64" i="3"/>
  <c r="C6" i="2" s="1"/>
  <c r="N63" i="3"/>
  <c r="M62" i="3"/>
  <c r="L62" i="3"/>
  <c r="K62" i="3"/>
  <c r="J62" i="3"/>
  <c r="I62" i="3"/>
  <c r="H62" i="3"/>
  <c r="G62" i="3"/>
  <c r="F62" i="3"/>
  <c r="E62" i="3"/>
  <c r="D62" i="3"/>
  <c r="C62" i="3"/>
  <c r="B62" i="3"/>
  <c r="M61" i="3"/>
  <c r="L61" i="3"/>
  <c r="K61" i="3"/>
  <c r="J61" i="3"/>
  <c r="I61" i="3"/>
  <c r="H61" i="3"/>
  <c r="G61" i="3"/>
  <c r="F61" i="3"/>
  <c r="E61" i="3"/>
  <c r="D61" i="3"/>
  <c r="C61" i="3"/>
  <c r="B61" i="3"/>
  <c r="M60" i="3"/>
  <c r="L60" i="3"/>
  <c r="J60" i="3"/>
  <c r="I60" i="3"/>
  <c r="H60" i="3"/>
  <c r="G60" i="3"/>
  <c r="F60" i="3"/>
  <c r="E60" i="3"/>
  <c r="D60" i="3"/>
  <c r="C60" i="3"/>
  <c r="B60" i="3"/>
  <c r="N59" i="3"/>
  <c r="N55" i="3"/>
  <c r="M52" i="3"/>
  <c r="L52" i="3"/>
  <c r="K52" i="3"/>
  <c r="J52" i="3"/>
  <c r="I52" i="3"/>
  <c r="H52" i="3"/>
  <c r="G52" i="3"/>
  <c r="F52" i="3"/>
  <c r="E52" i="3"/>
  <c r="D52" i="3"/>
  <c r="C52" i="3"/>
  <c r="B52" i="3"/>
  <c r="N51" i="3"/>
  <c r="N50" i="3"/>
  <c r="M49" i="3"/>
  <c r="L49" i="3"/>
  <c r="K49" i="3"/>
  <c r="J49" i="3"/>
  <c r="I49" i="3"/>
  <c r="H49" i="3"/>
  <c r="G49" i="3"/>
  <c r="F49" i="3"/>
  <c r="E49" i="3"/>
  <c r="D49" i="3"/>
  <c r="C49" i="3"/>
  <c r="B49" i="3"/>
  <c r="M48" i="3"/>
  <c r="L48" i="3"/>
  <c r="K48" i="3"/>
  <c r="J48" i="3"/>
  <c r="I48" i="3"/>
  <c r="H48" i="3"/>
  <c r="G48" i="3"/>
  <c r="F48" i="3"/>
  <c r="E48" i="3"/>
  <c r="D48" i="3"/>
  <c r="C48" i="3"/>
  <c r="B48" i="3"/>
  <c r="N47" i="3"/>
  <c r="C5" i="2" s="1"/>
  <c r="N46" i="3"/>
  <c r="N45" i="3" s="1"/>
  <c r="F5" i="2" s="1"/>
  <c r="M45" i="3"/>
  <c r="L45" i="3"/>
  <c r="K45" i="3"/>
  <c r="J45" i="3"/>
  <c r="I45" i="3"/>
  <c r="H45" i="3"/>
  <c r="G45" i="3"/>
  <c r="F45" i="3"/>
  <c r="E45" i="3"/>
  <c r="D45" i="3"/>
  <c r="C45" i="3"/>
  <c r="B45" i="3"/>
  <c r="D44" i="3"/>
  <c r="C44" i="3"/>
  <c r="L43" i="3"/>
  <c r="D43" i="3"/>
  <c r="C43" i="3"/>
  <c r="N41" i="3"/>
  <c r="N43" i="3" s="1"/>
  <c r="M40" i="3"/>
  <c r="M54" i="3" s="1"/>
  <c r="L40" i="3"/>
  <c r="L44" i="3" s="1"/>
  <c r="K40" i="3"/>
  <c r="J40" i="3"/>
  <c r="I40" i="3"/>
  <c r="I44" i="3" s="1"/>
  <c r="H40" i="3"/>
  <c r="H54" i="3" s="1"/>
  <c r="G40" i="3"/>
  <c r="G43" i="3" s="1"/>
  <c r="F40" i="3"/>
  <c r="E40" i="3"/>
  <c r="E54" i="3" s="1"/>
  <c r="D40" i="3"/>
  <c r="D54" i="3" s="1"/>
  <c r="C40" i="3"/>
  <c r="C54" i="3" s="1"/>
  <c r="B40" i="3"/>
  <c r="N36" i="3"/>
  <c r="M33" i="3"/>
  <c r="L33" i="3"/>
  <c r="K33" i="3"/>
  <c r="J33" i="3"/>
  <c r="I33" i="3"/>
  <c r="H33" i="3"/>
  <c r="G33" i="3"/>
  <c r="F33" i="3"/>
  <c r="E33" i="3"/>
  <c r="D33" i="3"/>
  <c r="C33" i="3"/>
  <c r="B33" i="3"/>
  <c r="N32" i="3"/>
  <c r="N31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N28" i="3"/>
  <c r="M27" i="3"/>
  <c r="L27" i="3"/>
  <c r="K27" i="3"/>
  <c r="K17" i="3" s="1"/>
  <c r="K4" i="3" s="1"/>
  <c r="J27" i="3"/>
  <c r="J17" i="3" s="1"/>
  <c r="J20" i="3" s="1"/>
  <c r="I27" i="3"/>
  <c r="I17" i="3" s="1"/>
  <c r="I20" i="3" s="1"/>
  <c r="H27" i="3"/>
  <c r="H17" i="3" s="1"/>
  <c r="G27" i="3"/>
  <c r="G17" i="3" s="1"/>
  <c r="F27" i="3"/>
  <c r="F17" i="3" s="1"/>
  <c r="I4" i="1" s="1"/>
  <c r="E27" i="3"/>
  <c r="E17" i="3" s="1"/>
  <c r="E35" i="3" s="1"/>
  <c r="D27" i="3"/>
  <c r="C27" i="3"/>
  <c r="C17" i="3" s="1"/>
  <c r="B27" i="3"/>
  <c r="M26" i="3"/>
  <c r="L26" i="3"/>
  <c r="K26" i="3"/>
  <c r="J26" i="3"/>
  <c r="I26" i="3"/>
  <c r="H26" i="3"/>
  <c r="G26" i="3"/>
  <c r="F26" i="3"/>
  <c r="E26" i="3"/>
  <c r="D26" i="3"/>
  <c r="C26" i="3"/>
  <c r="B26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C4" i="2" s="1"/>
  <c r="N23" i="3"/>
  <c r="M22" i="3"/>
  <c r="L22" i="3"/>
  <c r="K22" i="3"/>
  <c r="J22" i="3"/>
  <c r="I22" i="3"/>
  <c r="H22" i="3"/>
  <c r="G22" i="3"/>
  <c r="F22" i="3"/>
  <c r="E22" i="3"/>
  <c r="D22" i="3"/>
  <c r="C22" i="3"/>
  <c r="B22" i="3"/>
  <c r="B20" i="3"/>
  <c r="N18" i="3"/>
  <c r="N20" i="3" s="1"/>
  <c r="M17" i="3"/>
  <c r="L17" i="3"/>
  <c r="L20" i="3" s="1"/>
  <c r="D17" i="3"/>
  <c r="D35" i="3" s="1"/>
  <c r="B17" i="3"/>
  <c r="B35" i="3" s="1"/>
  <c r="N12" i="3"/>
  <c r="L12" i="3"/>
  <c r="K12" i="3"/>
  <c r="J12" i="3"/>
  <c r="I12" i="3"/>
  <c r="H12" i="3"/>
  <c r="G12" i="3"/>
  <c r="F12" i="3"/>
  <c r="E12" i="3"/>
  <c r="D12" i="3"/>
  <c r="C12" i="3"/>
  <c r="B12" i="3"/>
  <c r="N11" i="3"/>
  <c r="N10" i="3"/>
  <c r="N9" i="3"/>
  <c r="M7" i="3"/>
  <c r="L7" i="3"/>
  <c r="K7" i="3"/>
  <c r="J7" i="3"/>
  <c r="I7" i="3"/>
  <c r="H7" i="3"/>
  <c r="G7" i="3"/>
  <c r="F7" i="3"/>
  <c r="E7" i="3"/>
  <c r="D7" i="3"/>
  <c r="C7" i="3"/>
  <c r="B7" i="3"/>
  <c r="N7" i="3" s="1"/>
  <c r="M64" i="1" s="1"/>
  <c r="M69" i="1" s="1"/>
  <c r="R69" i="1" s="1"/>
  <c r="M4" i="3"/>
  <c r="M13" i="3" s="1"/>
  <c r="D4" i="3"/>
  <c r="D5" i="3" s="1"/>
  <c r="M3" i="3"/>
  <c r="L3" i="3"/>
  <c r="K3" i="3"/>
  <c r="J3" i="3"/>
  <c r="I3" i="3"/>
  <c r="H3" i="3"/>
  <c r="G3" i="3"/>
  <c r="E3" i="3"/>
  <c r="D3" i="3"/>
  <c r="C3" i="3"/>
  <c r="B3" i="3"/>
  <c r="N3" i="3" s="1"/>
  <c r="H18" i="2"/>
  <c r="G18" i="2"/>
  <c r="F18" i="2"/>
  <c r="D18" i="2"/>
  <c r="C18" i="2"/>
  <c r="B18" i="2"/>
  <c r="H16" i="2"/>
  <c r="G16" i="2"/>
  <c r="C16" i="2"/>
  <c r="H15" i="2"/>
  <c r="G15" i="2"/>
  <c r="F15" i="2"/>
  <c r="D15" i="2"/>
  <c r="C15" i="2"/>
  <c r="B15" i="2"/>
  <c r="G14" i="2"/>
  <c r="B12" i="2"/>
  <c r="H11" i="2"/>
  <c r="G11" i="2"/>
  <c r="F11" i="2"/>
  <c r="E11" i="2"/>
  <c r="D11" i="2"/>
  <c r="C11" i="2"/>
  <c r="B11" i="2"/>
  <c r="H8" i="2"/>
  <c r="G8" i="2"/>
  <c r="H7" i="2"/>
  <c r="G7" i="2"/>
  <c r="B7" i="2"/>
  <c r="Q69" i="1"/>
  <c r="P69" i="1"/>
  <c r="N69" i="1"/>
  <c r="Q66" i="1"/>
  <c r="P66" i="1"/>
  <c r="N64" i="1"/>
  <c r="Q63" i="1"/>
  <c r="L59" i="1"/>
  <c r="H59" i="1"/>
  <c r="P57" i="1"/>
  <c r="O57" i="1"/>
  <c r="N57" i="1"/>
  <c r="M57" i="1"/>
  <c r="L57" i="1"/>
  <c r="K57" i="1"/>
  <c r="J57" i="1"/>
  <c r="I57" i="1"/>
  <c r="H57" i="1"/>
  <c r="G57" i="1"/>
  <c r="E57" i="1"/>
  <c r="Q57" i="1" s="1"/>
  <c r="Q56" i="1"/>
  <c r="Q55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Q53" i="1"/>
  <c r="Q52" i="1"/>
  <c r="P51" i="1"/>
  <c r="O51" i="1"/>
  <c r="N51" i="1"/>
  <c r="M51" i="1"/>
  <c r="L51" i="1"/>
  <c r="K51" i="1"/>
  <c r="J51" i="1"/>
  <c r="I51" i="1"/>
  <c r="H51" i="1"/>
  <c r="G51" i="1"/>
  <c r="F51" i="1"/>
  <c r="E51" i="1"/>
  <c r="Q50" i="1"/>
  <c r="Q51" i="1" s="1"/>
  <c r="Q49" i="1"/>
  <c r="E48" i="1"/>
  <c r="Q47" i="1"/>
  <c r="Q46" i="1"/>
  <c r="Q48" i="1" s="1"/>
  <c r="J45" i="1"/>
  <c r="G45" i="1"/>
  <c r="F45" i="1"/>
  <c r="Q44" i="1"/>
  <c r="P43" i="1"/>
  <c r="P45" i="1" s="1"/>
  <c r="O43" i="1"/>
  <c r="O45" i="1" s="1"/>
  <c r="N43" i="1"/>
  <c r="N45" i="1" s="1"/>
  <c r="M43" i="1"/>
  <c r="M45" i="1" s="1"/>
  <c r="L43" i="1"/>
  <c r="L45" i="1" s="1"/>
  <c r="K43" i="1"/>
  <c r="K45" i="1" s="1"/>
  <c r="J43" i="1"/>
  <c r="I43" i="1"/>
  <c r="I45" i="1" s="1"/>
  <c r="H43" i="1"/>
  <c r="H45" i="1" s="1"/>
  <c r="G43" i="1"/>
  <c r="E43" i="1"/>
  <c r="E45" i="1" s="1"/>
  <c r="P41" i="1"/>
  <c r="P42" i="1" s="1"/>
  <c r="O41" i="1"/>
  <c r="O42" i="1" s="1"/>
  <c r="N41" i="1"/>
  <c r="M41" i="1"/>
  <c r="L41" i="1"/>
  <c r="L42" i="1" s="1"/>
  <c r="K41" i="1"/>
  <c r="J41" i="1"/>
  <c r="I41" i="1"/>
  <c r="H41" i="1"/>
  <c r="G41" i="1"/>
  <c r="F41" i="1"/>
  <c r="E41" i="1"/>
  <c r="Q41" i="1" s="1"/>
  <c r="P40" i="1"/>
  <c r="O40" i="1"/>
  <c r="L40" i="1"/>
  <c r="K40" i="1"/>
  <c r="K42" i="1" s="1"/>
  <c r="E40" i="1"/>
  <c r="E42" i="1" s="1"/>
  <c r="O39" i="1"/>
  <c r="F39" i="1"/>
  <c r="E39" i="1"/>
  <c r="Q38" i="1"/>
  <c r="P37" i="1"/>
  <c r="P39" i="1" s="1"/>
  <c r="N37" i="1"/>
  <c r="N39" i="1" s="1"/>
  <c r="M37" i="1"/>
  <c r="M39" i="1" s="1"/>
  <c r="L37" i="1"/>
  <c r="L39" i="1" s="1"/>
  <c r="K37" i="1"/>
  <c r="K39" i="1" s="1"/>
  <c r="H37" i="1"/>
  <c r="H39" i="1" s="1"/>
  <c r="G37" i="1"/>
  <c r="G39" i="1" s="1"/>
  <c r="F37" i="1"/>
  <c r="E37" i="1"/>
  <c r="P35" i="1"/>
  <c r="O35" i="1"/>
  <c r="N35" i="1"/>
  <c r="M35" i="1"/>
  <c r="L35" i="1"/>
  <c r="K35" i="1"/>
  <c r="K36" i="1" s="1"/>
  <c r="J35" i="1"/>
  <c r="I35" i="1"/>
  <c r="H35" i="1"/>
  <c r="G35" i="1"/>
  <c r="F35" i="1"/>
  <c r="E35" i="1"/>
  <c r="E36" i="1" s="1"/>
  <c r="N34" i="1"/>
  <c r="N36" i="1" s="1"/>
  <c r="M34" i="1"/>
  <c r="M36" i="1" s="1"/>
  <c r="L34" i="1"/>
  <c r="L36" i="1" s="1"/>
  <c r="K34" i="1"/>
  <c r="I34" i="1"/>
  <c r="I36" i="1" s="1"/>
  <c r="E34" i="1"/>
  <c r="Q32" i="1"/>
  <c r="P30" i="1"/>
  <c r="O30" i="1"/>
  <c r="N30" i="1"/>
  <c r="N31" i="1" s="1"/>
  <c r="N33" i="1" s="1"/>
  <c r="M30" i="1"/>
  <c r="L30" i="1"/>
  <c r="K30" i="1"/>
  <c r="J30" i="1"/>
  <c r="I30" i="1"/>
  <c r="H30" i="1"/>
  <c r="G30" i="1"/>
  <c r="F30" i="1"/>
  <c r="E30" i="1"/>
  <c r="Q30" i="1" s="1"/>
  <c r="P29" i="1"/>
  <c r="O29" i="1"/>
  <c r="O31" i="1" s="1"/>
  <c r="O33" i="1" s="1"/>
  <c r="N29" i="1"/>
  <c r="M29" i="1"/>
  <c r="L29" i="1"/>
  <c r="K29" i="1"/>
  <c r="J29" i="1"/>
  <c r="I29" i="1"/>
  <c r="H29" i="1"/>
  <c r="G29" i="1"/>
  <c r="G31" i="1" s="1"/>
  <c r="G33" i="1" s="1"/>
  <c r="F29" i="1"/>
  <c r="E29" i="1"/>
  <c r="Q29" i="1" s="1"/>
  <c r="P28" i="1"/>
  <c r="O28" i="1"/>
  <c r="N28" i="1"/>
  <c r="M28" i="1"/>
  <c r="M31" i="1" s="1"/>
  <c r="M33" i="1" s="1"/>
  <c r="L28" i="1"/>
  <c r="K28" i="1"/>
  <c r="K31" i="1" s="1"/>
  <c r="K33" i="1" s="1"/>
  <c r="J28" i="1"/>
  <c r="I28" i="1"/>
  <c r="H28" i="1"/>
  <c r="H31" i="1" s="1"/>
  <c r="H33" i="1" s="1"/>
  <c r="G28" i="1"/>
  <c r="F28" i="1"/>
  <c r="E28" i="1"/>
  <c r="Q28" i="1" s="1"/>
  <c r="P27" i="1"/>
  <c r="P31" i="1" s="1"/>
  <c r="P33" i="1" s="1"/>
  <c r="O27" i="1"/>
  <c r="N27" i="1"/>
  <c r="M27" i="1"/>
  <c r="L27" i="1"/>
  <c r="L31" i="1" s="1"/>
  <c r="L33" i="1" s="1"/>
  <c r="K27" i="1"/>
  <c r="J27" i="1"/>
  <c r="J31" i="1" s="1"/>
  <c r="J33" i="1" s="1"/>
  <c r="I27" i="1"/>
  <c r="I31" i="1" s="1"/>
  <c r="I33" i="1" s="1"/>
  <c r="H27" i="1"/>
  <c r="G27" i="1"/>
  <c r="F27" i="1"/>
  <c r="F31" i="1" s="1"/>
  <c r="F33" i="1" s="1"/>
  <c r="E27" i="1"/>
  <c r="E31" i="1" s="1"/>
  <c r="E33" i="1" s="1"/>
  <c r="E26" i="1"/>
  <c r="P25" i="1"/>
  <c r="P26" i="1" s="1"/>
  <c r="O25" i="1"/>
  <c r="N25" i="1"/>
  <c r="M25" i="1"/>
  <c r="M59" i="1" s="1"/>
  <c r="L25" i="1"/>
  <c r="K25" i="1"/>
  <c r="J25" i="1"/>
  <c r="I25" i="1"/>
  <c r="H25" i="1"/>
  <c r="G25" i="1"/>
  <c r="F25" i="1"/>
  <c r="F26" i="1" s="1"/>
  <c r="E25" i="1"/>
  <c r="P24" i="1"/>
  <c r="O24" i="1"/>
  <c r="O26" i="1" s="1"/>
  <c r="N24" i="1"/>
  <c r="M24" i="1"/>
  <c r="M26" i="1" s="1"/>
  <c r="L24" i="1"/>
  <c r="L26" i="1" s="1"/>
  <c r="K24" i="1"/>
  <c r="K26" i="1" s="1"/>
  <c r="J24" i="1"/>
  <c r="I24" i="1"/>
  <c r="I26" i="1" s="1"/>
  <c r="H24" i="1"/>
  <c r="H26" i="1" s="1"/>
  <c r="G24" i="1"/>
  <c r="G26" i="1" s="1"/>
  <c r="F24" i="1"/>
  <c r="E24" i="1"/>
  <c r="O23" i="1"/>
  <c r="G23" i="1"/>
  <c r="Q22" i="1"/>
  <c r="P21" i="1"/>
  <c r="P23" i="1" s="1"/>
  <c r="O21" i="1"/>
  <c r="N21" i="1"/>
  <c r="N23" i="1" s="1"/>
  <c r="M21" i="1"/>
  <c r="M23" i="1" s="1"/>
  <c r="L21" i="1"/>
  <c r="L23" i="1" s="1"/>
  <c r="K21" i="1"/>
  <c r="K23" i="1" s="1"/>
  <c r="J21" i="1"/>
  <c r="J23" i="1" s="1"/>
  <c r="I21" i="1"/>
  <c r="I23" i="1" s="1"/>
  <c r="H21" i="1"/>
  <c r="H23" i="1" s="1"/>
  <c r="G21" i="1"/>
  <c r="F21" i="1"/>
  <c r="F23" i="1" s="1"/>
  <c r="E21" i="1"/>
  <c r="E23" i="1" s="1"/>
  <c r="P20" i="1"/>
  <c r="Q19" i="1"/>
  <c r="P18" i="1"/>
  <c r="E18" i="1"/>
  <c r="E20" i="1" s="1"/>
  <c r="Q16" i="1"/>
  <c r="P16" i="1"/>
  <c r="P59" i="1" s="1"/>
  <c r="O16" i="1"/>
  <c r="O59" i="1" s="1"/>
  <c r="N16" i="1"/>
  <c r="N59" i="1" s="1"/>
  <c r="M16" i="1"/>
  <c r="L16" i="1"/>
  <c r="K16" i="1"/>
  <c r="K59" i="1" s="1"/>
  <c r="J16" i="1"/>
  <c r="J59" i="1" s="1"/>
  <c r="I16" i="1"/>
  <c r="I59" i="1" s="1"/>
  <c r="H16" i="1"/>
  <c r="G16" i="1"/>
  <c r="E16" i="1"/>
  <c r="Q15" i="1"/>
  <c r="P8" i="1"/>
  <c r="O8" i="1"/>
  <c r="N8" i="1"/>
  <c r="M8" i="1"/>
  <c r="L8" i="1"/>
  <c r="K8" i="1"/>
  <c r="J8" i="1"/>
  <c r="I8" i="1"/>
  <c r="H8" i="1"/>
  <c r="G8" i="1"/>
  <c r="F8" i="1"/>
  <c r="E8" i="1"/>
  <c r="Q8" i="1" s="1"/>
  <c r="P7" i="1"/>
  <c r="O7" i="1"/>
  <c r="N7" i="1"/>
  <c r="M7" i="1"/>
  <c r="L7" i="1"/>
  <c r="K7" i="1"/>
  <c r="J7" i="1"/>
  <c r="I7" i="1"/>
  <c r="H7" i="1"/>
  <c r="G7" i="1"/>
  <c r="F7" i="1"/>
  <c r="E7" i="1"/>
  <c r="Q7" i="1" s="1"/>
  <c r="P6" i="1"/>
  <c r="O6" i="1"/>
  <c r="N6" i="1"/>
  <c r="M6" i="1"/>
  <c r="L6" i="1"/>
  <c r="K6" i="1"/>
  <c r="J6" i="1"/>
  <c r="I6" i="1"/>
  <c r="H6" i="1"/>
  <c r="G6" i="1"/>
  <c r="F6" i="1"/>
  <c r="E6" i="1"/>
  <c r="P5" i="1"/>
  <c r="O5" i="1"/>
  <c r="N5" i="1"/>
  <c r="M5" i="1"/>
  <c r="I5" i="1"/>
  <c r="H5" i="1"/>
  <c r="G5" i="1"/>
  <c r="F5" i="1"/>
  <c r="P4" i="1"/>
  <c r="O4" i="1"/>
  <c r="O9" i="1" s="1"/>
  <c r="E4" i="1"/>
  <c r="N89" i="6"/>
  <c r="M89" i="6"/>
  <c r="M88" i="6"/>
  <c r="L88" i="6"/>
  <c r="K88" i="6"/>
  <c r="J88" i="6"/>
  <c r="I88" i="6"/>
  <c r="H88" i="6"/>
  <c r="G88" i="6"/>
  <c r="F88" i="6"/>
  <c r="E88" i="6"/>
  <c r="D88" i="6"/>
  <c r="C88" i="6"/>
  <c r="O88" i="6" s="1"/>
  <c r="O87" i="6"/>
  <c r="O86" i="6"/>
  <c r="O85" i="6"/>
  <c r="C84" i="6"/>
  <c r="C82" i="6"/>
  <c r="C81" i="6"/>
  <c r="N80" i="6"/>
  <c r="N84" i="6" s="1"/>
  <c r="M80" i="6"/>
  <c r="M84" i="6" s="1"/>
  <c r="L80" i="6"/>
  <c r="L81" i="6" s="1"/>
  <c r="K80" i="6"/>
  <c r="K82" i="6" s="1"/>
  <c r="J80" i="6"/>
  <c r="J84" i="6" s="1"/>
  <c r="I80" i="6"/>
  <c r="H80" i="6"/>
  <c r="H89" i="6" s="1"/>
  <c r="G80" i="6"/>
  <c r="F80" i="6"/>
  <c r="F89" i="6" s="1"/>
  <c r="E80" i="6"/>
  <c r="E84" i="6" s="1"/>
  <c r="D80" i="6"/>
  <c r="D84" i="6" s="1"/>
  <c r="C80" i="6"/>
  <c r="C89" i="6" s="1"/>
  <c r="C20" i="6"/>
  <c r="C18" i="6"/>
  <c r="N37" i="9" l="1"/>
  <c r="F14" i="2" s="1"/>
  <c r="B14" i="2"/>
  <c r="N43" i="9"/>
  <c r="H14" i="2"/>
  <c r="N61" i="3"/>
  <c r="L63" i="4"/>
  <c r="L67" i="4" s="1"/>
  <c r="L72" i="4" s="1"/>
  <c r="L74" i="4" s="1"/>
  <c r="L4" i="4"/>
  <c r="O18" i="1" s="1"/>
  <c r="J63" i="4"/>
  <c r="J67" i="4" s="1"/>
  <c r="J4" i="4"/>
  <c r="H4" i="4"/>
  <c r="H63" i="4"/>
  <c r="H67" i="4" s="1"/>
  <c r="M8" i="3"/>
  <c r="P9" i="1"/>
  <c r="M20" i="3"/>
  <c r="M21" i="3"/>
  <c r="L7" i="4"/>
  <c r="L27" i="4"/>
  <c r="L8" i="4"/>
  <c r="N25" i="4"/>
  <c r="J4" i="3"/>
  <c r="K35" i="3"/>
  <c r="K20" i="3"/>
  <c r="G47" i="10"/>
  <c r="G49" i="10" s="1"/>
  <c r="H34" i="1"/>
  <c r="N22" i="9"/>
  <c r="F13" i="2" s="1"/>
  <c r="B13" i="2"/>
  <c r="N28" i="9"/>
  <c r="H13" i="2"/>
  <c r="G13" i="2"/>
  <c r="I82" i="6"/>
  <c r="I89" i="6"/>
  <c r="I84" i="6"/>
  <c r="I81" i="6"/>
  <c r="J26" i="1"/>
  <c r="G84" i="6"/>
  <c r="G89" i="6"/>
  <c r="G81" i="6"/>
  <c r="L82" i="5"/>
  <c r="L90" i="5"/>
  <c r="L83" i="5"/>
  <c r="I85" i="5"/>
  <c r="I82" i="5"/>
  <c r="G85" i="5"/>
  <c r="G82" i="5"/>
  <c r="N55" i="4"/>
  <c r="N53" i="4"/>
  <c r="N52" i="4"/>
  <c r="N47" i="4"/>
  <c r="N94" i="3"/>
  <c r="E8" i="2" s="1"/>
  <c r="C8" i="2"/>
  <c r="N90" i="3"/>
  <c r="F8" i="2" s="1"/>
  <c r="N93" i="3"/>
  <c r="D8" i="2" s="1"/>
  <c r="N76" i="3"/>
  <c r="F7" i="2" s="1"/>
  <c r="N79" i="3"/>
  <c r="D7" i="2" s="1"/>
  <c r="G6" i="2"/>
  <c r="H6" i="2"/>
  <c r="N65" i="3"/>
  <c r="D6" i="2" s="1"/>
  <c r="N60" i="3"/>
  <c r="N68" i="3"/>
  <c r="K63" i="4"/>
  <c r="K67" i="4" s="1"/>
  <c r="K4" i="4"/>
  <c r="I4" i="4"/>
  <c r="I27" i="4" s="1"/>
  <c r="I63" i="4"/>
  <c r="I67" i="4" s="1"/>
  <c r="N59" i="4"/>
  <c r="K44" i="3"/>
  <c r="K43" i="3"/>
  <c r="J43" i="3"/>
  <c r="J44" i="3"/>
  <c r="F54" i="3"/>
  <c r="F43" i="3"/>
  <c r="F44" i="3"/>
  <c r="F62" i="7"/>
  <c r="F54" i="7"/>
  <c r="F51" i="7"/>
  <c r="H40" i="1" s="1"/>
  <c r="H42" i="1" s="1"/>
  <c r="F90" i="5"/>
  <c r="F82" i="5"/>
  <c r="E49" i="10"/>
  <c r="F34" i="1"/>
  <c r="F36" i="1" s="1"/>
  <c r="G36" i="1"/>
  <c r="N21" i="9"/>
  <c r="N35" i="9"/>
  <c r="N36" i="9"/>
  <c r="G12" i="2"/>
  <c r="N5" i="9"/>
  <c r="N11" i="9"/>
  <c r="E12" i="2" s="1"/>
  <c r="Q27" i="1"/>
  <c r="Q31" i="1" s="1"/>
  <c r="H12" i="2"/>
  <c r="N15" i="9"/>
  <c r="Q37" i="1"/>
  <c r="Q39" i="1" s="1"/>
  <c r="N7" i="8"/>
  <c r="G63" i="4"/>
  <c r="G67" i="4" s="1"/>
  <c r="G27" i="4"/>
  <c r="N14" i="4"/>
  <c r="K81" i="6"/>
  <c r="J81" i="6"/>
  <c r="J82" i="6"/>
  <c r="G82" i="6"/>
  <c r="Q24" i="1"/>
  <c r="L85" i="5"/>
  <c r="J82" i="5"/>
  <c r="I83" i="5"/>
  <c r="I90" i="5"/>
  <c r="F83" i="5"/>
  <c r="F85" i="5"/>
  <c r="I9" i="1"/>
  <c r="I17" i="1" s="1"/>
  <c r="E4" i="4"/>
  <c r="E27" i="4" s="1"/>
  <c r="E72" i="4"/>
  <c r="E74" i="4" s="1"/>
  <c r="L5" i="1"/>
  <c r="B5" i="2"/>
  <c r="N48" i="3"/>
  <c r="D5" i="2" s="1"/>
  <c r="E43" i="3"/>
  <c r="G5" i="2"/>
  <c r="N54" i="3"/>
  <c r="E44" i="3"/>
  <c r="E4" i="3"/>
  <c r="N9" i="4"/>
  <c r="F9" i="2" s="1"/>
  <c r="K18" i="1"/>
  <c r="K20" i="1" s="1"/>
  <c r="I4" i="3"/>
  <c r="I8" i="3" s="1"/>
  <c r="I21" i="3"/>
  <c r="L4" i="1"/>
  <c r="L9" i="1" s="1"/>
  <c r="I35" i="3"/>
  <c r="N33" i="3"/>
  <c r="N30" i="3"/>
  <c r="Q25" i="1"/>
  <c r="O34" i="1"/>
  <c r="O36" i="1" s="1"/>
  <c r="B70" i="4"/>
  <c r="B72" i="4"/>
  <c r="B71" i="4"/>
  <c r="G35" i="3"/>
  <c r="G21" i="3"/>
  <c r="G4" i="3"/>
  <c r="G20" i="3"/>
  <c r="J4" i="1"/>
  <c r="F72" i="4"/>
  <c r="F74" i="4" s="1"/>
  <c r="F71" i="4"/>
  <c r="F70" i="4"/>
  <c r="Q33" i="1"/>
  <c r="H21" i="3"/>
  <c r="H4" i="3"/>
  <c r="H20" i="3"/>
  <c r="H35" i="3"/>
  <c r="K4" i="1"/>
  <c r="P58" i="1"/>
  <c r="P60" i="1" s="1"/>
  <c r="P17" i="1"/>
  <c r="O17" i="1"/>
  <c r="C21" i="3"/>
  <c r="C4" i="3"/>
  <c r="F4" i="1"/>
  <c r="F9" i="1" s="1"/>
  <c r="C35" i="3"/>
  <c r="C20" i="3"/>
  <c r="N17" i="3"/>
  <c r="H4" i="2" s="1"/>
  <c r="H81" i="6"/>
  <c r="H82" i="6"/>
  <c r="H84" i="6"/>
  <c r="E89" i="6"/>
  <c r="H4" i="1"/>
  <c r="H9" i="1" s="1"/>
  <c r="B6" i="2"/>
  <c r="L4" i="3"/>
  <c r="B21" i="3"/>
  <c r="M35" i="3"/>
  <c r="C8" i="4"/>
  <c r="C70" i="4"/>
  <c r="C72" i="4"/>
  <c r="C74" i="4" s="1"/>
  <c r="M27" i="4"/>
  <c r="Q35" i="1"/>
  <c r="O66" i="1" s="1"/>
  <c r="M6" i="3"/>
  <c r="D21" i="3"/>
  <c r="M44" i="3"/>
  <c r="M43" i="3"/>
  <c r="N49" i="3"/>
  <c r="E5" i="2" s="1"/>
  <c r="D63" i="4"/>
  <c r="D67" i="4" s="1"/>
  <c r="D4" i="4"/>
  <c r="S74" i="4"/>
  <c r="O89" i="5"/>
  <c r="K13" i="3"/>
  <c r="K8" i="3"/>
  <c r="K54" i="3"/>
  <c r="H57" i="7"/>
  <c r="H55" i="7"/>
  <c r="H54" i="7"/>
  <c r="H51" i="7"/>
  <c r="J40" i="1" s="1"/>
  <c r="J42" i="1" s="1"/>
  <c r="N6" i="9"/>
  <c r="K84" i="6"/>
  <c r="E59" i="1"/>
  <c r="N26" i="1"/>
  <c r="N66" i="1"/>
  <c r="G4" i="2"/>
  <c r="N26" i="3"/>
  <c r="E4" i="2" s="1"/>
  <c r="N25" i="3"/>
  <c r="D4" i="2" s="1"/>
  <c r="N35" i="3"/>
  <c r="E21" i="3"/>
  <c r="B44" i="3"/>
  <c r="B43" i="3"/>
  <c r="N40" i="3"/>
  <c r="H5" i="2" s="1"/>
  <c r="N75" i="3"/>
  <c r="L71" i="4"/>
  <c r="L70" i="4"/>
  <c r="N10" i="9"/>
  <c r="D12" i="2" s="1"/>
  <c r="E121" i="9"/>
  <c r="J29" i="9"/>
  <c r="J30" i="9" s="1"/>
  <c r="N30" i="9" s="1"/>
  <c r="K121" i="9"/>
  <c r="Q6" i="1"/>
  <c r="J5" i="1"/>
  <c r="Q43" i="1"/>
  <c r="N63" i="1"/>
  <c r="F35" i="3"/>
  <c r="F21" i="3"/>
  <c r="F4" i="3"/>
  <c r="N33" i="4"/>
  <c r="N39" i="4"/>
  <c r="K5" i="1"/>
  <c r="J21" i="3"/>
  <c r="N52" i="3"/>
  <c r="C7" i="4"/>
  <c r="G7" i="4"/>
  <c r="J18" i="1"/>
  <c r="J20" i="1" s="1"/>
  <c r="L35" i="3"/>
  <c r="M81" i="6"/>
  <c r="M82" i="6"/>
  <c r="F18" i="1"/>
  <c r="F20" i="1" s="1"/>
  <c r="N81" i="6"/>
  <c r="N82" i="6"/>
  <c r="K89" i="6"/>
  <c r="M4" i="1"/>
  <c r="M9" i="1" s="1"/>
  <c r="C7" i="2"/>
  <c r="K6" i="3"/>
  <c r="E20" i="3"/>
  <c r="K21" i="3"/>
  <c r="G44" i="3"/>
  <c r="B54" i="3"/>
  <c r="E71" i="4"/>
  <c r="D89" i="6"/>
  <c r="N27" i="3"/>
  <c r="L82" i="6"/>
  <c r="L84" i="6"/>
  <c r="F59" i="1"/>
  <c r="N12" i="4"/>
  <c r="D9" i="2" s="1"/>
  <c r="G9" i="2"/>
  <c r="N27" i="4"/>
  <c r="J89" i="6"/>
  <c r="G59" i="1"/>
  <c r="Q21" i="1"/>
  <c r="Q23" i="1" s="1"/>
  <c r="O80" i="6"/>
  <c r="L89" i="6"/>
  <c r="N4" i="1"/>
  <c r="N9" i="1" s="1"/>
  <c r="H18" i="1"/>
  <c r="H20" i="1" s="1"/>
  <c r="Q68" i="1"/>
  <c r="Q65" i="1"/>
  <c r="B4" i="3"/>
  <c r="F20" i="3"/>
  <c r="L21" i="3"/>
  <c r="H44" i="3"/>
  <c r="N62" i="3"/>
  <c r="F6" i="2" s="1"/>
  <c r="B27" i="4"/>
  <c r="B7" i="4"/>
  <c r="G90" i="5"/>
  <c r="G83" i="5"/>
  <c r="O52" i="7"/>
  <c r="C89" i="9"/>
  <c r="C121" i="9" s="1"/>
  <c r="N44" i="9"/>
  <c r="B45" i="9"/>
  <c r="N45" i="9" s="1"/>
  <c r="D8" i="3"/>
  <c r="D6" i="3"/>
  <c r="H90" i="5"/>
  <c r="H85" i="5"/>
  <c r="H83" i="5"/>
  <c r="H82" i="5"/>
  <c r="K5" i="3"/>
  <c r="E62" i="7"/>
  <c r="E57" i="7"/>
  <c r="E54" i="7"/>
  <c r="H62" i="7"/>
  <c r="P5" i="10"/>
  <c r="N67" i="9"/>
  <c r="F16" i="2" s="1"/>
  <c r="B16" i="2"/>
  <c r="E81" i="6"/>
  <c r="E82" i="6"/>
  <c r="N22" i="3"/>
  <c r="F4" i="2" s="1"/>
  <c r="B4" i="2"/>
  <c r="J35" i="3"/>
  <c r="H43" i="3"/>
  <c r="I54" i="3"/>
  <c r="F4" i="4"/>
  <c r="N41" i="4"/>
  <c r="G4" i="1"/>
  <c r="G9" i="1" s="1"/>
  <c r="D20" i="3"/>
  <c r="G54" i="3"/>
  <c r="D51" i="7"/>
  <c r="F40" i="1" s="1"/>
  <c r="F42" i="1" s="1"/>
  <c r="D62" i="7"/>
  <c r="O62" i="7" s="1"/>
  <c r="D57" i="7"/>
  <c r="D55" i="7"/>
  <c r="D54" i="7"/>
  <c r="D81" i="6"/>
  <c r="D82" i="6"/>
  <c r="E8" i="4"/>
  <c r="E7" i="4"/>
  <c r="F81" i="6"/>
  <c r="F82" i="6"/>
  <c r="F84" i="6"/>
  <c r="E5" i="1"/>
  <c r="M5" i="3"/>
  <c r="D13" i="3"/>
  <c r="I43" i="3"/>
  <c r="J54" i="3"/>
  <c r="N66" i="3"/>
  <c r="E6" i="2" s="1"/>
  <c r="M7" i="4"/>
  <c r="N13" i="4"/>
  <c r="E9" i="2" s="1"/>
  <c r="M71" i="4"/>
  <c r="M70" i="4"/>
  <c r="K90" i="5"/>
  <c r="K85" i="5"/>
  <c r="K83" i="5"/>
  <c r="K82" i="5"/>
  <c r="G120" i="9"/>
  <c r="L54" i="3"/>
  <c r="G51" i="7"/>
  <c r="I40" i="1" s="1"/>
  <c r="I42" i="1" s="1"/>
  <c r="M57" i="7"/>
  <c r="C90" i="5"/>
  <c r="J83" i="5"/>
  <c r="E90" i="5"/>
  <c r="G54" i="7"/>
  <c r="F55" i="7"/>
  <c r="O55" i="7" s="1"/>
  <c r="L62" i="7"/>
  <c r="K51" i="7"/>
  <c r="M40" i="1" s="1"/>
  <c r="M42" i="1" s="1"/>
  <c r="G55" i="7"/>
  <c r="M62" i="7"/>
  <c r="N20" i="9"/>
  <c r="N70" i="9"/>
  <c r="D16" i="2" s="1"/>
  <c r="P4" i="10"/>
  <c r="P3" i="10" s="1"/>
  <c r="J85" i="5"/>
  <c r="L51" i="7"/>
  <c r="N40" i="1" s="1"/>
  <c r="N42" i="1" s="1"/>
  <c r="F57" i="7"/>
  <c r="O81" i="5"/>
  <c r="C82" i="5"/>
  <c r="N56" i="9"/>
  <c r="E15" i="2" s="1"/>
  <c r="D82" i="5"/>
  <c r="L54" i="7"/>
  <c r="C19" i="2" l="1"/>
  <c r="C22" i="2" s="1"/>
  <c r="O20" i="1"/>
  <c r="O58" i="1"/>
  <c r="O60" i="1" s="1"/>
  <c r="J72" i="4"/>
  <c r="J74" i="4" s="1"/>
  <c r="J70" i="4"/>
  <c r="J71" i="4"/>
  <c r="H8" i="4"/>
  <c r="H27" i="4"/>
  <c r="H7" i="4"/>
  <c r="N18" i="1"/>
  <c r="N20" i="1" s="1"/>
  <c r="K27" i="4"/>
  <c r="K7" i="4"/>
  <c r="K8" i="4"/>
  <c r="M18" i="1"/>
  <c r="J27" i="4"/>
  <c r="J8" i="4"/>
  <c r="J7" i="4"/>
  <c r="H72" i="4"/>
  <c r="H74" i="4" s="1"/>
  <c r="H70" i="4"/>
  <c r="H71" i="4"/>
  <c r="I7" i="4"/>
  <c r="I8" i="4"/>
  <c r="L18" i="1"/>
  <c r="J13" i="3"/>
  <c r="J5" i="3"/>
  <c r="J6" i="3"/>
  <c r="J8" i="3"/>
  <c r="H36" i="1"/>
  <c r="Q34" i="1"/>
  <c r="Q36" i="1" s="1"/>
  <c r="E5" i="3"/>
  <c r="E6" i="3"/>
  <c r="K72" i="4"/>
  <c r="K74" i="4" s="1"/>
  <c r="K71" i="4"/>
  <c r="K70" i="4"/>
  <c r="I71" i="4"/>
  <c r="I72" i="4"/>
  <c r="I74" i="4" s="1"/>
  <c r="I70" i="4"/>
  <c r="G70" i="4"/>
  <c r="G71" i="4"/>
  <c r="G72" i="4"/>
  <c r="Q26" i="1"/>
  <c r="O89" i="6"/>
  <c r="O82" i="6"/>
  <c r="O83" i="5"/>
  <c r="B19" i="2"/>
  <c r="A22" i="2" s="1"/>
  <c r="N44" i="3"/>
  <c r="E8" i="3"/>
  <c r="E13" i="3"/>
  <c r="G19" i="2"/>
  <c r="E22" i="2" s="1"/>
  <c r="L17" i="1"/>
  <c r="I5" i="3"/>
  <c r="I6" i="3"/>
  <c r="I13" i="3"/>
  <c r="N21" i="3"/>
  <c r="M66" i="1"/>
  <c r="Q59" i="1"/>
  <c r="R66" i="1"/>
  <c r="O84" i="6"/>
  <c r="O81" i="6"/>
  <c r="D72" i="4"/>
  <c r="D74" i="4" s="1"/>
  <c r="D70" i="4"/>
  <c r="D71" i="4"/>
  <c r="G5" i="3"/>
  <c r="G13" i="3"/>
  <c r="G8" i="3"/>
  <c r="G6" i="3"/>
  <c r="Q5" i="1"/>
  <c r="E9" i="1"/>
  <c r="O82" i="5"/>
  <c r="O85" i="5"/>
  <c r="N58" i="1"/>
  <c r="N60" i="1" s="1"/>
  <c r="N17" i="1"/>
  <c r="O90" i="5"/>
  <c r="F6" i="3"/>
  <c r="F5" i="3"/>
  <c r="F8" i="3"/>
  <c r="F13" i="3"/>
  <c r="L13" i="3"/>
  <c r="L5" i="3"/>
  <c r="L6" i="3"/>
  <c r="L8" i="3"/>
  <c r="G17" i="1"/>
  <c r="C8" i="3"/>
  <c r="C13" i="3"/>
  <c r="C5" i="3"/>
  <c r="C6" i="3"/>
  <c r="K9" i="1"/>
  <c r="F58" i="1"/>
  <c r="F60" i="1" s="1"/>
  <c r="N29" i="9"/>
  <c r="H58" i="1"/>
  <c r="H60" i="1" s="1"/>
  <c r="H17" i="1"/>
  <c r="N68" i="1"/>
  <c r="N65" i="1"/>
  <c r="N67" i="4"/>
  <c r="D27" i="4"/>
  <c r="D8" i="4"/>
  <c r="D7" i="4"/>
  <c r="G18" i="1"/>
  <c r="G20" i="1" s="1"/>
  <c r="P63" i="1"/>
  <c r="Q45" i="1"/>
  <c r="N63" i="4"/>
  <c r="H5" i="3"/>
  <c r="H6" i="3"/>
  <c r="H13" i="3"/>
  <c r="H8" i="3"/>
  <c r="B74" i="4"/>
  <c r="F27" i="4"/>
  <c r="F8" i="4"/>
  <c r="F7" i="4"/>
  <c r="I18" i="1"/>
  <c r="O121" i="9"/>
  <c r="B8" i="3"/>
  <c r="B5" i="3"/>
  <c r="B13" i="3"/>
  <c r="B6" i="3"/>
  <c r="N4" i="3"/>
  <c r="M17" i="1"/>
  <c r="N4" i="4"/>
  <c r="Q40" i="1"/>
  <c r="Q42" i="1" s="1"/>
  <c r="J9" i="1"/>
  <c r="O51" i="7"/>
  <c r="O57" i="7"/>
  <c r="O54" i="7"/>
  <c r="Q4" i="1"/>
  <c r="M20" i="1" l="1"/>
  <c r="M58" i="1"/>
  <c r="M60" i="1" s="1"/>
  <c r="L20" i="1"/>
  <c r="L58" i="1"/>
  <c r="L60" i="1" s="1"/>
  <c r="G74" i="4"/>
  <c r="N72" i="4"/>
  <c r="N8" i="4"/>
  <c r="J17" i="1"/>
  <c r="J58" i="1"/>
  <c r="J60" i="1" s="1"/>
  <c r="K17" i="1"/>
  <c r="K58" i="1"/>
  <c r="K60" i="1" s="1"/>
  <c r="I20" i="1"/>
  <c r="I58" i="1"/>
  <c r="I60" i="1" s="1"/>
  <c r="P68" i="1"/>
  <c r="P65" i="1"/>
  <c r="Q18" i="1"/>
  <c r="Q20" i="1" s="1"/>
  <c r="N70" i="4"/>
  <c r="N71" i="4"/>
  <c r="N8" i="3"/>
  <c r="N5" i="3"/>
  <c r="N6" i="3"/>
  <c r="G58" i="1"/>
  <c r="G60" i="1" s="1"/>
  <c r="H9" i="2"/>
  <c r="H19" i="2" s="1"/>
  <c r="G22" i="2" s="1"/>
  <c r="N7" i="4"/>
  <c r="N13" i="3"/>
  <c r="Q17" i="1"/>
  <c r="Q9" i="1"/>
  <c r="E17" i="1"/>
  <c r="E58" i="1"/>
  <c r="O63" i="1"/>
  <c r="E60" i="1" l="1"/>
  <c r="Q58" i="1"/>
  <c r="Q60" i="1" s="1"/>
  <c r="M63" i="1"/>
  <c r="O68" i="1"/>
  <c r="O65" i="1"/>
  <c r="M65" i="1" l="1"/>
  <c r="R63" i="1"/>
  <c r="M68" i="1"/>
  <c r="R68" i="1" l="1"/>
  <c r="R65" i="1"/>
</calcChain>
</file>

<file path=xl/sharedStrings.xml><?xml version="1.0" encoding="utf-8"?>
<sst xmlns="http://schemas.openxmlformats.org/spreadsheetml/2006/main" count="1098" uniqueCount="360">
  <si>
    <r>
      <rPr>
        <b/>
        <sz val="10"/>
        <color theme="1"/>
        <rFont val="游ゴシック"/>
        <family val="3"/>
        <charset val="128"/>
      </rPr>
      <t>2026</t>
    </r>
    <r>
      <rPr>
        <b/>
        <sz val="10"/>
        <color theme="1"/>
        <rFont val="DejaVu Sans"/>
        <family val="2"/>
      </rPr>
      <t>年度グローバルリゾート</t>
    </r>
    <r>
      <rPr>
        <b/>
        <sz val="10"/>
        <color theme="1"/>
        <rFont val="游ゴシック"/>
        <family val="3"/>
        <charset val="128"/>
      </rPr>
      <t>/</t>
    </r>
    <r>
      <rPr>
        <b/>
        <sz val="10"/>
        <color theme="1"/>
        <rFont val="DejaVu Sans"/>
        <family val="2"/>
      </rPr>
      <t>レジデンス　全体 収支報告</t>
    </r>
  </si>
  <si>
    <t>部門</t>
  </si>
  <si>
    <t>施設</t>
  </si>
  <si>
    <t>内訳</t>
  </si>
  <si>
    <r>
      <rPr>
        <sz val="8"/>
        <color theme="1"/>
        <rFont val="游ゴシック"/>
        <family val="2"/>
        <charset val="128"/>
      </rPr>
      <t>1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</si>
  <si>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2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</si>
  <si>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3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</si>
  <si>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4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</si>
  <si>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5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</si>
  <si>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6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</si>
  <si>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7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</si>
  <si>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8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</si>
  <si>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9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</si>
  <si>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10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</si>
  <si>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11</t>
    </r>
    <r>
      <rPr>
        <sz val="8"/>
        <color theme="1"/>
        <rFont val="DejaVu Sans"/>
        <family val="2"/>
      </rPr>
      <t>月</t>
    </r>
  </si>
  <si>
    <r>
      <rPr>
        <sz val="8"/>
        <color theme="1"/>
        <rFont val="游ゴシック"/>
        <family val="2"/>
        <charset val="128"/>
      </rPr>
      <t>12</t>
    </r>
    <r>
      <rPr>
        <sz val="8"/>
        <color theme="1"/>
        <rFont val="DejaVu Sans"/>
        <family val="2"/>
      </rPr>
      <t>月</t>
    </r>
  </si>
  <si>
    <t>計</t>
  </si>
  <si>
    <t>ホテル</t>
  </si>
  <si>
    <t>デルーネ　　　ビュー　　　　　　本川　　　　　　　天神　　　　　　　玖波</t>
  </si>
  <si>
    <t>売上</t>
  </si>
  <si>
    <t>de Lune</t>
  </si>
  <si>
    <t>VIEW</t>
  </si>
  <si>
    <t>本川</t>
  </si>
  <si>
    <t>天神</t>
  </si>
  <si>
    <t>玖波</t>
  </si>
  <si>
    <t>売上合計</t>
  </si>
  <si>
    <t>経費</t>
  </si>
  <si>
    <t>リゾート</t>
  </si>
  <si>
    <t>経費合計</t>
  </si>
  <si>
    <t>　　  差引収支</t>
  </si>
  <si>
    <t>弥山　　　　　　</t>
  </si>
  <si>
    <t xml:space="preserve">      　   売上</t>
  </si>
  <si>
    <t>　　　  経費</t>
  </si>
  <si>
    <t>温井</t>
  </si>
  <si>
    <t>　  　差引収支</t>
  </si>
  <si>
    <t>いこいの村</t>
  </si>
  <si>
    <t>マンスリー</t>
  </si>
  <si>
    <r>
      <rPr>
        <sz val="8"/>
        <color theme="1"/>
        <rFont val="游ゴシック"/>
        <family val="2"/>
        <charset val="128"/>
      </rPr>
      <t>TAKAYA</t>
    </r>
    <r>
      <rPr>
        <sz val="8"/>
        <color theme="1"/>
        <rFont val="DejaVu Sans"/>
        <family val="2"/>
      </rPr>
      <t>　　　　</t>
    </r>
    <r>
      <rPr>
        <sz val="8"/>
        <color theme="1"/>
        <rFont val="游ゴシック"/>
        <family val="2"/>
        <charset val="128"/>
      </rPr>
      <t>SAIJO</t>
    </r>
    <r>
      <rPr>
        <sz val="8"/>
        <color theme="1"/>
        <rFont val="DejaVu Sans"/>
        <family val="2"/>
      </rPr>
      <t>壱番館　　</t>
    </r>
    <r>
      <rPr>
        <sz val="8"/>
        <color theme="1"/>
        <rFont val="游ゴシック"/>
        <family val="2"/>
        <charset val="128"/>
      </rPr>
      <t>SIJO</t>
    </r>
    <r>
      <rPr>
        <sz val="8"/>
        <color theme="1"/>
        <rFont val="DejaVu Sans"/>
        <family val="2"/>
      </rPr>
      <t xml:space="preserve">弐番館　 </t>
    </r>
    <r>
      <rPr>
        <sz val="8"/>
        <color theme="1"/>
        <rFont val="游ゴシック"/>
        <family val="2"/>
        <charset val="128"/>
      </rPr>
      <t>Otake</t>
    </r>
  </si>
  <si>
    <t>TAKAYA</t>
  </si>
  <si>
    <t>壱番館</t>
  </si>
  <si>
    <t>弐番館</t>
  </si>
  <si>
    <t>Otake</t>
  </si>
  <si>
    <t>合計</t>
  </si>
  <si>
    <t>　    差引収支</t>
  </si>
  <si>
    <t>指定管理</t>
  </si>
  <si>
    <t>竹原（ﾚｽﾄﾗﾝ含む）</t>
  </si>
  <si>
    <t xml:space="preserve">           売上</t>
  </si>
  <si>
    <t>　　    経費</t>
  </si>
  <si>
    <t>フォレストヒルズガーデン</t>
  </si>
  <si>
    <t>グリーンシャワー</t>
  </si>
  <si>
    <t>サウナ</t>
  </si>
  <si>
    <t>MAKI de SAUNA</t>
  </si>
  <si>
    <t>周防大島</t>
  </si>
  <si>
    <t>ほうらいの里</t>
  </si>
  <si>
    <t>カフェ</t>
  </si>
  <si>
    <r>
      <rPr>
        <sz val="8"/>
        <color theme="1"/>
        <rFont val="游ゴシック"/>
        <family val="2"/>
        <charset val="128"/>
      </rPr>
      <t>NorthLinkHirosima</t>
    </r>
    <r>
      <rPr>
        <sz val="8"/>
        <color theme="1"/>
        <rFont val="DejaVu Sans"/>
        <family val="2"/>
      </rPr>
      <t>（</t>
    </r>
    <r>
      <rPr>
        <sz val="8"/>
        <color theme="1"/>
        <rFont val="游ゴシック"/>
        <family val="2"/>
        <charset val="128"/>
      </rPr>
      <t>2025</t>
    </r>
    <r>
      <rPr>
        <sz val="8"/>
        <color theme="1"/>
        <rFont val="DejaVu Sans"/>
        <family val="2"/>
      </rPr>
      <t>年</t>
    </r>
    <r>
      <rPr>
        <sz val="8"/>
        <color theme="1"/>
        <rFont val="游ゴシック"/>
        <family val="2"/>
        <charset val="128"/>
      </rPr>
      <t>3</t>
    </r>
    <r>
      <rPr>
        <sz val="8"/>
        <color theme="1"/>
        <rFont val="DejaVu Sans"/>
        <family val="2"/>
      </rPr>
      <t>月</t>
    </r>
    <r>
      <rPr>
        <sz val="8"/>
        <color theme="1"/>
        <rFont val="游ゴシック"/>
        <family val="2"/>
        <charset val="128"/>
      </rPr>
      <t>31</t>
    </r>
    <r>
      <rPr>
        <sz val="8"/>
        <color theme="1"/>
        <rFont val="DejaVu Sans"/>
        <family val="2"/>
      </rPr>
      <t>日最終営業）</t>
    </r>
  </si>
  <si>
    <t>経費不明</t>
  </si>
  <si>
    <t>経費　不明金</t>
  </si>
  <si>
    <t>レジデンス</t>
  </si>
  <si>
    <t>不明金合計</t>
  </si>
  <si>
    <t>全施設</t>
  </si>
  <si>
    <t>ホテル部門</t>
  </si>
  <si>
    <t>マンスリー部門</t>
  </si>
  <si>
    <t>指定管理部門</t>
  </si>
  <si>
    <t>サウナ部門</t>
  </si>
  <si>
    <t>カフェ部門</t>
  </si>
  <si>
    <t>全体</t>
  </si>
  <si>
    <t>この部分は未確定</t>
  </si>
  <si>
    <t>総売上</t>
  </si>
  <si>
    <t>今年度</t>
  </si>
  <si>
    <t>昨年度</t>
  </si>
  <si>
    <t>売上昨年対比</t>
  </si>
  <si>
    <t>総経費</t>
  </si>
  <si>
    <t>差引収支</t>
  </si>
  <si>
    <t>全施設　年間　宿泊実績・売上データ（客室単価・稼働率）</t>
  </si>
  <si>
    <r>
      <rPr>
        <sz val="9"/>
        <color theme="1"/>
        <rFont val="游ゴシック"/>
        <family val="3"/>
        <charset val="128"/>
      </rPr>
      <t>2026</t>
    </r>
    <r>
      <rPr>
        <sz val="9"/>
        <color theme="1"/>
        <rFont val="DejaVu Sans"/>
        <family val="2"/>
      </rPr>
      <t>年</t>
    </r>
    <r>
      <rPr>
        <sz val="9"/>
        <color theme="1"/>
        <rFont val="游ゴシック"/>
        <family val="3"/>
        <charset val="128"/>
      </rPr>
      <t>1</t>
    </r>
    <r>
      <rPr>
        <sz val="9"/>
        <color theme="1"/>
        <rFont val="DejaVu Sans"/>
        <family val="2"/>
      </rPr>
      <t>月ー</t>
    </r>
    <r>
      <rPr>
        <sz val="9"/>
        <color theme="1"/>
        <rFont val="游ゴシック"/>
        <family val="3"/>
        <charset val="128"/>
      </rPr>
      <t>12</t>
    </r>
    <r>
      <rPr>
        <sz val="9"/>
        <color theme="1"/>
        <rFont val="DejaVu Sans"/>
        <family val="2"/>
      </rPr>
      <t>月まで</t>
    </r>
  </si>
  <si>
    <t>施設名</t>
  </si>
  <si>
    <t>販売客室数</t>
  </si>
  <si>
    <t>利用人数</t>
  </si>
  <si>
    <t>客室単価</t>
  </si>
  <si>
    <t>客単価</t>
  </si>
  <si>
    <t>稼働率</t>
  </si>
  <si>
    <t>客室売上</t>
  </si>
  <si>
    <t>備考</t>
  </si>
  <si>
    <t>デルーネ</t>
  </si>
  <si>
    <t>ビュー</t>
  </si>
  <si>
    <t>天神ハウス</t>
  </si>
  <si>
    <r>
      <rPr>
        <sz val="9"/>
        <color theme="1"/>
        <rFont val="DejaVu Sans"/>
        <family val="2"/>
      </rPr>
      <t>年間</t>
    </r>
    <r>
      <rPr>
        <sz val="9"/>
        <color theme="1"/>
        <rFont val="游ゴシック"/>
        <family val="2"/>
        <charset val="128"/>
      </rPr>
      <t>180</t>
    </r>
    <r>
      <rPr>
        <sz val="9"/>
        <color theme="1"/>
        <rFont val="DejaVu Sans"/>
        <family val="2"/>
      </rPr>
      <t>日の稼働設定のため、月あたり</t>
    </r>
    <r>
      <rPr>
        <sz val="9"/>
        <color theme="1"/>
        <rFont val="游ゴシック"/>
        <family val="2"/>
        <charset val="128"/>
      </rPr>
      <t>15</t>
    </r>
    <r>
      <rPr>
        <sz val="9"/>
        <color theme="1"/>
        <rFont val="DejaVu Sans"/>
        <family val="2"/>
      </rPr>
      <t>日の稼働となり、他施設と比較して稼働率が高めに算出される。</t>
    </r>
  </si>
  <si>
    <t>弥山</t>
  </si>
  <si>
    <t>高屋</t>
  </si>
  <si>
    <t>大竹</t>
  </si>
  <si>
    <t>竹原</t>
  </si>
  <si>
    <t>フォレスト</t>
  </si>
  <si>
    <t>総合計</t>
  </si>
  <si>
    <t>室</t>
  </si>
  <si>
    <t>名</t>
  </si>
  <si>
    <t>円</t>
  </si>
  <si>
    <r>
      <rPr>
        <b/>
        <sz val="10"/>
        <color theme="1"/>
        <rFont val="游ゴシック"/>
        <family val="3"/>
        <charset val="128"/>
      </rPr>
      <t>2026</t>
    </r>
    <r>
      <rPr>
        <b/>
        <sz val="10"/>
        <color theme="1"/>
        <rFont val="DejaVu Sans"/>
        <family val="2"/>
      </rPr>
      <t>年　グローバルリゾート売上目標及び売上実績</t>
    </r>
  </si>
  <si>
    <t>１月</t>
  </si>
  <si>
    <t>２月</t>
  </si>
  <si>
    <t>３月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</si>
  <si>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</si>
  <si>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</si>
  <si>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</si>
  <si>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</si>
  <si>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</si>
  <si>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</si>
  <si>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</si>
  <si>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</si>
  <si>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</si>
  <si>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目標売上</t>
  </si>
  <si>
    <t>売上進捗</t>
  </si>
  <si>
    <t>達成率</t>
  </si>
  <si>
    <t>売上目標差異</t>
  </si>
  <si>
    <t>昨年売上</t>
  </si>
  <si>
    <t>昨年対比</t>
  </si>
  <si>
    <t>経費予測</t>
  </si>
  <si>
    <t>昨年経費</t>
  </si>
  <si>
    <t>経費実績</t>
  </si>
  <si>
    <t>経費差異</t>
  </si>
  <si>
    <r>
      <rPr>
        <sz val="9"/>
        <color theme="1"/>
        <rFont val="游ゴシック"/>
        <family val="2"/>
        <charset val="128"/>
      </rPr>
      <t>2025</t>
    </r>
    <r>
      <rPr>
        <sz val="9"/>
        <color theme="1"/>
        <rFont val="DejaVu Sans"/>
        <family val="2"/>
      </rPr>
      <t>年売上実績</t>
    </r>
  </si>
  <si>
    <t>レジ売上</t>
  </si>
  <si>
    <t>差異</t>
  </si>
  <si>
    <t>飲食売上</t>
  </si>
  <si>
    <t>朝食売上</t>
  </si>
  <si>
    <t>朝食数</t>
  </si>
  <si>
    <t>利用率</t>
  </si>
  <si>
    <t>夕食売上</t>
  </si>
  <si>
    <t>夕食数</t>
  </si>
  <si>
    <r>
      <rPr>
        <b/>
        <sz val="8"/>
        <color theme="1"/>
        <rFont val="游ゴシック"/>
        <family val="3"/>
        <charset val="128"/>
      </rPr>
      <t>2024</t>
    </r>
    <r>
      <rPr>
        <b/>
        <sz val="8"/>
        <color theme="1"/>
        <rFont val="DejaVu Sans"/>
        <family val="2"/>
      </rPr>
      <t>年売上</t>
    </r>
  </si>
  <si>
    <r>
      <rPr>
        <b/>
        <sz val="10"/>
        <color theme="1"/>
        <rFont val="游ゴシック"/>
        <family val="3"/>
        <charset val="128"/>
      </rPr>
      <t>2026</t>
    </r>
    <r>
      <rPr>
        <b/>
        <sz val="10"/>
        <color theme="1"/>
        <rFont val="DejaVu Sans"/>
        <family val="2"/>
      </rPr>
      <t>年　弥山　売上目標及び売上実績</t>
    </r>
  </si>
  <si>
    <t>弥山全体</t>
  </si>
  <si>
    <t>←未入力</t>
  </si>
  <si>
    <t>OK</t>
  </si>
  <si>
    <t>未販売</t>
  </si>
  <si>
    <r>
      <rPr>
        <b/>
        <sz val="8"/>
        <color theme="1"/>
        <rFont val="DejaVu Sans"/>
        <family val="2"/>
      </rPr>
      <t>別館</t>
    </r>
    <r>
      <rPr>
        <b/>
        <sz val="8"/>
        <color theme="1"/>
        <rFont val="游ゴシック"/>
        <family val="3"/>
        <charset val="128"/>
      </rPr>
      <t>1004</t>
    </r>
  </si>
  <si>
    <t>マンスリー利用中</t>
  </si>
  <si>
    <r>
      <rPr>
        <b/>
        <sz val="8"/>
        <color theme="1"/>
        <rFont val="DejaVu Sans"/>
        <family val="2"/>
      </rPr>
      <t>別館</t>
    </r>
    <r>
      <rPr>
        <b/>
        <sz val="8"/>
        <color theme="1"/>
        <rFont val="游ゴシック"/>
        <family val="3"/>
        <charset val="128"/>
      </rPr>
      <t>903</t>
    </r>
  </si>
  <si>
    <r>
      <rPr>
        <b/>
        <sz val="8"/>
        <color theme="1"/>
        <rFont val="游ゴシック"/>
        <family val="3"/>
        <charset val="128"/>
      </rPr>
      <t>2026</t>
    </r>
    <r>
      <rPr>
        <b/>
        <sz val="8"/>
        <color theme="1"/>
        <rFont val="DejaVu Sans"/>
        <family val="2"/>
      </rPr>
      <t>年　グローバルリゾート料飲売上及び原価率</t>
    </r>
  </si>
  <si>
    <r>
      <rPr>
        <b/>
        <sz val="8"/>
        <color theme="1"/>
        <rFont val="游ゴシック"/>
        <family val="3"/>
        <charset val="128"/>
      </rPr>
      <t>2025</t>
    </r>
    <r>
      <rPr>
        <b/>
        <sz val="8"/>
        <color theme="1"/>
        <rFont val="DejaVu Sans"/>
        <family val="2"/>
      </rPr>
      <t>年</t>
    </r>
  </si>
  <si>
    <r>
      <rPr>
        <b/>
        <sz val="8"/>
        <color theme="1"/>
        <rFont val="游ゴシック"/>
        <family val="3"/>
        <charset val="128"/>
      </rPr>
      <t>1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</si>
  <si>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2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</si>
  <si>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3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</si>
  <si>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4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</si>
  <si>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5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</si>
  <si>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6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</si>
  <si>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7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</si>
  <si>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8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</si>
  <si>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9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</si>
  <si>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10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</si>
  <si>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11</t>
    </r>
    <r>
      <rPr>
        <b/>
        <sz val="8"/>
        <color theme="1"/>
        <rFont val="DejaVu Sans"/>
        <family val="2"/>
      </rPr>
      <t>月</t>
    </r>
  </si>
  <si>
    <r>
      <rPr>
        <b/>
        <sz val="8"/>
        <color theme="1"/>
        <rFont val="游ゴシック"/>
        <family val="3"/>
        <charset val="128"/>
      </rPr>
      <t>12</t>
    </r>
    <r>
      <rPr>
        <b/>
        <sz val="8"/>
        <color theme="1"/>
        <rFont val="DejaVu Sans"/>
        <family val="2"/>
      </rPr>
      <t>月</t>
    </r>
  </si>
  <si>
    <t>大人朝食</t>
  </si>
  <si>
    <t>子供朝食</t>
  </si>
  <si>
    <t>大人夕食</t>
  </si>
  <si>
    <t>子供夕食</t>
  </si>
  <si>
    <t>弥山夕食数</t>
  </si>
  <si>
    <t>デルーネ　      （月曜のみ）　　夕食数</t>
  </si>
  <si>
    <t>（旧）</t>
  </si>
  <si>
    <t>デルーネ　      　夕食売上</t>
  </si>
  <si>
    <t>提供数</t>
  </si>
  <si>
    <t>単価</t>
  </si>
  <si>
    <t>合計数</t>
  </si>
  <si>
    <t>朝食・夕食売上</t>
  </si>
  <si>
    <t>朝食合計</t>
  </si>
  <si>
    <t>宿泊飲食追加</t>
  </si>
  <si>
    <r>
      <rPr>
        <b/>
        <sz val="8"/>
        <color theme="1"/>
        <rFont val="DejaVu Sans"/>
        <family val="2"/>
      </rPr>
      <t>宴会・</t>
    </r>
    <r>
      <rPr>
        <b/>
        <sz val="8"/>
        <color theme="1"/>
        <rFont val="游ゴシック"/>
        <family val="3"/>
        <charset val="128"/>
      </rPr>
      <t>BBQ</t>
    </r>
    <r>
      <rPr>
        <b/>
        <sz val="8"/>
        <color theme="1"/>
        <rFont val="DejaVu Sans"/>
        <family val="2"/>
      </rPr>
      <t>　  　売上</t>
    </r>
  </si>
  <si>
    <t>夕食合計</t>
  </si>
  <si>
    <t>その他売上</t>
  </si>
  <si>
    <t>仕入金額</t>
  </si>
  <si>
    <t>（新）</t>
  </si>
  <si>
    <t>人件費</t>
  </si>
  <si>
    <t>原価率</t>
  </si>
  <si>
    <t>人件費率</t>
  </si>
  <si>
    <t>今年度売上</t>
  </si>
  <si>
    <t>前年売上</t>
  </si>
  <si>
    <t>前年原価率</t>
  </si>
  <si>
    <r>
      <rPr>
        <b/>
        <sz val="9"/>
        <color rgb="FF000000"/>
        <rFont val="游ゴシック"/>
        <family val="3"/>
        <charset val="128"/>
      </rPr>
      <t>GR NUKUI</t>
    </r>
    <r>
      <rPr>
        <b/>
        <sz val="9"/>
        <color rgb="FF000000"/>
        <rFont val="DejaVu Sans"/>
        <family val="2"/>
      </rPr>
      <t>　売上推移表</t>
    </r>
  </si>
  <si>
    <r>
      <rPr>
        <b/>
        <sz val="9"/>
        <color rgb="FF000000"/>
        <rFont val="游ゴシック"/>
        <family val="3"/>
        <charset val="128"/>
      </rPr>
      <t>1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</si>
  <si>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2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</si>
  <si>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3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</si>
  <si>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4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</si>
  <si>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5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</si>
  <si>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6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</si>
  <si>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7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</si>
  <si>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8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</si>
  <si>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9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</si>
  <si>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10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</si>
  <si>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11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</si>
  <si>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游ゴシック"/>
        <family val="3"/>
        <charset val="128"/>
      </rPr>
      <t>12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</si>
  <si>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theme="1"/>
        <rFont val="DejaVu Sans"/>
        <family val="2"/>
      </rPr>
      <t>総売上高</t>
    </r>
    <r>
      <rPr>
        <b/>
        <sz val="9"/>
        <color theme="1"/>
        <rFont val="游ゴシック"/>
        <family val="3"/>
        <charset val="128"/>
      </rPr>
      <t>(GOR)</t>
    </r>
  </si>
  <si>
    <t>販売室数</t>
  </si>
  <si>
    <t>販売人数</t>
  </si>
  <si>
    <t>　　大人</t>
  </si>
  <si>
    <t>　　子供</t>
  </si>
  <si>
    <t>販売可能室数</t>
  </si>
  <si>
    <t>販売可能人員</t>
  </si>
  <si>
    <r>
      <rPr>
        <sz val="9"/>
        <color theme="1"/>
        <rFont val="DejaVu Sans"/>
        <family val="2"/>
      </rPr>
      <t>客室稼働率</t>
    </r>
    <r>
      <rPr>
        <sz val="9"/>
        <color theme="1"/>
        <rFont val="游ゴシック"/>
        <family val="3"/>
        <charset val="128"/>
      </rPr>
      <t>(Occ)</t>
    </r>
  </si>
  <si>
    <t>人員稼働率</t>
  </si>
  <si>
    <r>
      <rPr>
        <sz val="9"/>
        <color theme="1"/>
        <rFont val="游ゴシック"/>
        <family val="3"/>
        <charset val="128"/>
      </rPr>
      <t>1</t>
    </r>
    <r>
      <rPr>
        <sz val="9"/>
        <color theme="1"/>
        <rFont val="DejaVu Sans"/>
        <family val="2"/>
      </rPr>
      <t>室平均稼働人員</t>
    </r>
  </si>
  <si>
    <t>ADR</t>
  </si>
  <si>
    <t>APR</t>
  </si>
  <si>
    <t>Rev.PAR</t>
  </si>
  <si>
    <t>レストラン利用者数</t>
  </si>
  <si>
    <t>朝食</t>
  </si>
  <si>
    <t>昼食</t>
  </si>
  <si>
    <t>夕食</t>
  </si>
  <si>
    <t>宴会利用者数</t>
  </si>
  <si>
    <r>
      <rPr>
        <sz val="9"/>
        <color theme="1"/>
        <rFont val="DejaVu Sans"/>
        <family val="2"/>
      </rPr>
      <t>会議</t>
    </r>
    <r>
      <rPr>
        <sz val="9"/>
        <color theme="1"/>
        <rFont val="游ゴシック"/>
        <family val="3"/>
        <charset val="128"/>
      </rPr>
      <t>/</t>
    </r>
    <r>
      <rPr>
        <sz val="9"/>
        <color theme="1"/>
        <rFont val="DejaVu Sans"/>
        <family val="2"/>
      </rPr>
      <t>展示会</t>
    </r>
  </si>
  <si>
    <t>宴会</t>
  </si>
  <si>
    <t>立寄入浴利用者数</t>
  </si>
  <si>
    <t>立寄入浴</t>
  </si>
  <si>
    <t>売上高内訳</t>
  </si>
  <si>
    <t>宿　泊　売　上</t>
  </si>
  <si>
    <r>
      <rPr>
        <sz val="9"/>
        <color theme="1"/>
        <rFont val="DejaVu Sans"/>
        <family val="2"/>
      </rPr>
      <t>　　　　宿泊売上</t>
    </r>
    <r>
      <rPr>
        <sz val="9"/>
        <color theme="1"/>
        <rFont val="游ゴシック"/>
        <family val="3"/>
        <charset val="128"/>
      </rPr>
      <t>(</t>
    </r>
    <r>
      <rPr>
        <sz val="9"/>
        <color theme="1"/>
        <rFont val="DejaVu Sans"/>
        <family val="2"/>
      </rPr>
      <t>大人）</t>
    </r>
  </si>
  <si>
    <r>
      <rPr>
        <sz val="9"/>
        <color theme="1"/>
        <rFont val="DejaVu Sans"/>
        <family val="2"/>
      </rPr>
      <t>　　　　宿泊売上</t>
    </r>
    <r>
      <rPr>
        <sz val="9"/>
        <color theme="1"/>
        <rFont val="游ゴシック"/>
        <family val="3"/>
        <charset val="128"/>
      </rPr>
      <t>(</t>
    </r>
    <r>
      <rPr>
        <sz val="9"/>
        <color theme="1"/>
        <rFont val="DejaVu Sans"/>
        <family val="2"/>
      </rPr>
      <t>子人</t>
    </r>
    <r>
      <rPr>
        <sz val="9"/>
        <color theme="1"/>
        <rFont val="游ゴシック"/>
        <family val="3"/>
        <charset val="128"/>
      </rPr>
      <t>)</t>
    </r>
  </si>
  <si>
    <t>　　　　寝具代</t>
  </si>
  <si>
    <t>　　　　休憩料</t>
  </si>
  <si>
    <t>　　　　キャンセル料</t>
  </si>
  <si>
    <t>宿　泊　その他</t>
  </si>
  <si>
    <r>
      <rPr>
        <sz val="9"/>
        <color theme="1"/>
        <rFont val="DejaVu Sans"/>
        <family val="2"/>
      </rPr>
      <t>　　　　電話・</t>
    </r>
    <r>
      <rPr>
        <sz val="9"/>
        <color theme="1"/>
        <rFont val="游ゴシック"/>
        <family val="3"/>
        <charset val="128"/>
      </rPr>
      <t>FAX</t>
    </r>
    <r>
      <rPr>
        <sz val="9"/>
        <color theme="1"/>
        <rFont val="DejaVu Sans"/>
        <family val="2"/>
      </rPr>
      <t>・コピー等</t>
    </r>
  </si>
  <si>
    <t>レストラン　売　上</t>
  </si>
  <si>
    <t>料　理　売　上</t>
  </si>
  <si>
    <r>
      <rPr>
        <sz val="9"/>
        <color theme="1"/>
        <rFont val="游ゴシック"/>
        <family val="3"/>
        <charset val="128"/>
      </rPr>
      <t>(</t>
    </r>
    <r>
      <rPr>
        <sz val="9"/>
        <color theme="1"/>
        <rFont val="DejaVu Sans"/>
        <family val="2"/>
      </rPr>
      <t>朝　食</t>
    </r>
    <r>
      <rPr>
        <sz val="9"/>
        <color theme="1"/>
        <rFont val="游ゴシック"/>
        <family val="3"/>
        <charset val="128"/>
      </rPr>
      <t>)</t>
    </r>
  </si>
  <si>
    <r>
      <rPr>
        <sz val="9"/>
        <color theme="1"/>
        <rFont val="游ゴシック"/>
        <family val="3"/>
        <charset val="128"/>
      </rPr>
      <t>(</t>
    </r>
    <r>
      <rPr>
        <sz val="9"/>
        <color theme="1"/>
        <rFont val="DejaVu Sans"/>
        <family val="2"/>
      </rPr>
      <t>昼　食</t>
    </r>
    <r>
      <rPr>
        <sz val="9"/>
        <color theme="1"/>
        <rFont val="游ゴシック"/>
        <family val="3"/>
        <charset val="128"/>
      </rPr>
      <t>)</t>
    </r>
  </si>
  <si>
    <r>
      <rPr>
        <sz val="9"/>
        <color theme="1"/>
        <rFont val="游ゴシック"/>
        <family val="3"/>
        <charset val="128"/>
      </rPr>
      <t>(</t>
    </r>
    <r>
      <rPr>
        <sz val="9"/>
        <color theme="1"/>
        <rFont val="DejaVu Sans"/>
        <family val="2"/>
      </rPr>
      <t>夕　食</t>
    </r>
    <r>
      <rPr>
        <sz val="9"/>
        <color theme="1"/>
        <rFont val="游ゴシック"/>
        <family val="3"/>
        <charset val="128"/>
      </rPr>
      <t>)</t>
    </r>
  </si>
  <si>
    <t>飲　物　売　上</t>
  </si>
  <si>
    <r>
      <rPr>
        <sz val="9"/>
        <color theme="1"/>
        <rFont val="游ゴシック"/>
        <family val="3"/>
        <charset val="128"/>
      </rPr>
      <t>(</t>
    </r>
    <r>
      <rPr>
        <sz val="9"/>
        <color theme="1"/>
        <rFont val="DejaVu Sans"/>
        <family val="2"/>
      </rPr>
      <t>宿　泊　飲　物</t>
    </r>
    <r>
      <rPr>
        <sz val="9"/>
        <color theme="1"/>
        <rFont val="游ゴシック"/>
        <family val="3"/>
        <charset val="128"/>
      </rPr>
      <t>)</t>
    </r>
  </si>
  <si>
    <r>
      <rPr>
        <sz val="9"/>
        <color theme="1"/>
        <rFont val="游ゴシック"/>
        <family val="3"/>
        <charset val="128"/>
      </rPr>
      <t>(</t>
    </r>
    <r>
      <rPr>
        <sz val="9"/>
        <color theme="1"/>
        <rFont val="DejaVu Sans"/>
        <family val="2"/>
      </rPr>
      <t>昼　食　飲　物</t>
    </r>
    <r>
      <rPr>
        <sz val="9"/>
        <color theme="1"/>
        <rFont val="游ゴシック"/>
        <family val="3"/>
        <charset val="128"/>
      </rPr>
      <t>)</t>
    </r>
  </si>
  <si>
    <t>個　室　利　用　料</t>
  </si>
  <si>
    <t>宴　会　売　上</t>
  </si>
  <si>
    <t>飲　料　売　上</t>
  </si>
  <si>
    <t>宴　会　室　料　</t>
  </si>
  <si>
    <t>そ　の　他</t>
  </si>
  <si>
    <t>会　議　室　料</t>
  </si>
  <si>
    <t>会　議　その他</t>
  </si>
  <si>
    <t>付　帯　売　上</t>
  </si>
  <si>
    <t>売　　店</t>
  </si>
  <si>
    <t>日帰り入浴料</t>
  </si>
  <si>
    <t>アメニティ</t>
  </si>
  <si>
    <t>自動販売機</t>
  </si>
  <si>
    <t>カ　ラ　オ　ケ</t>
  </si>
  <si>
    <t>入　湯　税</t>
  </si>
  <si>
    <t>消　費　税</t>
  </si>
  <si>
    <t>立　替　金</t>
  </si>
  <si>
    <t>入金合計</t>
  </si>
  <si>
    <t>現　　金</t>
  </si>
  <si>
    <t>システム</t>
  </si>
  <si>
    <t>売　　掛</t>
  </si>
  <si>
    <t>過不足</t>
  </si>
  <si>
    <r>
      <rPr>
        <sz val="9"/>
        <color theme="1"/>
        <rFont val="游ゴシック"/>
        <family val="3"/>
        <charset val="128"/>
      </rPr>
      <t>11</t>
    </r>
    <r>
      <rPr>
        <sz val="9"/>
        <color theme="1"/>
        <rFont val="DejaVu Sans"/>
        <family val="2"/>
      </rPr>
      <t>月まで入力済み</t>
    </r>
  </si>
  <si>
    <r>
      <rPr>
        <b/>
        <sz val="9"/>
        <color rgb="FF000000"/>
        <rFont val="Meiryo UI"/>
        <family val="3"/>
        <charset val="128"/>
      </rPr>
      <t>GR</t>
    </r>
    <r>
      <rPr>
        <b/>
        <sz val="9"/>
        <color rgb="FF000000"/>
        <rFont val="DejaVu Sans"/>
        <family val="2"/>
      </rPr>
      <t>　いこいの村ひろしま　売上推移表</t>
    </r>
  </si>
  <si>
    <r>
      <rPr>
        <b/>
        <sz val="9"/>
        <color rgb="FF000000"/>
        <rFont val="Meiryo UI"/>
        <family val="3"/>
        <charset val="128"/>
      </rPr>
      <t>1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</si>
  <si>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2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</si>
  <si>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3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</si>
  <si>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4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</si>
  <si>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5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</si>
  <si>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6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</si>
  <si>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7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</si>
  <si>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8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</si>
  <si>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9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</si>
  <si>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10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</si>
  <si>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11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</si>
  <si>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rgb="FF000000"/>
        <rFont val="Meiryo UI"/>
        <family val="3"/>
        <charset val="128"/>
      </rPr>
      <t>12</t>
    </r>
    <r>
      <rPr>
        <b/>
        <sz val="9"/>
        <color rgb="FF000000"/>
        <rFont val="DejaVu Sans"/>
        <family val="2"/>
      </rPr>
      <t>月</t>
    </r>
  </si>
  <si>
    <r>
      <rPr>
        <b/>
        <sz val="9"/>
        <color theme="1"/>
        <rFont val="DejaVu Sans"/>
        <family val="2"/>
      </rPr>
      <t>総売上高</t>
    </r>
    <r>
      <rPr>
        <b/>
        <sz val="9"/>
        <color theme="1"/>
        <rFont val="Meiryo UI"/>
        <family val="3"/>
        <charset val="128"/>
      </rPr>
      <t>(GOR)</t>
    </r>
  </si>
  <si>
    <r>
      <rPr>
        <sz val="9"/>
        <color theme="1"/>
        <rFont val="DejaVu Sans"/>
        <family val="2"/>
      </rPr>
      <t>客室稼働率</t>
    </r>
    <r>
      <rPr>
        <sz val="9"/>
        <color theme="1"/>
        <rFont val="Meiryo UI"/>
        <family val="3"/>
        <charset val="128"/>
      </rPr>
      <t>(Occ)</t>
    </r>
  </si>
  <si>
    <r>
      <rPr>
        <sz val="9"/>
        <color theme="1"/>
        <rFont val="Meiryo UI"/>
        <family val="3"/>
        <charset val="128"/>
      </rPr>
      <t>1</t>
    </r>
    <r>
      <rPr>
        <sz val="9"/>
        <color theme="1"/>
        <rFont val="DejaVu Sans"/>
        <family val="2"/>
      </rPr>
      <t>室平均稼働人員</t>
    </r>
  </si>
  <si>
    <r>
      <rPr>
        <sz val="9"/>
        <color theme="1"/>
        <rFont val="DejaVu Sans"/>
        <family val="2"/>
      </rPr>
      <t>会議</t>
    </r>
    <r>
      <rPr>
        <sz val="9"/>
        <color theme="1"/>
        <rFont val="Meiryo UI"/>
        <family val="3"/>
        <charset val="128"/>
      </rPr>
      <t>/</t>
    </r>
    <r>
      <rPr>
        <sz val="9"/>
        <color theme="1"/>
        <rFont val="DejaVu Sans"/>
        <family val="2"/>
      </rPr>
      <t>展示会</t>
    </r>
  </si>
  <si>
    <t>日帰り入浴利用者数</t>
  </si>
  <si>
    <t>日帰り入浴</t>
  </si>
  <si>
    <t>日帰り入浴（松原自治会）</t>
  </si>
  <si>
    <r>
      <rPr>
        <sz val="9"/>
        <color theme="1"/>
        <rFont val="DejaVu Sans"/>
        <family val="2"/>
      </rPr>
      <t>　　　　宿泊売上</t>
    </r>
    <r>
      <rPr>
        <sz val="9"/>
        <color theme="1"/>
        <rFont val="Meiryo UI"/>
        <family val="3"/>
        <charset val="128"/>
      </rPr>
      <t>(</t>
    </r>
    <r>
      <rPr>
        <sz val="9"/>
        <color theme="1"/>
        <rFont val="DejaVu Sans"/>
        <family val="2"/>
      </rPr>
      <t>大人）</t>
    </r>
  </si>
  <si>
    <r>
      <rPr>
        <sz val="9"/>
        <color theme="1"/>
        <rFont val="DejaVu Sans"/>
        <family val="2"/>
      </rPr>
      <t>　　　　宿泊売上</t>
    </r>
    <r>
      <rPr>
        <sz val="9"/>
        <color theme="1"/>
        <rFont val="Meiryo UI"/>
        <family val="3"/>
        <charset val="128"/>
      </rPr>
      <t>(</t>
    </r>
    <r>
      <rPr>
        <sz val="9"/>
        <color theme="1"/>
        <rFont val="DejaVu Sans"/>
        <family val="2"/>
      </rPr>
      <t>子人</t>
    </r>
    <r>
      <rPr>
        <sz val="9"/>
        <color theme="1"/>
        <rFont val="Meiryo UI"/>
        <family val="3"/>
        <charset val="128"/>
      </rPr>
      <t>)</t>
    </r>
  </si>
  <si>
    <r>
      <rPr>
        <sz val="9"/>
        <color theme="1"/>
        <rFont val="DejaVu Sans"/>
        <family val="2"/>
      </rPr>
      <t>　　　　電話・</t>
    </r>
    <r>
      <rPr>
        <sz val="9"/>
        <color theme="1"/>
        <rFont val="Meiryo UI"/>
        <family val="3"/>
        <charset val="128"/>
      </rPr>
      <t>FAX</t>
    </r>
    <r>
      <rPr>
        <sz val="9"/>
        <color theme="1"/>
        <rFont val="DejaVu Sans"/>
        <family val="2"/>
      </rPr>
      <t>・コピー等</t>
    </r>
  </si>
  <si>
    <r>
      <rPr>
        <sz val="9"/>
        <color theme="1"/>
        <rFont val="Meiryo UI"/>
        <family val="3"/>
        <charset val="128"/>
      </rPr>
      <t>(</t>
    </r>
    <r>
      <rPr>
        <sz val="9"/>
        <color theme="1"/>
        <rFont val="DejaVu Sans"/>
        <family val="2"/>
      </rPr>
      <t>朝　食</t>
    </r>
    <r>
      <rPr>
        <sz val="9"/>
        <color theme="1"/>
        <rFont val="Meiryo UI"/>
        <family val="3"/>
        <charset val="128"/>
      </rPr>
      <t>)</t>
    </r>
  </si>
  <si>
    <r>
      <rPr>
        <sz val="9"/>
        <color theme="1"/>
        <rFont val="Meiryo UI"/>
        <family val="3"/>
        <charset val="128"/>
      </rPr>
      <t>(</t>
    </r>
    <r>
      <rPr>
        <sz val="9"/>
        <color theme="1"/>
        <rFont val="DejaVu Sans"/>
        <family val="2"/>
      </rPr>
      <t>昼　食</t>
    </r>
    <r>
      <rPr>
        <sz val="9"/>
        <color theme="1"/>
        <rFont val="Meiryo UI"/>
        <family val="3"/>
        <charset val="128"/>
      </rPr>
      <t>)</t>
    </r>
  </si>
  <si>
    <r>
      <rPr>
        <sz val="9"/>
        <color theme="1"/>
        <rFont val="Meiryo UI"/>
        <family val="3"/>
        <charset val="128"/>
      </rPr>
      <t>(</t>
    </r>
    <r>
      <rPr>
        <sz val="9"/>
        <color theme="1"/>
        <rFont val="DejaVu Sans"/>
        <family val="2"/>
      </rPr>
      <t>夕　食</t>
    </r>
    <r>
      <rPr>
        <sz val="9"/>
        <color theme="1"/>
        <rFont val="Meiryo UI"/>
        <family val="3"/>
        <charset val="128"/>
      </rPr>
      <t>)</t>
    </r>
  </si>
  <si>
    <r>
      <rPr>
        <sz val="9"/>
        <color theme="1"/>
        <rFont val="Meiryo UI"/>
        <family val="3"/>
        <charset val="128"/>
      </rPr>
      <t>(</t>
    </r>
    <r>
      <rPr>
        <sz val="9"/>
        <color theme="1"/>
        <rFont val="DejaVu Sans"/>
        <family val="2"/>
      </rPr>
      <t>その他</t>
    </r>
    <r>
      <rPr>
        <sz val="9"/>
        <color theme="1"/>
        <rFont val="Meiryo UI"/>
        <family val="3"/>
        <charset val="128"/>
      </rPr>
      <t>)</t>
    </r>
  </si>
  <si>
    <r>
      <rPr>
        <sz val="9"/>
        <color theme="1"/>
        <rFont val="Meiryo UI"/>
        <family val="3"/>
        <charset val="128"/>
      </rPr>
      <t>(</t>
    </r>
    <r>
      <rPr>
        <sz val="9"/>
        <color theme="1"/>
        <rFont val="DejaVu Sans"/>
        <family val="2"/>
      </rPr>
      <t>宿　泊　飲　物</t>
    </r>
    <r>
      <rPr>
        <sz val="9"/>
        <color theme="1"/>
        <rFont val="Meiryo UI"/>
        <family val="3"/>
        <charset val="128"/>
      </rPr>
      <t>)</t>
    </r>
  </si>
  <si>
    <r>
      <rPr>
        <sz val="9"/>
        <color theme="1"/>
        <rFont val="Meiryo UI"/>
        <family val="3"/>
        <charset val="128"/>
      </rPr>
      <t>(</t>
    </r>
    <r>
      <rPr>
        <sz val="9"/>
        <color theme="1"/>
        <rFont val="DejaVu Sans"/>
        <family val="2"/>
      </rPr>
      <t>昼　食　飲　物</t>
    </r>
    <r>
      <rPr>
        <sz val="9"/>
        <color theme="1"/>
        <rFont val="Meiryo UI"/>
        <family val="3"/>
        <charset val="128"/>
      </rPr>
      <t>)</t>
    </r>
  </si>
  <si>
    <t>その他</t>
  </si>
  <si>
    <t>休業</t>
  </si>
  <si>
    <t>利用件数</t>
  </si>
  <si>
    <t>グランドゴルフ場（大人）</t>
  </si>
  <si>
    <t>グランドゴルフ場（子供）</t>
  </si>
  <si>
    <t>グランドゴルフ場（いこい）</t>
  </si>
  <si>
    <t>オートキャンプ</t>
  </si>
  <si>
    <t>デイキャンプ</t>
  </si>
  <si>
    <t>体験棟</t>
  </si>
  <si>
    <t>多目的広場</t>
  </si>
  <si>
    <t>グランドゴルフ場（大人）町内</t>
  </si>
  <si>
    <t>グランドゴルフ場（大人）町外</t>
  </si>
  <si>
    <t>グランドゴルフ場（子供）町内</t>
  </si>
  <si>
    <t>グランドゴルフ場（子供）町外</t>
  </si>
  <si>
    <t>施設利用料</t>
  </si>
  <si>
    <t>グランドゴルフ場</t>
  </si>
  <si>
    <t>道具類貸出</t>
  </si>
  <si>
    <t>売店売上</t>
  </si>
  <si>
    <t>おみやげ</t>
  </si>
  <si>
    <t>地域特産品（地元産）</t>
  </si>
  <si>
    <t>アイス・氷</t>
  </si>
  <si>
    <t>コーヒー</t>
  </si>
  <si>
    <t>地図</t>
  </si>
  <si>
    <t>弁当</t>
  </si>
  <si>
    <t>GS</t>
  </si>
  <si>
    <t>指定管理料</t>
  </si>
  <si>
    <r>
      <rPr>
        <sz val="9"/>
        <color theme="1"/>
        <rFont val="游ゴシック"/>
        <family val="3"/>
        <charset val="128"/>
      </rPr>
      <t>1</t>
    </r>
    <r>
      <rPr>
        <sz val="9"/>
        <color theme="1"/>
        <rFont val="DejaVu Sans"/>
        <family val="2"/>
      </rPr>
      <t>年間の指定管理料：</t>
    </r>
    <r>
      <rPr>
        <sz val="9"/>
        <color theme="1"/>
        <rFont val="游ゴシック"/>
        <family val="3"/>
        <charset val="128"/>
      </rPr>
      <t>2,987,000</t>
    </r>
  </si>
  <si>
    <r>
      <rPr>
        <sz val="8"/>
        <color theme="1"/>
        <rFont val="DejaVu Sans"/>
        <family val="2"/>
      </rPr>
      <t>年間指定管理料：</t>
    </r>
    <r>
      <rPr>
        <sz val="8"/>
        <color theme="1"/>
        <rFont val="游ゴシック"/>
        <family val="3"/>
        <charset val="128"/>
      </rPr>
      <t>55,462,000</t>
    </r>
    <r>
      <rPr>
        <sz val="8"/>
        <color theme="1"/>
        <rFont val="DejaVu Sans"/>
        <family val="2"/>
      </rPr>
      <t>円</t>
    </r>
  </si>
  <si>
    <r>
      <rPr>
        <b/>
        <sz val="10"/>
        <color theme="1"/>
        <rFont val="游ゴシック"/>
        <family val="3"/>
        <charset val="128"/>
      </rPr>
      <t>2026</t>
    </r>
    <r>
      <rPr>
        <b/>
        <sz val="10"/>
        <color theme="1"/>
        <rFont val="DejaVu Sans"/>
        <family val="2"/>
      </rPr>
      <t>年　マンスリー　売上目標及び売上実績</t>
    </r>
  </si>
  <si>
    <r>
      <rPr>
        <sz val="8"/>
        <color theme="1"/>
        <rFont val="DejaVu Sans"/>
        <family val="2"/>
      </rPr>
      <t>売上</t>
    </r>
    <r>
      <rPr>
        <sz val="8"/>
        <color theme="1"/>
        <rFont val="游ゴシック"/>
        <family val="3"/>
        <charset val="128"/>
      </rPr>
      <t>-</t>
    </r>
    <r>
      <rPr>
        <sz val="8"/>
        <color theme="1"/>
        <rFont val="DejaVu Sans"/>
        <family val="2"/>
      </rPr>
      <t>経費</t>
    </r>
  </si>
  <si>
    <t>Takehara</t>
  </si>
  <si>
    <t>各施設収支一覧</t>
  </si>
  <si>
    <t>家賃</t>
  </si>
  <si>
    <t>電気</t>
  </si>
  <si>
    <t>ガス</t>
  </si>
  <si>
    <t>水道</t>
  </si>
  <si>
    <t>清掃費</t>
  </si>
  <si>
    <t>修繕費</t>
  </si>
  <si>
    <r>
      <rPr>
        <sz val="8"/>
        <color theme="1"/>
        <rFont val="DejaVu Sans"/>
        <family val="2"/>
      </rPr>
      <t>通信費　　　（</t>
    </r>
    <r>
      <rPr>
        <sz val="8"/>
        <color theme="1"/>
        <rFont val="游ゴシック"/>
        <family val="3"/>
        <charset val="128"/>
      </rPr>
      <t>Wi-Fi</t>
    </r>
    <r>
      <rPr>
        <sz val="8"/>
        <color theme="1"/>
        <rFont val="DejaVu Sans"/>
        <family val="2"/>
      </rPr>
      <t>）</t>
    </r>
  </si>
  <si>
    <r>
      <rPr>
        <sz val="8"/>
        <color theme="1"/>
        <rFont val="游ゴシック"/>
        <family val="3"/>
        <charset val="128"/>
      </rPr>
      <t>GR</t>
    </r>
    <r>
      <rPr>
        <sz val="8"/>
        <color theme="1"/>
        <rFont val="DejaVu Sans"/>
        <family val="2"/>
      </rPr>
      <t>　収入額</t>
    </r>
  </si>
  <si>
    <t>?</t>
  </si>
  <si>
    <t>全施設　経費</t>
  </si>
  <si>
    <t>全施設　差引収支額</t>
  </si>
  <si>
    <r>
      <rPr>
        <b/>
        <sz val="9"/>
        <color rgb="FF000000"/>
        <rFont val="游ゴシック"/>
        <family val="3"/>
        <charset val="128"/>
      </rPr>
      <t>GR</t>
    </r>
    <r>
      <rPr>
        <b/>
        <sz val="9"/>
        <color rgb="FF000000"/>
        <rFont val="DejaVu Sans"/>
        <family val="2"/>
      </rPr>
      <t>竹原マンスリー　及び　海の駅　売上推移表</t>
    </r>
  </si>
  <si>
    <r>
      <rPr>
        <sz val="9"/>
        <color theme="1"/>
        <rFont val="游ゴシック"/>
        <family val="3"/>
        <charset val="128"/>
      </rPr>
      <t>1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</si>
  <si>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2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</si>
  <si>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3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</si>
  <si>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4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</si>
  <si>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5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</si>
  <si>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6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</si>
  <si>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7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</si>
  <si>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8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</si>
  <si>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9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</si>
  <si>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10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</si>
  <si>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11</t>
    </r>
    <r>
      <rPr>
        <sz val="9"/>
        <color theme="1"/>
        <rFont val="DejaVu Sans"/>
        <family val="2"/>
      </rPr>
      <t>月</t>
    </r>
  </si>
  <si>
    <r>
      <rPr>
        <sz val="9"/>
        <color theme="1"/>
        <rFont val="游ゴシック"/>
        <family val="3"/>
        <charset val="128"/>
      </rPr>
      <t>12</t>
    </r>
    <r>
      <rPr>
        <sz val="9"/>
        <color theme="1"/>
        <rFont val="DejaVu Sans"/>
        <family val="2"/>
      </rPr>
      <t>月</t>
    </r>
  </si>
  <si>
    <t>マンスリー売上</t>
  </si>
  <si>
    <t>会計数</t>
  </si>
  <si>
    <t>会計単価</t>
  </si>
  <si>
    <t>客数</t>
  </si>
  <si>
    <t>商品数</t>
  </si>
  <si>
    <t>現金</t>
  </si>
  <si>
    <t>現金その他</t>
  </si>
  <si>
    <t>割引額</t>
  </si>
  <si>
    <t>駐車場代</t>
  </si>
  <si>
    <t>委託料</t>
  </si>
  <si>
    <t>海の駅指定管理（竹原市）</t>
  </si>
  <si>
    <t>駐車場管理（アマノ）</t>
  </si>
  <si>
    <t>利用料</t>
  </si>
  <si>
    <t>交流ｽﾍﾟｰｽ</t>
  </si>
  <si>
    <t>ﾜｰｸｽﾍﾟｰｽ</t>
  </si>
  <si>
    <t>家賃請求</t>
  </si>
  <si>
    <t>ﾌｪﾘｰ同盟</t>
  </si>
  <si>
    <t>大崎汽船</t>
  </si>
  <si>
    <t>竹原海運</t>
  </si>
  <si>
    <t>契島運輸</t>
  </si>
  <si>
    <t>前川酒店</t>
  </si>
  <si>
    <t>ﾚｽﾄﾗﾝ</t>
  </si>
  <si>
    <t>総売上高</t>
  </si>
  <si>
    <t>予約件数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</si>
</sst>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m/d/yyyy"/>
    <numFmt numFmtId="178" formatCode="0.0%"/>
    <numFmt numFmtId="179" formatCode="0_);[Red]\(0\)"/>
    <numFmt numFmtId="180" formatCode="0.00_ "/>
    <numFmt numFmtId="181" formatCode="0&quot;年&quot;"/>
    <numFmt numFmtId="182" formatCode="0&quot;月&quot;"/>
  </numFmts>
  <fonts count="37">
    <font>
      <sz val="11"/>
      <color theme="1"/>
      <name val="游ゴシック"/>
      <family val="2"/>
      <charset val="128"/>
    </font>
    <font>
      <sz val="8"/>
      <color theme="1"/>
      <name val="游ゴシック"/>
      <family val="2"/>
      <charset val="128"/>
    </font>
    <font>
      <b/>
      <sz val="10"/>
      <color theme="1"/>
      <name val="游ゴシック"/>
      <family val="3"/>
      <charset val="128"/>
    </font>
    <font>
      <b/>
      <sz val="10"/>
      <color theme="1"/>
      <name val="DejaVu Sans"/>
      <family val="2"/>
    </font>
    <font>
      <sz val="8"/>
      <color theme="1"/>
      <name val="DejaVu Sans"/>
      <family val="2"/>
    </font>
    <font>
      <b/>
      <sz val="8"/>
      <color theme="1"/>
      <name val="DejaVu Sans"/>
      <family val="2"/>
    </font>
    <font>
      <sz val="6"/>
      <color theme="1"/>
      <name val="游ゴシック"/>
      <family val="2"/>
      <charset val="128"/>
    </font>
    <font>
      <sz val="6"/>
      <color theme="1"/>
      <name val="游ゴシック"/>
      <family val="3"/>
      <charset val="128"/>
    </font>
    <font>
      <sz val="6"/>
      <color theme="1"/>
      <name val="DejaVu Sans"/>
      <family val="2"/>
    </font>
    <font>
      <b/>
      <sz val="6"/>
      <color theme="1"/>
      <name val="DejaVu Sans"/>
      <family val="2"/>
    </font>
    <font>
      <b/>
      <sz val="8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sz val="8"/>
      <color theme="1"/>
      <name val="游ゴシック"/>
      <family val="3"/>
      <charset val="128"/>
    </font>
    <font>
      <b/>
      <sz val="8"/>
      <color rgb="FFFF0000"/>
      <name val="DejaVu Sans"/>
      <family val="2"/>
    </font>
    <font>
      <sz val="9"/>
      <color theme="1"/>
      <name val="游ゴシック"/>
      <family val="3"/>
      <charset val="128"/>
    </font>
    <font>
      <b/>
      <sz val="11"/>
      <color theme="1"/>
      <name val="DejaVu Sans"/>
      <family val="2"/>
    </font>
    <font>
      <b/>
      <sz val="9"/>
      <color theme="1"/>
      <name val="游ゴシック"/>
      <family val="3"/>
      <charset val="128"/>
    </font>
    <font>
      <sz val="9"/>
      <color theme="1"/>
      <name val="DejaVu Sans"/>
      <family val="2"/>
    </font>
    <font>
      <sz val="10"/>
      <color theme="1"/>
      <name val="DejaVu Sans"/>
      <family val="2"/>
    </font>
    <font>
      <sz val="9"/>
      <color theme="1"/>
      <name val="游ゴシック"/>
      <family val="2"/>
      <charset val="128"/>
    </font>
    <font>
      <sz val="11"/>
      <color theme="1"/>
      <name val="DejaVu Sans"/>
      <family val="2"/>
    </font>
    <font>
      <b/>
      <sz val="9"/>
      <color theme="1"/>
      <name val="DejaVu Sans"/>
      <family val="2"/>
    </font>
    <font>
      <sz val="8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b/>
      <sz val="9"/>
      <color rgb="FF000000"/>
      <name val="游ゴシック"/>
      <family val="3"/>
      <charset val="128"/>
    </font>
    <font>
      <b/>
      <sz val="9"/>
      <color rgb="FF000000"/>
      <name val="DejaVu Sans"/>
      <family val="2"/>
    </font>
    <font>
      <sz val="9"/>
      <color rgb="FFFF0000"/>
      <name val="游ゴシック"/>
      <family val="3"/>
      <charset val="128"/>
    </font>
    <font>
      <sz val="9"/>
      <name val="DejaVu Sans"/>
      <family val="2"/>
    </font>
    <font>
      <sz val="9"/>
      <color rgb="FF000000"/>
      <name val="DejaVu Sans"/>
      <family val="2"/>
    </font>
    <font>
      <sz val="9"/>
      <color rgb="FF000000"/>
      <name val="Meiryo UI"/>
      <family val="3"/>
      <charset val="128"/>
    </font>
    <font>
      <b/>
      <sz val="9"/>
      <color rgb="FF000000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8"/>
      <color rgb="FFFF0000"/>
      <name val="游ゴシック"/>
      <family val="3"/>
      <charset val="128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</fonts>
  <fills count="23">
    <fill>
      <patternFill patternType="none"/>
    </fill>
    <fill>
      <patternFill patternType="gray125"/>
    </fill>
    <fill>
      <patternFill patternType="solid">
        <fgColor theme="7" tint="0.79989013336588644"/>
        <bgColor rgb="FFFFF3CD"/>
      </patternFill>
    </fill>
    <fill>
      <patternFill patternType="solid">
        <fgColor rgb="FFFFFFCC"/>
        <bgColor rgb="FFF8FFCD"/>
      </patternFill>
    </fill>
    <fill>
      <patternFill patternType="solid">
        <fgColor theme="9" tint="0.79989013336588644"/>
        <bgColor rgb="FFDDEAEF"/>
      </patternFill>
    </fill>
    <fill>
      <patternFill patternType="solid">
        <fgColor theme="4" tint="0.79989013336588644"/>
        <bgColor rgb="FFDDEAEF"/>
      </patternFill>
    </fill>
    <fill>
      <patternFill patternType="solid">
        <fgColor theme="2"/>
        <bgColor rgb="FFDDEAEF"/>
      </patternFill>
    </fill>
    <fill>
      <patternFill patternType="solid">
        <fgColor rgb="FFFCEBE0"/>
        <bgColor rgb="FFFFF2CC"/>
      </patternFill>
    </fill>
    <fill>
      <patternFill patternType="solid">
        <fgColor rgb="FFF8FFCD"/>
        <bgColor rgb="FFFFFFCC"/>
      </patternFill>
    </fill>
    <fill>
      <patternFill patternType="solid">
        <fgColor rgb="FFDDEAEF"/>
        <bgColor rgb="FFDEEBF7"/>
      </patternFill>
    </fill>
    <fill>
      <patternFill patternType="solid">
        <fgColor rgb="FFFFF3CD"/>
        <bgColor rgb="FFFFF2CC"/>
      </patternFill>
    </fill>
    <fill>
      <patternFill patternType="solid">
        <fgColor rgb="FFFFFFFF"/>
        <bgColor rgb="FFFFFFCC"/>
      </patternFill>
    </fill>
    <fill>
      <patternFill patternType="solid">
        <fgColor theme="8" tint="0.79989013336588644"/>
        <bgColor rgb="FFDDEAEF"/>
      </patternFill>
    </fill>
    <fill>
      <patternFill patternType="solid">
        <fgColor theme="5" tint="0.59987182226020086"/>
        <bgColor rgb="FFD0CECE"/>
      </patternFill>
    </fill>
    <fill>
      <patternFill patternType="solid">
        <fgColor theme="2" tint="-9.9978637043366805E-2"/>
        <bgColor rgb="FFCCCCCC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DEEBF7"/>
      </patternFill>
    </fill>
    <fill>
      <patternFill patternType="solid">
        <fgColor rgb="FFFFFF00"/>
        <bgColor rgb="FFFFD966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4" tint="0.59987182226020086"/>
        <bgColor rgb="FFCCCCCC"/>
      </patternFill>
    </fill>
    <fill>
      <patternFill patternType="solid">
        <fgColor theme="7" tint="0.39988402966399123"/>
        <bgColor rgb="FFF8CBAD"/>
      </patternFill>
    </fill>
    <fill>
      <patternFill patternType="solid">
        <fgColor theme="9" tint="0.59987182226020086"/>
        <bgColor rgb="FFD9D9D9"/>
      </patternFill>
    </fill>
  </fills>
  <borders count="1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CCCC"/>
      </bottom>
      <diagonal/>
    </border>
  </borders>
  <cellStyleXfs count="3">
    <xf numFmtId="0" fontId="0" fillId="0" borderId="0">
      <alignment vertical="center"/>
    </xf>
    <xf numFmtId="9" fontId="35" fillId="0" borderId="0">
      <alignment vertical="center"/>
    </xf>
    <xf numFmtId="176" fontId="35" fillId="0" borderId="0">
      <alignment vertical="center"/>
    </xf>
  </cellStyleXfs>
  <cellXfs count="44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6" fontId="1" fillId="0" borderId="9" xfId="2" applyFont="1" applyBorder="1">
      <alignment vertical="center"/>
    </xf>
    <xf numFmtId="176" fontId="1" fillId="0" borderId="10" xfId="2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176" fontId="1" fillId="0" borderId="12" xfId="2" applyFont="1" applyBorder="1">
      <alignment vertical="center"/>
    </xf>
    <xf numFmtId="176" fontId="1" fillId="0" borderId="13" xfId="2" applyFont="1" applyBorder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76" fontId="1" fillId="0" borderId="15" xfId="2" applyFont="1" applyBorder="1">
      <alignment vertical="center"/>
    </xf>
    <xf numFmtId="176" fontId="1" fillId="0" borderId="16" xfId="2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176" fontId="10" fillId="0" borderId="18" xfId="2" applyFont="1" applyBorder="1">
      <alignment vertical="center"/>
    </xf>
    <xf numFmtId="176" fontId="10" fillId="0" borderId="19" xfId="2" applyFont="1" applyBorder="1">
      <alignment vertical="center"/>
    </xf>
    <xf numFmtId="176" fontId="1" fillId="3" borderId="9" xfId="2" applyFont="1" applyFill="1" applyBorder="1">
      <alignment vertical="center"/>
    </xf>
    <xf numFmtId="176" fontId="1" fillId="3" borderId="12" xfId="2" applyFont="1" applyFill="1" applyBorder="1">
      <alignment vertical="center"/>
    </xf>
    <xf numFmtId="176" fontId="1" fillId="3" borderId="15" xfId="2" applyFont="1" applyFill="1" applyBorder="1">
      <alignment vertical="center"/>
    </xf>
    <xf numFmtId="0" fontId="9" fillId="0" borderId="20" xfId="0" applyFont="1" applyBorder="1" applyAlignment="1">
      <alignment horizontal="center" vertical="center"/>
    </xf>
    <xf numFmtId="176" fontId="10" fillId="0" borderId="21" xfId="2" applyFont="1" applyBorder="1">
      <alignment vertical="center"/>
    </xf>
    <xf numFmtId="176" fontId="10" fillId="0" borderId="22" xfId="2" applyFont="1" applyBorder="1">
      <alignment vertical="center"/>
    </xf>
    <xf numFmtId="176" fontId="10" fillId="0" borderId="24" xfId="2" applyFont="1" applyBorder="1">
      <alignment vertical="center"/>
    </xf>
    <xf numFmtId="176" fontId="10" fillId="0" borderId="25" xfId="2" applyFont="1" applyBorder="1">
      <alignment vertical="center"/>
    </xf>
    <xf numFmtId="176" fontId="1" fillId="0" borderId="27" xfId="2" applyFont="1" applyBorder="1">
      <alignment vertical="center"/>
    </xf>
    <xf numFmtId="176" fontId="1" fillId="0" borderId="28" xfId="2" applyFont="1" applyBorder="1">
      <alignment vertical="center"/>
    </xf>
    <xf numFmtId="176" fontId="10" fillId="0" borderId="31" xfId="2" applyFont="1" applyBorder="1">
      <alignment vertical="center"/>
    </xf>
    <xf numFmtId="176" fontId="10" fillId="0" borderId="32" xfId="2" applyFont="1" applyBorder="1">
      <alignment vertical="center"/>
    </xf>
    <xf numFmtId="0" fontId="7" fillId="0" borderId="3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76" fontId="1" fillId="0" borderId="36" xfId="2" applyFont="1" applyBorder="1">
      <alignment vertical="center"/>
    </xf>
    <xf numFmtId="176" fontId="1" fillId="0" borderId="37" xfId="2" applyFont="1" applyBorder="1">
      <alignment vertical="center"/>
    </xf>
    <xf numFmtId="176" fontId="1" fillId="3" borderId="27" xfId="2" applyFont="1" applyFill="1" applyBorder="1">
      <alignment vertical="center"/>
    </xf>
    <xf numFmtId="176" fontId="1" fillId="6" borderId="27" xfId="2" applyFont="1" applyFill="1" applyBorder="1">
      <alignment vertical="center"/>
    </xf>
    <xf numFmtId="176" fontId="1" fillId="6" borderId="12" xfId="2" applyFont="1" applyFill="1" applyBorder="1">
      <alignment vertical="center"/>
    </xf>
    <xf numFmtId="176" fontId="10" fillId="6" borderId="31" xfId="2" applyFont="1" applyFill="1" applyBorder="1">
      <alignment vertical="center"/>
    </xf>
    <xf numFmtId="176" fontId="1" fillId="0" borderId="31" xfId="2" applyFont="1" applyBorder="1">
      <alignment vertical="center"/>
    </xf>
    <xf numFmtId="176" fontId="1" fillId="0" borderId="32" xfId="2" applyFont="1" applyBorder="1">
      <alignment vertical="center"/>
    </xf>
    <xf numFmtId="176" fontId="10" fillId="0" borderId="27" xfId="2" applyFont="1" applyBorder="1">
      <alignment vertical="center"/>
    </xf>
    <xf numFmtId="176" fontId="10" fillId="0" borderId="28" xfId="2" applyFont="1" applyBorder="1">
      <alignment vertical="center"/>
    </xf>
    <xf numFmtId="176" fontId="10" fillId="0" borderId="12" xfId="2" applyFont="1" applyBorder="1">
      <alignment vertical="center"/>
    </xf>
    <xf numFmtId="176" fontId="10" fillId="0" borderId="13" xfId="2" applyFont="1" applyBorder="1">
      <alignment vertical="center"/>
    </xf>
    <xf numFmtId="176" fontId="12" fillId="6" borderId="27" xfId="2" applyFont="1" applyFill="1" applyBorder="1">
      <alignment vertical="center"/>
    </xf>
    <xf numFmtId="176" fontId="10" fillId="6" borderId="27" xfId="2" applyFont="1" applyFill="1" applyBorder="1">
      <alignment vertical="center"/>
    </xf>
    <xf numFmtId="176" fontId="12" fillId="6" borderId="12" xfId="2" applyFont="1" applyFill="1" applyBorder="1">
      <alignment vertical="center"/>
    </xf>
    <xf numFmtId="176" fontId="10" fillId="6" borderId="12" xfId="2" applyFont="1" applyFill="1" applyBorder="1">
      <alignment vertical="center"/>
    </xf>
    <xf numFmtId="176" fontId="10" fillId="0" borderId="43" xfId="2" applyFont="1" applyBorder="1">
      <alignment vertical="center"/>
    </xf>
    <xf numFmtId="176" fontId="10" fillId="0" borderId="44" xfId="2" applyFont="1" applyBorder="1">
      <alignment vertical="center"/>
    </xf>
    <xf numFmtId="176" fontId="10" fillId="0" borderId="47" xfId="2" applyFont="1" applyBorder="1">
      <alignment vertical="center"/>
    </xf>
    <xf numFmtId="176" fontId="10" fillId="0" borderId="48" xfId="2" applyFont="1" applyBorder="1">
      <alignment vertical="center"/>
    </xf>
    <xf numFmtId="176" fontId="1" fillId="11" borderId="36" xfId="0" applyNumberFormat="1" applyFont="1" applyFill="1" applyBorder="1">
      <alignment vertical="center"/>
    </xf>
    <xf numFmtId="176" fontId="1" fillId="11" borderId="37" xfId="0" applyNumberFormat="1" applyFont="1" applyFill="1" applyBorder="1">
      <alignment vertical="center"/>
    </xf>
    <xf numFmtId="176" fontId="1" fillId="11" borderId="12" xfId="0" applyNumberFormat="1" applyFont="1" applyFill="1" applyBorder="1">
      <alignment vertical="center"/>
    </xf>
    <xf numFmtId="176" fontId="1" fillId="11" borderId="13" xfId="0" applyNumberFormat="1" applyFont="1" applyFill="1" applyBorder="1">
      <alignment vertical="center"/>
    </xf>
    <xf numFmtId="176" fontId="10" fillId="11" borderId="31" xfId="0" applyNumberFormat="1" applyFont="1" applyFill="1" applyBorder="1">
      <alignment vertical="center"/>
    </xf>
    <xf numFmtId="176" fontId="10" fillId="11" borderId="32" xfId="0" applyNumberFormat="1" applyFont="1" applyFill="1" applyBorder="1">
      <alignment vertical="center"/>
    </xf>
    <xf numFmtId="0" fontId="12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12" fillId="0" borderId="0" xfId="2" applyFont="1">
      <alignment vertical="center"/>
    </xf>
    <xf numFmtId="176" fontId="10" fillId="0" borderId="0" xfId="0" applyNumberFormat="1" applyFont="1">
      <alignment vertical="center"/>
    </xf>
    <xf numFmtId="9" fontId="12" fillId="0" borderId="53" xfId="1" applyFont="1" applyBorder="1">
      <alignment vertical="center"/>
    </xf>
    <xf numFmtId="9" fontId="10" fillId="0" borderId="53" xfId="1" applyFont="1" applyBorder="1">
      <alignment vertical="center"/>
    </xf>
    <xf numFmtId="0" fontId="4" fillId="4" borderId="55" xfId="0" applyFont="1" applyFill="1" applyBorder="1" applyAlignment="1">
      <alignment horizontal="right" vertical="center"/>
    </xf>
    <xf numFmtId="176" fontId="12" fillId="0" borderId="55" xfId="2" applyFont="1" applyBorder="1">
      <alignment vertical="center"/>
    </xf>
    <xf numFmtId="176" fontId="10" fillId="0" borderId="55" xfId="0" applyNumberFormat="1" applyFont="1" applyBorder="1">
      <alignment vertical="center"/>
    </xf>
    <xf numFmtId="0" fontId="4" fillId="4" borderId="53" xfId="0" applyFont="1" applyFill="1" applyBorder="1" applyAlignment="1">
      <alignment horizontal="right" vertical="center"/>
    </xf>
    <xf numFmtId="176" fontId="12" fillId="0" borderId="53" xfId="2" applyFont="1" applyBorder="1">
      <alignment vertical="center"/>
    </xf>
    <xf numFmtId="176" fontId="10" fillId="0" borderId="53" xfId="0" applyNumberFormat="1" applyFont="1" applyBorder="1">
      <alignment vertical="center"/>
    </xf>
    <xf numFmtId="0" fontId="4" fillId="2" borderId="55" xfId="0" applyFont="1" applyFill="1" applyBorder="1" applyAlignment="1">
      <alignment horizontal="right" vertical="center"/>
    </xf>
    <xf numFmtId="0" fontId="4" fillId="2" borderId="53" xfId="0" applyFont="1" applyFill="1" applyBorder="1" applyAlignment="1">
      <alignment horizontal="right" vertical="center"/>
    </xf>
    <xf numFmtId="176" fontId="1" fillId="0" borderId="53" xfId="0" applyNumberFormat="1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8" fillId="2" borderId="51" xfId="0" applyFont="1" applyFill="1" applyBorder="1" applyAlignment="1">
      <alignment horizontal="center" vertical="center"/>
    </xf>
    <xf numFmtId="0" fontId="17" fillId="0" borderId="51" xfId="0" applyFont="1" applyBorder="1" applyAlignment="1"/>
    <xf numFmtId="176" fontId="14" fillId="0" borderId="51" xfId="0" applyNumberFormat="1" applyFont="1" applyBorder="1" applyAlignment="1"/>
    <xf numFmtId="9" fontId="14" fillId="0" borderId="51" xfId="0" applyNumberFormat="1" applyFont="1" applyBorder="1" applyAlignment="1"/>
    <xf numFmtId="176" fontId="14" fillId="0" borderId="51" xfId="2" applyFont="1" applyBorder="1" applyAlignment="1"/>
    <xf numFmtId="0" fontId="0" fillId="0" borderId="51" xfId="0" applyBorder="1" applyAlignment="1"/>
    <xf numFmtId="3" fontId="14" fillId="0" borderId="51" xfId="0" applyNumberFormat="1" applyFont="1" applyBorder="1" applyAlignment="1"/>
    <xf numFmtId="0" fontId="17" fillId="0" borderId="51" xfId="0" applyFont="1" applyBorder="1">
      <alignment vertical="center"/>
    </xf>
    <xf numFmtId="0" fontId="17" fillId="0" borderId="51" xfId="0" applyFont="1" applyBorder="1" applyAlignment="1">
      <alignment vertical="center" wrapText="1"/>
    </xf>
    <xf numFmtId="0" fontId="19" fillId="0" borderId="51" xfId="0" applyFont="1" applyBorder="1" applyAlignment="1">
      <alignment horizontal="right"/>
    </xf>
    <xf numFmtId="9" fontId="14" fillId="0" borderId="51" xfId="1" applyFont="1" applyBorder="1" applyAlignment="1"/>
    <xf numFmtId="176" fontId="19" fillId="0" borderId="51" xfId="0" applyNumberFormat="1" applyFont="1" applyBorder="1" applyAlignment="1"/>
    <xf numFmtId="9" fontId="19" fillId="0" borderId="51" xfId="0" applyNumberFormat="1" applyFont="1" applyBorder="1" applyAlignment="1"/>
    <xf numFmtId="3" fontId="19" fillId="0" borderId="51" xfId="0" applyNumberFormat="1" applyFont="1" applyBorder="1" applyAlignment="1"/>
    <xf numFmtId="0" fontId="20" fillId="2" borderId="51" xfId="0" applyFont="1" applyFill="1" applyBorder="1" applyAlignment="1"/>
    <xf numFmtId="176" fontId="14" fillId="2" borderId="51" xfId="0" applyNumberFormat="1" applyFont="1" applyFill="1" applyBorder="1" applyAlignment="1"/>
    <xf numFmtId="176" fontId="2" fillId="0" borderId="53" xfId="0" applyNumberFormat="1" applyFont="1" applyBorder="1">
      <alignment vertical="center"/>
    </xf>
    <xf numFmtId="0" fontId="17" fillId="0" borderId="53" xfId="0" applyFont="1" applyBorder="1">
      <alignment vertical="center"/>
    </xf>
    <xf numFmtId="0" fontId="0" fillId="0" borderId="0" xfId="0" applyAlignment="1"/>
    <xf numFmtId="0" fontId="5" fillId="0" borderId="2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" fontId="12" fillId="0" borderId="51" xfId="0" applyNumberFormat="1" applyFont="1" applyBorder="1">
      <alignment vertical="center"/>
    </xf>
    <xf numFmtId="3" fontId="12" fillId="0" borderId="57" xfId="0" applyNumberFormat="1" applyFont="1" applyBorder="1">
      <alignment vertical="center"/>
    </xf>
    <xf numFmtId="178" fontId="12" fillId="0" borderId="51" xfId="0" applyNumberFormat="1" applyFont="1" applyBorder="1">
      <alignment vertical="center"/>
    </xf>
    <xf numFmtId="178" fontId="12" fillId="0" borderId="58" xfId="0" applyNumberFormat="1" applyFont="1" applyBorder="1">
      <alignment vertical="center"/>
    </xf>
    <xf numFmtId="178" fontId="12" fillId="0" borderId="57" xfId="0" applyNumberFormat="1" applyFont="1" applyBorder="1">
      <alignment vertical="center"/>
    </xf>
    <xf numFmtId="176" fontId="12" fillId="0" borderId="51" xfId="0" applyNumberFormat="1" applyFont="1" applyBorder="1">
      <alignment vertical="center"/>
    </xf>
    <xf numFmtId="176" fontId="12" fillId="0" borderId="58" xfId="0" applyNumberFormat="1" applyFont="1" applyBorder="1">
      <alignment vertical="center"/>
    </xf>
    <xf numFmtId="176" fontId="12" fillId="0" borderId="57" xfId="0" applyNumberFormat="1" applyFont="1" applyBorder="1">
      <alignment vertical="center"/>
    </xf>
    <xf numFmtId="3" fontId="12" fillId="0" borderId="58" xfId="0" applyNumberFormat="1" applyFont="1" applyBorder="1">
      <alignment vertical="center"/>
    </xf>
    <xf numFmtId="3" fontId="12" fillId="3" borderId="51" xfId="0" applyNumberFormat="1" applyFont="1" applyFill="1" applyBorder="1">
      <alignment vertical="center"/>
    </xf>
    <xf numFmtId="0" fontId="4" fillId="0" borderId="59" xfId="0" applyFont="1" applyBorder="1" applyAlignment="1">
      <alignment horizontal="center" vertical="center"/>
    </xf>
    <xf numFmtId="176" fontId="12" fillId="0" borderId="52" xfId="0" applyNumberFormat="1" applyFont="1" applyBorder="1">
      <alignment vertical="center"/>
    </xf>
    <xf numFmtId="176" fontId="12" fillId="0" borderId="60" xfId="0" applyNumberFormat="1" applyFont="1" applyBorder="1">
      <alignment vertical="center"/>
    </xf>
    <xf numFmtId="0" fontId="12" fillId="0" borderId="0" xfId="0" applyFont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3" fontId="12" fillId="0" borderId="65" xfId="0" applyNumberFormat="1" applyFont="1" applyBorder="1">
      <alignment vertical="center"/>
    </xf>
    <xf numFmtId="3" fontId="12" fillId="0" borderId="66" xfId="0" applyNumberFormat="1" applyFont="1" applyBorder="1">
      <alignment vertical="center"/>
    </xf>
    <xf numFmtId="0" fontId="19" fillId="0" borderId="0" xfId="0" applyFont="1">
      <alignment vertical="center"/>
    </xf>
    <xf numFmtId="0" fontId="4" fillId="13" borderId="64" xfId="0" applyFont="1" applyFill="1" applyBorder="1" applyAlignment="1">
      <alignment horizontal="center" vertical="center"/>
    </xf>
    <xf numFmtId="176" fontId="10" fillId="13" borderId="65" xfId="2" applyFont="1" applyFill="1" applyBorder="1">
      <alignment vertical="center"/>
    </xf>
    <xf numFmtId="176" fontId="10" fillId="13" borderId="66" xfId="2" applyFont="1" applyFill="1" applyBorder="1">
      <alignment vertical="center"/>
    </xf>
    <xf numFmtId="0" fontId="5" fillId="0" borderId="64" xfId="0" applyFont="1" applyBorder="1" applyAlignment="1">
      <alignment horizontal="center" vertical="center"/>
    </xf>
    <xf numFmtId="3" fontId="12" fillId="3" borderId="65" xfId="2" applyNumberFormat="1" applyFont="1" applyFill="1" applyBorder="1">
      <alignment vertical="center"/>
    </xf>
    <xf numFmtId="3" fontId="12" fillId="3" borderId="65" xfId="0" applyNumberFormat="1" applyFont="1" applyFill="1" applyBorder="1">
      <alignment vertical="center"/>
    </xf>
    <xf numFmtId="3" fontId="22" fillId="3" borderId="65" xfId="0" applyNumberFormat="1" applyFont="1" applyFill="1" applyBorder="1">
      <alignment vertical="center"/>
    </xf>
    <xf numFmtId="178" fontId="12" fillId="0" borderId="65" xfId="0" applyNumberFormat="1" applyFont="1" applyBorder="1">
      <alignment vertical="center"/>
    </xf>
    <xf numFmtId="178" fontId="12" fillId="0" borderId="66" xfId="0" applyNumberFormat="1" applyFont="1" applyBorder="1">
      <alignment vertical="center"/>
    </xf>
    <xf numFmtId="176" fontId="12" fillId="0" borderId="65" xfId="0" applyNumberFormat="1" applyFont="1" applyBorder="1">
      <alignment vertical="center"/>
    </xf>
    <xf numFmtId="176" fontId="12" fillId="0" borderId="66" xfId="0" applyNumberFormat="1" applyFont="1" applyBorder="1">
      <alignment vertical="center"/>
    </xf>
    <xf numFmtId="0" fontId="4" fillId="0" borderId="67" xfId="0" applyFont="1" applyBorder="1" applyAlignment="1">
      <alignment horizontal="center" vertical="center"/>
    </xf>
    <xf numFmtId="9" fontId="12" fillId="0" borderId="68" xfId="1" applyFont="1" applyBorder="1">
      <alignment vertical="center"/>
    </xf>
    <xf numFmtId="9" fontId="12" fillId="0" borderId="69" xfId="1" applyFont="1" applyBorder="1">
      <alignment vertical="center"/>
    </xf>
    <xf numFmtId="0" fontId="4" fillId="0" borderId="61" xfId="0" applyFont="1" applyBorder="1" applyAlignment="1">
      <alignment horizontal="center" vertical="center"/>
    </xf>
    <xf numFmtId="176" fontId="12" fillId="3" borderId="62" xfId="0" applyNumberFormat="1" applyFont="1" applyFill="1" applyBorder="1">
      <alignment vertical="center"/>
    </xf>
    <xf numFmtId="176" fontId="12" fillId="0" borderId="63" xfId="0" applyNumberFormat="1" applyFont="1" applyBorder="1">
      <alignment vertical="center"/>
    </xf>
    <xf numFmtId="176" fontId="12" fillId="3" borderId="65" xfId="0" applyNumberFormat="1" applyFont="1" applyFill="1" applyBorder="1">
      <alignment vertical="center"/>
    </xf>
    <xf numFmtId="176" fontId="12" fillId="0" borderId="68" xfId="0" applyNumberFormat="1" applyFont="1" applyBorder="1">
      <alignment vertical="center"/>
    </xf>
    <xf numFmtId="176" fontId="12" fillId="0" borderId="69" xfId="0" applyNumberFormat="1" applyFont="1" applyBorder="1">
      <alignment vertical="center"/>
    </xf>
    <xf numFmtId="0" fontId="5" fillId="0" borderId="70" xfId="0" applyFont="1" applyBorder="1" applyAlignment="1">
      <alignment horizontal="center" vertical="center"/>
    </xf>
    <xf numFmtId="176" fontId="12" fillId="0" borderId="71" xfId="0" applyNumberFormat="1" applyFont="1" applyBorder="1">
      <alignment vertical="center"/>
    </xf>
    <xf numFmtId="176" fontId="12" fillId="0" borderId="72" xfId="0" applyNumberFormat="1" applyFont="1" applyBorder="1">
      <alignment vertical="center"/>
    </xf>
    <xf numFmtId="0" fontId="4" fillId="0" borderId="73" xfId="0" applyFont="1" applyBorder="1" applyAlignment="1">
      <alignment horizontal="center" vertical="center"/>
    </xf>
    <xf numFmtId="176" fontId="12" fillId="3" borderId="74" xfId="0" applyNumberFormat="1" applyFont="1" applyFill="1" applyBorder="1">
      <alignment vertical="center"/>
    </xf>
    <xf numFmtId="176" fontId="12" fillId="0" borderId="75" xfId="0" applyNumberFormat="1" applyFont="1" applyBorder="1">
      <alignment vertical="center"/>
    </xf>
    <xf numFmtId="0" fontId="4" fillId="0" borderId="76" xfId="0" applyFont="1" applyBorder="1" applyAlignment="1">
      <alignment horizontal="center" vertical="center"/>
    </xf>
    <xf numFmtId="9" fontId="12" fillId="0" borderId="77" xfId="1" applyFont="1" applyBorder="1">
      <alignment vertical="center"/>
    </xf>
    <xf numFmtId="9" fontId="12" fillId="0" borderId="78" xfId="1" applyFont="1" applyBorder="1">
      <alignment vertical="center"/>
    </xf>
    <xf numFmtId="0" fontId="4" fillId="0" borderId="79" xfId="0" applyFont="1" applyBorder="1" applyAlignment="1">
      <alignment horizontal="center" vertical="center"/>
    </xf>
    <xf numFmtId="176" fontId="12" fillId="3" borderId="80" xfId="2" applyFont="1" applyFill="1" applyBorder="1">
      <alignment vertical="center"/>
    </xf>
    <xf numFmtId="9" fontId="12" fillId="0" borderId="81" xfId="1" applyFont="1" applyBorder="1">
      <alignment vertical="center"/>
    </xf>
    <xf numFmtId="3" fontId="12" fillId="0" borderId="62" xfId="2" applyNumberFormat="1" applyFont="1" applyBorder="1">
      <alignment vertical="center"/>
    </xf>
    <xf numFmtId="3" fontId="22" fillId="0" borderId="62" xfId="2" applyNumberFormat="1" applyFont="1" applyBorder="1">
      <alignment vertical="center"/>
    </xf>
    <xf numFmtId="3" fontId="12" fillId="0" borderId="63" xfId="0" applyNumberFormat="1" applyFont="1" applyBorder="1">
      <alignment vertical="center"/>
    </xf>
    <xf numFmtId="178" fontId="12" fillId="0" borderId="68" xfId="0" applyNumberFormat="1" applyFont="1" applyBorder="1">
      <alignment vertical="center"/>
    </xf>
    <xf numFmtId="178" fontId="12" fillId="0" borderId="69" xfId="0" applyNumberFormat="1" applyFont="1" applyBorder="1">
      <alignment vertical="center"/>
    </xf>
    <xf numFmtId="0" fontId="10" fillId="0" borderId="82" xfId="0" applyFont="1" applyBorder="1" applyAlignment="1">
      <alignment horizontal="center" vertical="center"/>
    </xf>
    <xf numFmtId="3" fontId="12" fillId="0" borderId="83" xfId="2" applyNumberFormat="1" applyFont="1" applyBorder="1">
      <alignment vertical="center"/>
    </xf>
    <xf numFmtId="3" fontId="22" fillId="0" borderId="83" xfId="2" applyNumberFormat="1" applyFont="1" applyBorder="1">
      <alignment vertical="center"/>
    </xf>
    <xf numFmtId="3" fontId="12" fillId="0" borderId="84" xfId="0" applyNumberFormat="1" applyFont="1" applyBorder="1">
      <alignment vertical="center"/>
    </xf>
    <xf numFmtId="0" fontId="12" fillId="0" borderId="85" xfId="0" applyFont="1" applyBorder="1" applyAlignment="1">
      <alignment horizontal="center" vertical="center"/>
    </xf>
    <xf numFmtId="178" fontId="12" fillId="0" borderId="0" xfId="0" applyNumberFormat="1" applyFont="1">
      <alignment vertical="center"/>
    </xf>
    <xf numFmtId="178" fontId="12" fillId="0" borderId="86" xfId="0" applyNumberFormat="1" applyFont="1" applyBorder="1">
      <alignment vertical="center"/>
    </xf>
    <xf numFmtId="0" fontId="4" fillId="0" borderId="87" xfId="0" applyFont="1" applyBorder="1" applyAlignment="1">
      <alignment horizontal="center" vertical="center"/>
    </xf>
    <xf numFmtId="9" fontId="12" fillId="0" borderId="88" xfId="1" applyFont="1" applyBorder="1">
      <alignment vertical="center"/>
    </xf>
    <xf numFmtId="9" fontId="12" fillId="0" borderId="89" xfId="1" applyFont="1" applyBorder="1">
      <alignment vertical="center"/>
    </xf>
    <xf numFmtId="3" fontId="12" fillId="0" borderId="62" xfId="0" applyNumberFormat="1" applyFont="1" applyBorder="1">
      <alignment vertical="center"/>
    </xf>
    <xf numFmtId="3" fontId="12" fillId="0" borderId="90" xfId="0" applyNumberFormat="1" applyFont="1" applyBorder="1">
      <alignment vertical="center"/>
    </xf>
    <xf numFmtId="3" fontId="12" fillId="3" borderId="51" xfId="2" applyNumberFormat="1" applyFont="1" applyFill="1" applyBorder="1">
      <alignment vertical="center"/>
    </xf>
    <xf numFmtId="3" fontId="22" fillId="3" borderId="58" xfId="0" applyNumberFormat="1" applyFont="1" applyFill="1" applyBorder="1">
      <alignment vertical="center"/>
    </xf>
    <xf numFmtId="3" fontId="12" fillId="0" borderId="51" xfId="2" applyNumberFormat="1" applyFont="1" applyBorder="1">
      <alignment vertical="center"/>
    </xf>
    <xf numFmtId="178" fontId="12" fillId="0" borderId="52" xfId="0" applyNumberFormat="1" applyFont="1" applyBorder="1">
      <alignment vertical="center"/>
    </xf>
    <xf numFmtId="178" fontId="12" fillId="0" borderId="91" xfId="0" applyNumberFormat="1" applyFont="1" applyBorder="1">
      <alignment vertical="center"/>
    </xf>
    <xf numFmtId="178" fontId="12" fillId="0" borderId="60" xfId="0" applyNumberFormat="1" applyFont="1" applyBorder="1">
      <alignment vertical="center"/>
    </xf>
    <xf numFmtId="3" fontId="12" fillId="0" borderId="52" xfId="2" applyNumberFormat="1" applyFont="1" applyBorder="1">
      <alignment vertical="center"/>
    </xf>
    <xf numFmtId="3" fontId="12" fillId="0" borderId="90" xfId="2" applyNumberFormat="1" applyFont="1" applyBorder="1">
      <alignment vertical="center"/>
    </xf>
    <xf numFmtId="0" fontId="12" fillId="0" borderId="86" xfId="0" applyFont="1" applyBorder="1" applyAlignment="1">
      <alignment horizontal="center" vertical="center"/>
    </xf>
    <xf numFmtId="3" fontId="12" fillId="11" borderId="66" xfId="0" applyNumberFormat="1" applyFont="1" applyFill="1" applyBorder="1">
      <alignment vertical="center"/>
    </xf>
    <xf numFmtId="176" fontId="12" fillId="0" borderId="62" xfId="0" applyNumberFormat="1" applyFont="1" applyBorder="1">
      <alignment vertical="center"/>
    </xf>
    <xf numFmtId="176" fontId="12" fillId="3" borderId="80" xfId="0" applyNumberFormat="1" applyFont="1" applyFill="1" applyBorder="1">
      <alignment vertical="center"/>
    </xf>
    <xf numFmtId="176" fontId="12" fillId="0" borderId="81" xfId="0" applyNumberFormat="1" applyFont="1" applyBorder="1">
      <alignment vertical="center"/>
    </xf>
    <xf numFmtId="9" fontId="12" fillId="0" borderId="65" xfId="1" applyFont="1" applyBorder="1">
      <alignment vertical="center"/>
    </xf>
    <xf numFmtId="176" fontId="12" fillId="3" borderId="65" xfId="2" applyFont="1" applyFill="1" applyBorder="1">
      <alignment vertical="center"/>
    </xf>
    <xf numFmtId="0" fontId="17" fillId="0" borderId="0" xfId="0" applyFont="1">
      <alignment vertical="center"/>
    </xf>
    <xf numFmtId="0" fontId="5" fillId="0" borderId="79" xfId="0" applyFont="1" applyBorder="1" applyAlignment="1">
      <alignment horizontal="center" vertical="center"/>
    </xf>
    <xf numFmtId="3" fontId="12" fillId="0" borderId="80" xfId="2" applyNumberFormat="1" applyFont="1" applyBorder="1">
      <alignment vertical="center"/>
    </xf>
    <xf numFmtId="3" fontId="22" fillId="0" borderId="80" xfId="2" applyNumberFormat="1" applyFont="1" applyBorder="1">
      <alignment vertical="center"/>
    </xf>
    <xf numFmtId="3" fontId="12" fillId="0" borderId="81" xfId="0" applyNumberFormat="1" applyFont="1" applyBorder="1">
      <alignment vertical="center"/>
    </xf>
    <xf numFmtId="0" fontId="4" fillId="0" borderId="85" xfId="0" applyFont="1" applyBorder="1" applyAlignment="1">
      <alignment horizontal="center" vertical="center"/>
    </xf>
    <xf numFmtId="3" fontId="12" fillId="14" borderId="65" xfId="0" applyNumberFormat="1" applyFont="1" applyFill="1" applyBorder="1">
      <alignment vertical="center"/>
    </xf>
    <xf numFmtId="176" fontId="12" fillId="14" borderId="62" xfId="0" applyNumberFormat="1" applyFont="1" applyFill="1" applyBorder="1">
      <alignment vertical="center"/>
    </xf>
    <xf numFmtId="176" fontId="12" fillId="14" borderId="65" xfId="0" applyNumberFormat="1" applyFont="1" applyFill="1" applyBorder="1">
      <alignment vertical="center"/>
    </xf>
    <xf numFmtId="179" fontId="12" fillId="0" borderId="62" xfId="0" applyNumberFormat="1" applyFont="1" applyBorder="1">
      <alignment vertical="center"/>
    </xf>
    <xf numFmtId="0" fontId="4" fillId="0" borderId="0" xfId="0" applyFont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176" fontId="12" fillId="0" borderId="95" xfId="2" applyFont="1" applyBorder="1" applyAlignment="1">
      <alignment horizontal="center" vertical="center"/>
    </xf>
    <xf numFmtId="176" fontId="12" fillId="0" borderId="86" xfId="2" applyFont="1" applyBorder="1" applyAlignment="1">
      <alignment horizontal="center" vertical="center"/>
    </xf>
    <xf numFmtId="176" fontId="12" fillId="0" borderId="96" xfId="2" applyFont="1" applyBorder="1" applyAlignment="1">
      <alignment horizontal="center" vertical="center"/>
    </xf>
    <xf numFmtId="3" fontId="5" fillId="0" borderId="51" xfId="0" applyNumberFormat="1" applyFont="1" applyBorder="1" applyAlignment="1">
      <alignment horizontal="center" vertical="center" wrapText="1"/>
    </xf>
    <xf numFmtId="3" fontId="12" fillId="2" borderId="51" xfId="0" applyNumberFormat="1" applyFont="1" applyFill="1" applyBorder="1">
      <alignment vertical="center"/>
    </xf>
    <xf numFmtId="0" fontId="14" fillId="0" borderId="51" xfId="0" applyFont="1" applyBorder="1">
      <alignment vertical="center"/>
    </xf>
    <xf numFmtId="0" fontId="17" fillId="0" borderId="51" xfId="0" applyFont="1" applyBorder="1" applyAlignment="1">
      <alignment horizontal="center" vertical="center"/>
    </xf>
    <xf numFmtId="3" fontId="5" fillId="0" borderId="51" xfId="0" applyNumberFormat="1" applyFont="1" applyBorder="1" applyAlignment="1">
      <alignment horizontal="center" vertical="center"/>
    </xf>
    <xf numFmtId="176" fontId="12" fillId="0" borderId="51" xfId="2" applyFont="1" applyBorder="1">
      <alignment vertical="center"/>
    </xf>
    <xf numFmtId="0" fontId="14" fillId="3" borderId="51" xfId="0" applyFont="1" applyFill="1" applyBorder="1">
      <alignment vertical="center"/>
    </xf>
    <xf numFmtId="176" fontId="14" fillId="0" borderId="51" xfId="2" applyFont="1" applyBorder="1">
      <alignment vertical="center"/>
    </xf>
    <xf numFmtId="176" fontId="12" fillId="2" borderId="51" xfId="2" applyFont="1" applyFill="1" applyBorder="1">
      <alignment vertical="center"/>
    </xf>
    <xf numFmtId="3" fontId="10" fillId="0" borderId="51" xfId="0" applyNumberFormat="1" applyFont="1" applyBorder="1">
      <alignment vertical="center"/>
    </xf>
    <xf numFmtId="0" fontId="17" fillId="0" borderId="51" xfId="0" applyFont="1" applyBorder="1" applyAlignment="1">
      <alignment horizontal="right" vertical="center"/>
    </xf>
    <xf numFmtId="178" fontId="5" fillId="0" borderId="51" xfId="0" applyNumberFormat="1" applyFont="1" applyBorder="1" applyAlignment="1">
      <alignment horizontal="center" vertical="center"/>
    </xf>
    <xf numFmtId="178" fontId="10" fillId="0" borderId="51" xfId="0" applyNumberFormat="1" applyFont="1" applyBorder="1">
      <alignment vertical="center"/>
    </xf>
    <xf numFmtId="9" fontId="10" fillId="0" borderId="51" xfId="0" applyNumberFormat="1" applyFont="1" applyBorder="1">
      <alignment vertical="center"/>
    </xf>
    <xf numFmtId="0" fontId="12" fillId="0" borderId="51" xfId="0" applyFont="1" applyBorder="1">
      <alignment vertical="center"/>
    </xf>
    <xf numFmtId="9" fontId="12" fillId="0" borderId="51" xfId="0" applyNumberFormat="1" applyFont="1" applyBorder="1">
      <alignment vertical="center"/>
    </xf>
    <xf numFmtId="9" fontId="12" fillId="0" borderId="51" xfId="1" applyFont="1" applyBorder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51" xfId="0" applyFont="1" applyBorder="1">
      <alignment vertical="center"/>
    </xf>
    <xf numFmtId="0" fontId="25" fillId="0" borderId="51" xfId="0" applyFont="1" applyBorder="1">
      <alignment vertical="center"/>
    </xf>
    <xf numFmtId="0" fontId="23" fillId="0" borderId="0" xfId="0" applyFont="1" applyAlignment="1">
      <alignment horizontal="center" vertical="center"/>
    </xf>
    <xf numFmtId="176" fontId="24" fillId="12" borderId="51" xfId="2" applyFont="1" applyFill="1" applyBorder="1" applyAlignment="1">
      <alignment vertical="center" shrinkToFit="1"/>
    </xf>
    <xf numFmtId="0" fontId="24" fillId="0" borderId="0" xfId="0" applyFont="1" applyAlignment="1">
      <alignment vertical="center" shrinkToFit="1"/>
    </xf>
    <xf numFmtId="176" fontId="24" fillId="15" borderId="51" xfId="2" applyFont="1" applyFill="1" applyBorder="1">
      <alignment vertical="center"/>
    </xf>
    <xf numFmtId="176" fontId="23" fillId="15" borderId="51" xfId="2" applyFont="1" applyFill="1" applyBorder="1">
      <alignment vertical="center"/>
    </xf>
    <xf numFmtId="178" fontId="23" fillId="15" borderId="51" xfId="1" applyNumberFormat="1" applyFont="1" applyFill="1" applyBorder="1">
      <alignment vertical="center"/>
    </xf>
    <xf numFmtId="180" fontId="23" fillId="15" borderId="51" xfId="0" applyNumberFormat="1" applyFont="1" applyFill="1" applyBorder="1">
      <alignment vertical="center"/>
    </xf>
    <xf numFmtId="178" fontId="14" fillId="15" borderId="51" xfId="1" applyNumberFormat="1" applyFont="1" applyFill="1" applyBorder="1">
      <alignment vertical="center"/>
    </xf>
    <xf numFmtId="176" fontId="23" fillId="0" borderId="51" xfId="2" applyFont="1" applyBorder="1">
      <alignment vertical="center"/>
    </xf>
    <xf numFmtId="176" fontId="24" fillId="16" borderId="51" xfId="2" applyFont="1" applyFill="1" applyBorder="1" applyAlignment="1">
      <alignment vertical="center" shrinkToFit="1"/>
    </xf>
    <xf numFmtId="0" fontId="23" fillId="0" borderId="0" xfId="0" applyFont="1" applyAlignment="1">
      <alignment horizontal="center" vertical="center" textRotation="255"/>
    </xf>
    <xf numFmtId="176" fontId="23" fillId="0" borderId="0" xfId="2" applyFont="1">
      <alignment vertical="center"/>
    </xf>
    <xf numFmtId="0" fontId="21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3" fontId="14" fillId="0" borderId="51" xfId="0" applyNumberFormat="1" applyFont="1" applyBorder="1">
      <alignment vertical="center"/>
    </xf>
    <xf numFmtId="3" fontId="14" fillId="0" borderId="57" xfId="0" applyNumberFormat="1" applyFont="1" applyBorder="1">
      <alignment vertical="center"/>
    </xf>
    <xf numFmtId="178" fontId="14" fillId="0" borderId="51" xfId="0" applyNumberFormat="1" applyFont="1" applyBorder="1">
      <alignment vertical="center"/>
    </xf>
    <xf numFmtId="178" fontId="14" fillId="0" borderId="58" xfId="0" applyNumberFormat="1" applyFont="1" applyBorder="1">
      <alignment vertical="center"/>
    </xf>
    <xf numFmtId="178" fontId="14" fillId="0" borderId="57" xfId="0" applyNumberFormat="1" applyFont="1" applyBorder="1">
      <alignment vertical="center"/>
    </xf>
    <xf numFmtId="176" fontId="14" fillId="0" borderId="51" xfId="0" applyNumberFormat="1" applyFont="1" applyBorder="1">
      <alignment vertical="center"/>
    </xf>
    <xf numFmtId="176" fontId="14" fillId="0" borderId="58" xfId="0" applyNumberFormat="1" applyFont="1" applyBorder="1">
      <alignment vertical="center"/>
    </xf>
    <xf numFmtId="176" fontId="14" fillId="0" borderId="57" xfId="0" applyNumberFormat="1" applyFont="1" applyBorder="1">
      <alignment vertical="center"/>
    </xf>
    <xf numFmtId="3" fontId="14" fillId="0" borderId="58" xfId="0" applyNumberFormat="1" applyFont="1" applyBorder="1">
      <alignment vertical="center"/>
    </xf>
    <xf numFmtId="3" fontId="14" fillId="3" borderId="51" xfId="0" applyNumberFormat="1" applyFont="1" applyFill="1" applyBorder="1">
      <alignment vertical="center"/>
    </xf>
    <xf numFmtId="0" fontId="17" fillId="0" borderId="59" xfId="0" applyFont="1" applyBorder="1" applyAlignment="1">
      <alignment horizontal="center" vertical="center"/>
    </xf>
    <xf numFmtId="176" fontId="14" fillId="0" borderId="52" xfId="0" applyNumberFormat="1" applyFont="1" applyBorder="1">
      <alignment vertical="center"/>
    </xf>
    <xf numFmtId="176" fontId="14" fillId="0" borderId="60" xfId="0" applyNumberFormat="1" applyFont="1" applyBorder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29" fillId="17" borderId="0" xfId="0" applyFont="1" applyFill="1" applyAlignment="1">
      <alignment horizontal="center" vertical="center"/>
    </xf>
    <xf numFmtId="181" fontId="30" fillId="17" borderId="0" xfId="0" applyNumberFormat="1" applyFont="1" applyFill="1" applyProtection="1">
      <alignment vertical="center"/>
      <protection locked="0"/>
    </xf>
    <xf numFmtId="182" fontId="30" fillId="17" borderId="0" xfId="0" applyNumberFormat="1" applyFont="1" applyFill="1" applyAlignment="1" applyProtection="1">
      <alignment horizontal="center" vertical="center"/>
      <protection locked="0"/>
    </xf>
    <xf numFmtId="0" fontId="30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176" fontId="30" fillId="12" borderId="51" xfId="2" applyFont="1" applyFill="1" applyBorder="1" applyAlignment="1">
      <alignment vertical="center" shrinkToFit="1"/>
    </xf>
    <xf numFmtId="176" fontId="30" fillId="15" borderId="51" xfId="2" applyFont="1" applyFill="1" applyBorder="1">
      <alignment vertical="center"/>
    </xf>
    <xf numFmtId="176" fontId="29" fillId="15" borderId="51" xfId="2" applyFont="1" applyFill="1" applyBorder="1">
      <alignment vertical="center"/>
    </xf>
    <xf numFmtId="178" fontId="29" fillId="15" borderId="51" xfId="1" applyNumberFormat="1" applyFont="1" applyFill="1" applyBorder="1">
      <alignment vertical="center"/>
    </xf>
    <xf numFmtId="180" fontId="29" fillId="15" borderId="51" xfId="0" applyNumberFormat="1" applyFont="1" applyFill="1" applyBorder="1">
      <alignment vertical="center"/>
    </xf>
    <xf numFmtId="178" fontId="32" fillId="15" borderId="51" xfId="1" applyNumberFormat="1" applyFont="1" applyFill="1" applyBorder="1">
      <alignment vertical="center"/>
    </xf>
    <xf numFmtId="176" fontId="29" fillId="0" borderId="51" xfId="2" applyFont="1" applyBorder="1">
      <alignment vertical="center"/>
    </xf>
    <xf numFmtId="176" fontId="30" fillId="16" borderId="51" xfId="2" applyFont="1" applyFill="1" applyBorder="1" applyAlignment="1">
      <alignment vertical="center" shrinkToFit="1"/>
    </xf>
    <xf numFmtId="3" fontId="14" fillId="14" borderId="51" xfId="0" applyNumberFormat="1" applyFont="1" applyFill="1" applyBorder="1">
      <alignment vertical="center"/>
    </xf>
    <xf numFmtId="0" fontId="17" fillId="18" borderId="0" xfId="0" applyFont="1" applyFill="1" applyAlignment="1">
      <alignment horizontal="center" vertical="center"/>
    </xf>
    <xf numFmtId="0" fontId="24" fillId="0" borderId="51" xfId="0" applyFont="1" applyBorder="1" applyAlignment="1">
      <alignment horizontal="center" vertical="center"/>
    </xf>
    <xf numFmtId="0" fontId="24" fillId="18" borderId="51" xfId="0" applyFont="1" applyFill="1" applyBorder="1" applyAlignment="1">
      <alignment horizontal="center" vertical="center"/>
    </xf>
    <xf numFmtId="176" fontId="24" fillId="18" borderId="51" xfId="2" applyFont="1" applyFill="1" applyBorder="1" applyAlignment="1">
      <alignment vertical="center" shrinkToFit="1"/>
    </xf>
    <xf numFmtId="176" fontId="24" fillId="18" borderId="51" xfId="2" applyFont="1" applyFill="1" applyBorder="1">
      <alignment vertical="center"/>
    </xf>
    <xf numFmtId="176" fontId="23" fillId="18" borderId="51" xfId="2" applyFont="1" applyFill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 wrapText="1"/>
    </xf>
    <xf numFmtId="3" fontId="12" fillId="0" borderId="65" xfId="2" applyNumberFormat="1" applyFont="1" applyBorder="1">
      <alignment vertical="center"/>
    </xf>
    <xf numFmtId="0" fontId="4" fillId="0" borderId="0" xfId="0" applyFont="1" applyAlignment="1">
      <alignment horizontal="left" vertical="center"/>
    </xf>
    <xf numFmtId="0" fontId="19" fillId="19" borderId="61" xfId="0" applyFont="1" applyFill="1" applyBorder="1" applyAlignment="1">
      <alignment horizontal="center" vertical="center"/>
    </xf>
    <xf numFmtId="0" fontId="17" fillId="20" borderId="61" xfId="0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center" vertical="center"/>
    </xf>
    <xf numFmtId="0" fontId="14" fillId="21" borderId="61" xfId="0" applyFont="1" applyFill="1" applyBorder="1" applyAlignment="1">
      <alignment horizontal="center" vertical="center"/>
    </xf>
    <xf numFmtId="176" fontId="12" fillId="0" borderId="0" xfId="0" applyNumberFormat="1" applyFont="1">
      <alignment vertical="center"/>
    </xf>
    <xf numFmtId="0" fontId="4" fillId="0" borderId="98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right" vertical="center"/>
    </xf>
    <xf numFmtId="0" fontId="4" fillId="0" borderId="21" xfId="0" applyFont="1" applyBorder="1" applyAlignment="1">
      <alignment horizontal="center" vertical="center"/>
    </xf>
    <xf numFmtId="176" fontId="12" fillId="3" borderId="21" xfId="2" applyFont="1" applyFill="1" applyBorder="1">
      <alignment vertical="center"/>
    </xf>
    <xf numFmtId="176" fontId="12" fillId="0" borderId="22" xfId="2" applyFont="1" applyBorder="1">
      <alignment vertical="center"/>
    </xf>
    <xf numFmtId="0" fontId="4" fillId="0" borderId="51" xfId="0" applyFont="1" applyBorder="1" applyAlignment="1">
      <alignment horizontal="center" vertical="center"/>
    </xf>
    <xf numFmtId="176" fontId="12" fillId="3" borderId="51" xfId="2" applyFont="1" applyFill="1" applyBorder="1">
      <alignment vertical="center"/>
    </xf>
    <xf numFmtId="176" fontId="12" fillId="0" borderId="57" xfId="2" applyFont="1" applyBorder="1">
      <alignment vertical="center"/>
    </xf>
    <xf numFmtId="0" fontId="4" fillId="0" borderId="52" xfId="0" applyFont="1" applyBorder="1" applyAlignment="1">
      <alignment horizontal="center" vertical="center" wrapText="1"/>
    </xf>
    <xf numFmtId="176" fontId="12" fillId="3" borderId="52" xfId="2" applyFont="1" applyFill="1" applyBorder="1">
      <alignment vertical="center"/>
    </xf>
    <xf numFmtId="176" fontId="34" fillId="3" borderId="52" xfId="2" applyFont="1" applyFill="1" applyBorder="1">
      <alignment vertical="center"/>
    </xf>
    <xf numFmtId="176" fontId="12" fillId="0" borderId="60" xfId="2" applyFont="1" applyBorder="1">
      <alignment vertical="center"/>
    </xf>
    <xf numFmtId="0" fontId="4" fillId="0" borderId="100" xfId="0" applyFont="1" applyBorder="1" applyAlignment="1">
      <alignment horizontal="center" vertical="center" wrapText="1"/>
    </xf>
    <xf numFmtId="176" fontId="12" fillId="0" borderId="100" xfId="2" applyFont="1" applyBorder="1">
      <alignment vertical="center"/>
    </xf>
    <xf numFmtId="176" fontId="12" fillId="0" borderId="101" xfId="2" applyFont="1" applyBorder="1">
      <alignment vertical="center"/>
    </xf>
    <xf numFmtId="0" fontId="12" fillId="0" borderId="24" xfId="0" applyFont="1" applyBorder="1" applyAlignment="1">
      <alignment horizontal="center" vertical="center"/>
    </xf>
    <xf numFmtId="176" fontId="12" fillId="0" borderId="24" xfId="2" applyFont="1" applyBorder="1">
      <alignment vertical="center"/>
    </xf>
    <xf numFmtId="176" fontId="12" fillId="0" borderId="25" xfId="2" applyFont="1" applyBorder="1">
      <alignment vertical="center"/>
    </xf>
    <xf numFmtId="176" fontId="12" fillId="0" borderId="3" xfId="2" applyFont="1" applyBorder="1">
      <alignment vertical="center"/>
    </xf>
    <xf numFmtId="176" fontId="12" fillId="0" borderId="4" xfId="2" applyFont="1" applyBorder="1">
      <alignment vertical="center"/>
    </xf>
    <xf numFmtId="0" fontId="4" fillId="0" borderId="102" xfId="0" applyFont="1" applyBorder="1" applyAlignment="1">
      <alignment horizontal="center" vertical="center" wrapText="1"/>
    </xf>
    <xf numFmtId="176" fontId="12" fillId="3" borderId="102" xfId="2" applyFont="1" applyFill="1" applyBorder="1">
      <alignment vertical="center"/>
    </xf>
    <xf numFmtId="176" fontId="12" fillId="0" borderId="103" xfId="2" applyFont="1" applyBorder="1">
      <alignment vertical="center"/>
    </xf>
    <xf numFmtId="0" fontId="12" fillId="0" borderId="104" xfId="0" applyFont="1" applyBorder="1" applyAlignment="1">
      <alignment horizontal="center" vertical="center"/>
    </xf>
    <xf numFmtId="176" fontId="12" fillId="0" borderId="104" xfId="2" applyFont="1" applyBorder="1">
      <alignment vertical="center"/>
    </xf>
    <xf numFmtId="176" fontId="12" fillId="0" borderId="105" xfId="2" applyFont="1" applyBorder="1">
      <alignment vertical="center"/>
    </xf>
    <xf numFmtId="176" fontId="12" fillId="0" borderId="18" xfId="2" applyFont="1" applyBorder="1">
      <alignment vertical="center"/>
    </xf>
    <xf numFmtId="176" fontId="12" fillId="0" borderId="19" xfId="2" applyFont="1" applyBorder="1">
      <alignment vertical="center"/>
    </xf>
    <xf numFmtId="176" fontId="10" fillId="0" borderId="104" xfId="2" applyFont="1" applyBorder="1">
      <alignment vertical="center"/>
    </xf>
    <xf numFmtId="176" fontId="10" fillId="0" borderId="105" xfId="2" applyFont="1" applyBorder="1">
      <alignment vertical="center"/>
    </xf>
    <xf numFmtId="0" fontId="14" fillId="0" borderId="107" xfId="0" applyFont="1" applyBorder="1" applyAlignment="1">
      <alignment vertical="center" wrapText="1"/>
    </xf>
    <xf numFmtId="0" fontId="14" fillId="0" borderId="108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51" xfId="0" applyFont="1" applyBorder="1" applyAlignment="1">
      <alignment vertical="center" wrapText="1"/>
    </xf>
    <xf numFmtId="0" fontId="14" fillId="0" borderId="109" xfId="0" applyFont="1" applyBorder="1" applyAlignment="1">
      <alignment vertical="center" wrapText="1"/>
    </xf>
    <xf numFmtId="176" fontId="16" fillId="12" borderId="51" xfId="2" applyFont="1" applyFill="1" applyBorder="1" applyAlignment="1">
      <alignment vertical="center" shrinkToFit="1"/>
    </xf>
    <xf numFmtId="176" fontId="24" fillId="3" borderId="51" xfId="2" applyFont="1" applyFill="1" applyBorder="1" applyAlignment="1">
      <alignment vertical="center" shrinkToFit="1"/>
    </xf>
    <xf numFmtId="176" fontId="24" fillId="3" borderId="51" xfId="2" applyFont="1" applyFill="1" applyBorder="1">
      <alignment vertical="center"/>
    </xf>
    <xf numFmtId="176" fontId="23" fillId="3" borderId="51" xfId="2" applyFont="1" applyFill="1" applyBorder="1">
      <alignment vertical="center"/>
    </xf>
    <xf numFmtId="178" fontId="23" fillId="3" borderId="51" xfId="1" applyNumberFormat="1" applyFont="1" applyFill="1" applyBorder="1">
      <alignment vertical="center"/>
    </xf>
    <xf numFmtId="180" fontId="23" fillId="3" borderId="51" xfId="0" applyNumberFormat="1" applyFont="1" applyFill="1" applyBorder="1">
      <alignment vertical="center"/>
    </xf>
    <xf numFmtId="176" fontId="14" fillId="3" borderId="51" xfId="2" applyFont="1" applyFill="1" applyBorder="1">
      <alignment vertical="center"/>
    </xf>
    <xf numFmtId="176" fontId="16" fillId="3" borderId="51" xfId="0" applyNumberFormat="1" applyFont="1" applyFill="1" applyBorder="1">
      <alignment vertical="center"/>
    </xf>
    <xf numFmtId="3" fontId="14" fillId="3" borderId="51" xfId="0" applyNumberFormat="1" applyFont="1" applyFill="1" applyBorder="1" applyAlignment="1">
      <alignment vertical="center" wrapText="1"/>
    </xf>
    <xf numFmtId="0" fontId="14" fillId="3" borderId="51" xfId="0" applyFont="1" applyFill="1" applyBorder="1" applyAlignment="1">
      <alignment vertical="center" wrapText="1"/>
    </xf>
    <xf numFmtId="0" fontId="14" fillId="0" borderId="51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176" fontId="23" fillId="22" borderId="51" xfId="2" applyFont="1" applyFill="1" applyBorder="1">
      <alignment vertical="center"/>
    </xf>
    <xf numFmtId="176" fontId="14" fillId="12" borderId="51" xfId="2" applyFont="1" applyFill="1" applyBorder="1">
      <alignment vertical="center"/>
    </xf>
    <xf numFmtId="0" fontId="14" fillId="12" borderId="109" xfId="0" applyFont="1" applyFill="1" applyBorder="1" applyAlignment="1">
      <alignment vertical="center" wrapText="1"/>
    </xf>
    <xf numFmtId="0" fontId="14" fillId="12" borderId="107" xfId="0" applyFont="1" applyFill="1" applyBorder="1" applyAlignment="1">
      <alignment vertical="center" wrapText="1"/>
    </xf>
    <xf numFmtId="0" fontId="14" fillId="12" borderId="0" xfId="0" applyFont="1" applyFill="1">
      <alignment vertical="center"/>
    </xf>
    <xf numFmtId="0" fontId="29" fillId="16" borderId="51" xfId="0" applyFont="1" applyFill="1" applyBorder="1" applyAlignment="1">
      <alignment horizontal="center" vertical="center" textRotation="255" shrinkToFit="1"/>
    </xf>
    <xf numFmtId="0" fontId="4" fillId="12" borderId="0" xfId="0" applyFont="1" applyFill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23" fillId="16" borderId="51" xfId="0" applyFont="1" applyFill="1" applyBorder="1" applyAlignment="1">
      <alignment horizontal="center" vertical="center" textRotation="255" shrinkToFit="1"/>
    </xf>
    <xf numFmtId="0" fontId="4" fillId="0" borderId="0" xfId="0" applyFont="1" applyAlignment="1">
      <alignment horizontal="center" vertical="center" wrapText="1"/>
    </xf>
    <xf numFmtId="0" fontId="4" fillId="12" borderId="0" xfId="0" applyFont="1" applyFill="1" applyAlignment="1">
      <alignment horizontal="right" vertical="center"/>
    </xf>
    <xf numFmtId="0" fontId="4" fillId="12" borderId="53" xfId="0" applyFont="1" applyFill="1" applyBorder="1" applyAlignment="1">
      <alignment horizontal="right" vertical="center"/>
    </xf>
    <xf numFmtId="0" fontId="4" fillId="4" borderId="54" xfId="0" applyFont="1" applyFill="1" applyBorder="1" applyAlignment="1">
      <alignment horizontal="right" vertical="center"/>
    </xf>
    <xf numFmtId="0" fontId="4" fillId="2" borderId="54" xfId="0" applyFont="1" applyFill="1" applyBorder="1" applyAlignment="1">
      <alignment horizontal="right" vertical="center"/>
    </xf>
    <xf numFmtId="0" fontId="13" fillId="11" borderId="49" xfId="0" applyFont="1" applyFill="1" applyBorder="1" applyAlignment="1">
      <alignment horizontal="center" vertical="center" textRotation="255"/>
    </xf>
    <xf numFmtId="0" fontId="13" fillId="11" borderId="50" xfId="0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left" vertical="center"/>
    </xf>
    <xf numFmtId="0" fontId="4" fillId="11" borderId="51" xfId="0" applyFont="1" applyFill="1" applyBorder="1" applyAlignment="1">
      <alignment horizontal="left" vertical="center"/>
    </xf>
    <xf numFmtId="0" fontId="5" fillId="11" borderId="52" xfId="0" applyFont="1" applyFill="1" applyBorder="1" applyAlignment="1">
      <alignment horizontal="left" vertical="center"/>
    </xf>
    <xf numFmtId="0" fontId="5" fillId="6" borderId="45" xfId="0" applyFont="1" applyFill="1" applyBorder="1" applyAlignment="1">
      <alignment horizontal="center" vertical="center" textRotation="255"/>
    </xf>
    <xf numFmtId="0" fontId="4" fillId="6" borderId="46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10" borderId="41" xfId="0" applyFont="1" applyFill="1" applyBorder="1" applyAlignment="1">
      <alignment horizontal="center" vertical="center" textRotation="255"/>
    </xf>
    <xf numFmtId="0" fontId="1" fillId="10" borderId="2" xfId="0" applyFont="1" applyFill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10" fillId="9" borderId="40" xfId="0" applyFont="1" applyFill="1" applyBorder="1" applyAlignment="1">
      <alignment horizontal="center" vertical="center" textRotation="255"/>
    </xf>
    <xf numFmtId="0" fontId="4" fillId="9" borderId="39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11" fillId="8" borderId="40" xfId="0" applyFont="1" applyFill="1" applyBorder="1" applyAlignment="1">
      <alignment horizontal="center" vertical="center" textRotation="255"/>
    </xf>
    <xf numFmtId="0" fontId="4" fillId="8" borderId="39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textRotation="255"/>
    </xf>
    <xf numFmtId="0" fontId="1" fillId="7" borderId="2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textRotation="255"/>
    </xf>
    <xf numFmtId="0" fontId="1" fillId="4" borderId="2" xfId="0" applyFont="1" applyFill="1" applyBorder="1" applyAlignment="1">
      <alignment horizontal="left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textRotation="255"/>
    </xf>
    <xf numFmtId="0" fontId="4" fillId="2" borderId="6" xfId="0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14" fillId="0" borderId="0" xfId="0" applyNumberFormat="1" applyFont="1" applyAlignment="1">
      <alignment horizontal="right"/>
    </xf>
    <xf numFmtId="0" fontId="10" fillId="0" borderId="53" xfId="0" applyFont="1" applyBorder="1" applyAlignment="1">
      <alignment horizontal="center" vertical="center"/>
    </xf>
    <xf numFmtId="0" fontId="28" fillId="16" borderId="97" xfId="0" applyFont="1" applyFill="1" applyBorder="1" applyAlignment="1">
      <alignment horizontal="center" vertical="center" textRotation="255"/>
    </xf>
    <xf numFmtId="0" fontId="21" fillId="15" borderId="51" xfId="0" applyFont="1" applyFill="1" applyBorder="1" applyAlignment="1">
      <alignment horizontal="left" vertical="center"/>
    </xf>
    <xf numFmtId="0" fontId="23" fillId="16" borderId="51" xfId="0" applyFont="1" applyFill="1" applyBorder="1" applyAlignment="1">
      <alignment horizontal="center" vertical="center" textRotation="255"/>
    </xf>
    <xf numFmtId="0" fontId="25" fillId="16" borderId="51" xfId="0" applyFont="1" applyFill="1" applyBorder="1" applyAlignment="1">
      <alignment horizontal="center" vertical="center" shrinkToFit="1"/>
    </xf>
    <xf numFmtId="0" fontId="21" fillId="15" borderId="51" xfId="0" applyFont="1" applyFill="1" applyBorder="1" applyAlignment="1">
      <alignment horizontal="center" vertical="center"/>
    </xf>
    <xf numFmtId="0" fontId="28" fillId="15" borderId="51" xfId="0" applyFont="1" applyFill="1" applyBorder="1" applyAlignment="1">
      <alignment horizontal="center" vertical="center"/>
    </xf>
    <xf numFmtId="0" fontId="17" fillId="15" borderId="51" xfId="0" applyFont="1" applyFill="1" applyBorder="1" applyAlignment="1">
      <alignment horizontal="center" vertical="center"/>
    </xf>
    <xf numFmtId="0" fontId="23" fillId="16" borderId="51" xfId="0" applyFont="1" applyFill="1" applyBorder="1" applyAlignment="1">
      <alignment horizontal="center" vertical="center" textRotation="255" shrinkToFit="1"/>
    </xf>
    <xf numFmtId="0" fontId="25" fillId="15" borderId="51" xfId="0" applyFont="1" applyFill="1" applyBorder="1" applyAlignment="1">
      <alignment horizontal="left" vertical="center"/>
    </xf>
    <xf numFmtId="0" fontId="26" fillId="15" borderId="51" xfId="0" applyFont="1" applyFill="1" applyBorder="1" applyAlignment="1">
      <alignment horizontal="right" vertical="center"/>
    </xf>
    <xf numFmtId="0" fontId="14" fillId="15" borderId="51" xfId="0" applyFont="1" applyFill="1" applyBorder="1" applyAlignment="1">
      <alignment horizontal="right" vertical="center"/>
    </xf>
    <xf numFmtId="0" fontId="27" fillId="15" borderId="51" xfId="0" applyFont="1" applyFill="1" applyBorder="1" applyAlignment="1">
      <alignment horizontal="center" vertical="center"/>
    </xf>
    <xf numFmtId="0" fontId="17" fillId="15" borderId="51" xfId="0" applyFont="1" applyFill="1" applyBorder="1" applyAlignment="1">
      <alignment horizontal="left" vertical="center"/>
    </xf>
    <xf numFmtId="0" fontId="26" fillId="15" borderId="51" xfId="0" applyFont="1" applyFill="1" applyBorder="1" applyAlignment="1">
      <alignment horizontal="left" vertical="center"/>
    </xf>
    <xf numFmtId="0" fontId="25" fillId="16" borderId="51" xfId="0" applyFont="1" applyFill="1" applyBorder="1" applyAlignment="1">
      <alignment horizontal="center" vertical="center" textRotation="255"/>
    </xf>
    <xf numFmtId="0" fontId="26" fillId="0" borderId="51" xfId="0" applyFont="1" applyBorder="1" applyAlignment="1">
      <alignment horizontal="left" vertical="center"/>
    </xf>
    <xf numFmtId="0" fontId="14" fillId="15" borderId="51" xfId="0" applyFont="1" applyFill="1" applyBorder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1" fillId="12" borderId="51" xfId="0" applyFont="1" applyFill="1" applyBorder="1" applyAlignment="1">
      <alignment horizontal="left" vertical="center" shrinkToFit="1"/>
    </xf>
    <xf numFmtId="0" fontId="29" fillId="16" borderId="51" xfId="0" applyFont="1" applyFill="1" applyBorder="1" applyAlignment="1">
      <alignment horizontal="center" vertical="center" textRotation="255"/>
    </xf>
    <xf numFmtId="0" fontId="29" fillId="16" borderId="51" xfId="0" applyFont="1" applyFill="1" applyBorder="1" applyAlignment="1">
      <alignment horizontal="center" vertical="center" textRotation="255" shrinkToFit="1"/>
    </xf>
    <xf numFmtId="0" fontId="32" fillId="15" borderId="51" xfId="0" applyFont="1" applyFill="1" applyBorder="1" applyAlignment="1">
      <alignment horizontal="right" vertical="center"/>
    </xf>
    <xf numFmtId="0" fontId="33" fillId="15" borderId="51" xfId="0" applyFont="1" applyFill="1" applyBorder="1" applyAlignment="1">
      <alignment horizontal="right" vertical="center"/>
    </xf>
    <xf numFmtId="0" fontId="33" fillId="15" borderId="51" xfId="0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32" fillId="15" borderId="51" xfId="0" applyFont="1" applyFill="1" applyBorder="1" applyAlignment="1">
      <alignment horizontal="left" vertical="center"/>
    </xf>
    <xf numFmtId="0" fontId="27" fillId="15" borderId="51" xfId="0" applyFont="1" applyFill="1" applyBorder="1" applyAlignment="1">
      <alignment horizontal="left" vertical="center" indent="1"/>
    </xf>
    <xf numFmtId="0" fontId="17" fillId="15" borderId="51" xfId="0" applyFont="1" applyFill="1" applyBorder="1" applyAlignment="1">
      <alignment horizontal="left" vertical="center" indent="1"/>
    </xf>
    <xf numFmtId="0" fontId="17" fillId="15" borderId="58" xfId="0" applyFont="1" applyFill="1" applyBorder="1" applyAlignment="1">
      <alignment horizontal="left" vertical="center" indent="1"/>
    </xf>
    <xf numFmtId="0" fontId="14" fillId="15" borderId="51" xfId="0" applyFont="1" applyFill="1" applyBorder="1" applyAlignment="1">
      <alignment horizontal="left" vertical="center" indent="1"/>
    </xf>
    <xf numFmtId="0" fontId="28" fillId="18" borderId="53" xfId="0" applyFont="1" applyFill="1" applyBorder="1" applyAlignment="1">
      <alignment horizontal="center" vertical="center"/>
    </xf>
    <xf numFmtId="0" fontId="12" fillId="21" borderId="39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5" fillId="0" borderId="39" xfId="0" applyFont="1" applyBorder="1" applyAlignment="1">
      <alignment horizontal="center" vertical="center"/>
    </xf>
    <xf numFmtId="0" fontId="12" fillId="19" borderId="39" xfId="0" applyFont="1" applyFill="1" applyBorder="1" applyAlignment="1">
      <alignment horizontal="center" vertical="center"/>
    </xf>
    <xf numFmtId="0" fontId="4" fillId="20" borderId="39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25" fillId="3" borderId="51" xfId="0" applyFont="1" applyFill="1" applyBorder="1" applyAlignment="1">
      <alignment horizontal="center" vertical="center" shrinkToFit="1"/>
    </xf>
    <xf numFmtId="0" fontId="21" fillId="22" borderId="51" xfId="0" applyFont="1" applyFill="1" applyBorder="1" applyAlignment="1">
      <alignment horizontal="center" vertical="center"/>
    </xf>
    <xf numFmtId="0" fontId="21" fillId="12" borderId="110" xfId="0" applyFont="1" applyFill="1" applyBorder="1" applyAlignment="1">
      <alignment horizontal="center" vertical="center"/>
    </xf>
    <xf numFmtId="0" fontId="25" fillId="12" borderId="51" xfId="0" applyFont="1" applyFill="1" applyBorder="1" applyAlignment="1">
      <alignment horizontal="center" vertical="center" textRotation="255"/>
    </xf>
    <xf numFmtId="0" fontId="17" fillId="3" borderId="51" xfId="0" applyFont="1" applyFill="1" applyBorder="1">
      <alignment vertical="center"/>
    </xf>
    <xf numFmtId="0" fontId="17" fillId="3" borderId="51" xfId="0" applyFont="1" applyFill="1" applyBorder="1" applyAlignment="1">
      <alignment vertical="center" wrapText="1"/>
    </xf>
    <xf numFmtId="0" fontId="21" fillId="3" borderId="51" xfId="0" applyFont="1" applyFill="1" applyBorder="1" applyAlignment="1">
      <alignment horizontal="left" vertical="center"/>
    </xf>
    <xf numFmtId="0" fontId="17" fillId="3" borderId="51" xfId="0" applyFont="1" applyFill="1" applyBorder="1" applyAlignment="1">
      <alignment horizontal="left" vertical="center"/>
    </xf>
    <xf numFmtId="0" fontId="14" fillId="14" borderId="51" xfId="0" applyFont="1" applyFill="1" applyBorder="1" applyAlignment="1">
      <alignment horizontal="left" vertical="center"/>
    </xf>
    <xf numFmtId="0" fontId="14" fillId="3" borderId="51" xfId="0" applyFont="1" applyFill="1" applyBorder="1" applyAlignment="1">
      <alignment horizontal="left" vertical="center"/>
    </xf>
    <xf numFmtId="0" fontId="17" fillId="14" borderId="51" xfId="0" applyFont="1" applyFill="1" applyBorder="1" applyAlignment="1">
      <alignment horizontal="left" vertical="center"/>
    </xf>
    <xf numFmtId="0" fontId="21" fillId="3" borderId="58" xfId="0" applyFont="1" applyFill="1" applyBorder="1" applyAlignment="1">
      <alignment horizontal="left" vertical="center" shrinkToFit="1"/>
    </xf>
  </cellXfs>
  <cellStyles count="3">
    <cellStyle name="Excel Built-in Comma [0]" xfId="2" xr:uid="{00000000-0005-0000-0000-000006000000}"/>
    <cellStyle name="パーセント" xfId="1" builtinId="5"/>
    <cellStyle name="標準" xfId="0" builtinId="0"/>
  </cellStyles>
  <dxfs count="10">
    <dxf>
      <font>
        <color rgb="FFFFFFFF"/>
      </font>
    </dxf>
    <dxf>
      <font>
        <color rgb="FFFFFFFF"/>
      </font>
    </dxf>
    <dxf>
      <font>
        <color rgb="FFCCFFFF"/>
      </font>
    </dxf>
    <dxf>
      <font>
        <color rgb="FFFFFFFF"/>
      </font>
    </dxf>
    <dxf>
      <font>
        <color rgb="FFCCFFFF"/>
      </font>
    </dxf>
    <dxf>
      <font>
        <color rgb="FFFFFFFF"/>
      </font>
    </dxf>
    <dxf>
      <font>
        <color rgb="FFCCFFFF"/>
      </font>
    </dxf>
    <dxf>
      <font>
        <color rgb="FFFFFFFF"/>
      </font>
    </dxf>
    <dxf>
      <font>
        <color rgb="FFFFFFFF"/>
      </font>
    </dxf>
    <dxf>
      <font>
        <color rgb="FFCC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FCEBE0"/>
      <rgbColor rgb="FFDAE3F3"/>
      <rgbColor rgb="FF993366"/>
      <rgbColor rgb="FFFFFFCC"/>
      <rgbColor rgb="FFCCFFFF"/>
      <rgbColor rgb="FF660066"/>
      <rgbColor rgb="FFE7E6E6"/>
      <rgbColor rgb="FF0066CC"/>
      <rgbColor rgb="FFB4C7E7"/>
      <rgbColor rgb="FF000080"/>
      <rgbColor rgb="FFFF00FF"/>
      <rgbColor rgb="FFF8FFCD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FFFF99"/>
      <rgbColor rgb="FFD0CECE"/>
      <rgbColor rgb="FFD6DCE5"/>
      <rgbColor rgb="FFD9D9D9"/>
      <rgbColor rgb="FFF8CBAD"/>
      <rgbColor rgb="FF3366FF"/>
      <rgbColor rgb="FFFFF3CD"/>
      <rgbColor rgb="FFDDEAEF"/>
      <rgbColor rgb="FFFFD966"/>
      <rgbColor rgb="FFFFF2CC"/>
      <rgbColor rgb="FFFF6600"/>
      <rgbColor rgb="FF666699"/>
      <rgbColor rgb="FFC5E0B4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zoomScaleNormal="100" workbookViewId="0">
      <selection activeCell="K30" sqref="K30"/>
    </sheetView>
  </sheetViews>
  <sheetFormatPr defaultColWidth="8.58203125" defaultRowHeight="13"/>
  <cols>
    <col min="1" max="1" width="8.58203125" style="1"/>
    <col min="2" max="2" width="12.58203125" style="1" customWidth="1"/>
    <col min="3" max="3" width="8.58203125" style="1"/>
    <col min="4" max="4" width="5.33203125" style="1" customWidth="1"/>
    <col min="5" max="5" width="8.58203125" style="1"/>
    <col min="6" max="6" width="8.83203125" style="1" bestFit="1" customWidth="1"/>
    <col min="7" max="7" width="10.58203125" style="1" customWidth="1"/>
    <col min="8" max="11" width="8.58203125" style="1"/>
    <col min="12" max="12" width="10.58203125" style="1" customWidth="1"/>
    <col min="13" max="13" width="8.58203125" style="1"/>
    <col min="14" max="14" width="10.58203125" style="1" customWidth="1"/>
    <col min="15" max="16" width="8.58203125" style="1"/>
    <col min="17" max="17" width="9.08203125" style="1" customWidth="1"/>
    <col min="18" max="16384" width="8.58203125" style="1"/>
  </cols>
  <sheetData>
    <row r="1" spans="1:17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</row>
    <row r="2" spans="1:17" ht="13.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17">
      <c r="A3" s="2" t="s">
        <v>1</v>
      </c>
      <c r="B3" s="3" t="s">
        <v>2</v>
      </c>
      <c r="C3" s="383" t="s">
        <v>3</v>
      </c>
      <c r="D3" s="383"/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5" t="s">
        <v>16</v>
      </c>
    </row>
    <row r="4" spans="1:17" ht="12.75" customHeight="1">
      <c r="A4" s="384" t="s">
        <v>17</v>
      </c>
      <c r="B4" s="385" t="s">
        <v>18</v>
      </c>
      <c r="C4" s="386" t="s">
        <v>19</v>
      </c>
      <c r="D4" s="6" t="s">
        <v>20</v>
      </c>
      <c r="E4" s="7">
        <f>ホテル部門→!B17</f>
        <v>6712201</v>
      </c>
      <c r="F4" s="7">
        <f>ホテル部門→!C17</f>
        <v>6486426</v>
      </c>
      <c r="G4" s="7">
        <f>ホテル部門→!D17</f>
        <v>9961885</v>
      </c>
      <c r="H4" s="7">
        <f>ホテル部門→!E17</f>
        <v>8310821</v>
      </c>
      <c r="I4" s="7">
        <f>ホテル部門→!F17</f>
        <v>9884840</v>
      </c>
      <c r="J4" s="7">
        <f>ホテル部門→!G17</f>
        <v>4996865</v>
      </c>
      <c r="K4" s="7">
        <f>ホテル部門→!H17</f>
        <v>1386977</v>
      </c>
      <c r="L4" s="7">
        <f>ホテル部門→!I17</f>
        <v>2069324</v>
      </c>
      <c r="M4" s="7">
        <f>ホテル部門→!J17</f>
        <v>845702</v>
      </c>
      <c r="N4" s="7">
        <f>ホテル部門→!K17</f>
        <v>766481</v>
      </c>
      <c r="O4" s="7">
        <f>ホテル部門→!L17</f>
        <v>142650</v>
      </c>
      <c r="P4" s="7">
        <f>ホテル部門→!M17</f>
        <v>147350</v>
      </c>
      <c r="Q4" s="8">
        <f>SUM(E4:P4)</f>
        <v>51711522</v>
      </c>
    </row>
    <row r="5" spans="1:17" ht="12.75" customHeight="1">
      <c r="A5" s="384"/>
      <c r="B5" s="385"/>
      <c r="C5" s="386"/>
      <c r="D5" s="9" t="s">
        <v>21</v>
      </c>
      <c r="E5" s="10">
        <f>ホテル部門→!B40</f>
        <v>1319475</v>
      </c>
      <c r="F5" s="10">
        <f>ホテル部門→!C40</f>
        <v>1757661</v>
      </c>
      <c r="G5" s="10">
        <f>ホテル部門→!D40</f>
        <v>2882218</v>
      </c>
      <c r="H5" s="10">
        <f>ホテル部門→!E40</f>
        <v>2904045</v>
      </c>
      <c r="I5" s="10">
        <f>ホテル部門→!F40</f>
        <v>3017659</v>
      </c>
      <c r="J5" s="10">
        <f>ホテル部門→!G40</f>
        <v>2196076</v>
      </c>
      <c r="K5" s="10">
        <f>ホテル部門→!H40</f>
        <v>492989</v>
      </c>
      <c r="L5" s="10">
        <f>ホテル部門→!I40</f>
        <v>716260</v>
      </c>
      <c r="M5" s="10">
        <f>ホテル部門→!J40</f>
        <v>540084</v>
      </c>
      <c r="N5" s="10">
        <f>ホテル部門→!K40</f>
        <v>197680</v>
      </c>
      <c r="O5" s="10">
        <f>ホテル部門→!L40</f>
        <v>0</v>
      </c>
      <c r="P5" s="10">
        <f>ホテル部門→!M40</f>
        <v>0</v>
      </c>
      <c r="Q5" s="11">
        <f>SUM(E5:P5)</f>
        <v>16024147</v>
      </c>
    </row>
    <row r="6" spans="1:17" ht="12.75" customHeight="1">
      <c r="A6" s="384"/>
      <c r="B6" s="385"/>
      <c r="C6" s="386"/>
      <c r="D6" s="12" t="s">
        <v>22</v>
      </c>
      <c r="E6" s="10">
        <f>ホテル部門→!B59</f>
        <v>638232</v>
      </c>
      <c r="F6" s="10">
        <f>ホテル部門→!C59</f>
        <v>1033872</v>
      </c>
      <c r="G6" s="10">
        <f>ホテル部門→!D59</f>
        <v>1357093</v>
      </c>
      <c r="H6" s="10">
        <f>ホテル部門→!E59</f>
        <v>1955058</v>
      </c>
      <c r="I6" s="10">
        <f>ホテル部門→!F59</f>
        <v>1887446</v>
      </c>
      <c r="J6" s="10">
        <f>ホテル部門→!G59</f>
        <v>276276</v>
      </c>
      <c r="K6" s="10">
        <f>ホテル部門→!H59</f>
        <v>417182</v>
      </c>
      <c r="L6" s="10">
        <f>ホテル部門→!I59</f>
        <v>435946</v>
      </c>
      <c r="M6" s="10">
        <f>ホテル部門→!J59</f>
        <v>128032</v>
      </c>
      <c r="N6" s="10">
        <f>ホテル部門→!K59</f>
        <v>236156</v>
      </c>
      <c r="O6" s="10">
        <f>ホテル部門→!L59</f>
        <v>0</v>
      </c>
      <c r="P6" s="10">
        <f>ホテル部門→!M59</f>
        <v>0</v>
      </c>
      <c r="Q6" s="11">
        <f>SUM(E6:P6)</f>
        <v>8365293</v>
      </c>
    </row>
    <row r="7" spans="1:17" ht="12.75" customHeight="1">
      <c r="A7" s="384"/>
      <c r="B7" s="385"/>
      <c r="C7" s="386"/>
      <c r="D7" s="12" t="s">
        <v>23</v>
      </c>
      <c r="E7" s="10">
        <f>ホテル部門→!B73</f>
        <v>100300</v>
      </c>
      <c r="F7" s="10">
        <f>ホテル部門→!C73</f>
        <v>108270</v>
      </c>
      <c r="G7" s="10">
        <f>ホテル部門→!D73</f>
        <v>189640</v>
      </c>
      <c r="H7" s="10">
        <f>ホテル部門→!E73</f>
        <v>56700</v>
      </c>
      <c r="I7" s="10">
        <f>ホテル部門→!F73</f>
        <v>289480</v>
      </c>
      <c r="J7" s="10">
        <f>ホテル部門→!G73</f>
        <v>72400</v>
      </c>
      <c r="K7" s="10">
        <f>ホテル部門→!H73</f>
        <v>16200</v>
      </c>
      <c r="L7" s="10">
        <f>ホテル部門→!I73</f>
        <v>0</v>
      </c>
      <c r="M7" s="10">
        <f>ホテル部門→!J73</f>
        <v>0</v>
      </c>
      <c r="N7" s="10">
        <f>ホテル部門→!K73</f>
        <v>0</v>
      </c>
      <c r="O7" s="10">
        <f>ホテル部門→!L73</f>
        <v>0</v>
      </c>
      <c r="P7" s="10">
        <f>ホテル部門→!M73</f>
        <v>0</v>
      </c>
      <c r="Q7" s="11">
        <f>SUM(E7:P7)</f>
        <v>832990</v>
      </c>
    </row>
    <row r="8" spans="1:17" ht="12.75" customHeight="1">
      <c r="A8" s="384"/>
      <c r="B8" s="385"/>
      <c r="C8" s="386"/>
      <c r="D8" s="13" t="s">
        <v>24</v>
      </c>
      <c r="E8" s="14">
        <f>ホテル部門→!B87</f>
        <v>138750</v>
      </c>
      <c r="F8" s="14">
        <f>ホテル部門→!C87</f>
        <v>406500</v>
      </c>
      <c r="G8" s="14">
        <f>ホテル部門→!D87</f>
        <v>794600</v>
      </c>
      <c r="H8" s="14">
        <f>ホテル部門→!E87</f>
        <v>331500</v>
      </c>
      <c r="I8" s="14">
        <f>ホテル部門→!F87</f>
        <v>303810</v>
      </c>
      <c r="J8" s="14">
        <f>ホテル部門→!G87</f>
        <v>190750</v>
      </c>
      <c r="K8" s="14">
        <f>ホテル部門→!H87</f>
        <v>96000</v>
      </c>
      <c r="L8" s="14">
        <f>ホテル部門→!I87</f>
        <v>35000</v>
      </c>
      <c r="M8" s="14">
        <f>ホテル部門→!J87</f>
        <v>39600</v>
      </c>
      <c r="N8" s="14">
        <f>ホテル部門→!K87</f>
        <v>0</v>
      </c>
      <c r="O8" s="14">
        <f>ホテル部門→!L87</f>
        <v>0</v>
      </c>
      <c r="P8" s="14">
        <f>ホテル部門→!M87</f>
        <v>0</v>
      </c>
      <c r="Q8" s="15">
        <f>SUM(E8:P8)</f>
        <v>2336510</v>
      </c>
    </row>
    <row r="9" spans="1:17" ht="12.75" customHeight="1">
      <c r="A9" s="384"/>
      <c r="B9" s="385"/>
      <c r="C9" s="386"/>
      <c r="D9" s="16" t="s">
        <v>25</v>
      </c>
      <c r="E9" s="17">
        <f t="shared" ref="E9:Q9" si="0">SUM(E4:E8)</f>
        <v>8908958</v>
      </c>
      <c r="F9" s="17">
        <f t="shared" si="0"/>
        <v>9792729</v>
      </c>
      <c r="G9" s="17">
        <f t="shared" si="0"/>
        <v>15185436</v>
      </c>
      <c r="H9" s="17">
        <f t="shared" si="0"/>
        <v>13558124</v>
      </c>
      <c r="I9" s="17">
        <f t="shared" si="0"/>
        <v>15383235</v>
      </c>
      <c r="J9" s="17">
        <f t="shared" si="0"/>
        <v>7732367</v>
      </c>
      <c r="K9" s="17">
        <f t="shared" si="0"/>
        <v>2409348</v>
      </c>
      <c r="L9" s="17">
        <f t="shared" si="0"/>
        <v>3256530</v>
      </c>
      <c r="M9" s="17">
        <f t="shared" si="0"/>
        <v>1553418</v>
      </c>
      <c r="N9" s="17">
        <f t="shared" si="0"/>
        <v>1200317</v>
      </c>
      <c r="O9" s="17">
        <f t="shared" si="0"/>
        <v>142650</v>
      </c>
      <c r="P9" s="17">
        <f t="shared" si="0"/>
        <v>147350</v>
      </c>
      <c r="Q9" s="18">
        <f t="shared" si="0"/>
        <v>79270462</v>
      </c>
    </row>
    <row r="10" spans="1:17" ht="12.75" customHeight="1">
      <c r="A10" s="384"/>
      <c r="B10" s="385"/>
      <c r="C10" s="386" t="s">
        <v>26</v>
      </c>
      <c r="D10" s="6" t="s">
        <v>20</v>
      </c>
      <c r="E10" s="19">
        <v>1532400</v>
      </c>
      <c r="F10" s="19">
        <v>1262197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8"/>
    </row>
    <row r="11" spans="1:17" ht="12.75" customHeight="1">
      <c r="A11" s="384"/>
      <c r="B11" s="385"/>
      <c r="C11" s="386"/>
      <c r="D11" s="9" t="s">
        <v>21</v>
      </c>
      <c r="E11" s="20">
        <v>257028</v>
      </c>
      <c r="F11" s="20">
        <v>291700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1"/>
    </row>
    <row r="12" spans="1:17" ht="12.75" customHeight="1">
      <c r="A12" s="384"/>
      <c r="B12" s="385"/>
      <c r="C12" s="386"/>
      <c r="D12" s="12" t="s">
        <v>22</v>
      </c>
      <c r="E12" s="20">
        <v>104577</v>
      </c>
      <c r="F12" s="20">
        <v>149077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1"/>
    </row>
    <row r="13" spans="1:17" ht="12.75" customHeight="1">
      <c r="A13" s="384"/>
      <c r="B13" s="385"/>
      <c r="C13" s="386"/>
      <c r="D13" s="12" t="s">
        <v>23</v>
      </c>
      <c r="E13" s="20">
        <v>16596</v>
      </c>
      <c r="F13" s="20">
        <v>1005193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1"/>
    </row>
    <row r="14" spans="1:17" ht="12.75" customHeight="1">
      <c r="A14" s="384"/>
      <c r="B14" s="385"/>
      <c r="C14" s="386"/>
      <c r="D14" s="12" t="s">
        <v>24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1"/>
    </row>
    <row r="15" spans="1:17" ht="12.75" customHeight="1">
      <c r="A15" s="384"/>
      <c r="B15" s="385"/>
      <c r="C15" s="386"/>
      <c r="D15" s="13" t="s">
        <v>27</v>
      </c>
      <c r="E15" s="21">
        <v>9211951</v>
      </c>
      <c r="F15" s="21">
        <v>27179756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5">
        <f>SUM(E15:P15)</f>
        <v>36391707</v>
      </c>
    </row>
    <row r="16" spans="1:17" ht="12.75" customHeight="1">
      <c r="A16" s="384"/>
      <c r="B16" s="385"/>
      <c r="C16" s="386"/>
      <c r="D16" s="22" t="s">
        <v>28</v>
      </c>
      <c r="E16" s="23">
        <f t="shared" ref="E16:Q16" si="1">SUM(E10:E15)</f>
        <v>11122552</v>
      </c>
      <c r="F16" s="23">
        <f>SUM(F10:F15)</f>
        <v>29887923</v>
      </c>
      <c r="G16" s="23">
        <f t="shared" si="1"/>
        <v>0</v>
      </c>
      <c r="H16" s="23">
        <f t="shared" si="1"/>
        <v>0</v>
      </c>
      <c r="I16" s="23">
        <f t="shared" si="1"/>
        <v>0</v>
      </c>
      <c r="J16" s="23">
        <f t="shared" si="1"/>
        <v>0</v>
      </c>
      <c r="K16" s="23">
        <f t="shared" si="1"/>
        <v>0</v>
      </c>
      <c r="L16" s="23">
        <f t="shared" si="1"/>
        <v>0</v>
      </c>
      <c r="M16" s="23">
        <f t="shared" si="1"/>
        <v>0</v>
      </c>
      <c r="N16" s="23">
        <f t="shared" si="1"/>
        <v>0</v>
      </c>
      <c r="O16" s="23">
        <f t="shared" si="1"/>
        <v>0</v>
      </c>
      <c r="P16" s="23">
        <f t="shared" si="1"/>
        <v>0</v>
      </c>
      <c r="Q16" s="24">
        <f t="shared" si="1"/>
        <v>36391707</v>
      </c>
    </row>
    <row r="17" spans="1:17" ht="12.75" customHeight="1">
      <c r="A17" s="384"/>
      <c r="B17" s="385"/>
      <c r="C17" s="387" t="s">
        <v>29</v>
      </c>
      <c r="D17" s="387"/>
      <c r="E17" s="25">
        <f t="shared" ref="E17:P17" si="2">E9-E16</f>
        <v>-2213594</v>
      </c>
      <c r="F17" s="25">
        <f>F9-F16</f>
        <v>-20095194</v>
      </c>
      <c r="G17" s="25">
        <f t="shared" si="2"/>
        <v>15185436</v>
      </c>
      <c r="H17" s="25">
        <f t="shared" si="2"/>
        <v>13558124</v>
      </c>
      <c r="I17" s="25">
        <f t="shared" si="2"/>
        <v>15383235</v>
      </c>
      <c r="J17" s="25">
        <f t="shared" si="2"/>
        <v>7732367</v>
      </c>
      <c r="K17" s="25">
        <f t="shared" si="2"/>
        <v>2409348</v>
      </c>
      <c r="L17" s="25">
        <f t="shared" si="2"/>
        <v>3256530</v>
      </c>
      <c r="M17" s="25">
        <f t="shared" si="2"/>
        <v>1553418</v>
      </c>
      <c r="N17" s="25">
        <f t="shared" si="2"/>
        <v>1200317</v>
      </c>
      <c r="O17" s="25">
        <f t="shared" si="2"/>
        <v>142650</v>
      </c>
      <c r="P17" s="25">
        <f t="shared" si="2"/>
        <v>147350</v>
      </c>
      <c r="Q17" s="26">
        <f>SUM(Q4:Q8)-SUM(Q10:Q15)</f>
        <v>42878755</v>
      </c>
    </row>
    <row r="18" spans="1:17" ht="12.75" customHeight="1">
      <c r="A18" s="384"/>
      <c r="B18" s="388" t="s">
        <v>30</v>
      </c>
      <c r="C18" s="361" t="s">
        <v>31</v>
      </c>
      <c r="D18" s="361"/>
      <c r="E18" s="27">
        <f>弥山!B4</f>
        <v>2906901</v>
      </c>
      <c r="F18" s="27">
        <f>弥山!C4</f>
        <v>4965898</v>
      </c>
      <c r="G18" s="27">
        <f>弥山!D4</f>
        <v>6807485</v>
      </c>
      <c r="H18" s="27">
        <f>弥山!E4</f>
        <v>4004248</v>
      </c>
      <c r="I18" s="27">
        <f>弥山!F4</f>
        <v>6175495</v>
      </c>
      <c r="J18" s="27">
        <f>弥山!G4</f>
        <v>2105073</v>
      </c>
      <c r="K18" s="27">
        <f>弥山!H4</f>
        <v>1056902</v>
      </c>
      <c r="L18" s="27">
        <f>弥山!I4</f>
        <v>1697508</v>
      </c>
      <c r="M18" s="27">
        <f>弥山!J4</f>
        <v>797331</v>
      </c>
      <c r="N18" s="27">
        <f>弥山!K4</f>
        <v>770415</v>
      </c>
      <c r="O18" s="27">
        <f>弥山!L4</f>
        <v>247410</v>
      </c>
      <c r="P18" s="27">
        <f>弥山!M4</f>
        <v>20000</v>
      </c>
      <c r="Q18" s="28">
        <f>SUM(E18:P18)</f>
        <v>31554666</v>
      </c>
    </row>
    <row r="19" spans="1:17" ht="12.75" customHeight="1">
      <c r="A19" s="384"/>
      <c r="B19" s="388"/>
      <c r="C19" s="362" t="s">
        <v>32</v>
      </c>
      <c r="D19" s="362"/>
      <c r="E19" s="10">
        <v>2280539</v>
      </c>
      <c r="F19" s="10">
        <v>3403055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>
        <f>SUM(E19:P19)</f>
        <v>5683594</v>
      </c>
    </row>
    <row r="20" spans="1:17" ht="12.75" customHeight="1">
      <c r="A20" s="384"/>
      <c r="B20" s="388"/>
      <c r="C20" s="377" t="s">
        <v>29</v>
      </c>
      <c r="D20" s="377"/>
      <c r="E20" s="29">
        <f t="shared" ref="E20:Q20" si="3">E18-E19</f>
        <v>626362</v>
      </c>
      <c r="F20" s="29">
        <f t="shared" si="3"/>
        <v>1562843</v>
      </c>
      <c r="G20" s="29">
        <f t="shared" si="3"/>
        <v>6807485</v>
      </c>
      <c r="H20" s="29">
        <f t="shared" si="3"/>
        <v>4004248</v>
      </c>
      <c r="I20" s="29">
        <f t="shared" si="3"/>
        <v>6175495</v>
      </c>
      <c r="J20" s="29">
        <f t="shared" si="3"/>
        <v>2105073</v>
      </c>
      <c r="K20" s="29">
        <f t="shared" si="3"/>
        <v>1056902</v>
      </c>
      <c r="L20" s="29">
        <f t="shared" si="3"/>
        <v>1697508</v>
      </c>
      <c r="M20" s="29">
        <f t="shared" si="3"/>
        <v>797331</v>
      </c>
      <c r="N20" s="29">
        <f t="shared" si="3"/>
        <v>770415</v>
      </c>
      <c r="O20" s="29">
        <f t="shared" si="3"/>
        <v>247410</v>
      </c>
      <c r="P20" s="29">
        <f t="shared" si="3"/>
        <v>20000</v>
      </c>
      <c r="Q20" s="30">
        <f t="shared" si="3"/>
        <v>25871072</v>
      </c>
    </row>
    <row r="21" spans="1:17" ht="12.75" customHeight="1">
      <c r="A21" s="384"/>
      <c r="B21" s="389" t="s">
        <v>33</v>
      </c>
      <c r="C21" s="361" t="s">
        <v>31</v>
      </c>
      <c r="D21" s="361"/>
      <c r="E21" s="27">
        <f>温井!D3</f>
        <v>7428554</v>
      </c>
      <c r="F21" s="27">
        <f>温井!E3</f>
        <v>7562227</v>
      </c>
      <c r="G21" s="27">
        <f>温井!F3</f>
        <v>3799283</v>
      </c>
      <c r="H21" s="27">
        <f>温井!G3</f>
        <v>2330934</v>
      </c>
      <c r="I21" s="27">
        <f>温井!H3</f>
        <v>4784742</v>
      </c>
      <c r="J21" s="27">
        <f>温井!I3</f>
        <v>2087208</v>
      </c>
      <c r="K21" s="27">
        <f>温井!J3</f>
        <v>1038480</v>
      </c>
      <c r="L21" s="27">
        <f>温井!K3</f>
        <v>1446637</v>
      </c>
      <c r="M21" s="27">
        <f>温井!L3</f>
        <v>100152</v>
      </c>
      <c r="N21" s="27">
        <f>温井!M3</f>
        <v>177600</v>
      </c>
      <c r="O21" s="27">
        <f>温井!N3</f>
        <v>0</v>
      </c>
      <c r="P21" s="27">
        <f>温井!O3</f>
        <v>0</v>
      </c>
      <c r="Q21" s="28">
        <f>SUM(E21:P21)</f>
        <v>30755817</v>
      </c>
    </row>
    <row r="22" spans="1:17" ht="12.75" customHeight="1">
      <c r="A22" s="384"/>
      <c r="B22" s="389"/>
      <c r="C22" s="362" t="s">
        <v>32</v>
      </c>
      <c r="D22" s="362"/>
      <c r="E22" s="10">
        <v>8916981</v>
      </c>
      <c r="F22" s="10">
        <v>7426432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>
        <f>SUM(E22:P22)</f>
        <v>16343413</v>
      </c>
    </row>
    <row r="23" spans="1:17" ht="12.75" customHeight="1">
      <c r="A23" s="384"/>
      <c r="B23" s="389"/>
      <c r="C23" s="377" t="s">
        <v>34</v>
      </c>
      <c r="D23" s="377"/>
      <c r="E23" s="29">
        <f t="shared" ref="E23:Q23" si="4">E21-E22</f>
        <v>-1488427</v>
      </c>
      <c r="F23" s="29">
        <f t="shared" si="4"/>
        <v>135795</v>
      </c>
      <c r="G23" s="29">
        <f t="shared" si="4"/>
        <v>3799283</v>
      </c>
      <c r="H23" s="29">
        <f t="shared" si="4"/>
        <v>2330934</v>
      </c>
      <c r="I23" s="29">
        <f t="shared" si="4"/>
        <v>4784742</v>
      </c>
      <c r="J23" s="29">
        <f t="shared" si="4"/>
        <v>2087208</v>
      </c>
      <c r="K23" s="29">
        <f t="shared" si="4"/>
        <v>1038480</v>
      </c>
      <c r="L23" s="29">
        <f t="shared" si="4"/>
        <v>1446637</v>
      </c>
      <c r="M23" s="29">
        <f t="shared" si="4"/>
        <v>100152</v>
      </c>
      <c r="N23" s="29">
        <f t="shared" si="4"/>
        <v>177600</v>
      </c>
      <c r="O23" s="29">
        <f t="shared" si="4"/>
        <v>0</v>
      </c>
      <c r="P23" s="29">
        <f t="shared" si="4"/>
        <v>0</v>
      </c>
      <c r="Q23" s="30">
        <f t="shared" si="4"/>
        <v>14412404</v>
      </c>
    </row>
    <row r="24" spans="1:17" ht="12.75" customHeight="1">
      <c r="A24" s="384"/>
      <c r="B24" s="389" t="s">
        <v>35</v>
      </c>
      <c r="C24" s="361" t="s">
        <v>31</v>
      </c>
      <c r="D24" s="361"/>
      <c r="E24" s="27">
        <f>いこいの村!D3</f>
        <v>8292624</v>
      </c>
      <c r="F24" s="27">
        <f>いこいの村!E3</f>
        <v>8535484</v>
      </c>
      <c r="G24" s="27">
        <f>いこいの村!F3</f>
        <v>4929332</v>
      </c>
      <c r="H24" s="27">
        <f>いこいの村!G3</f>
        <v>6092392</v>
      </c>
      <c r="I24" s="27">
        <f>いこいの村!H3</f>
        <v>3646914</v>
      </c>
      <c r="J24" s="27">
        <f>いこいの村!I3</f>
        <v>1303991</v>
      </c>
      <c r="K24" s="27">
        <f>いこいの村!J3</f>
        <v>1869506</v>
      </c>
      <c r="L24" s="27">
        <f>いこいの村!K3</f>
        <v>948336</v>
      </c>
      <c r="M24" s="27">
        <f>いこいの村!L3</f>
        <v>1793043</v>
      </c>
      <c r="N24" s="27">
        <f>いこいの村!M3</f>
        <v>415440</v>
      </c>
      <c r="O24" s="27">
        <f>いこいの村!N3</f>
        <v>0</v>
      </c>
      <c r="P24" s="27">
        <f>いこいの村!O3</f>
        <v>0</v>
      </c>
      <c r="Q24" s="28">
        <f>SUM(E24:P24)</f>
        <v>37827062</v>
      </c>
    </row>
    <row r="25" spans="1:17" ht="12.75" customHeight="1">
      <c r="A25" s="384"/>
      <c r="B25" s="389"/>
      <c r="C25" s="362" t="s">
        <v>32</v>
      </c>
      <c r="D25" s="362"/>
      <c r="E25" s="10">
        <f>いこいの村!C87</f>
        <v>5778007</v>
      </c>
      <c r="F25" s="10">
        <f>いこいの村!D87</f>
        <v>5913951</v>
      </c>
      <c r="G25" s="10">
        <f>いこいの村!E87</f>
        <v>0</v>
      </c>
      <c r="H25" s="10">
        <f>いこいの村!F87</f>
        <v>0</v>
      </c>
      <c r="I25" s="10">
        <f>いこいの村!G87</f>
        <v>0</v>
      </c>
      <c r="J25" s="10">
        <f>いこいの村!H87</f>
        <v>0</v>
      </c>
      <c r="K25" s="10">
        <f>いこいの村!I87</f>
        <v>0</v>
      </c>
      <c r="L25" s="10">
        <f>いこいの村!J87</f>
        <v>0</v>
      </c>
      <c r="M25" s="10">
        <f>いこいの村!K87</f>
        <v>0</v>
      </c>
      <c r="N25" s="10">
        <f>いこいの村!L87</f>
        <v>0</v>
      </c>
      <c r="O25" s="10">
        <f>いこいの村!M87</f>
        <v>0</v>
      </c>
      <c r="P25" s="10">
        <f>いこいの村!N87</f>
        <v>0</v>
      </c>
      <c r="Q25" s="11">
        <f>SUM(E25:P25)</f>
        <v>11691958</v>
      </c>
    </row>
    <row r="26" spans="1:17" ht="12.75" customHeight="1">
      <c r="A26" s="384"/>
      <c r="B26" s="389"/>
      <c r="C26" s="377" t="s">
        <v>34</v>
      </c>
      <c r="D26" s="377"/>
      <c r="E26" s="29">
        <f t="shared" ref="E26:Q26" si="5">E24-E25</f>
        <v>2514617</v>
      </c>
      <c r="F26" s="29">
        <f t="shared" si="5"/>
        <v>2621533</v>
      </c>
      <c r="G26" s="29">
        <f t="shared" si="5"/>
        <v>4929332</v>
      </c>
      <c r="H26" s="29">
        <f t="shared" si="5"/>
        <v>6092392</v>
      </c>
      <c r="I26" s="29">
        <f t="shared" si="5"/>
        <v>3646914</v>
      </c>
      <c r="J26" s="29">
        <f t="shared" si="5"/>
        <v>1303991</v>
      </c>
      <c r="K26" s="29">
        <f t="shared" si="5"/>
        <v>1869506</v>
      </c>
      <c r="L26" s="29">
        <f t="shared" si="5"/>
        <v>948336</v>
      </c>
      <c r="M26" s="29">
        <f t="shared" si="5"/>
        <v>1793043</v>
      </c>
      <c r="N26" s="29">
        <f t="shared" si="5"/>
        <v>415440</v>
      </c>
      <c r="O26" s="29">
        <f t="shared" si="5"/>
        <v>0</v>
      </c>
      <c r="P26" s="29">
        <f t="shared" si="5"/>
        <v>0</v>
      </c>
      <c r="Q26" s="30">
        <f t="shared" si="5"/>
        <v>26135104</v>
      </c>
    </row>
    <row r="27" spans="1:17" ht="12.75" customHeight="1">
      <c r="A27" s="378" t="s">
        <v>36</v>
      </c>
      <c r="B27" s="379" t="s">
        <v>37</v>
      </c>
      <c r="C27" s="380" t="s">
        <v>19</v>
      </c>
      <c r="D27" s="31" t="s">
        <v>38</v>
      </c>
      <c r="E27" s="27">
        <f>マンスリー部門!B4</f>
        <v>251000</v>
      </c>
      <c r="F27" s="27">
        <f>マンスリー部門!C4</f>
        <v>308000</v>
      </c>
      <c r="G27" s="27">
        <f>マンスリー部門!D4</f>
        <v>651000</v>
      </c>
      <c r="H27" s="27">
        <f>マンスリー部門!E4</f>
        <v>455000</v>
      </c>
      <c r="I27" s="27">
        <f>マンスリー部門!F4</f>
        <v>272000</v>
      </c>
      <c r="J27" s="27">
        <f>マンスリー部門!G4</f>
        <v>195000</v>
      </c>
      <c r="K27" s="27">
        <f>マンスリー部門!H4</f>
        <v>78000</v>
      </c>
      <c r="L27" s="27">
        <f>マンスリー部門!I4</f>
        <v>120000</v>
      </c>
      <c r="M27" s="27">
        <f>マンスリー部門!J4</f>
        <v>0</v>
      </c>
      <c r="N27" s="27">
        <f>マンスリー部門!K4</f>
        <v>0</v>
      </c>
      <c r="O27" s="27">
        <f>マンスリー部門!L4</f>
        <v>0</v>
      </c>
      <c r="P27" s="27">
        <f>マンスリー部門!M4</f>
        <v>0</v>
      </c>
      <c r="Q27" s="28">
        <f>SUM(E27:P27)</f>
        <v>2330000</v>
      </c>
    </row>
    <row r="28" spans="1:17" ht="12.75" customHeight="1">
      <c r="A28" s="378"/>
      <c r="B28" s="379"/>
      <c r="C28" s="380"/>
      <c r="D28" s="12" t="s">
        <v>39</v>
      </c>
      <c r="E28" s="10">
        <f>マンスリー部門!B19</f>
        <v>155000</v>
      </c>
      <c r="F28" s="10">
        <f>マンスリー部門!C19</f>
        <v>110500</v>
      </c>
      <c r="G28" s="10">
        <f>マンスリー部門!D19</f>
        <v>66000</v>
      </c>
      <c r="H28" s="10">
        <f>マンスリー部門!E19</f>
        <v>101400</v>
      </c>
      <c r="I28" s="10">
        <f>マンスリー部門!F19</f>
        <v>24000</v>
      </c>
      <c r="J28" s="10">
        <f>マンスリー部門!G19</f>
        <v>45000</v>
      </c>
      <c r="K28" s="10">
        <f>マンスリー部門!H19</f>
        <v>0</v>
      </c>
      <c r="L28" s="10">
        <f>マンスリー部門!I19</f>
        <v>0</v>
      </c>
      <c r="M28" s="10">
        <f>マンスリー部門!J19</f>
        <v>0</v>
      </c>
      <c r="N28" s="10">
        <f>マンスリー部門!K19</f>
        <v>0</v>
      </c>
      <c r="O28" s="10">
        <f>マンスリー部門!L19</f>
        <v>0</v>
      </c>
      <c r="P28" s="10">
        <f>マンスリー部門!M19</f>
        <v>0</v>
      </c>
      <c r="Q28" s="11">
        <f>SUM(E28:P28)</f>
        <v>501900</v>
      </c>
    </row>
    <row r="29" spans="1:17" ht="12.75" customHeight="1">
      <c r="A29" s="378"/>
      <c r="B29" s="379"/>
      <c r="C29" s="380"/>
      <c r="D29" s="12" t="s">
        <v>40</v>
      </c>
      <c r="E29" s="10">
        <f>マンスリー部門!B34</f>
        <v>0</v>
      </c>
      <c r="F29" s="10">
        <f>マンスリー部門!C34</f>
        <v>42500</v>
      </c>
      <c r="G29" s="10">
        <f>マンスリー部門!D34</f>
        <v>0</v>
      </c>
      <c r="H29" s="10">
        <f>マンスリー部門!E34</f>
        <v>90000</v>
      </c>
      <c r="I29" s="10">
        <f>マンスリー部門!F34</f>
        <v>93000</v>
      </c>
      <c r="J29" s="10">
        <f>マンスリー部門!G34</f>
        <v>46000</v>
      </c>
      <c r="K29" s="10">
        <f>マンスリー部門!H34</f>
        <v>57000</v>
      </c>
      <c r="L29" s="10">
        <f>マンスリー部門!I34</f>
        <v>75000</v>
      </c>
      <c r="M29" s="10">
        <f>マンスリー部門!J34</f>
        <v>0</v>
      </c>
      <c r="N29" s="10">
        <f>マンスリー部門!K34</f>
        <v>0</v>
      </c>
      <c r="O29" s="10">
        <f>マンスリー部門!L34</f>
        <v>0</v>
      </c>
      <c r="P29" s="10">
        <f>マンスリー部門!M34</f>
        <v>0</v>
      </c>
      <c r="Q29" s="11">
        <f>SUM(E29:P29)</f>
        <v>403500</v>
      </c>
    </row>
    <row r="30" spans="1:17" ht="12.75" customHeight="1">
      <c r="A30" s="378"/>
      <c r="B30" s="379"/>
      <c r="C30" s="380"/>
      <c r="D30" s="32" t="s">
        <v>41</v>
      </c>
      <c r="E30" s="14">
        <f>マンスリー部門!B49</f>
        <v>77500</v>
      </c>
      <c r="F30" s="14">
        <f>マンスリー部門!C49</f>
        <v>77500</v>
      </c>
      <c r="G30" s="14">
        <f>マンスリー部門!D49</f>
        <v>80000</v>
      </c>
      <c r="H30" s="14">
        <f>マンスリー部門!E49</f>
        <v>105000</v>
      </c>
      <c r="I30" s="14">
        <f>マンスリー部門!F49</f>
        <v>77500</v>
      </c>
      <c r="J30" s="14">
        <f>マンスリー部門!G49</f>
        <v>72500</v>
      </c>
      <c r="K30" s="14">
        <f>マンスリー部門!H49</f>
        <v>0</v>
      </c>
      <c r="L30" s="14">
        <f>マンスリー部門!I49</f>
        <v>0</v>
      </c>
      <c r="M30" s="14">
        <f>マンスリー部門!J49</f>
        <v>0</v>
      </c>
      <c r="N30" s="14">
        <f>マンスリー部門!K49</f>
        <v>0</v>
      </c>
      <c r="O30" s="14">
        <f>マンスリー部門!L49</f>
        <v>0</v>
      </c>
      <c r="P30" s="14">
        <f>マンスリー部門!M49</f>
        <v>0</v>
      </c>
      <c r="Q30" s="15">
        <f>SUM(E30:P30)</f>
        <v>490000</v>
      </c>
    </row>
    <row r="31" spans="1:17" ht="12.75" customHeight="1">
      <c r="A31" s="378"/>
      <c r="B31" s="379"/>
      <c r="C31" s="380"/>
      <c r="D31" s="22" t="s">
        <v>42</v>
      </c>
      <c r="E31" s="23">
        <f t="shared" ref="E31:Q31" si="6">SUM(E27:E30)</f>
        <v>483500</v>
      </c>
      <c r="F31" s="23">
        <f t="shared" si="6"/>
        <v>538500</v>
      </c>
      <c r="G31" s="23">
        <f t="shared" si="6"/>
        <v>797000</v>
      </c>
      <c r="H31" s="23">
        <f t="shared" si="6"/>
        <v>751400</v>
      </c>
      <c r="I31" s="23">
        <f t="shared" si="6"/>
        <v>466500</v>
      </c>
      <c r="J31" s="23">
        <f t="shared" si="6"/>
        <v>358500</v>
      </c>
      <c r="K31" s="23">
        <f t="shared" si="6"/>
        <v>135000</v>
      </c>
      <c r="L31" s="23">
        <f t="shared" si="6"/>
        <v>195000</v>
      </c>
      <c r="M31" s="23">
        <f t="shared" si="6"/>
        <v>0</v>
      </c>
      <c r="N31" s="23">
        <f t="shared" si="6"/>
        <v>0</v>
      </c>
      <c r="O31" s="23">
        <f t="shared" si="6"/>
        <v>0</v>
      </c>
      <c r="P31" s="23">
        <f t="shared" si="6"/>
        <v>0</v>
      </c>
      <c r="Q31" s="24">
        <f t="shared" si="6"/>
        <v>3725400</v>
      </c>
    </row>
    <row r="32" spans="1:17" ht="12.75" customHeight="1">
      <c r="A32" s="378"/>
      <c r="B32" s="379"/>
      <c r="C32" s="381" t="s">
        <v>32</v>
      </c>
      <c r="D32" s="381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4">
        <f>SUM(E32:P32)</f>
        <v>0</v>
      </c>
    </row>
    <row r="33" spans="1:17" ht="12.75" customHeight="1">
      <c r="A33" s="378"/>
      <c r="B33" s="379"/>
      <c r="C33" s="377" t="s">
        <v>43</v>
      </c>
      <c r="D33" s="377"/>
      <c r="E33" s="29">
        <f t="shared" ref="E33:P33" si="7">E31-E32</f>
        <v>483500</v>
      </c>
      <c r="F33" s="29">
        <f t="shared" si="7"/>
        <v>538500</v>
      </c>
      <c r="G33" s="29">
        <f t="shared" si="7"/>
        <v>797000</v>
      </c>
      <c r="H33" s="29">
        <f t="shared" si="7"/>
        <v>751400</v>
      </c>
      <c r="I33" s="29">
        <f t="shared" si="7"/>
        <v>466500</v>
      </c>
      <c r="J33" s="29">
        <f t="shared" si="7"/>
        <v>358500</v>
      </c>
      <c r="K33" s="29">
        <f t="shared" si="7"/>
        <v>135000</v>
      </c>
      <c r="L33" s="29">
        <f t="shared" si="7"/>
        <v>195000</v>
      </c>
      <c r="M33" s="29">
        <f t="shared" si="7"/>
        <v>0</v>
      </c>
      <c r="N33" s="29">
        <f t="shared" si="7"/>
        <v>0</v>
      </c>
      <c r="O33" s="29">
        <f t="shared" si="7"/>
        <v>0</v>
      </c>
      <c r="P33" s="29">
        <f t="shared" si="7"/>
        <v>0</v>
      </c>
      <c r="Q33" s="30">
        <f>SUM(Q28:Q30)-Q32</f>
        <v>1395400</v>
      </c>
    </row>
    <row r="34" spans="1:17" ht="12.75" customHeight="1">
      <c r="A34" s="373" t="s">
        <v>44</v>
      </c>
      <c r="B34" s="374" t="s">
        <v>45</v>
      </c>
      <c r="C34" s="366" t="s">
        <v>46</v>
      </c>
      <c r="D34" s="366"/>
      <c r="E34" s="27">
        <f>竹原!D3</f>
        <v>1247037</v>
      </c>
      <c r="F34" s="27">
        <f>竹原!E3</f>
        <v>1238472</v>
      </c>
      <c r="G34" s="27">
        <f>竹原!F3</f>
        <v>1370148</v>
      </c>
      <c r="H34" s="27">
        <f>竹原!G3</f>
        <v>1202444</v>
      </c>
      <c r="I34" s="27">
        <f>竹原!H3</f>
        <v>789000</v>
      </c>
      <c r="J34" s="27">
        <f>竹原!I3</f>
        <v>683000</v>
      </c>
      <c r="K34" s="27">
        <f>竹原!J3</f>
        <v>683000</v>
      </c>
      <c r="L34" s="27">
        <f>竹原!K3</f>
        <v>683000</v>
      </c>
      <c r="M34" s="27">
        <f>竹原!L3</f>
        <v>683000</v>
      </c>
      <c r="N34" s="27">
        <f>竹原!M3</f>
        <v>683000</v>
      </c>
      <c r="O34" s="27">
        <f>竹原!N3</f>
        <v>683000</v>
      </c>
      <c r="P34" s="27">
        <f>竹原!O3</f>
        <v>683000</v>
      </c>
      <c r="Q34" s="28">
        <f>SUM(E34:P34)</f>
        <v>10628101</v>
      </c>
    </row>
    <row r="35" spans="1:17" ht="12.75" customHeight="1">
      <c r="A35" s="373"/>
      <c r="B35" s="374"/>
      <c r="C35" s="367" t="s">
        <v>47</v>
      </c>
      <c r="D35" s="367"/>
      <c r="E35" s="10">
        <f>竹原!D48</f>
        <v>1603560</v>
      </c>
      <c r="F35" s="10">
        <f>竹原!E48</f>
        <v>1713674</v>
      </c>
      <c r="G35" s="10">
        <f>竹原!F48</f>
        <v>0</v>
      </c>
      <c r="H35" s="10">
        <f>竹原!G48</f>
        <v>0</v>
      </c>
      <c r="I35" s="10">
        <f>竹原!H48</f>
        <v>0</v>
      </c>
      <c r="J35" s="10">
        <f>竹原!I48</f>
        <v>0</v>
      </c>
      <c r="K35" s="10">
        <f>竹原!J48</f>
        <v>0</v>
      </c>
      <c r="L35" s="10">
        <f>竹原!K48</f>
        <v>0</v>
      </c>
      <c r="M35" s="10">
        <f>竹原!L48</f>
        <v>0</v>
      </c>
      <c r="N35" s="10">
        <f>竹原!M48</f>
        <v>0</v>
      </c>
      <c r="O35" s="10">
        <f>竹原!N48</f>
        <v>0</v>
      </c>
      <c r="P35" s="10">
        <f>竹原!O48</f>
        <v>0</v>
      </c>
      <c r="Q35" s="11">
        <f>SUM(E35:P35)</f>
        <v>3317234</v>
      </c>
    </row>
    <row r="36" spans="1:17" ht="12.75" customHeight="1">
      <c r="A36" s="373"/>
      <c r="B36" s="374"/>
      <c r="C36" s="368" t="s">
        <v>43</v>
      </c>
      <c r="D36" s="368"/>
      <c r="E36" s="29">
        <f t="shared" ref="E36:Q36" si="8">E34-E35</f>
        <v>-356523</v>
      </c>
      <c r="F36" s="29">
        <f t="shared" si="8"/>
        <v>-475202</v>
      </c>
      <c r="G36" s="29">
        <f t="shared" si="8"/>
        <v>1370148</v>
      </c>
      <c r="H36" s="29">
        <f t="shared" si="8"/>
        <v>1202444</v>
      </c>
      <c r="I36" s="29">
        <f t="shared" si="8"/>
        <v>789000</v>
      </c>
      <c r="J36" s="29">
        <f t="shared" si="8"/>
        <v>683000</v>
      </c>
      <c r="K36" s="29">
        <f t="shared" si="8"/>
        <v>683000</v>
      </c>
      <c r="L36" s="29">
        <f t="shared" si="8"/>
        <v>683000</v>
      </c>
      <c r="M36" s="29">
        <f t="shared" si="8"/>
        <v>683000</v>
      </c>
      <c r="N36" s="29">
        <f t="shared" si="8"/>
        <v>683000</v>
      </c>
      <c r="O36" s="29">
        <f t="shared" si="8"/>
        <v>683000</v>
      </c>
      <c r="P36" s="29">
        <f t="shared" si="8"/>
        <v>683000</v>
      </c>
      <c r="Q36" s="30">
        <f t="shared" si="8"/>
        <v>7310867</v>
      </c>
    </row>
    <row r="37" spans="1:17" ht="12.75" customHeight="1">
      <c r="A37" s="373"/>
      <c r="B37" s="375" t="s">
        <v>48</v>
      </c>
      <c r="C37" s="366" t="s">
        <v>46</v>
      </c>
      <c r="D37" s="366"/>
      <c r="E37" s="35">
        <f>フォレストヒルズガーデン!B3</f>
        <v>5670857</v>
      </c>
      <c r="F37" s="35">
        <f>フォレストヒルズガーデン!C3</f>
        <v>5411304</v>
      </c>
      <c r="G37" s="35">
        <f>フォレストヒルズガーデン!D3</f>
        <v>6110445</v>
      </c>
      <c r="H37" s="35">
        <f>フォレストヒルズガーデン!E3</f>
        <v>5535949</v>
      </c>
      <c r="I37" s="35">
        <f>フォレストヒルズガーデン!F3</f>
        <v>7265723</v>
      </c>
      <c r="J37" s="35">
        <f>フォレストヒルズガーデン!G3</f>
        <v>5640457</v>
      </c>
      <c r="K37" s="35">
        <f>フォレストヒルズガーデン!H3</f>
        <v>4902843</v>
      </c>
      <c r="L37" s="35">
        <f>フォレストヒルズガーデン!I3</f>
        <v>5877492</v>
      </c>
      <c r="M37" s="35">
        <f>フォレストヒルズガーデン!J3</f>
        <v>4830033</v>
      </c>
      <c r="N37" s="35">
        <f>フォレストヒルズガーデン!K3</f>
        <v>4621833</v>
      </c>
      <c r="O37" s="35">
        <f>フォレストヒルズガーデン!L3</f>
        <v>4696833</v>
      </c>
      <c r="P37" s="35">
        <f>フォレストヒルズガーデン!M3</f>
        <v>4621833</v>
      </c>
      <c r="Q37" s="28">
        <f>SUM(E37:P37)</f>
        <v>65185602</v>
      </c>
    </row>
    <row r="38" spans="1:17" ht="12.75" customHeight="1">
      <c r="A38" s="373"/>
      <c r="B38" s="375"/>
      <c r="C38" s="367" t="s">
        <v>47</v>
      </c>
      <c r="D38" s="367"/>
      <c r="E38" s="20">
        <v>4318542</v>
      </c>
      <c r="F38" s="20">
        <v>4263820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11">
        <f>SUM(E38:P38)</f>
        <v>8582362</v>
      </c>
    </row>
    <row r="39" spans="1:17" ht="12.75" customHeight="1">
      <c r="A39" s="373"/>
      <c r="B39" s="375"/>
      <c r="C39" s="368" t="s">
        <v>43</v>
      </c>
      <c r="D39" s="368"/>
      <c r="E39" s="29">
        <f t="shared" ref="E39:Q39" si="9">E37-E38</f>
        <v>1352315</v>
      </c>
      <c r="F39" s="29">
        <f t="shared" si="9"/>
        <v>1147484</v>
      </c>
      <c r="G39" s="29">
        <f t="shared" si="9"/>
        <v>6110445</v>
      </c>
      <c r="H39" s="29">
        <f t="shared" si="9"/>
        <v>5535949</v>
      </c>
      <c r="I39" s="29">
        <f t="shared" si="9"/>
        <v>7265723</v>
      </c>
      <c r="J39" s="29">
        <f t="shared" si="9"/>
        <v>5640457</v>
      </c>
      <c r="K39" s="29">
        <f t="shared" si="9"/>
        <v>4902843</v>
      </c>
      <c r="L39" s="29">
        <f t="shared" si="9"/>
        <v>5877492</v>
      </c>
      <c r="M39" s="29">
        <f t="shared" si="9"/>
        <v>4830033</v>
      </c>
      <c r="N39" s="29">
        <f t="shared" si="9"/>
        <v>4621833</v>
      </c>
      <c r="O39" s="29">
        <f t="shared" si="9"/>
        <v>4696833</v>
      </c>
      <c r="P39" s="29">
        <f t="shared" si="9"/>
        <v>4621833</v>
      </c>
      <c r="Q39" s="30">
        <f t="shared" si="9"/>
        <v>56603240</v>
      </c>
    </row>
    <row r="40" spans="1:17" ht="12.75" customHeight="1">
      <c r="A40" s="373"/>
      <c r="B40" s="376" t="s">
        <v>49</v>
      </c>
      <c r="C40" s="366" t="s">
        <v>46</v>
      </c>
      <c r="D40" s="366"/>
      <c r="E40" s="36">
        <f>深入山GS!C51</f>
        <v>248917</v>
      </c>
      <c r="F40" s="36">
        <f>深入山GS!D51</f>
        <v>248917</v>
      </c>
      <c r="G40" s="36">
        <f>深入山GS!E51</f>
        <v>248917</v>
      </c>
      <c r="H40" s="27">
        <f>深入山GS!F51</f>
        <v>626997</v>
      </c>
      <c r="I40" s="27">
        <f>深入山GS!G51</f>
        <v>248917</v>
      </c>
      <c r="J40" s="27">
        <f>深入山GS!H51</f>
        <v>248917</v>
      </c>
      <c r="K40" s="27">
        <f>深入山GS!I51</f>
        <v>248917</v>
      </c>
      <c r="L40" s="27">
        <f>深入山GS!J51</f>
        <v>248917</v>
      </c>
      <c r="M40" s="27">
        <f>深入山GS!K51</f>
        <v>248917</v>
      </c>
      <c r="N40" s="27">
        <f>深入山GS!L51</f>
        <v>248917</v>
      </c>
      <c r="O40" s="27">
        <f>深入山GS!M51</f>
        <v>248917</v>
      </c>
      <c r="P40" s="27">
        <f>深入山GS!N51</f>
        <v>248917</v>
      </c>
      <c r="Q40" s="28">
        <f>SUM(E40:P40)</f>
        <v>3365084</v>
      </c>
    </row>
    <row r="41" spans="1:17" ht="12.75" customHeight="1">
      <c r="A41" s="373"/>
      <c r="B41" s="376"/>
      <c r="C41" s="367" t="s">
        <v>47</v>
      </c>
      <c r="D41" s="367"/>
      <c r="E41" s="37">
        <f>深入山GS!C60</f>
        <v>0</v>
      </c>
      <c r="F41" s="37">
        <f>深入山GS!D60</f>
        <v>0</v>
      </c>
      <c r="G41" s="37">
        <f>深入山GS!E60</f>
        <v>0</v>
      </c>
      <c r="H41" s="10">
        <f>深入山GS!F60</f>
        <v>0</v>
      </c>
      <c r="I41" s="10">
        <f>深入山GS!G60</f>
        <v>0</v>
      </c>
      <c r="J41" s="10">
        <f>深入山GS!H60</f>
        <v>0</v>
      </c>
      <c r="K41" s="10">
        <f>深入山GS!I60</f>
        <v>0</v>
      </c>
      <c r="L41" s="10">
        <f>深入山GS!J60</f>
        <v>0</v>
      </c>
      <c r="M41" s="10">
        <f>深入山GS!K60</f>
        <v>0</v>
      </c>
      <c r="N41" s="10">
        <f>深入山GS!L60</f>
        <v>0</v>
      </c>
      <c r="O41" s="10">
        <f>深入山GS!M60</f>
        <v>0</v>
      </c>
      <c r="P41" s="10">
        <f>深入山GS!N60</f>
        <v>0</v>
      </c>
      <c r="Q41" s="11">
        <f>SUM(E41:P41)</f>
        <v>0</v>
      </c>
    </row>
    <row r="42" spans="1:17" ht="12.75" customHeight="1">
      <c r="A42" s="373"/>
      <c r="B42" s="376"/>
      <c r="C42" s="368" t="s">
        <v>43</v>
      </c>
      <c r="D42" s="368"/>
      <c r="E42" s="38">
        <f t="shared" ref="E42:Q42" si="10">E40-E41</f>
        <v>248917</v>
      </c>
      <c r="F42" s="38">
        <f t="shared" si="10"/>
        <v>248917</v>
      </c>
      <c r="G42" s="38">
        <f t="shared" si="10"/>
        <v>248917</v>
      </c>
      <c r="H42" s="29">
        <f t="shared" si="10"/>
        <v>626997</v>
      </c>
      <c r="I42" s="29">
        <f t="shared" si="10"/>
        <v>248917</v>
      </c>
      <c r="J42" s="29">
        <f t="shared" si="10"/>
        <v>248917</v>
      </c>
      <c r="K42" s="29">
        <f t="shared" si="10"/>
        <v>248917</v>
      </c>
      <c r="L42" s="29">
        <f t="shared" si="10"/>
        <v>248917</v>
      </c>
      <c r="M42" s="29">
        <f t="shared" si="10"/>
        <v>248917</v>
      </c>
      <c r="N42" s="29">
        <f t="shared" si="10"/>
        <v>248917</v>
      </c>
      <c r="O42" s="29">
        <f t="shared" si="10"/>
        <v>248917</v>
      </c>
      <c r="P42" s="29">
        <f t="shared" si="10"/>
        <v>248917</v>
      </c>
      <c r="Q42" s="30">
        <f t="shared" si="10"/>
        <v>3365084</v>
      </c>
    </row>
    <row r="43" spans="1:17" ht="13.5" customHeight="1">
      <c r="A43" s="371" t="s">
        <v>50</v>
      </c>
      <c r="B43" s="372" t="s">
        <v>51</v>
      </c>
      <c r="C43" s="366" t="s">
        <v>46</v>
      </c>
      <c r="D43" s="366"/>
      <c r="E43" s="27">
        <f>サウナ!B3</f>
        <v>0</v>
      </c>
      <c r="F43" s="27">
        <v>134014</v>
      </c>
      <c r="G43" s="27">
        <f>サウナ!D3</f>
        <v>134706</v>
      </c>
      <c r="H43" s="27">
        <f>サウナ!E3</f>
        <v>121831</v>
      </c>
      <c r="I43" s="27">
        <f>サウナ!F3</f>
        <v>36276</v>
      </c>
      <c r="J43" s="27">
        <f>サウナ!G3</f>
        <v>0</v>
      </c>
      <c r="K43" s="27">
        <f>サウナ!H3</f>
        <v>0</v>
      </c>
      <c r="L43" s="27">
        <f>サウナ!I3</f>
        <v>0</v>
      </c>
      <c r="M43" s="27">
        <f>サウナ!J3</f>
        <v>0</v>
      </c>
      <c r="N43" s="27">
        <f>サウナ!K3</f>
        <v>0</v>
      </c>
      <c r="O43" s="27">
        <f>サウナ!L3</f>
        <v>0</v>
      </c>
      <c r="P43" s="27">
        <f>サウナ!M3</f>
        <v>0</v>
      </c>
      <c r="Q43" s="28">
        <f>SUM(E43:P43)</f>
        <v>426827</v>
      </c>
    </row>
    <row r="44" spans="1:17" ht="14.25" customHeight="1">
      <c r="A44" s="371"/>
      <c r="B44" s="372"/>
      <c r="C44" s="367" t="s">
        <v>47</v>
      </c>
      <c r="D44" s="367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11">
        <f>SUM(E44:P44)</f>
        <v>0</v>
      </c>
    </row>
    <row r="45" spans="1:17" ht="13.5" customHeight="1">
      <c r="A45" s="371"/>
      <c r="B45" s="372"/>
      <c r="C45" s="368" t="s">
        <v>43</v>
      </c>
      <c r="D45" s="368"/>
      <c r="E45" s="29">
        <f t="shared" ref="E45:Q45" si="11">E43-E44</f>
        <v>0</v>
      </c>
      <c r="F45" s="29">
        <f t="shared" si="11"/>
        <v>134014</v>
      </c>
      <c r="G45" s="29">
        <f t="shared" si="11"/>
        <v>134706</v>
      </c>
      <c r="H45" s="29">
        <f t="shared" si="11"/>
        <v>121831</v>
      </c>
      <c r="I45" s="29">
        <f t="shared" si="11"/>
        <v>36276</v>
      </c>
      <c r="J45" s="29">
        <f t="shared" si="11"/>
        <v>0</v>
      </c>
      <c r="K45" s="29">
        <f t="shared" si="11"/>
        <v>0</v>
      </c>
      <c r="L45" s="29">
        <f t="shared" si="11"/>
        <v>0</v>
      </c>
      <c r="M45" s="29">
        <f t="shared" si="11"/>
        <v>0</v>
      </c>
      <c r="N45" s="29">
        <f t="shared" si="11"/>
        <v>0</v>
      </c>
      <c r="O45" s="29">
        <f t="shared" si="11"/>
        <v>0</v>
      </c>
      <c r="P45" s="29">
        <f t="shared" si="11"/>
        <v>0</v>
      </c>
      <c r="Q45" s="30">
        <f t="shared" si="11"/>
        <v>426827</v>
      </c>
    </row>
    <row r="46" spans="1:17" ht="16.5" customHeight="1">
      <c r="A46" s="369"/>
      <c r="B46" s="370" t="s">
        <v>52</v>
      </c>
      <c r="C46" s="366" t="s">
        <v>46</v>
      </c>
      <c r="D46" s="366"/>
      <c r="E46" s="27">
        <v>0</v>
      </c>
      <c r="F46" s="27"/>
      <c r="G46" s="27">
        <v>7000</v>
      </c>
      <c r="H46" s="27"/>
      <c r="I46" s="27"/>
      <c r="J46" s="27"/>
      <c r="K46" s="27"/>
      <c r="L46" s="27"/>
      <c r="M46" s="27"/>
      <c r="N46" s="27"/>
      <c r="O46" s="27"/>
      <c r="P46" s="27"/>
      <c r="Q46" s="28">
        <f>SUM(E46:P46)</f>
        <v>7000</v>
      </c>
    </row>
    <row r="47" spans="1:17" ht="18.75" customHeight="1">
      <c r="A47" s="369"/>
      <c r="B47" s="370"/>
      <c r="C47" s="367" t="s">
        <v>47</v>
      </c>
      <c r="D47" s="367"/>
      <c r="E47" s="10">
        <v>320335</v>
      </c>
      <c r="F47" s="10">
        <v>401121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1">
        <f>SUM(E47:P47)</f>
        <v>721456</v>
      </c>
    </row>
    <row r="48" spans="1:17" ht="16.5" customHeight="1">
      <c r="A48" s="369"/>
      <c r="B48" s="370"/>
      <c r="C48" s="368" t="s">
        <v>43</v>
      </c>
      <c r="D48" s="368"/>
      <c r="E48" s="39">
        <f>E46-E47</f>
        <v>-320335</v>
      </c>
      <c r="F48" s="39">
        <f>F46-F47</f>
        <v>-401121</v>
      </c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40">
        <f>Q46-Q47</f>
        <v>-714456</v>
      </c>
    </row>
    <row r="49" spans="1:18" ht="12.75" customHeight="1">
      <c r="A49" s="364"/>
      <c r="B49" s="365" t="s">
        <v>53</v>
      </c>
      <c r="C49" s="366" t="s">
        <v>46</v>
      </c>
      <c r="D49" s="366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2">
        <f>SUM(E49:P49)</f>
        <v>0</v>
      </c>
    </row>
    <row r="50" spans="1:18" ht="12.75" customHeight="1">
      <c r="A50" s="364"/>
      <c r="B50" s="365"/>
      <c r="C50" s="367" t="s">
        <v>47</v>
      </c>
      <c r="D50" s="367"/>
      <c r="E50" s="43">
        <v>736508</v>
      </c>
      <c r="F50" s="43">
        <v>1011829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4">
        <f>SUM(E50:P50)</f>
        <v>1748337</v>
      </c>
    </row>
    <row r="51" spans="1:18" ht="12.75" customHeight="1">
      <c r="A51" s="364"/>
      <c r="B51" s="365"/>
      <c r="C51" s="368" t="s">
        <v>43</v>
      </c>
      <c r="D51" s="368"/>
      <c r="E51" s="29">
        <f t="shared" ref="E51:Q51" si="12">E49-E50</f>
        <v>-736508</v>
      </c>
      <c r="F51" s="29">
        <f t="shared" si="12"/>
        <v>-1011829</v>
      </c>
      <c r="G51" s="29">
        <f t="shared" si="12"/>
        <v>0</v>
      </c>
      <c r="H51" s="29">
        <f t="shared" si="12"/>
        <v>0</v>
      </c>
      <c r="I51" s="29">
        <f t="shared" si="12"/>
        <v>0</v>
      </c>
      <c r="J51" s="29">
        <f t="shared" si="12"/>
        <v>0</v>
      </c>
      <c r="K51" s="29">
        <f t="shared" si="12"/>
        <v>0</v>
      </c>
      <c r="L51" s="29">
        <f t="shared" si="12"/>
        <v>0</v>
      </c>
      <c r="M51" s="29">
        <f t="shared" si="12"/>
        <v>0</v>
      </c>
      <c r="N51" s="29">
        <f t="shared" si="12"/>
        <v>0</v>
      </c>
      <c r="O51" s="29">
        <f t="shared" si="12"/>
        <v>0</v>
      </c>
      <c r="P51" s="29">
        <f t="shared" si="12"/>
        <v>0</v>
      </c>
      <c r="Q51" s="30">
        <f t="shared" si="12"/>
        <v>-1748337</v>
      </c>
    </row>
    <row r="52" spans="1:18" ht="12.75" customHeight="1">
      <c r="A52" s="359" t="s">
        <v>54</v>
      </c>
      <c r="B52" s="360" t="s">
        <v>55</v>
      </c>
      <c r="C52" s="361" t="s">
        <v>46</v>
      </c>
      <c r="D52" s="361"/>
      <c r="E52" s="45"/>
      <c r="F52" s="45"/>
      <c r="G52" s="45"/>
      <c r="H52" s="46"/>
      <c r="I52" s="46"/>
      <c r="J52" s="46"/>
      <c r="K52" s="46"/>
      <c r="L52" s="46"/>
      <c r="M52" s="46"/>
      <c r="N52" s="46"/>
      <c r="O52" s="46"/>
      <c r="P52" s="46"/>
      <c r="Q52" s="42">
        <f>SUM(E52:P52)</f>
        <v>0</v>
      </c>
    </row>
    <row r="53" spans="1:18" ht="12.75" customHeight="1">
      <c r="A53" s="359"/>
      <c r="B53" s="360"/>
      <c r="C53" s="362" t="s">
        <v>47</v>
      </c>
      <c r="D53" s="362"/>
      <c r="E53" s="47">
        <v>60837</v>
      </c>
      <c r="F53" s="47">
        <v>52171</v>
      </c>
      <c r="G53" s="47"/>
      <c r="H53" s="48"/>
      <c r="I53" s="48"/>
      <c r="J53" s="48"/>
      <c r="K53" s="48"/>
      <c r="L53" s="48"/>
      <c r="M53" s="47"/>
      <c r="N53" s="48"/>
      <c r="O53" s="48"/>
      <c r="P53" s="48"/>
      <c r="Q53" s="44">
        <f>SUM(E53:P53)</f>
        <v>113008</v>
      </c>
    </row>
    <row r="54" spans="1:18" ht="12.75" customHeight="1">
      <c r="A54" s="359"/>
      <c r="B54" s="360"/>
      <c r="C54" s="363" t="s">
        <v>43</v>
      </c>
      <c r="D54" s="363"/>
      <c r="E54" s="49">
        <f t="shared" ref="E54:Q54" si="13">E52-E53</f>
        <v>-60837</v>
      </c>
      <c r="F54" s="49">
        <f t="shared" si="13"/>
        <v>-52171</v>
      </c>
      <c r="G54" s="49">
        <f t="shared" si="13"/>
        <v>0</v>
      </c>
      <c r="H54" s="49">
        <f t="shared" si="13"/>
        <v>0</v>
      </c>
      <c r="I54" s="49">
        <f t="shared" si="13"/>
        <v>0</v>
      </c>
      <c r="J54" s="49">
        <f t="shared" si="13"/>
        <v>0</v>
      </c>
      <c r="K54" s="49">
        <f t="shared" si="13"/>
        <v>0</v>
      </c>
      <c r="L54" s="49">
        <f t="shared" si="13"/>
        <v>0</v>
      </c>
      <c r="M54" s="49">
        <f t="shared" si="13"/>
        <v>0</v>
      </c>
      <c r="N54" s="49">
        <f t="shared" si="13"/>
        <v>0</v>
      </c>
      <c r="O54" s="49">
        <f t="shared" si="13"/>
        <v>0</v>
      </c>
      <c r="P54" s="49">
        <f t="shared" si="13"/>
        <v>0</v>
      </c>
      <c r="Q54" s="50">
        <f t="shared" si="13"/>
        <v>-113008</v>
      </c>
    </row>
    <row r="55" spans="1:18" ht="13.5" customHeight="1">
      <c r="A55" s="354" t="s">
        <v>56</v>
      </c>
      <c r="B55" s="355" t="s">
        <v>57</v>
      </c>
      <c r="C55" s="356" t="s">
        <v>27</v>
      </c>
      <c r="D55" s="356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2">
        <f>SUM(E55:P55)</f>
        <v>0</v>
      </c>
    </row>
    <row r="56" spans="1:18" ht="15" customHeight="1">
      <c r="A56" s="354"/>
      <c r="B56" s="355"/>
      <c r="C56" s="357" t="s">
        <v>58</v>
      </c>
      <c r="D56" s="357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4">
        <f>SUM(E56:P56)</f>
        <v>0</v>
      </c>
    </row>
    <row r="57" spans="1:18" ht="19.5" customHeight="1">
      <c r="A57" s="354"/>
      <c r="B57" s="355"/>
      <c r="C57" s="358" t="s">
        <v>59</v>
      </c>
      <c r="D57" s="358"/>
      <c r="E57" s="51">
        <f>E55+E56</f>
        <v>0</v>
      </c>
      <c r="F57" s="51"/>
      <c r="G57" s="51">
        <f t="shared" ref="G57:P57" si="14">SUM(G55:G56)</f>
        <v>0</v>
      </c>
      <c r="H57" s="51">
        <f t="shared" si="14"/>
        <v>0</v>
      </c>
      <c r="I57" s="51">
        <f t="shared" si="14"/>
        <v>0</v>
      </c>
      <c r="J57" s="51">
        <f t="shared" si="14"/>
        <v>0</v>
      </c>
      <c r="K57" s="51">
        <f t="shared" si="14"/>
        <v>0</v>
      </c>
      <c r="L57" s="51">
        <f t="shared" si="14"/>
        <v>0</v>
      </c>
      <c r="M57" s="51">
        <f t="shared" si="14"/>
        <v>0</v>
      </c>
      <c r="N57" s="51">
        <f t="shared" si="14"/>
        <v>0</v>
      </c>
      <c r="O57" s="51">
        <f t="shared" si="14"/>
        <v>0</v>
      </c>
      <c r="P57" s="51">
        <f t="shared" si="14"/>
        <v>0</v>
      </c>
      <c r="Q57" s="52">
        <f>SUM(E57:P57)</f>
        <v>0</v>
      </c>
    </row>
    <row r="58" spans="1:18" ht="18.75" customHeight="1">
      <c r="A58" s="349" t="s">
        <v>60</v>
      </c>
      <c r="B58" s="350" t="s">
        <v>42</v>
      </c>
      <c r="C58" s="351" t="s">
        <v>46</v>
      </c>
      <c r="D58" s="351"/>
      <c r="E58" s="53">
        <f t="shared" ref="E58:P58" si="15">SUM(E9+E18+E21+E24+SUM(E31)+E34+E43+E52+E37+E40+E46+E49)</f>
        <v>35187348</v>
      </c>
      <c r="F58" s="53">
        <f t="shared" si="15"/>
        <v>38427545</v>
      </c>
      <c r="G58" s="53">
        <f t="shared" si="15"/>
        <v>39389752</v>
      </c>
      <c r="H58" s="53">
        <f t="shared" si="15"/>
        <v>34224319</v>
      </c>
      <c r="I58" s="53">
        <f t="shared" si="15"/>
        <v>38796802</v>
      </c>
      <c r="J58" s="53">
        <f t="shared" si="15"/>
        <v>20159513</v>
      </c>
      <c r="K58" s="53">
        <f t="shared" si="15"/>
        <v>12343996</v>
      </c>
      <c r="L58" s="53">
        <f t="shared" si="15"/>
        <v>14353420</v>
      </c>
      <c r="M58" s="53">
        <f t="shared" si="15"/>
        <v>10005894</v>
      </c>
      <c r="N58" s="53">
        <f t="shared" si="15"/>
        <v>8117522</v>
      </c>
      <c r="O58" s="53">
        <f t="shared" si="15"/>
        <v>6018810</v>
      </c>
      <c r="P58" s="53">
        <f t="shared" si="15"/>
        <v>5721100</v>
      </c>
      <c r="Q58" s="54">
        <f>SUM(E58:P58)</f>
        <v>262746021</v>
      </c>
    </row>
    <row r="59" spans="1:18" ht="16.5" customHeight="1">
      <c r="A59" s="349"/>
      <c r="B59" s="350"/>
      <c r="C59" s="352" t="s">
        <v>47</v>
      </c>
      <c r="D59" s="352"/>
      <c r="E59" s="55">
        <f t="shared" ref="E59:P59" si="16">SUM(E16+E19+E22+E32+E35+E44+E53)+E25+E38+E41+E47+E50+E57</f>
        <v>35137861</v>
      </c>
      <c r="F59" s="55">
        <f t="shared" si="16"/>
        <v>54073976</v>
      </c>
      <c r="G59" s="55">
        <f t="shared" si="16"/>
        <v>0</v>
      </c>
      <c r="H59" s="55">
        <f t="shared" si="16"/>
        <v>0</v>
      </c>
      <c r="I59" s="55">
        <f t="shared" si="16"/>
        <v>0</v>
      </c>
      <c r="J59" s="55">
        <f t="shared" si="16"/>
        <v>0</v>
      </c>
      <c r="K59" s="55">
        <f t="shared" si="16"/>
        <v>0</v>
      </c>
      <c r="L59" s="55">
        <f t="shared" si="16"/>
        <v>0</v>
      </c>
      <c r="M59" s="55">
        <f t="shared" si="16"/>
        <v>0</v>
      </c>
      <c r="N59" s="55">
        <f t="shared" si="16"/>
        <v>0</v>
      </c>
      <c r="O59" s="55">
        <f t="shared" si="16"/>
        <v>0</v>
      </c>
      <c r="P59" s="55">
        <f t="shared" si="16"/>
        <v>0</v>
      </c>
      <c r="Q59" s="56">
        <f>SUM(E59:P59)</f>
        <v>89211837</v>
      </c>
    </row>
    <row r="60" spans="1:18" ht="18" customHeight="1">
      <c r="A60" s="349"/>
      <c r="B60" s="350"/>
      <c r="C60" s="353" t="s">
        <v>43</v>
      </c>
      <c r="D60" s="353"/>
      <c r="E60" s="57">
        <f t="shared" ref="E60:Q60" si="17">E58-E59</f>
        <v>49487</v>
      </c>
      <c r="F60" s="57">
        <f t="shared" si="17"/>
        <v>-15646431</v>
      </c>
      <c r="G60" s="57">
        <f t="shared" si="17"/>
        <v>39389752</v>
      </c>
      <c r="H60" s="57">
        <f t="shared" si="17"/>
        <v>34224319</v>
      </c>
      <c r="I60" s="57">
        <f t="shared" si="17"/>
        <v>38796802</v>
      </c>
      <c r="J60" s="57">
        <f t="shared" si="17"/>
        <v>20159513</v>
      </c>
      <c r="K60" s="57">
        <f t="shared" si="17"/>
        <v>12343996</v>
      </c>
      <c r="L60" s="57">
        <f t="shared" si="17"/>
        <v>14353420</v>
      </c>
      <c r="M60" s="57">
        <f t="shared" si="17"/>
        <v>10005894</v>
      </c>
      <c r="N60" s="57">
        <f t="shared" si="17"/>
        <v>8117522</v>
      </c>
      <c r="O60" s="57">
        <f t="shared" si="17"/>
        <v>6018810</v>
      </c>
      <c r="P60" s="57">
        <f t="shared" si="17"/>
        <v>5721100</v>
      </c>
      <c r="Q60" s="58">
        <f t="shared" si="17"/>
        <v>173534184</v>
      </c>
    </row>
    <row r="62" spans="1:18">
      <c r="K62" s="59"/>
      <c r="M62" s="60" t="s">
        <v>61</v>
      </c>
      <c r="N62" s="60" t="s">
        <v>62</v>
      </c>
      <c r="O62" s="60" t="s">
        <v>63</v>
      </c>
      <c r="P62" s="60" t="s">
        <v>64</v>
      </c>
      <c r="Q62" s="60" t="s">
        <v>65</v>
      </c>
      <c r="R62" s="61" t="s">
        <v>66</v>
      </c>
    </row>
    <row r="63" spans="1:18" ht="12.75" customHeight="1">
      <c r="J63" s="344" t="s">
        <v>67</v>
      </c>
      <c r="K63" s="345" t="s">
        <v>68</v>
      </c>
      <c r="L63" s="341" t="s">
        <v>69</v>
      </c>
      <c r="M63" s="62">
        <f>Q9+Q18+Q21+Q24+Q46</f>
        <v>179415007</v>
      </c>
      <c r="N63" s="62">
        <f>SUM(Q27:Q30)</f>
        <v>3725400</v>
      </c>
      <c r="O63" s="62">
        <f>Q34+Q37+Q40</f>
        <v>79178787</v>
      </c>
      <c r="P63" s="62">
        <f>Q43</f>
        <v>426827</v>
      </c>
      <c r="Q63" s="62">
        <f>Q52</f>
        <v>0</v>
      </c>
      <c r="R63" s="63">
        <f>SUM(M63:Q63)</f>
        <v>262746021</v>
      </c>
    </row>
    <row r="64" spans="1:18">
      <c r="J64" s="344"/>
      <c r="K64" s="344"/>
      <c r="L64" s="341" t="s">
        <v>70</v>
      </c>
      <c r="M64" s="62">
        <f>ホテル部門→!N7+弥山!N20</f>
        <v>173376507</v>
      </c>
      <c r="N64" s="62">
        <f>マンスリー部門!N12+マンスリー部門!N27+マンスリー部門!N42+マンスリー部門!N57</f>
        <v>7285480</v>
      </c>
      <c r="O64" s="62">
        <v>0</v>
      </c>
      <c r="P64" s="62">
        <v>0</v>
      </c>
      <c r="Q64" s="62">
        <v>6314186</v>
      </c>
      <c r="R64" s="63"/>
    </row>
    <row r="65" spans="10:18">
      <c r="J65" s="344"/>
      <c r="K65" s="346" t="s">
        <v>71</v>
      </c>
      <c r="L65" s="346"/>
      <c r="M65" s="64">
        <f t="shared" ref="M65:R65" si="18">M63/M64</f>
        <v>1.034828824876487</v>
      </c>
      <c r="N65" s="64">
        <f t="shared" si="18"/>
        <v>0.51134585504318175</v>
      </c>
      <c r="O65" s="64" t="e">
        <f t="shared" si="18"/>
        <v>#DIV/0!</v>
      </c>
      <c r="P65" s="64" t="e">
        <f t="shared" si="18"/>
        <v>#DIV/0!</v>
      </c>
      <c r="Q65" s="64">
        <f t="shared" si="18"/>
        <v>0</v>
      </c>
      <c r="R65" s="65" t="e">
        <f t="shared" si="18"/>
        <v>#DIV/0!</v>
      </c>
    </row>
    <row r="66" spans="10:18">
      <c r="J66" s="344"/>
      <c r="K66" s="347" t="s">
        <v>72</v>
      </c>
      <c r="L66" s="66" t="s">
        <v>69</v>
      </c>
      <c r="M66" s="67">
        <f>Q16+Q19+Q22+Q25+Q47</f>
        <v>70832128</v>
      </c>
      <c r="N66" s="67">
        <f>Q32</f>
        <v>0</v>
      </c>
      <c r="O66" s="67">
        <f>Q35+Q38+Q41</f>
        <v>11899596</v>
      </c>
      <c r="P66" s="67">
        <f>Q44</f>
        <v>0</v>
      </c>
      <c r="Q66" s="67">
        <f>Q53</f>
        <v>113008</v>
      </c>
      <c r="R66" s="68">
        <f>SUM(M66:Q66)</f>
        <v>82844732</v>
      </c>
    </row>
    <row r="67" spans="10:18">
      <c r="J67" s="344"/>
      <c r="K67" s="347"/>
      <c r="L67" s="69" t="s">
        <v>70</v>
      </c>
      <c r="M67" s="70"/>
      <c r="N67" s="70"/>
      <c r="O67" s="70"/>
      <c r="P67" s="70"/>
      <c r="Q67" s="70">
        <v>5348605</v>
      </c>
      <c r="R67" s="71"/>
    </row>
    <row r="68" spans="10:18">
      <c r="J68" s="344"/>
      <c r="K68" s="348" t="s">
        <v>73</v>
      </c>
      <c r="L68" s="72" t="s">
        <v>69</v>
      </c>
      <c r="M68" s="67">
        <f t="shared" ref="M68:R68" si="19">M63-M66</f>
        <v>108582879</v>
      </c>
      <c r="N68" s="67">
        <f t="shared" si="19"/>
        <v>3725400</v>
      </c>
      <c r="O68" s="67">
        <f t="shared" si="19"/>
        <v>67279191</v>
      </c>
      <c r="P68" s="67">
        <f t="shared" si="19"/>
        <v>426827</v>
      </c>
      <c r="Q68" s="67">
        <f t="shared" si="19"/>
        <v>-113008</v>
      </c>
      <c r="R68" s="68">
        <f t="shared" si="19"/>
        <v>179901289</v>
      </c>
    </row>
    <row r="69" spans="10:18">
      <c r="J69" s="344"/>
      <c r="K69" s="348"/>
      <c r="L69" s="73" t="s">
        <v>70</v>
      </c>
      <c r="M69" s="74">
        <f>M64-M67</f>
        <v>173376507</v>
      </c>
      <c r="N69" s="74">
        <f>N64-N67</f>
        <v>7285480</v>
      </c>
      <c r="O69" s="74"/>
      <c r="P69" s="74">
        <f>P64-P67</f>
        <v>0</v>
      </c>
      <c r="Q69" s="74">
        <f>Q64-Q67</f>
        <v>965581</v>
      </c>
      <c r="R69" s="74">
        <f>M69+N69+O69+P69</f>
        <v>180661987</v>
      </c>
    </row>
  </sheetData>
  <mergeCells count="72">
    <mergeCell ref="A1:Q2"/>
    <mergeCell ref="C3:D3"/>
    <mergeCell ref="A4:A26"/>
    <mergeCell ref="B4:B17"/>
    <mergeCell ref="C4:C9"/>
    <mergeCell ref="C10:C16"/>
    <mergeCell ref="C17:D17"/>
    <mergeCell ref="B18:B20"/>
    <mergeCell ref="C18:D18"/>
    <mergeCell ref="C19:D19"/>
    <mergeCell ref="C20:D20"/>
    <mergeCell ref="B21:B23"/>
    <mergeCell ref="C21:D21"/>
    <mergeCell ref="C22:D22"/>
    <mergeCell ref="C23:D23"/>
    <mergeCell ref="B24:B26"/>
    <mergeCell ref="C24:D24"/>
    <mergeCell ref="C25:D25"/>
    <mergeCell ref="C26:D26"/>
    <mergeCell ref="A27:A33"/>
    <mergeCell ref="B27:B33"/>
    <mergeCell ref="C27:C31"/>
    <mergeCell ref="C32:D32"/>
    <mergeCell ref="C33:D33"/>
    <mergeCell ref="A34:A42"/>
    <mergeCell ref="B34:B36"/>
    <mergeCell ref="C34:D34"/>
    <mergeCell ref="C35:D35"/>
    <mergeCell ref="C36:D36"/>
    <mergeCell ref="B37:B39"/>
    <mergeCell ref="C37:D37"/>
    <mergeCell ref="C38:D38"/>
    <mergeCell ref="C39:D39"/>
    <mergeCell ref="B40:B42"/>
    <mergeCell ref="C40:D40"/>
    <mergeCell ref="C41:D41"/>
    <mergeCell ref="C42:D42"/>
    <mergeCell ref="A43:A45"/>
    <mergeCell ref="B43:B45"/>
    <mergeCell ref="C43:D43"/>
    <mergeCell ref="C44:D44"/>
    <mergeCell ref="C45:D45"/>
    <mergeCell ref="A46:A48"/>
    <mergeCell ref="B46:B48"/>
    <mergeCell ref="C46:D46"/>
    <mergeCell ref="C47:D47"/>
    <mergeCell ref="C48:D48"/>
    <mergeCell ref="A49:A51"/>
    <mergeCell ref="B49:B51"/>
    <mergeCell ref="C49:D49"/>
    <mergeCell ref="C50:D50"/>
    <mergeCell ref="C51:D51"/>
    <mergeCell ref="A52:A54"/>
    <mergeCell ref="B52:B54"/>
    <mergeCell ref="C52:D52"/>
    <mergeCell ref="C53:D53"/>
    <mergeCell ref="C54:D54"/>
    <mergeCell ref="A55:A57"/>
    <mergeCell ref="B55:B57"/>
    <mergeCell ref="C55:D55"/>
    <mergeCell ref="C56:D56"/>
    <mergeCell ref="C57:D57"/>
    <mergeCell ref="A58:A60"/>
    <mergeCell ref="B58:B60"/>
    <mergeCell ref="C58:D58"/>
    <mergeCell ref="C59:D59"/>
    <mergeCell ref="C60:D60"/>
    <mergeCell ref="J63:J69"/>
    <mergeCell ref="K63:K64"/>
    <mergeCell ref="K65:L65"/>
    <mergeCell ref="K66:K67"/>
    <mergeCell ref="K68:K69"/>
  </mergeCells>
  <phoneticPr fontId="36"/>
  <pageMargins left="0.7" right="0.7" top="0.75" bottom="0.75" header="0.511811023622047" footer="0.511811023622047"/>
  <pageSetup paperSize="8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Normal="100" workbookViewId="0">
      <selection activeCell="F9" sqref="F9"/>
    </sheetView>
  </sheetViews>
  <sheetFormatPr defaultColWidth="8.58203125" defaultRowHeight="15"/>
  <cols>
    <col min="1" max="3" width="10.33203125" style="75" customWidth="1"/>
    <col min="4" max="4" width="10.25" style="75" customWidth="1"/>
    <col min="5" max="6" width="11.33203125" style="75" customWidth="1"/>
    <col min="7" max="7" width="12.83203125" style="75" customWidth="1"/>
    <col min="8" max="8" width="12.25" style="75" customWidth="1"/>
    <col min="9" max="9" width="40.83203125" style="75" customWidth="1"/>
    <col min="10" max="10" width="6.83203125" style="75" customWidth="1"/>
    <col min="11" max="11" width="8" style="75" customWidth="1"/>
    <col min="12" max="16384" width="8.58203125" style="75"/>
  </cols>
  <sheetData>
    <row r="1" spans="1:9" ht="18" customHeight="1">
      <c r="A1" s="76" t="s">
        <v>74</v>
      </c>
      <c r="B1" s="77"/>
      <c r="C1" s="77"/>
      <c r="D1" s="77"/>
      <c r="E1" s="77"/>
    </row>
    <row r="2" spans="1:9">
      <c r="A2" s="75" t="s">
        <v>75</v>
      </c>
    </row>
    <row r="3" spans="1:9" ht="18" customHeight="1">
      <c r="A3" s="78" t="s">
        <v>76</v>
      </c>
      <c r="B3" s="78" t="s">
        <v>77</v>
      </c>
      <c r="C3" s="78" t="s">
        <v>78</v>
      </c>
      <c r="D3" s="78" t="s">
        <v>79</v>
      </c>
      <c r="E3" s="78" t="s">
        <v>80</v>
      </c>
      <c r="F3" s="78" t="s">
        <v>81</v>
      </c>
      <c r="G3" s="78" t="s">
        <v>82</v>
      </c>
      <c r="H3" s="78" t="s">
        <v>68</v>
      </c>
      <c r="I3" s="78" t="s">
        <v>83</v>
      </c>
    </row>
    <row r="4" spans="1:9" ht="18" customHeight="1">
      <c r="A4" s="79" t="s">
        <v>84</v>
      </c>
      <c r="B4" s="80">
        <f>ホテル部門→!N23</f>
        <v>5013</v>
      </c>
      <c r="C4" s="80">
        <f>ホテル部門→!N24</f>
        <v>7359</v>
      </c>
      <c r="D4" s="80">
        <f>ホテル部門→!N25</f>
        <v>9487.802114502294</v>
      </c>
      <c r="E4" s="80">
        <f>ホテル部門→!N26</f>
        <v>6463.1542329120803</v>
      </c>
      <c r="F4" s="81">
        <f>ホテル部門→!N22</f>
        <v>0.26929895245769542</v>
      </c>
      <c r="G4" s="82">
        <f>ホテル部門→!N18</f>
        <v>47562352</v>
      </c>
      <c r="H4" s="82">
        <f>ホテル部門→!N17</f>
        <v>51711522</v>
      </c>
      <c r="I4" s="83"/>
    </row>
    <row r="5" spans="1:9" ht="18" customHeight="1">
      <c r="A5" s="79" t="s">
        <v>85</v>
      </c>
      <c r="B5" s="80">
        <f>ホテル部門→!N46</f>
        <v>1668</v>
      </c>
      <c r="C5" s="80">
        <f>ホテル部門→!N47</f>
        <v>2314</v>
      </c>
      <c r="D5" s="80">
        <f>ホテル部門→!N48</f>
        <v>9586.3621103117512</v>
      </c>
      <c r="E5" s="80">
        <f>ホテル部門→!N49</f>
        <v>6910.1348314606739</v>
      </c>
      <c r="F5" s="81">
        <f>ホテル部門→!N45</f>
        <v>0.25388127853881276</v>
      </c>
      <c r="G5" s="84">
        <f>ホテル部門→!N41</f>
        <v>15990052</v>
      </c>
      <c r="H5" s="80">
        <f>ホテル部門→!N40</f>
        <v>16024147</v>
      </c>
      <c r="I5" s="83"/>
    </row>
    <row r="6" spans="1:9" ht="18" customHeight="1">
      <c r="A6" s="79" t="s">
        <v>22</v>
      </c>
      <c r="B6" s="80">
        <f>ホテル部門→!N63</f>
        <v>1071</v>
      </c>
      <c r="C6" s="80">
        <f>ホテル部門→!N64</f>
        <v>1222</v>
      </c>
      <c r="D6" s="80">
        <f>ホテル部門→!N65</f>
        <v>7810.7310924369749</v>
      </c>
      <c r="E6" s="80">
        <f>ホテル部門→!N66</f>
        <v>6845.5752864157121</v>
      </c>
      <c r="F6" s="81">
        <f>ホテル部門→!N62</f>
        <v>0.32602739726027397</v>
      </c>
      <c r="G6" s="84">
        <f>ホテル部門→!N59</f>
        <v>8365293</v>
      </c>
      <c r="H6" s="84">
        <f>ホテル部門→!N59</f>
        <v>8365293</v>
      </c>
      <c r="I6" s="83"/>
    </row>
    <row r="7" spans="1:9" ht="18" customHeight="1">
      <c r="A7" s="79" t="s">
        <v>86</v>
      </c>
      <c r="B7" s="80">
        <f>ホテル部門→!N77</f>
        <v>30</v>
      </c>
      <c r="C7" s="80">
        <f>ホテル部門→!N78</f>
        <v>141</v>
      </c>
      <c r="D7" s="80">
        <f>ホテル部門→!N79</f>
        <v>76707.633333333331</v>
      </c>
      <c r="E7" s="80">
        <f>ホテル部門→!N80</f>
        <v>16320.77304964539</v>
      </c>
      <c r="F7" s="81">
        <f>ホテル部門→!N76</f>
        <v>8.2191780821917804E-2</v>
      </c>
      <c r="G7" s="84">
        <f>ホテル部門→!N73</f>
        <v>2301229</v>
      </c>
      <c r="H7" s="84">
        <f>ホテル部門→!N73</f>
        <v>2301229</v>
      </c>
      <c r="I7" s="83"/>
    </row>
    <row r="8" spans="1:9" ht="30" customHeight="1">
      <c r="A8" s="85" t="s">
        <v>24</v>
      </c>
      <c r="B8" s="80">
        <f>ホテル部門→!N91</f>
        <v>61</v>
      </c>
      <c r="C8" s="80">
        <f>ホテル部門→!N92</f>
        <v>367</v>
      </c>
      <c r="D8" s="80">
        <f>ホテル部門→!N93</f>
        <v>80844.262295081964</v>
      </c>
      <c r="E8" s="80">
        <f>ホテル部門→!N94</f>
        <v>13437.329700272479</v>
      </c>
      <c r="F8" s="81">
        <f>ホテル部門→!N90</f>
        <v>0.33888888888888891</v>
      </c>
      <c r="G8" s="84">
        <f>ホテル部門→!N87</f>
        <v>4931500</v>
      </c>
      <c r="H8" s="84">
        <f>ホテル部門→!N87</f>
        <v>4931500</v>
      </c>
      <c r="I8" s="86" t="s">
        <v>87</v>
      </c>
    </row>
    <row r="9" spans="1:9" ht="18" customHeight="1">
      <c r="A9" s="79" t="s">
        <v>88</v>
      </c>
      <c r="B9" s="80">
        <f>弥山!N10</f>
        <v>2267</v>
      </c>
      <c r="C9" s="80">
        <f>弥山!N11</f>
        <v>4461</v>
      </c>
      <c r="D9" s="80">
        <f>弥山!N12</f>
        <v>11845.071018967799</v>
      </c>
      <c r="E9" s="80">
        <f>弥山!N13</f>
        <v>6019.452140775611</v>
      </c>
      <c r="F9" s="81">
        <f>弥山!N9</f>
        <v>2.0141067652747298</v>
      </c>
      <c r="G9" s="84">
        <f>弥山!N5</f>
        <v>26852776</v>
      </c>
      <c r="H9" s="80">
        <f>弥山!N4</f>
        <v>31554666</v>
      </c>
      <c r="I9" s="83"/>
    </row>
    <row r="10" spans="1:9" ht="18" customHeight="1">
      <c r="A10" s="79" t="s">
        <v>33</v>
      </c>
      <c r="B10" s="80">
        <f>温井!P4</f>
        <v>1847</v>
      </c>
      <c r="C10" s="80">
        <f>温井!P5</f>
        <v>3538</v>
      </c>
      <c r="D10" s="80">
        <f>温井!P13</f>
        <v>56789.616937702973</v>
      </c>
      <c r="E10" s="80">
        <f>温井!P14</f>
        <v>32680.630650730698</v>
      </c>
      <c r="F10" s="81">
        <f>温井!P10</f>
        <v>1.3390429120417171</v>
      </c>
      <c r="G10" s="84">
        <f>温井!P29</f>
        <v>15012501</v>
      </c>
      <c r="H10" s="84">
        <f>温井!P3</f>
        <v>30755817</v>
      </c>
      <c r="I10" s="83"/>
    </row>
    <row r="11" spans="1:9" ht="18" customHeight="1">
      <c r="A11" s="79" t="s">
        <v>35</v>
      </c>
      <c r="B11" s="80">
        <f>いこいの村!P4</f>
        <v>0</v>
      </c>
      <c r="C11" s="80">
        <f>いこいの村!P5</f>
        <v>0</v>
      </c>
      <c r="D11" s="80">
        <f>いこいの村!P13</f>
        <v>0</v>
      </c>
      <c r="E11" s="80">
        <f>いこいの村!P14</f>
        <v>0</v>
      </c>
      <c r="F11" s="81">
        <f>いこいの村!P10</f>
        <v>0</v>
      </c>
      <c r="G11" s="84">
        <f>いこいの村!P29</f>
        <v>0</v>
      </c>
      <c r="H11" s="84">
        <f>いこいの村!P3</f>
        <v>0</v>
      </c>
      <c r="I11" s="87"/>
    </row>
    <row r="12" spans="1:9" ht="18" customHeight="1">
      <c r="A12" s="79" t="s">
        <v>89</v>
      </c>
      <c r="B12" s="80">
        <f>マンスリー部門!N8</f>
        <v>786</v>
      </c>
      <c r="C12" s="80">
        <f>マンスリー部門!N9</f>
        <v>786</v>
      </c>
      <c r="D12" s="80" t="e">
        <f>マンスリー部門!N10</f>
        <v>#DIV/0!</v>
      </c>
      <c r="E12" s="80" t="e">
        <f>マンスリー部門!N11</f>
        <v>#DIV/0!</v>
      </c>
      <c r="F12" s="81">
        <f>マンスリー部門!N7</f>
        <v>0.19576587795765879</v>
      </c>
      <c r="G12" s="84">
        <f>マンスリー部門!N4</f>
        <v>2330000</v>
      </c>
      <c r="H12" s="84">
        <f>マンスリー部門!N4</f>
        <v>2330000</v>
      </c>
      <c r="I12" s="83"/>
    </row>
    <row r="13" spans="1:9" ht="18" customHeight="1">
      <c r="A13" s="79" t="s">
        <v>39</v>
      </c>
      <c r="B13" s="80">
        <f>マンスリー部門!N23</f>
        <v>176</v>
      </c>
      <c r="C13" s="80">
        <f>マンスリー部門!N24</f>
        <v>179</v>
      </c>
      <c r="D13" s="80" t="e">
        <f>マンスリー部門!N25</f>
        <v>#DIV/0!</v>
      </c>
      <c r="E13" s="80" t="e">
        <f>マンスリー部門!N26</f>
        <v>#DIV/0!</v>
      </c>
      <c r="F13" s="81">
        <f>マンスリー部門!N22</f>
        <v>8.0365296803652966E-2</v>
      </c>
      <c r="G13" s="84">
        <f>マンスリー部門!N19</f>
        <v>501900</v>
      </c>
      <c r="H13" s="84">
        <f>マンスリー部門!N19</f>
        <v>501900</v>
      </c>
      <c r="I13" s="83"/>
    </row>
    <row r="14" spans="1:9" ht="18" customHeight="1">
      <c r="A14" s="79" t="s">
        <v>40</v>
      </c>
      <c r="B14" s="80">
        <f>マンスリー部門!N38</f>
        <v>139</v>
      </c>
      <c r="C14" s="80">
        <f>マンスリー部門!N39</f>
        <v>139</v>
      </c>
      <c r="D14" s="80" t="e">
        <f>マンスリー部門!N40</f>
        <v>#DIV/0!</v>
      </c>
      <c r="E14" s="80" t="e">
        <f>マンスリー部門!N41</f>
        <v>#DIV/0!</v>
      </c>
      <c r="F14" s="81">
        <f>マンスリー部門!N37</f>
        <v>0.19041095890410958</v>
      </c>
      <c r="G14" s="84">
        <f>マンスリー部門!N34</f>
        <v>403500</v>
      </c>
      <c r="H14" s="84">
        <f>マンスリー部門!N34</f>
        <v>403500</v>
      </c>
      <c r="I14" s="83"/>
    </row>
    <row r="15" spans="1:9" ht="18" customHeight="1">
      <c r="A15" s="79" t="s">
        <v>90</v>
      </c>
      <c r="B15" s="80">
        <f>マンスリー部門!N53</f>
        <v>195</v>
      </c>
      <c r="C15" s="80">
        <f>マンスリー部門!N54</f>
        <v>195</v>
      </c>
      <c r="D15" s="80">
        <f>マンスリー部門!N55</f>
        <v>2512.8205128205127</v>
      </c>
      <c r="E15" s="80">
        <f>マンスリー部門!N56</f>
        <v>2512.8205128205127</v>
      </c>
      <c r="F15" s="81">
        <f>マンスリー部門!N52</f>
        <v>0.26712328767123289</v>
      </c>
      <c r="G15" s="84">
        <f>マンスリー部門!N49</f>
        <v>490000</v>
      </c>
      <c r="H15" s="84">
        <f>マンスリー部門!N49</f>
        <v>490000</v>
      </c>
      <c r="I15" s="83"/>
    </row>
    <row r="16" spans="1:9" ht="18" customHeight="1">
      <c r="A16" s="79" t="s">
        <v>91</v>
      </c>
      <c r="B16" s="80">
        <f>マンスリー部門!N68</f>
        <v>89</v>
      </c>
      <c r="C16" s="80">
        <f>マンスリー部門!N69</f>
        <v>93</v>
      </c>
      <c r="D16" s="80">
        <f>マンスリー部門!N70</f>
        <v>4573.0337078651683</v>
      </c>
      <c r="E16" s="80">
        <f>マンスリー部門!N71</f>
        <v>4376.3440860215051</v>
      </c>
      <c r="F16" s="81">
        <f>マンスリー部門!N67</f>
        <v>0.12191780821917808</v>
      </c>
      <c r="G16" s="84">
        <f>マンスリー部門!N64</f>
        <v>407000</v>
      </c>
      <c r="H16" s="84">
        <f>マンスリー部門!N64</f>
        <v>407000</v>
      </c>
      <c r="I16" s="83"/>
    </row>
    <row r="17" spans="1:9" ht="18" customHeight="1">
      <c r="A17" s="79" t="s">
        <v>50</v>
      </c>
      <c r="B17" s="80"/>
      <c r="C17" s="84"/>
      <c r="D17" s="84"/>
      <c r="E17" s="84"/>
      <c r="F17" s="88"/>
      <c r="G17" s="84"/>
      <c r="H17" s="84"/>
      <c r="I17" s="83"/>
    </row>
    <row r="18" spans="1:9" ht="18" customHeight="1">
      <c r="A18" s="79" t="s">
        <v>92</v>
      </c>
      <c r="B18" s="89">
        <f>フォレストヒルズガーデン!N9</f>
        <v>113</v>
      </c>
      <c r="C18" s="89">
        <f>フォレストヒルズガーデン!N10</f>
        <v>397</v>
      </c>
      <c r="D18" s="89">
        <f>フォレストヒルズガーデン!N11</f>
        <v>40666.265486725664</v>
      </c>
      <c r="E18" s="89">
        <f>フォレストヒルズガーデン!N12</f>
        <v>11575.03274559194</v>
      </c>
      <c r="F18" s="90">
        <f>フォレストヒルズガーデン!N8</f>
        <v>3.8698630136986302E-2</v>
      </c>
      <c r="G18" s="91">
        <f>フォレストヒルズガーデン!N4</f>
        <v>4595288</v>
      </c>
      <c r="H18" s="91">
        <f>フォレストヒルズガーデン!N4</f>
        <v>4595288</v>
      </c>
      <c r="I18" s="83"/>
    </row>
    <row r="19" spans="1:9" ht="18" customHeight="1">
      <c r="A19" s="92" t="s">
        <v>93</v>
      </c>
      <c r="B19" s="93">
        <f>SUM(B4:B18)</f>
        <v>13455</v>
      </c>
      <c r="C19" s="93">
        <f>SUM(C4:C18)</f>
        <v>21191</v>
      </c>
      <c r="D19" s="93"/>
      <c r="E19" s="93"/>
      <c r="F19" s="93"/>
      <c r="G19" s="93">
        <f>SUM(G4:G18)</f>
        <v>129743391</v>
      </c>
      <c r="H19" s="93">
        <f>SUM(H4:H18)</f>
        <v>154371862</v>
      </c>
      <c r="I19" s="83"/>
    </row>
    <row r="21" spans="1:9">
      <c r="A21" s="390" t="s">
        <v>77</v>
      </c>
      <c r="B21" s="390"/>
      <c r="C21" s="390" t="s">
        <v>78</v>
      </c>
      <c r="D21" s="390"/>
      <c r="E21" s="390" t="s">
        <v>82</v>
      </c>
      <c r="F21" s="390"/>
      <c r="G21" s="390" t="s">
        <v>68</v>
      </c>
      <c r="H21" s="390"/>
    </row>
    <row r="22" spans="1:9" ht="16.5" customHeight="1">
      <c r="A22" s="94">
        <f>B19</f>
        <v>13455</v>
      </c>
      <c r="B22" s="95" t="s">
        <v>94</v>
      </c>
      <c r="C22" s="94">
        <f>C19</f>
        <v>21191</v>
      </c>
      <c r="D22" s="95" t="s">
        <v>95</v>
      </c>
      <c r="E22" s="94">
        <f>G19</f>
        <v>129743391</v>
      </c>
      <c r="F22" s="95" t="s">
        <v>96</v>
      </c>
      <c r="G22" s="94">
        <f>H19</f>
        <v>154371862</v>
      </c>
      <c r="H22" s="95" t="s">
        <v>96</v>
      </c>
    </row>
  </sheetData>
  <mergeCells count="4">
    <mergeCell ref="A21:B21"/>
    <mergeCell ref="C21:D21"/>
    <mergeCell ref="E21:F21"/>
    <mergeCell ref="G21:H21"/>
  </mergeCells>
  <phoneticPr fontId="36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7"/>
  <sheetViews>
    <sheetView zoomScaleNormal="100" workbookViewId="0">
      <selection activeCell="F6" sqref="F6"/>
    </sheetView>
  </sheetViews>
  <sheetFormatPr defaultColWidth="8.5" defaultRowHeight="18"/>
  <cols>
    <col min="14" max="14" width="10.08203125" style="96" customWidth="1"/>
  </cols>
  <sheetData>
    <row r="1" spans="1:15" ht="18" customHeight="1">
      <c r="A1" s="391" t="s">
        <v>97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2">
        <v>46037</v>
      </c>
      <c r="N1" s="392"/>
    </row>
    <row r="2" spans="1:15">
      <c r="A2" s="97" t="s">
        <v>66</v>
      </c>
      <c r="B2" s="342" t="s">
        <v>98</v>
      </c>
      <c r="C2" s="342" t="s">
        <v>99</v>
      </c>
      <c r="D2" s="342" t="s">
        <v>100</v>
      </c>
      <c r="E2" s="342" t="s">
        <v>101</v>
      </c>
      <c r="F2" s="98" t="s">
        <v>102</v>
      </c>
      <c r="G2" s="342" t="s">
        <v>103</v>
      </c>
      <c r="H2" s="342" t="s">
        <v>104</v>
      </c>
      <c r="I2" s="342" t="s">
        <v>105</v>
      </c>
      <c r="J2" s="342" t="s">
        <v>106</v>
      </c>
      <c r="K2" s="342" t="s">
        <v>107</v>
      </c>
      <c r="L2" s="342" t="s">
        <v>108</v>
      </c>
      <c r="M2" s="342" t="s">
        <v>109</v>
      </c>
      <c r="N2" s="5" t="s">
        <v>42</v>
      </c>
    </row>
    <row r="3" spans="1:15">
      <c r="A3" s="99" t="s">
        <v>110</v>
      </c>
      <c r="B3" s="100">
        <f t="shared" ref="B3:M3" si="0">B16+B39+B58+B72+B86</f>
        <v>10796694</v>
      </c>
      <c r="C3" s="100">
        <f t="shared" si="0"/>
        <v>9067219</v>
      </c>
      <c r="D3" s="100">
        <f t="shared" si="0"/>
        <v>15831767</v>
      </c>
      <c r="E3" s="100">
        <f t="shared" si="0"/>
        <v>13205981</v>
      </c>
      <c r="F3" s="100">
        <f>F16+F39+F58+F72+F86</f>
        <v>15256604</v>
      </c>
      <c r="G3" s="100">
        <f t="shared" si="0"/>
        <v>9008685</v>
      </c>
      <c r="H3" s="100">
        <f t="shared" si="0"/>
        <v>15974001</v>
      </c>
      <c r="I3" s="100">
        <f t="shared" si="0"/>
        <v>20766504</v>
      </c>
      <c r="J3" s="100">
        <f t="shared" si="0"/>
        <v>13913381</v>
      </c>
      <c r="K3" s="100">
        <f t="shared" si="0"/>
        <v>19669146</v>
      </c>
      <c r="L3" s="100">
        <f t="shared" si="0"/>
        <v>20218724</v>
      </c>
      <c r="M3" s="100">
        <f t="shared" si="0"/>
        <v>10481301</v>
      </c>
      <c r="N3" s="101">
        <f>SUM(B3:M3)</f>
        <v>174190007</v>
      </c>
    </row>
    <row r="4" spans="1:15">
      <c r="A4" s="99" t="s">
        <v>111</v>
      </c>
      <c r="B4" s="100">
        <f t="shared" ref="B4:M4" si="1">B17+B40+B59+B73+B87</f>
        <v>8908958</v>
      </c>
      <c r="C4" s="100">
        <f t="shared" si="1"/>
        <v>9792729</v>
      </c>
      <c r="D4" s="100">
        <f t="shared" si="1"/>
        <v>15185436</v>
      </c>
      <c r="E4" s="100">
        <f t="shared" si="1"/>
        <v>13558124</v>
      </c>
      <c r="F4" s="100">
        <f t="shared" si="1"/>
        <v>15383235</v>
      </c>
      <c r="G4" s="100">
        <f t="shared" si="1"/>
        <v>7732367</v>
      </c>
      <c r="H4" s="100">
        <f t="shared" si="1"/>
        <v>2409348</v>
      </c>
      <c r="I4" s="100">
        <f t="shared" si="1"/>
        <v>3256530</v>
      </c>
      <c r="J4" s="100">
        <f t="shared" si="1"/>
        <v>1553418</v>
      </c>
      <c r="K4" s="100">
        <f t="shared" si="1"/>
        <v>1200317</v>
      </c>
      <c r="L4" s="100">
        <f t="shared" si="1"/>
        <v>142650</v>
      </c>
      <c r="M4" s="100">
        <f t="shared" si="1"/>
        <v>147350</v>
      </c>
      <c r="N4" s="101">
        <f>SUM(B4:M4)</f>
        <v>79270462</v>
      </c>
    </row>
    <row r="5" spans="1:15">
      <c r="A5" s="99" t="s">
        <v>112</v>
      </c>
      <c r="B5" s="102">
        <f t="shared" ref="B5:N5" si="2">B4/B3</f>
        <v>0.8251561079715698</v>
      </c>
      <c r="C5" s="102">
        <f t="shared" si="2"/>
        <v>1.0800146108746242</v>
      </c>
      <c r="D5" s="102">
        <f t="shared" si="2"/>
        <v>0.95917505607554732</v>
      </c>
      <c r="E5" s="102">
        <f t="shared" si="2"/>
        <v>1.0266654177376144</v>
      </c>
      <c r="F5" s="103">
        <f t="shared" si="2"/>
        <v>1.0083000777892643</v>
      </c>
      <c r="G5" s="102">
        <f t="shared" si="2"/>
        <v>0.8583236066085117</v>
      </c>
      <c r="H5" s="102">
        <f t="shared" si="2"/>
        <v>0.15082933824781908</v>
      </c>
      <c r="I5" s="102">
        <f t="shared" si="2"/>
        <v>0.15681647714993338</v>
      </c>
      <c r="J5" s="102">
        <f t="shared" si="2"/>
        <v>0.11164921020994106</v>
      </c>
      <c r="K5" s="102">
        <f t="shared" si="2"/>
        <v>6.1025374462114423E-2</v>
      </c>
      <c r="L5" s="102">
        <f t="shared" si="2"/>
        <v>7.055341375647642E-3</v>
      </c>
      <c r="M5" s="102">
        <f t="shared" si="2"/>
        <v>1.4058369280683762E-2</v>
      </c>
      <c r="N5" s="104">
        <f t="shared" si="2"/>
        <v>0.45508042261000653</v>
      </c>
    </row>
    <row r="6" spans="1:15">
      <c r="A6" s="99" t="s">
        <v>113</v>
      </c>
      <c r="B6" s="105">
        <f t="shared" ref="B6:M6" si="3">B4-B3</f>
        <v>-1887736</v>
      </c>
      <c r="C6" s="105">
        <f t="shared" si="3"/>
        <v>725510</v>
      </c>
      <c r="D6" s="105">
        <f t="shared" si="3"/>
        <v>-646331</v>
      </c>
      <c r="E6" s="105">
        <f t="shared" si="3"/>
        <v>352143</v>
      </c>
      <c r="F6" s="106">
        <f t="shared" si="3"/>
        <v>126631</v>
      </c>
      <c r="G6" s="105">
        <f t="shared" si="3"/>
        <v>-1276318</v>
      </c>
      <c r="H6" s="105">
        <f t="shared" si="3"/>
        <v>-13564653</v>
      </c>
      <c r="I6" s="105">
        <f t="shared" si="3"/>
        <v>-17509974</v>
      </c>
      <c r="J6" s="105">
        <f t="shared" si="3"/>
        <v>-12359963</v>
      </c>
      <c r="K6" s="105">
        <f t="shared" si="3"/>
        <v>-18468829</v>
      </c>
      <c r="L6" s="105">
        <f t="shared" si="3"/>
        <v>-20076074</v>
      </c>
      <c r="M6" s="105">
        <f t="shared" si="3"/>
        <v>-10333951</v>
      </c>
      <c r="N6" s="107">
        <f>SUM(B6:M6)</f>
        <v>-94919545</v>
      </c>
    </row>
    <row r="7" spans="1:15">
      <c r="A7" s="99" t="s">
        <v>114</v>
      </c>
      <c r="B7" s="100">
        <f t="shared" ref="B7:M7" si="4">B36+B53+B67+B81+B95</f>
        <v>11682489</v>
      </c>
      <c r="C7" s="100">
        <f t="shared" si="4"/>
        <v>12430189</v>
      </c>
      <c r="D7" s="100">
        <f t="shared" si="4"/>
        <v>16314013</v>
      </c>
      <c r="E7" s="100">
        <f t="shared" si="4"/>
        <v>13357025</v>
      </c>
      <c r="F7" s="100">
        <f t="shared" si="4"/>
        <v>15040357</v>
      </c>
      <c r="G7" s="100">
        <f t="shared" si="4"/>
        <v>8892648</v>
      </c>
      <c r="H7" s="100">
        <f t="shared" si="4"/>
        <v>12500189</v>
      </c>
      <c r="I7" s="100">
        <f t="shared" si="4"/>
        <v>21549998</v>
      </c>
      <c r="J7" s="100">
        <f t="shared" si="4"/>
        <v>13330242</v>
      </c>
      <c r="K7" s="100">
        <f t="shared" si="4"/>
        <v>17913046</v>
      </c>
      <c r="L7" s="100">
        <f t="shared" si="4"/>
        <v>18896403</v>
      </c>
      <c r="M7" s="100">
        <f t="shared" si="4"/>
        <v>11469908</v>
      </c>
      <c r="N7" s="101">
        <f>SUM(B7:M7)</f>
        <v>173376507</v>
      </c>
    </row>
    <row r="8" spans="1:15">
      <c r="A8" s="99" t="s">
        <v>115</v>
      </c>
      <c r="B8" s="102">
        <f t="shared" ref="B8:N8" si="5">B4/B7</f>
        <v>0.76259074585903741</v>
      </c>
      <c r="C8" s="102">
        <f t="shared" si="5"/>
        <v>0.7878181900532647</v>
      </c>
      <c r="D8" s="102">
        <f t="shared" si="5"/>
        <v>0.93082161942619512</v>
      </c>
      <c r="E8" s="102">
        <f t="shared" si="5"/>
        <v>1.0150556729511249</v>
      </c>
      <c r="F8" s="103">
        <f t="shared" si="5"/>
        <v>1.0227971982313984</v>
      </c>
      <c r="G8" s="102">
        <f t="shared" si="5"/>
        <v>0.86952356598394542</v>
      </c>
      <c r="H8" s="102">
        <f t="shared" si="5"/>
        <v>0.19274492569672347</v>
      </c>
      <c r="I8" s="102">
        <f t="shared" si="5"/>
        <v>0.15111509523109934</v>
      </c>
      <c r="J8" s="102">
        <f t="shared" si="5"/>
        <v>0.11653336826143142</v>
      </c>
      <c r="K8" s="102">
        <f t="shared" si="5"/>
        <v>6.700797843091566E-2</v>
      </c>
      <c r="L8" s="102">
        <f t="shared" si="5"/>
        <v>7.5490557647399882E-3</v>
      </c>
      <c r="M8" s="102">
        <f t="shared" si="5"/>
        <v>1.2846659275732638E-2</v>
      </c>
      <c r="N8" s="104">
        <f t="shared" si="5"/>
        <v>0.45721570570111902</v>
      </c>
    </row>
    <row r="9" spans="1:15">
      <c r="A9" s="99" t="s">
        <v>116</v>
      </c>
      <c r="B9" s="100">
        <v>14000000</v>
      </c>
      <c r="C9" s="100">
        <v>13500000</v>
      </c>
      <c r="D9" s="100">
        <v>16000000</v>
      </c>
      <c r="E9" s="100">
        <v>20000000</v>
      </c>
      <c r="F9" s="108">
        <v>19000000</v>
      </c>
      <c r="G9" s="100">
        <v>17000000</v>
      </c>
      <c r="H9" s="100">
        <v>16000000</v>
      </c>
      <c r="I9" s="100">
        <v>15000000</v>
      </c>
      <c r="J9" s="100">
        <v>17500000</v>
      </c>
      <c r="K9" s="100">
        <v>18500000</v>
      </c>
      <c r="L9" s="100">
        <v>17500000</v>
      </c>
      <c r="M9" s="100">
        <v>17000000</v>
      </c>
      <c r="N9" s="101">
        <f>SUM(B9:M9)</f>
        <v>201000000</v>
      </c>
    </row>
    <row r="10" spans="1:15">
      <c r="A10" s="99" t="s">
        <v>117</v>
      </c>
      <c r="B10" s="100">
        <v>10060899</v>
      </c>
      <c r="C10" s="100">
        <v>12353825</v>
      </c>
      <c r="D10" s="100">
        <v>14986723</v>
      </c>
      <c r="E10" s="100">
        <v>11582455</v>
      </c>
      <c r="F10" s="108">
        <v>13674200</v>
      </c>
      <c r="G10" s="100">
        <v>9447256</v>
      </c>
      <c r="H10" s="100">
        <v>11605483</v>
      </c>
      <c r="I10" s="100">
        <v>20129350</v>
      </c>
      <c r="J10" s="100">
        <v>13346312</v>
      </c>
      <c r="K10" s="100">
        <v>14940477</v>
      </c>
      <c r="L10" s="100">
        <v>10392780</v>
      </c>
      <c r="M10" s="100">
        <v>3389135</v>
      </c>
      <c r="N10" s="101">
        <f>SUM(B10:M10)</f>
        <v>145908895</v>
      </c>
    </row>
    <row r="11" spans="1:15">
      <c r="A11" s="99" t="s">
        <v>118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1">
        <f>SUM(B11:M11)</f>
        <v>0</v>
      </c>
    </row>
    <row r="12" spans="1:15">
      <c r="A12" s="99" t="s">
        <v>119</v>
      </c>
      <c r="B12" s="105">
        <f>B9-B11</f>
        <v>14000000</v>
      </c>
      <c r="C12" s="105">
        <f>C9-C10</f>
        <v>1146175</v>
      </c>
      <c r="D12" s="105">
        <f>D9-D10</f>
        <v>1013277</v>
      </c>
      <c r="E12" s="105">
        <f>E9-E10</f>
        <v>8417545</v>
      </c>
      <c r="F12" s="106">
        <f>F9-F10</f>
        <v>5325800</v>
      </c>
      <c r="G12" s="105">
        <f t="shared" ref="G12:L12" si="6">G9-G11</f>
        <v>17000000</v>
      </c>
      <c r="H12" s="105">
        <f t="shared" si="6"/>
        <v>16000000</v>
      </c>
      <c r="I12" s="105">
        <f t="shared" si="6"/>
        <v>15000000</v>
      </c>
      <c r="J12" s="105">
        <f t="shared" si="6"/>
        <v>17500000</v>
      </c>
      <c r="K12" s="105">
        <f t="shared" si="6"/>
        <v>18500000</v>
      </c>
      <c r="L12" s="105">
        <f t="shared" si="6"/>
        <v>17500000</v>
      </c>
      <c r="M12" s="105">
        <v>18000000</v>
      </c>
      <c r="N12" s="107">
        <f>SUM(B12:M12)</f>
        <v>149402797</v>
      </c>
    </row>
    <row r="13" spans="1:15" ht="18" customHeight="1">
      <c r="A13" s="110" t="s">
        <v>73</v>
      </c>
      <c r="B13" s="111">
        <f t="shared" ref="B13:M13" si="7">B4-B11</f>
        <v>8908958</v>
      </c>
      <c r="C13" s="111">
        <f t="shared" si="7"/>
        <v>9792729</v>
      </c>
      <c r="D13" s="111">
        <f t="shared" si="7"/>
        <v>15185436</v>
      </c>
      <c r="E13" s="111">
        <f t="shared" si="7"/>
        <v>13558124</v>
      </c>
      <c r="F13" s="111">
        <f t="shared" si="7"/>
        <v>15383235</v>
      </c>
      <c r="G13" s="111">
        <f t="shared" si="7"/>
        <v>7732367</v>
      </c>
      <c r="H13" s="111">
        <f t="shared" si="7"/>
        <v>2409348</v>
      </c>
      <c r="I13" s="111">
        <f t="shared" si="7"/>
        <v>3256530</v>
      </c>
      <c r="J13" s="111">
        <f t="shared" si="7"/>
        <v>1553418</v>
      </c>
      <c r="K13" s="111">
        <f t="shared" si="7"/>
        <v>1200317</v>
      </c>
      <c r="L13" s="111">
        <f t="shared" si="7"/>
        <v>142650</v>
      </c>
      <c r="M13" s="111">
        <f t="shared" si="7"/>
        <v>147350</v>
      </c>
      <c r="N13" s="112">
        <f>SUM(B13:M13)</f>
        <v>79270462</v>
      </c>
    </row>
    <row r="14" spans="1:15" ht="9.75" customHeight="1">
      <c r="A14" s="113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</row>
    <row r="15" spans="1:15">
      <c r="A15" s="114" t="s">
        <v>84</v>
      </c>
      <c r="B15" s="115" t="s">
        <v>98</v>
      </c>
      <c r="C15" s="115" t="s">
        <v>99</v>
      </c>
      <c r="D15" s="115" t="s">
        <v>100</v>
      </c>
      <c r="E15" s="115" t="s">
        <v>101</v>
      </c>
      <c r="F15" s="115" t="s">
        <v>102</v>
      </c>
      <c r="G15" s="115" t="s">
        <v>103</v>
      </c>
      <c r="H15" s="115" t="s">
        <v>104</v>
      </c>
      <c r="I15" s="115" t="s">
        <v>105</v>
      </c>
      <c r="J15" s="115" t="s">
        <v>106</v>
      </c>
      <c r="K15" s="115" t="s">
        <v>107</v>
      </c>
      <c r="L15" s="115" t="s">
        <v>108</v>
      </c>
      <c r="M15" s="115" t="s">
        <v>109</v>
      </c>
      <c r="N15" s="116" t="s">
        <v>42</v>
      </c>
    </row>
    <row r="16" spans="1:15">
      <c r="A16" s="117" t="s">
        <v>110</v>
      </c>
      <c r="B16" s="118">
        <v>7261662</v>
      </c>
      <c r="C16" s="118">
        <v>5866776</v>
      </c>
      <c r="D16" s="118">
        <v>10663661</v>
      </c>
      <c r="E16" s="118">
        <v>8372542</v>
      </c>
      <c r="F16" s="118">
        <v>10091773</v>
      </c>
      <c r="G16" s="118">
        <v>6020957</v>
      </c>
      <c r="H16" s="118">
        <v>10861148</v>
      </c>
      <c r="I16" s="118">
        <v>13339294</v>
      </c>
      <c r="J16" s="118">
        <v>8976175</v>
      </c>
      <c r="K16" s="118">
        <v>12967689</v>
      </c>
      <c r="L16" s="118">
        <v>13075844</v>
      </c>
      <c r="M16" s="118">
        <v>6830956</v>
      </c>
      <c r="N16" s="119">
        <v>114328477</v>
      </c>
      <c r="O16" s="120" t="s">
        <v>120</v>
      </c>
    </row>
    <row r="17" spans="1:14">
      <c r="A17" s="121" t="s">
        <v>111</v>
      </c>
      <c r="B17" s="122">
        <f t="shared" ref="B17:M17" si="8">B18+B27+B19</f>
        <v>6712201</v>
      </c>
      <c r="C17" s="122">
        <f t="shared" si="8"/>
        <v>6486426</v>
      </c>
      <c r="D17" s="122">
        <f t="shared" si="8"/>
        <v>9961885</v>
      </c>
      <c r="E17" s="122">
        <f t="shared" si="8"/>
        <v>8310821</v>
      </c>
      <c r="F17" s="122">
        <f t="shared" si="8"/>
        <v>9884840</v>
      </c>
      <c r="G17" s="122">
        <f t="shared" si="8"/>
        <v>4996865</v>
      </c>
      <c r="H17" s="122">
        <f t="shared" si="8"/>
        <v>1386977</v>
      </c>
      <c r="I17" s="122">
        <f t="shared" si="8"/>
        <v>2069324</v>
      </c>
      <c r="J17" s="122">
        <f t="shared" si="8"/>
        <v>845702</v>
      </c>
      <c r="K17" s="122">
        <f t="shared" si="8"/>
        <v>766481</v>
      </c>
      <c r="L17" s="122">
        <f t="shared" si="8"/>
        <v>142650</v>
      </c>
      <c r="M17" s="122">
        <f t="shared" si="8"/>
        <v>147350</v>
      </c>
      <c r="N17" s="123">
        <f>SUM(B17:M17)</f>
        <v>51711522</v>
      </c>
    </row>
    <row r="18" spans="1:14">
      <c r="A18" s="124" t="s">
        <v>82</v>
      </c>
      <c r="B18" s="125">
        <v>5993256</v>
      </c>
      <c r="C18" s="126">
        <v>6022901</v>
      </c>
      <c r="D18" s="126">
        <v>8920925</v>
      </c>
      <c r="E18" s="126">
        <v>7531181</v>
      </c>
      <c r="F18" s="127">
        <v>9185215</v>
      </c>
      <c r="G18" s="126">
        <v>4897710</v>
      </c>
      <c r="H18" s="126">
        <v>1299802</v>
      </c>
      <c r="I18" s="126">
        <v>1946074</v>
      </c>
      <c r="J18" s="126">
        <v>768782</v>
      </c>
      <c r="K18" s="126">
        <v>709806</v>
      </c>
      <c r="L18" s="126">
        <v>141000</v>
      </c>
      <c r="M18" s="126">
        <v>145700</v>
      </c>
      <c r="N18" s="119">
        <f>SUM(B18:M18)</f>
        <v>47562352</v>
      </c>
    </row>
    <row r="19" spans="1:14">
      <c r="A19" s="124" t="s">
        <v>121</v>
      </c>
      <c r="B19" s="125">
        <v>107885</v>
      </c>
      <c r="C19" s="126">
        <v>17565</v>
      </c>
      <c r="D19" s="126">
        <v>99520</v>
      </c>
      <c r="E19" s="126"/>
      <c r="F19" s="127"/>
      <c r="G19" s="126"/>
      <c r="H19" s="126"/>
      <c r="I19" s="126"/>
      <c r="J19" s="126"/>
      <c r="K19" s="126"/>
      <c r="L19" s="126"/>
      <c r="M19" s="126"/>
      <c r="N19" s="119"/>
    </row>
    <row r="20" spans="1:14">
      <c r="A20" s="117" t="s">
        <v>112</v>
      </c>
      <c r="B20" s="128">
        <f t="shared" ref="B20:M20" si="9">B17/B16</f>
        <v>0.92433398855523707</v>
      </c>
      <c r="C20" s="128">
        <f t="shared" si="9"/>
        <v>1.1056201907146277</v>
      </c>
      <c r="D20" s="128">
        <f t="shared" si="9"/>
        <v>0.93418995596352883</v>
      </c>
      <c r="E20" s="128">
        <f t="shared" si="9"/>
        <v>0.99262816477958549</v>
      </c>
      <c r="F20" s="128">
        <f t="shared" si="9"/>
        <v>0.97949488162288234</v>
      </c>
      <c r="G20" s="128">
        <f t="shared" si="9"/>
        <v>0.82991208872609457</v>
      </c>
      <c r="H20" s="128">
        <f t="shared" si="9"/>
        <v>0.12770077343573627</v>
      </c>
      <c r="I20" s="128">
        <f t="shared" si="9"/>
        <v>0.15512994915622971</v>
      </c>
      <c r="J20" s="128">
        <f t="shared" si="9"/>
        <v>9.4216300372931674E-2</v>
      </c>
      <c r="K20" s="128">
        <f t="shared" si="9"/>
        <v>5.9106985061100709E-2</v>
      </c>
      <c r="L20" s="128">
        <f t="shared" si="9"/>
        <v>1.090942963222871E-2</v>
      </c>
      <c r="M20" s="128">
        <f t="shared" si="9"/>
        <v>2.1570919209551342E-2</v>
      </c>
      <c r="N20" s="129">
        <f>N18/N16</f>
        <v>0.41601491813802433</v>
      </c>
    </row>
    <row r="21" spans="1:14">
      <c r="A21" s="117" t="s">
        <v>122</v>
      </c>
      <c r="B21" s="130">
        <f t="shared" ref="B21:M21" si="10">B17-B16</f>
        <v>-549461</v>
      </c>
      <c r="C21" s="130">
        <f t="shared" si="10"/>
        <v>619650</v>
      </c>
      <c r="D21" s="130">
        <f t="shared" si="10"/>
        <v>-701776</v>
      </c>
      <c r="E21" s="130">
        <f t="shared" si="10"/>
        <v>-61721</v>
      </c>
      <c r="F21" s="130">
        <f t="shared" si="10"/>
        <v>-206933</v>
      </c>
      <c r="G21" s="130">
        <f t="shared" si="10"/>
        <v>-1024092</v>
      </c>
      <c r="H21" s="130">
        <f t="shared" si="10"/>
        <v>-9474171</v>
      </c>
      <c r="I21" s="130">
        <f t="shared" si="10"/>
        <v>-11269970</v>
      </c>
      <c r="J21" s="130">
        <f t="shared" si="10"/>
        <v>-8130473</v>
      </c>
      <c r="K21" s="130">
        <f t="shared" si="10"/>
        <v>-12201208</v>
      </c>
      <c r="L21" s="130">
        <f t="shared" si="10"/>
        <v>-12933194</v>
      </c>
      <c r="M21" s="130">
        <f t="shared" si="10"/>
        <v>-6683606</v>
      </c>
      <c r="N21" s="131">
        <f>SUM(B21:M21)</f>
        <v>-62616955</v>
      </c>
    </row>
    <row r="22" spans="1:14" ht="18" customHeight="1">
      <c r="A22" s="132" t="s">
        <v>81</v>
      </c>
      <c r="B22" s="133">
        <f>B23/(51*31)</f>
        <v>0.43453510436432635</v>
      </c>
      <c r="C22" s="133">
        <f>C23/(51*29)</f>
        <v>0.46923597025016905</v>
      </c>
      <c r="D22" s="133">
        <f>D23/(51*31)</f>
        <v>0.59962049335863377</v>
      </c>
      <c r="E22" s="133">
        <f>E23/(51*30)</f>
        <v>0.50915032679738559</v>
      </c>
      <c r="F22" s="133">
        <f>F23/(51*31)</f>
        <v>0.56862745098039214</v>
      </c>
      <c r="G22" s="133">
        <f>G23/(51*30)</f>
        <v>0.35359477124183009</v>
      </c>
      <c r="H22" s="133">
        <f>H23/(51*31)</f>
        <v>7.9696394686907021E-2</v>
      </c>
      <c r="I22" s="133">
        <f>I23/(51*31)</f>
        <v>8.0328905755850721E-2</v>
      </c>
      <c r="J22" s="133">
        <f>J23/(51*30)</f>
        <v>4.6405228758169936E-2</v>
      </c>
      <c r="K22" s="133">
        <f>K23/(51*31)</f>
        <v>4.9968374446552812E-2</v>
      </c>
      <c r="L22" s="133">
        <f>L23/(51*30)</f>
        <v>2.0261437908496733E-2</v>
      </c>
      <c r="M22" s="133">
        <f>M23/(51*31)</f>
        <v>1.9607843137254902E-2</v>
      </c>
      <c r="N22" s="134">
        <f>N23/(51*365)</f>
        <v>0.26929895245769542</v>
      </c>
    </row>
    <row r="23" spans="1:14">
      <c r="A23" s="135" t="s">
        <v>77</v>
      </c>
      <c r="B23" s="136">
        <v>687</v>
      </c>
      <c r="C23" s="136">
        <v>694</v>
      </c>
      <c r="D23" s="136">
        <v>948</v>
      </c>
      <c r="E23" s="136">
        <v>779</v>
      </c>
      <c r="F23" s="136">
        <v>899</v>
      </c>
      <c r="G23" s="136">
        <v>541</v>
      </c>
      <c r="H23" s="136">
        <v>126</v>
      </c>
      <c r="I23" s="136">
        <v>127</v>
      </c>
      <c r="J23" s="136">
        <v>71</v>
      </c>
      <c r="K23" s="136">
        <v>79</v>
      </c>
      <c r="L23" s="136">
        <v>31</v>
      </c>
      <c r="M23" s="136">
        <v>31</v>
      </c>
      <c r="N23" s="137">
        <f>SUM(B23:M23)</f>
        <v>5013</v>
      </c>
    </row>
    <row r="24" spans="1:14">
      <c r="A24" s="117" t="s">
        <v>78</v>
      </c>
      <c r="B24" s="138">
        <v>928</v>
      </c>
      <c r="C24" s="138">
        <v>911</v>
      </c>
      <c r="D24" s="138">
        <v>1441</v>
      </c>
      <c r="E24" s="138">
        <v>1059</v>
      </c>
      <c r="F24" s="138">
        <v>1355</v>
      </c>
      <c r="G24" s="138">
        <v>756</v>
      </c>
      <c r="H24" s="138">
        <v>242</v>
      </c>
      <c r="I24" s="138">
        <v>341</v>
      </c>
      <c r="J24" s="138">
        <v>134</v>
      </c>
      <c r="K24" s="138">
        <v>130</v>
      </c>
      <c r="L24" s="138">
        <v>31</v>
      </c>
      <c r="M24" s="138">
        <v>31</v>
      </c>
      <c r="N24" s="131">
        <f>SUM(B24:M24)</f>
        <v>7359</v>
      </c>
    </row>
    <row r="25" spans="1:14">
      <c r="A25" s="117" t="s">
        <v>79</v>
      </c>
      <c r="B25" s="130">
        <f t="shared" ref="B25:N25" si="11">B18/B23</f>
        <v>8723.807860262008</v>
      </c>
      <c r="C25" s="130">
        <f t="shared" si="11"/>
        <v>8678.5317002881839</v>
      </c>
      <c r="D25" s="130">
        <f t="shared" si="11"/>
        <v>9410.258438818566</v>
      </c>
      <c r="E25" s="130">
        <f t="shared" si="11"/>
        <v>9667.7548138639286</v>
      </c>
      <c r="F25" s="130">
        <f t="shared" si="11"/>
        <v>10217.146829810901</v>
      </c>
      <c r="G25" s="130">
        <f t="shared" si="11"/>
        <v>9053.0683918669129</v>
      </c>
      <c r="H25" s="130">
        <f t="shared" si="11"/>
        <v>10315.888888888889</v>
      </c>
      <c r="I25" s="130">
        <f t="shared" si="11"/>
        <v>15323.417322834646</v>
      </c>
      <c r="J25" s="130">
        <f t="shared" si="11"/>
        <v>10827.915492957747</v>
      </c>
      <c r="K25" s="130">
        <f t="shared" si="11"/>
        <v>8984.8860759493673</v>
      </c>
      <c r="L25" s="130">
        <f t="shared" si="11"/>
        <v>4548.3870967741932</v>
      </c>
      <c r="M25" s="130">
        <f t="shared" si="11"/>
        <v>4700</v>
      </c>
      <c r="N25" s="131">
        <f t="shared" si="11"/>
        <v>9487.802114502294</v>
      </c>
    </row>
    <row r="26" spans="1:14" ht="18" customHeight="1">
      <c r="A26" s="132" t="s">
        <v>80</v>
      </c>
      <c r="B26" s="139">
        <f t="shared" ref="B26:N26" si="12">B18/B24</f>
        <v>6458.25</v>
      </c>
      <c r="C26" s="139">
        <f t="shared" si="12"/>
        <v>6611.3073545554334</v>
      </c>
      <c r="D26" s="139">
        <f t="shared" si="12"/>
        <v>6190.7876474670365</v>
      </c>
      <c r="E26" s="139">
        <f t="shared" si="12"/>
        <v>7111.5967894239848</v>
      </c>
      <c r="F26" s="139">
        <f t="shared" si="12"/>
        <v>6778.7564575645756</v>
      </c>
      <c r="G26" s="139">
        <f t="shared" si="12"/>
        <v>6478.4523809523807</v>
      </c>
      <c r="H26" s="139">
        <f t="shared" si="12"/>
        <v>5371.0826446280989</v>
      </c>
      <c r="I26" s="139">
        <f t="shared" si="12"/>
        <v>5706.9618768328446</v>
      </c>
      <c r="J26" s="139">
        <f t="shared" si="12"/>
        <v>5737.1791044776119</v>
      </c>
      <c r="K26" s="139">
        <f t="shared" si="12"/>
        <v>5460.0461538461541</v>
      </c>
      <c r="L26" s="139">
        <f t="shared" si="12"/>
        <v>4548.3870967741932</v>
      </c>
      <c r="M26" s="139">
        <f t="shared" si="12"/>
        <v>4700</v>
      </c>
      <c r="N26" s="140">
        <f t="shared" si="12"/>
        <v>6463.1542329120803</v>
      </c>
    </row>
    <row r="27" spans="1:14">
      <c r="A27" s="141" t="s">
        <v>123</v>
      </c>
      <c r="B27" s="142">
        <f t="shared" ref="B27:M27" si="13">B28+B31</f>
        <v>611060</v>
      </c>
      <c r="C27" s="142">
        <f t="shared" si="13"/>
        <v>445960</v>
      </c>
      <c r="D27" s="142">
        <f t="shared" si="13"/>
        <v>941440</v>
      </c>
      <c r="E27" s="142">
        <f t="shared" si="13"/>
        <v>779640</v>
      </c>
      <c r="F27" s="142">
        <f t="shared" si="13"/>
        <v>699625</v>
      </c>
      <c r="G27" s="142">
        <f t="shared" si="13"/>
        <v>99155</v>
      </c>
      <c r="H27" s="142">
        <f t="shared" si="13"/>
        <v>87175</v>
      </c>
      <c r="I27" s="142">
        <f t="shared" si="13"/>
        <v>123250</v>
      </c>
      <c r="J27" s="142">
        <f t="shared" si="13"/>
        <v>76920</v>
      </c>
      <c r="K27" s="142">
        <f t="shared" si="13"/>
        <v>56675</v>
      </c>
      <c r="L27" s="142">
        <f t="shared" si="13"/>
        <v>1650</v>
      </c>
      <c r="M27" s="142">
        <f t="shared" si="13"/>
        <v>1650</v>
      </c>
      <c r="N27" s="143">
        <f>SUM(B27:M27)</f>
        <v>3924200</v>
      </c>
    </row>
    <row r="28" spans="1:14">
      <c r="A28" s="144" t="s">
        <v>124</v>
      </c>
      <c r="B28" s="145">
        <v>395670</v>
      </c>
      <c r="C28" s="145">
        <v>333630</v>
      </c>
      <c r="D28" s="145">
        <v>599280</v>
      </c>
      <c r="E28" s="145">
        <v>450615</v>
      </c>
      <c r="F28" s="145">
        <v>428670</v>
      </c>
      <c r="G28" s="145">
        <v>80355</v>
      </c>
      <c r="H28" s="145">
        <v>58740</v>
      </c>
      <c r="I28" s="145">
        <v>82830</v>
      </c>
      <c r="J28" s="145">
        <v>63525</v>
      </c>
      <c r="K28" s="145">
        <v>51975</v>
      </c>
      <c r="L28" s="145">
        <v>1650</v>
      </c>
      <c r="M28" s="145">
        <v>1650</v>
      </c>
      <c r="N28" s="146">
        <f>SUM(B28:M28)</f>
        <v>2548590</v>
      </c>
    </row>
    <row r="29" spans="1:14">
      <c r="A29" s="117" t="s">
        <v>125</v>
      </c>
      <c r="B29" s="138">
        <v>243</v>
      </c>
      <c r="C29" s="138">
        <v>207</v>
      </c>
      <c r="D29" s="138">
        <v>380</v>
      </c>
      <c r="E29" s="138">
        <v>280</v>
      </c>
      <c r="F29" s="138">
        <v>267</v>
      </c>
      <c r="G29" s="138">
        <v>49</v>
      </c>
      <c r="H29" s="138">
        <v>38</v>
      </c>
      <c r="I29" s="138">
        <v>55</v>
      </c>
      <c r="J29" s="138">
        <v>40</v>
      </c>
      <c r="K29" s="138">
        <v>33</v>
      </c>
      <c r="L29" s="138">
        <v>1</v>
      </c>
      <c r="M29" s="138">
        <v>1</v>
      </c>
      <c r="N29" s="131">
        <f>SUM(B29:M29)</f>
        <v>1594</v>
      </c>
    </row>
    <row r="30" spans="1:14">
      <c r="A30" s="147" t="s">
        <v>126</v>
      </c>
      <c r="B30" s="148">
        <f t="shared" ref="B30:N30" si="14">B29/B24</f>
        <v>0.26185344827586204</v>
      </c>
      <c r="C30" s="148">
        <f t="shared" si="14"/>
        <v>0.22722283205268934</v>
      </c>
      <c r="D30" s="148">
        <f t="shared" si="14"/>
        <v>0.263705759888966</v>
      </c>
      <c r="E30" s="148">
        <f t="shared" si="14"/>
        <v>0.26440037771482533</v>
      </c>
      <c r="F30" s="148">
        <f t="shared" si="14"/>
        <v>0.19704797047970479</v>
      </c>
      <c r="G30" s="148">
        <f t="shared" si="14"/>
        <v>6.4814814814814811E-2</v>
      </c>
      <c r="H30" s="148">
        <f t="shared" si="14"/>
        <v>0.15702479338842976</v>
      </c>
      <c r="I30" s="148">
        <f t="shared" si="14"/>
        <v>0.16129032258064516</v>
      </c>
      <c r="J30" s="148">
        <f t="shared" si="14"/>
        <v>0.29850746268656714</v>
      </c>
      <c r="K30" s="148">
        <f t="shared" si="14"/>
        <v>0.25384615384615383</v>
      </c>
      <c r="L30" s="148">
        <f t="shared" si="14"/>
        <v>3.2258064516129031E-2</v>
      </c>
      <c r="M30" s="148">
        <f t="shared" si="14"/>
        <v>3.2258064516129031E-2</v>
      </c>
      <c r="N30" s="149">
        <f t="shared" si="14"/>
        <v>0.21660551705394754</v>
      </c>
    </row>
    <row r="31" spans="1:14">
      <c r="A31" s="150" t="s">
        <v>127</v>
      </c>
      <c r="B31" s="151">
        <v>215390</v>
      </c>
      <c r="C31" s="151">
        <v>112330</v>
      </c>
      <c r="D31" s="151">
        <v>342160</v>
      </c>
      <c r="E31" s="151">
        <v>329025</v>
      </c>
      <c r="F31" s="151">
        <v>270955</v>
      </c>
      <c r="G31" s="151">
        <v>18800</v>
      </c>
      <c r="H31" s="151">
        <v>28435</v>
      </c>
      <c r="I31" s="151">
        <v>40420</v>
      </c>
      <c r="J31" s="151">
        <v>13395</v>
      </c>
      <c r="K31" s="151">
        <v>4700</v>
      </c>
      <c r="L31" s="151">
        <v>0</v>
      </c>
      <c r="M31" s="151">
        <v>0</v>
      </c>
      <c r="N31" s="152">
        <f>SUM(B31:M31)</f>
        <v>1375610</v>
      </c>
    </row>
    <row r="32" spans="1:14">
      <c r="A32" s="117" t="s">
        <v>128</v>
      </c>
      <c r="B32" s="138">
        <v>90</v>
      </c>
      <c r="C32" s="138">
        <v>49</v>
      </c>
      <c r="D32" s="138">
        <v>151</v>
      </c>
      <c r="E32" s="138">
        <v>137</v>
      </c>
      <c r="F32" s="138">
        <v>118</v>
      </c>
      <c r="G32" s="138">
        <v>8</v>
      </c>
      <c r="H32" s="138">
        <v>13</v>
      </c>
      <c r="I32" s="138">
        <v>19</v>
      </c>
      <c r="J32" s="138">
        <v>6</v>
      </c>
      <c r="K32" s="138">
        <v>2</v>
      </c>
      <c r="L32" s="138">
        <v>0</v>
      </c>
      <c r="M32" s="138">
        <v>0</v>
      </c>
      <c r="N32" s="131">
        <f>SUM(B32:M32)</f>
        <v>593</v>
      </c>
    </row>
    <row r="33" spans="1:15" ht="18" customHeight="1">
      <c r="A33" s="132" t="s">
        <v>126</v>
      </c>
      <c r="B33" s="133">
        <f t="shared" ref="B33:N33" si="15">B32/B24</f>
        <v>9.6982758620689655E-2</v>
      </c>
      <c r="C33" s="133">
        <f t="shared" si="15"/>
        <v>5.3787047200878159E-2</v>
      </c>
      <c r="D33" s="133">
        <f t="shared" si="15"/>
        <v>0.10478834142956281</v>
      </c>
      <c r="E33" s="133">
        <f t="shared" si="15"/>
        <v>0.12936732766761094</v>
      </c>
      <c r="F33" s="133">
        <f t="shared" si="15"/>
        <v>8.7084870848708487E-2</v>
      </c>
      <c r="G33" s="133">
        <f t="shared" si="15"/>
        <v>1.0582010582010581E-2</v>
      </c>
      <c r="H33" s="133">
        <f t="shared" si="15"/>
        <v>5.3719008264462811E-2</v>
      </c>
      <c r="I33" s="133">
        <f t="shared" si="15"/>
        <v>5.5718475073313782E-2</v>
      </c>
      <c r="J33" s="133">
        <f t="shared" si="15"/>
        <v>4.4776119402985072E-2</v>
      </c>
      <c r="K33" s="133">
        <f t="shared" si="15"/>
        <v>1.5384615384615385E-2</v>
      </c>
      <c r="L33" s="133">
        <f t="shared" si="15"/>
        <v>0</v>
      </c>
      <c r="M33" s="133">
        <f t="shared" si="15"/>
        <v>0</v>
      </c>
      <c r="N33" s="134">
        <f t="shared" si="15"/>
        <v>8.0581600760972955E-2</v>
      </c>
    </row>
    <row r="34" spans="1:15">
      <c r="A34" s="114" t="s">
        <v>114</v>
      </c>
      <c r="B34" s="153">
        <v>7261662</v>
      </c>
      <c r="C34" s="153">
        <v>5866776</v>
      </c>
      <c r="D34" s="153">
        <v>10663661</v>
      </c>
      <c r="E34" s="153">
        <v>8372542</v>
      </c>
      <c r="F34" s="154">
        <v>10091773</v>
      </c>
      <c r="G34" s="153">
        <v>6020957</v>
      </c>
      <c r="H34" s="153">
        <v>10861148</v>
      </c>
      <c r="I34" s="153">
        <v>13339294</v>
      </c>
      <c r="J34" s="153">
        <v>8976175</v>
      </c>
      <c r="K34" s="153">
        <v>12967689</v>
      </c>
      <c r="L34" s="153">
        <v>13075844</v>
      </c>
      <c r="M34" s="153">
        <v>6830956</v>
      </c>
      <c r="N34" s="155">
        <v>114328477</v>
      </c>
      <c r="O34" s="120"/>
    </row>
    <row r="35" spans="1:15" ht="18" customHeight="1">
      <c r="A35" s="132" t="s">
        <v>115</v>
      </c>
      <c r="B35" s="156">
        <f t="shared" ref="B35:M35" si="16">B17/B34</f>
        <v>0.92433398855523707</v>
      </c>
      <c r="C35" s="156">
        <f t="shared" si="16"/>
        <v>1.1056201907146277</v>
      </c>
      <c r="D35" s="156">
        <f t="shared" si="16"/>
        <v>0.93418995596352883</v>
      </c>
      <c r="E35" s="156">
        <f t="shared" si="16"/>
        <v>0.99262816477958549</v>
      </c>
      <c r="F35" s="156">
        <f t="shared" si="16"/>
        <v>0.97949488162288234</v>
      </c>
      <c r="G35" s="156">
        <f t="shared" si="16"/>
        <v>0.82991208872609457</v>
      </c>
      <c r="H35" s="156">
        <f t="shared" si="16"/>
        <v>0.12770077343573627</v>
      </c>
      <c r="I35" s="156">
        <f t="shared" si="16"/>
        <v>0.15512994915622971</v>
      </c>
      <c r="J35" s="156">
        <f t="shared" si="16"/>
        <v>9.4216300372931674E-2</v>
      </c>
      <c r="K35" s="156">
        <f t="shared" si="16"/>
        <v>5.9106985061100709E-2</v>
      </c>
      <c r="L35" s="156">
        <f t="shared" si="16"/>
        <v>1.090942963222871E-2</v>
      </c>
      <c r="M35" s="156">
        <f t="shared" si="16"/>
        <v>2.1570919209551342E-2</v>
      </c>
      <c r="N35" s="157">
        <f>N18/N36</f>
        <v>0.41587388725135715</v>
      </c>
    </row>
    <row r="36" spans="1:15" ht="18" customHeight="1">
      <c r="A36" s="158" t="s">
        <v>129</v>
      </c>
      <c r="B36" s="159">
        <v>8277657</v>
      </c>
      <c r="C36" s="159">
        <v>9355406</v>
      </c>
      <c r="D36" s="159">
        <v>11198747</v>
      </c>
      <c r="E36" s="159">
        <v>8577026</v>
      </c>
      <c r="F36" s="160">
        <v>9703126</v>
      </c>
      <c r="G36" s="159">
        <v>6231420</v>
      </c>
      <c r="H36" s="159">
        <v>7654906</v>
      </c>
      <c r="I36" s="159">
        <v>13871118</v>
      </c>
      <c r="J36" s="159">
        <v>8723067</v>
      </c>
      <c r="K36" s="159">
        <v>11086919</v>
      </c>
      <c r="L36" s="159">
        <v>11777413</v>
      </c>
      <c r="M36" s="159">
        <v>7910443</v>
      </c>
      <c r="N36" s="161">
        <f>SUM(B36:M36)</f>
        <v>114367248</v>
      </c>
    </row>
    <row r="37" spans="1:15" ht="9.75" customHeight="1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4"/>
    </row>
    <row r="38" spans="1:15">
      <c r="A38" s="114" t="s">
        <v>85</v>
      </c>
      <c r="B38" s="115" t="s">
        <v>98</v>
      </c>
      <c r="C38" s="115" t="s">
        <v>99</v>
      </c>
      <c r="D38" s="115" t="s">
        <v>100</v>
      </c>
      <c r="E38" s="115" t="s">
        <v>101</v>
      </c>
      <c r="F38" s="115" t="s">
        <v>102</v>
      </c>
      <c r="G38" s="115" t="s">
        <v>103</v>
      </c>
      <c r="H38" s="115" t="s">
        <v>104</v>
      </c>
      <c r="I38" s="115" t="s">
        <v>105</v>
      </c>
      <c r="J38" s="115" t="s">
        <v>106</v>
      </c>
      <c r="K38" s="115" t="s">
        <v>107</v>
      </c>
      <c r="L38" s="115" t="s">
        <v>108</v>
      </c>
      <c r="M38" s="115" t="s">
        <v>109</v>
      </c>
      <c r="N38" s="116" t="s">
        <v>42</v>
      </c>
    </row>
    <row r="39" spans="1:15">
      <c r="A39" s="117" t="s">
        <v>110</v>
      </c>
      <c r="B39" s="118">
        <v>2143056</v>
      </c>
      <c r="C39" s="118">
        <v>1559909</v>
      </c>
      <c r="D39" s="118">
        <v>2743253</v>
      </c>
      <c r="E39" s="118">
        <v>2602903</v>
      </c>
      <c r="F39" s="118">
        <v>2606733</v>
      </c>
      <c r="G39" s="118">
        <v>1341712</v>
      </c>
      <c r="H39" s="118">
        <v>3302659</v>
      </c>
      <c r="I39" s="118">
        <v>4469894</v>
      </c>
      <c r="J39" s="118">
        <v>2740428</v>
      </c>
      <c r="K39" s="118">
        <v>3669167</v>
      </c>
      <c r="L39" s="118">
        <v>3942044</v>
      </c>
      <c r="M39" s="118">
        <v>1966245</v>
      </c>
      <c r="N39" s="119">
        <v>33088003</v>
      </c>
      <c r="O39" s="120" t="s">
        <v>120</v>
      </c>
    </row>
    <row r="40" spans="1:15">
      <c r="A40" s="121" t="s">
        <v>111</v>
      </c>
      <c r="B40" s="122">
        <f t="shared" ref="B40:M40" si="17">B41+B50+B42</f>
        <v>1319475</v>
      </c>
      <c r="C40" s="122">
        <f t="shared" si="17"/>
        <v>1757661</v>
      </c>
      <c r="D40" s="122">
        <f t="shared" si="17"/>
        <v>2882218</v>
      </c>
      <c r="E40" s="122">
        <f t="shared" si="17"/>
        <v>2904045</v>
      </c>
      <c r="F40" s="122">
        <f t="shared" si="17"/>
        <v>3017659</v>
      </c>
      <c r="G40" s="122">
        <f t="shared" si="17"/>
        <v>2196076</v>
      </c>
      <c r="H40" s="122">
        <f t="shared" si="17"/>
        <v>492989</v>
      </c>
      <c r="I40" s="122">
        <f t="shared" si="17"/>
        <v>716260</v>
      </c>
      <c r="J40" s="122">
        <f t="shared" si="17"/>
        <v>540084</v>
      </c>
      <c r="K40" s="122">
        <f t="shared" si="17"/>
        <v>197680</v>
      </c>
      <c r="L40" s="122">
        <f t="shared" si="17"/>
        <v>0</v>
      </c>
      <c r="M40" s="122">
        <f t="shared" si="17"/>
        <v>0</v>
      </c>
      <c r="N40" s="123">
        <f>SUM(B40:M40)</f>
        <v>16024147</v>
      </c>
    </row>
    <row r="41" spans="1:15">
      <c r="A41" s="124" t="s">
        <v>82</v>
      </c>
      <c r="B41" s="126">
        <v>1313280</v>
      </c>
      <c r="C41" s="126">
        <v>1749061</v>
      </c>
      <c r="D41" s="126">
        <v>2862918</v>
      </c>
      <c r="E41" s="126">
        <v>2904045</v>
      </c>
      <c r="F41" s="126">
        <v>3017659</v>
      </c>
      <c r="G41" s="126">
        <v>2196076</v>
      </c>
      <c r="H41" s="126">
        <v>492989</v>
      </c>
      <c r="I41" s="126">
        <v>716260</v>
      </c>
      <c r="J41" s="126">
        <v>540084</v>
      </c>
      <c r="K41" s="126">
        <v>197680</v>
      </c>
      <c r="L41" s="126">
        <v>0</v>
      </c>
      <c r="M41" s="126">
        <v>0</v>
      </c>
      <c r="N41" s="119">
        <f>SUM(B41:M41)</f>
        <v>15990052</v>
      </c>
    </row>
    <row r="42" spans="1:15">
      <c r="A42" s="117" t="s">
        <v>121</v>
      </c>
      <c r="B42" s="126">
        <v>6195</v>
      </c>
      <c r="C42" s="126">
        <v>8600</v>
      </c>
      <c r="D42" s="126">
        <v>19300</v>
      </c>
      <c r="E42" s="126"/>
      <c r="F42" s="126"/>
      <c r="G42" s="126"/>
      <c r="H42" s="126"/>
      <c r="I42" s="126"/>
      <c r="J42" s="126"/>
      <c r="K42" s="126"/>
      <c r="L42" s="126"/>
      <c r="M42" s="126"/>
      <c r="N42" s="119"/>
    </row>
    <row r="43" spans="1:15">
      <c r="A43" s="117" t="s">
        <v>112</v>
      </c>
      <c r="B43" s="128">
        <f t="shared" ref="B43:M43" si="18">B40/B39</f>
        <v>0.61569786323829145</v>
      </c>
      <c r="C43" s="128">
        <f t="shared" si="18"/>
        <v>1.1267714975681273</v>
      </c>
      <c r="D43" s="128">
        <f t="shared" si="18"/>
        <v>1.0506570119489527</v>
      </c>
      <c r="E43" s="128">
        <f t="shared" si="18"/>
        <v>1.1156946686065521</v>
      </c>
      <c r="F43" s="128">
        <f t="shared" si="18"/>
        <v>1.1576402339633556</v>
      </c>
      <c r="G43" s="128">
        <f t="shared" si="18"/>
        <v>1.6367715277198087</v>
      </c>
      <c r="H43" s="128">
        <f t="shared" si="18"/>
        <v>0.14927033036108178</v>
      </c>
      <c r="I43" s="128">
        <f t="shared" si="18"/>
        <v>0.16024093636224931</v>
      </c>
      <c r="J43" s="128">
        <f t="shared" si="18"/>
        <v>0.19708016412034909</v>
      </c>
      <c r="K43" s="128">
        <f t="shared" si="18"/>
        <v>5.3875988746219509E-2</v>
      </c>
      <c r="L43" s="128">
        <f t="shared" si="18"/>
        <v>0</v>
      </c>
      <c r="M43" s="128">
        <f t="shared" si="18"/>
        <v>0</v>
      </c>
      <c r="N43" s="129">
        <f>N41/N39</f>
        <v>0.48325829757691935</v>
      </c>
    </row>
    <row r="44" spans="1:15">
      <c r="A44" s="117" t="s">
        <v>122</v>
      </c>
      <c r="B44" s="130">
        <f t="shared" ref="B44:M44" si="19">B40-B39</f>
        <v>-823581</v>
      </c>
      <c r="C44" s="130">
        <f t="shared" si="19"/>
        <v>197752</v>
      </c>
      <c r="D44" s="130">
        <f t="shared" si="19"/>
        <v>138965</v>
      </c>
      <c r="E44" s="130">
        <f t="shared" si="19"/>
        <v>301142</v>
      </c>
      <c r="F44" s="130">
        <f t="shared" si="19"/>
        <v>410926</v>
      </c>
      <c r="G44" s="130">
        <f t="shared" si="19"/>
        <v>854364</v>
      </c>
      <c r="H44" s="130">
        <f t="shared" si="19"/>
        <v>-2809670</v>
      </c>
      <c r="I44" s="130">
        <f t="shared" si="19"/>
        <v>-3753634</v>
      </c>
      <c r="J44" s="130">
        <f t="shared" si="19"/>
        <v>-2200344</v>
      </c>
      <c r="K44" s="130">
        <f t="shared" si="19"/>
        <v>-3471487</v>
      </c>
      <c r="L44" s="130">
        <f t="shared" si="19"/>
        <v>-3942044</v>
      </c>
      <c r="M44" s="130">
        <f t="shared" si="19"/>
        <v>-1966245</v>
      </c>
      <c r="N44" s="131">
        <f>SUM(B44:M44)</f>
        <v>-17063856</v>
      </c>
    </row>
    <row r="45" spans="1:15" ht="18" customHeight="1">
      <c r="A45" s="132" t="s">
        <v>81</v>
      </c>
      <c r="B45" s="133">
        <f>B46/(18*31)</f>
        <v>0.29390681003584229</v>
      </c>
      <c r="C45" s="133">
        <f>C46/(18*29)</f>
        <v>0.40996168582375481</v>
      </c>
      <c r="D45" s="133">
        <f>D46/(18*31)</f>
        <v>0.53405017921146958</v>
      </c>
      <c r="E45" s="133">
        <f>E46/(18*30)</f>
        <v>0.61851851851851847</v>
      </c>
      <c r="F45" s="133">
        <f>F46/(18*31)</f>
        <v>0.47670250896057348</v>
      </c>
      <c r="G45" s="133">
        <f>G46/(18*30)</f>
        <v>0.35370370370370369</v>
      </c>
      <c r="H45" s="133">
        <f>H46/(18*31)</f>
        <v>8.0645161290322578E-2</v>
      </c>
      <c r="I45" s="133">
        <f>I46/(18*31)</f>
        <v>9.6774193548387094E-2</v>
      </c>
      <c r="J45" s="133">
        <f>J46/(18*30)</f>
        <v>0.15185185185185185</v>
      </c>
      <c r="K45" s="133">
        <f>K46/(18*31)</f>
        <v>3.5842293906810034E-2</v>
      </c>
      <c r="L45" s="133">
        <f>L46/(18*30)</f>
        <v>0</v>
      </c>
      <c r="M45" s="133">
        <f>M46/(18*31)</f>
        <v>0</v>
      </c>
      <c r="N45" s="134">
        <f>N46/(18*365)</f>
        <v>0.25388127853881276</v>
      </c>
    </row>
    <row r="46" spans="1:15">
      <c r="A46" s="135" t="s">
        <v>77</v>
      </c>
      <c r="B46" s="136">
        <v>164</v>
      </c>
      <c r="C46" s="136">
        <v>214</v>
      </c>
      <c r="D46" s="136">
        <v>298</v>
      </c>
      <c r="E46" s="136">
        <v>334</v>
      </c>
      <c r="F46" s="136">
        <v>266</v>
      </c>
      <c r="G46" s="136">
        <v>191</v>
      </c>
      <c r="H46" s="136">
        <v>45</v>
      </c>
      <c r="I46" s="136">
        <v>54</v>
      </c>
      <c r="J46" s="136">
        <v>82</v>
      </c>
      <c r="K46" s="136">
        <v>20</v>
      </c>
      <c r="L46" s="136">
        <v>0</v>
      </c>
      <c r="M46" s="136">
        <v>0</v>
      </c>
      <c r="N46" s="137">
        <f>SUM(B46:M46)</f>
        <v>1668</v>
      </c>
    </row>
    <row r="47" spans="1:15">
      <c r="A47" s="117" t="s">
        <v>78</v>
      </c>
      <c r="B47" s="138">
        <v>183</v>
      </c>
      <c r="C47" s="138">
        <v>267</v>
      </c>
      <c r="D47" s="138">
        <v>446</v>
      </c>
      <c r="E47" s="138">
        <v>436</v>
      </c>
      <c r="F47" s="138">
        <v>365</v>
      </c>
      <c r="G47" s="138">
        <v>305</v>
      </c>
      <c r="H47" s="138">
        <v>78</v>
      </c>
      <c r="I47" s="138">
        <v>109</v>
      </c>
      <c r="J47" s="138">
        <v>96</v>
      </c>
      <c r="K47" s="138">
        <v>29</v>
      </c>
      <c r="L47" s="138">
        <v>0</v>
      </c>
      <c r="M47" s="138">
        <v>0</v>
      </c>
      <c r="N47" s="131">
        <f>SUM(B47:M47)</f>
        <v>2314</v>
      </c>
    </row>
    <row r="48" spans="1:15">
      <c r="A48" s="117" t="s">
        <v>79</v>
      </c>
      <c r="B48" s="130">
        <f t="shared" ref="B48:N48" si="20">B41/B46</f>
        <v>8007.8048780487807</v>
      </c>
      <c r="C48" s="130">
        <f t="shared" si="20"/>
        <v>8173.1822429906542</v>
      </c>
      <c r="D48" s="130">
        <f t="shared" si="20"/>
        <v>9607.1073825503354</v>
      </c>
      <c r="E48" s="130">
        <f t="shared" si="20"/>
        <v>8694.745508982036</v>
      </c>
      <c r="F48" s="130">
        <f t="shared" si="20"/>
        <v>11344.582706766918</v>
      </c>
      <c r="G48" s="130">
        <f t="shared" si="20"/>
        <v>11497.780104712041</v>
      </c>
      <c r="H48" s="130">
        <f t="shared" si="20"/>
        <v>10955.31111111111</v>
      </c>
      <c r="I48" s="130">
        <f t="shared" si="20"/>
        <v>13264.074074074075</v>
      </c>
      <c r="J48" s="130">
        <f t="shared" si="20"/>
        <v>6586.3902439024387</v>
      </c>
      <c r="K48" s="130">
        <f t="shared" si="20"/>
        <v>9884</v>
      </c>
      <c r="L48" s="130" t="e">
        <f t="shared" si="20"/>
        <v>#DIV/0!</v>
      </c>
      <c r="M48" s="130" t="e">
        <f t="shared" si="20"/>
        <v>#DIV/0!</v>
      </c>
      <c r="N48" s="131">
        <f t="shared" si="20"/>
        <v>9586.3621103117512</v>
      </c>
    </row>
    <row r="49" spans="1:15" ht="18" customHeight="1">
      <c r="A49" s="132" t="s">
        <v>80</v>
      </c>
      <c r="B49" s="139">
        <f t="shared" ref="B49:N49" si="21">B41/B47</f>
        <v>7176.3934426229507</v>
      </c>
      <c r="C49" s="139">
        <f t="shared" si="21"/>
        <v>6550.7902621722842</v>
      </c>
      <c r="D49" s="139">
        <f t="shared" si="21"/>
        <v>6419.0986547085204</v>
      </c>
      <c r="E49" s="139">
        <f t="shared" si="21"/>
        <v>6660.6536697247702</v>
      </c>
      <c r="F49" s="139">
        <f t="shared" si="21"/>
        <v>8267.5589041095882</v>
      </c>
      <c r="G49" s="139">
        <f t="shared" si="21"/>
        <v>7200.249180327869</v>
      </c>
      <c r="H49" s="139">
        <f t="shared" si="21"/>
        <v>6320.3717948717949</v>
      </c>
      <c r="I49" s="139">
        <f t="shared" si="21"/>
        <v>6571.1926605504586</v>
      </c>
      <c r="J49" s="139">
        <f t="shared" si="21"/>
        <v>5625.875</v>
      </c>
      <c r="K49" s="139">
        <f t="shared" si="21"/>
        <v>6816.5517241379312</v>
      </c>
      <c r="L49" s="139" t="e">
        <f t="shared" si="21"/>
        <v>#DIV/0!</v>
      </c>
      <c r="M49" s="139" t="e">
        <f t="shared" si="21"/>
        <v>#DIV/0!</v>
      </c>
      <c r="N49" s="140">
        <f t="shared" si="21"/>
        <v>6910.1348314606739</v>
      </c>
    </row>
    <row r="50" spans="1:15">
      <c r="A50" s="114" t="s">
        <v>123</v>
      </c>
      <c r="B50" s="136">
        <v>0</v>
      </c>
      <c r="C50" s="136">
        <v>0</v>
      </c>
      <c r="D50" s="136">
        <v>0</v>
      </c>
      <c r="E50" s="136">
        <v>0</v>
      </c>
      <c r="F50" s="136">
        <v>0</v>
      </c>
      <c r="G50" s="136">
        <v>0</v>
      </c>
      <c r="H50" s="136">
        <v>0</v>
      </c>
      <c r="I50" s="136">
        <v>0</v>
      </c>
      <c r="J50" s="136">
        <v>0</v>
      </c>
      <c r="K50" s="136">
        <v>0</v>
      </c>
      <c r="L50" s="136">
        <v>0</v>
      </c>
      <c r="M50" s="136">
        <v>0</v>
      </c>
      <c r="N50" s="137">
        <f>SUM(B50:M50)</f>
        <v>0</v>
      </c>
    </row>
    <row r="51" spans="1:15">
      <c r="A51" s="117" t="s">
        <v>125</v>
      </c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1">
        <f>SUM(B51:M51)</f>
        <v>0</v>
      </c>
    </row>
    <row r="52" spans="1:15" ht="18" customHeight="1">
      <c r="A52" s="165" t="s">
        <v>126</v>
      </c>
      <c r="B52" s="166">
        <f t="shared" ref="B52:N52" si="22">B51/B47</f>
        <v>0</v>
      </c>
      <c r="C52" s="166">
        <f t="shared" si="22"/>
        <v>0</v>
      </c>
      <c r="D52" s="166">
        <f t="shared" si="22"/>
        <v>0</v>
      </c>
      <c r="E52" s="166">
        <f t="shared" si="22"/>
        <v>0</v>
      </c>
      <c r="F52" s="166">
        <f t="shared" si="22"/>
        <v>0</v>
      </c>
      <c r="G52" s="166">
        <f t="shared" si="22"/>
        <v>0</v>
      </c>
      <c r="H52" s="166">
        <f t="shared" si="22"/>
        <v>0</v>
      </c>
      <c r="I52" s="166">
        <f t="shared" si="22"/>
        <v>0</v>
      </c>
      <c r="J52" s="166">
        <f t="shared" si="22"/>
        <v>0</v>
      </c>
      <c r="K52" s="166">
        <f t="shared" si="22"/>
        <v>0</v>
      </c>
      <c r="L52" s="166" t="e">
        <f t="shared" si="22"/>
        <v>#DIV/0!</v>
      </c>
      <c r="M52" s="166" t="e">
        <f t="shared" si="22"/>
        <v>#DIV/0!</v>
      </c>
      <c r="N52" s="167">
        <f t="shared" si="22"/>
        <v>0</v>
      </c>
    </row>
    <row r="53" spans="1:15">
      <c r="A53" s="135" t="s">
        <v>114</v>
      </c>
      <c r="B53" s="168">
        <v>2143056</v>
      </c>
      <c r="C53" s="168">
        <v>1559909</v>
      </c>
      <c r="D53" s="168">
        <v>2743253</v>
      </c>
      <c r="E53" s="168">
        <v>2602903</v>
      </c>
      <c r="F53" s="168">
        <v>2606733</v>
      </c>
      <c r="G53" s="168">
        <v>1341712</v>
      </c>
      <c r="H53" s="168">
        <v>3302659</v>
      </c>
      <c r="I53" s="168">
        <v>4469894</v>
      </c>
      <c r="J53" s="168">
        <v>2740428</v>
      </c>
      <c r="K53" s="168">
        <v>3669167</v>
      </c>
      <c r="L53" s="168">
        <v>3942044</v>
      </c>
      <c r="M53" s="168">
        <v>1966245</v>
      </c>
      <c r="N53" s="155">
        <v>33088003</v>
      </c>
      <c r="O53" s="120"/>
    </row>
    <row r="54" spans="1:15" ht="18" customHeight="1">
      <c r="A54" s="132" t="s">
        <v>115</v>
      </c>
      <c r="B54" s="156">
        <f t="shared" ref="B54:M54" si="23">B40/B53</f>
        <v>0.61569786323829145</v>
      </c>
      <c r="C54" s="156">
        <f t="shared" si="23"/>
        <v>1.1267714975681273</v>
      </c>
      <c r="D54" s="156">
        <f t="shared" si="23"/>
        <v>1.0506570119489527</v>
      </c>
      <c r="E54" s="156">
        <f t="shared" si="23"/>
        <v>1.1156946686065521</v>
      </c>
      <c r="F54" s="156">
        <f t="shared" si="23"/>
        <v>1.1576402339633556</v>
      </c>
      <c r="G54" s="156">
        <f t="shared" si="23"/>
        <v>1.6367715277198087</v>
      </c>
      <c r="H54" s="156">
        <f t="shared" si="23"/>
        <v>0.14927033036108178</v>
      </c>
      <c r="I54" s="156">
        <f t="shared" si="23"/>
        <v>0.16024093636224931</v>
      </c>
      <c r="J54" s="156">
        <f t="shared" si="23"/>
        <v>0.19708016412034909</v>
      </c>
      <c r="K54" s="156">
        <f t="shared" si="23"/>
        <v>5.3875988746219509E-2</v>
      </c>
      <c r="L54" s="156">
        <f t="shared" si="23"/>
        <v>0</v>
      </c>
      <c r="M54" s="156">
        <f t="shared" si="23"/>
        <v>0</v>
      </c>
      <c r="N54" s="157">
        <f>N41/N53</f>
        <v>0.48325829757691935</v>
      </c>
    </row>
    <row r="55" spans="1:15" ht="18" customHeight="1">
      <c r="A55" s="158" t="s">
        <v>129</v>
      </c>
      <c r="B55" s="169">
        <v>1306334</v>
      </c>
      <c r="C55" s="169">
        <v>2345950</v>
      </c>
      <c r="D55" s="169">
        <v>2763223</v>
      </c>
      <c r="E55" s="169">
        <v>2407998</v>
      </c>
      <c r="F55" s="169">
        <v>2876426</v>
      </c>
      <c r="G55" s="169">
        <v>1913642</v>
      </c>
      <c r="H55" s="169">
        <v>2389268</v>
      </c>
      <c r="I55" s="169">
        <v>4166729</v>
      </c>
      <c r="J55" s="169">
        <v>2562088</v>
      </c>
      <c r="K55" s="169">
        <v>2967375</v>
      </c>
      <c r="L55" s="169">
        <v>3608455</v>
      </c>
      <c r="M55" s="169">
        <v>2458358</v>
      </c>
      <c r="N55" s="161">
        <f>SUM(B55:M55)</f>
        <v>31765846</v>
      </c>
    </row>
    <row r="56" spans="1:15" ht="9" customHeight="1">
      <c r="A56" s="162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4"/>
    </row>
    <row r="57" spans="1:15">
      <c r="A57" s="97" t="s">
        <v>22</v>
      </c>
      <c r="B57" s="342" t="s">
        <v>98</v>
      </c>
      <c r="C57" s="342" t="s">
        <v>99</v>
      </c>
      <c r="D57" s="342" t="s">
        <v>100</v>
      </c>
      <c r="E57" s="342" t="s">
        <v>101</v>
      </c>
      <c r="F57" s="98" t="s">
        <v>102</v>
      </c>
      <c r="G57" s="342" t="s">
        <v>103</v>
      </c>
      <c r="H57" s="342" t="s">
        <v>104</v>
      </c>
      <c r="I57" s="342" t="s">
        <v>105</v>
      </c>
      <c r="J57" s="342" t="s">
        <v>106</v>
      </c>
      <c r="K57" s="342" t="s">
        <v>107</v>
      </c>
      <c r="L57" s="342" t="s">
        <v>108</v>
      </c>
      <c r="M57" s="342" t="s">
        <v>109</v>
      </c>
      <c r="N57" s="5" t="s">
        <v>42</v>
      </c>
    </row>
    <row r="58" spans="1:15">
      <c r="A58" s="99" t="s">
        <v>110</v>
      </c>
      <c r="B58" s="100">
        <v>901976</v>
      </c>
      <c r="C58" s="100">
        <v>970534</v>
      </c>
      <c r="D58" s="100">
        <v>1394853</v>
      </c>
      <c r="E58" s="100">
        <v>1600536</v>
      </c>
      <c r="F58" s="108">
        <v>2028098</v>
      </c>
      <c r="G58" s="100">
        <v>1051016</v>
      </c>
      <c r="H58" s="100">
        <v>1110194</v>
      </c>
      <c r="I58" s="100">
        <v>2097316</v>
      </c>
      <c r="J58" s="100">
        <v>1566778</v>
      </c>
      <c r="K58" s="100">
        <v>2477290</v>
      </c>
      <c r="L58" s="100">
        <v>2350836</v>
      </c>
      <c r="M58" s="100">
        <v>1139100</v>
      </c>
      <c r="N58" s="101">
        <v>18688527</v>
      </c>
      <c r="O58" s="120" t="s">
        <v>120</v>
      </c>
    </row>
    <row r="59" spans="1:15">
      <c r="A59" s="99" t="s">
        <v>111</v>
      </c>
      <c r="B59" s="170">
        <v>638232</v>
      </c>
      <c r="C59" s="109">
        <v>1033872</v>
      </c>
      <c r="D59" s="109">
        <v>1357093</v>
      </c>
      <c r="E59" s="109">
        <v>1955058</v>
      </c>
      <c r="F59" s="171">
        <v>1887446</v>
      </c>
      <c r="G59" s="109">
        <v>276276</v>
      </c>
      <c r="H59" s="109">
        <v>417182</v>
      </c>
      <c r="I59" s="109">
        <v>435946</v>
      </c>
      <c r="J59" s="109">
        <v>128032</v>
      </c>
      <c r="K59" s="109">
        <v>236156</v>
      </c>
      <c r="L59" s="109">
        <v>0</v>
      </c>
      <c r="M59" s="109">
        <v>0</v>
      </c>
      <c r="N59" s="101">
        <f>SUM(B59:M59)</f>
        <v>8365293</v>
      </c>
    </row>
    <row r="60" spans="1:15">
      <c r="A60" s="99" t="s">
        <v>112</v>
      </c>
      <c r="B60" s="102">
        <f t="shared" ref="B60:N60" si="24">B59/B58</f>
        <v>0.70759310669020015</v>
      </c>
      <c r="C60" s="102">
        <f t="shared" si="24"/>
        <v>1.0652609800377937</v>
      </c>
      <c r="D60" s="102">
        <f t="shared" si="24"/>
        <v>0.97292904700351934</v>
      </c>
      <c r="E60" s="102">
        <f t="shared" si="24"/>
        <v>1.2215020468143172</v>
      </c>
      <c r="F60" s="103">
        <f t="shared" si="24"/>
        <v>0.93064832172804268</v>
      </c>
      <c r="G60" s="102">
        <f t="shared" si="24"/>
        <v>0.26286564619377822</v>
      </c>
      <c r="H60" s="102">
        <f t="shared" si="24"/>
        <v>0.37577396382974509</v>
      </c>
      <c r="I60" s="102">
        <f t="shared" si="24"/>
        <v>0.20785899692750162</v>
      </c>
      <c r="J60" s="102">
        <f t="shared" si="24"/>
        <v>8.1716746086554701E-2</v>
      </c>
      <c r="K60" s="102">
        <f t="shared" si="24"/>
        <v>9.5328362848112247E-2</v>
      </c>
      <c r="L60" s="102">
        <f t="shared" si="24"/>
        <v>0</v>
      </c>
      <c r="M60" s="102">
        <f t="shared" si="24"/>
        <v>0</v>
      </c>
      <c r="N60" s="104">
        <f t="shared" si="24"/>
        <v>0.44761649754418847</v>
      </c>
    </row>
    <row r="61" spans="1:15">
      <c r="A61" s="99" t="s">
        <v>122</v>
      </c>
      <c r="B61" s="105">
        <f t="shared" ref="B61:M61" si="25">B59-B58</f>
        <v>-263744</v>
      </c>
      <c r="C61" s="105">
        <f t="shared" si="25"/>
        <v>63338</v>
      </c>
      <c r="D61" s="105">
        <f t="shared" si="25"/>
        <v>-37760</v>
      </c>
      <c r="E61" s="105">
        <f t="shared" si="25"/>
        <v>354522</v>
      </c>
      <c r="F61" s="106">
        <f t="shared" si="25"/>
        <v>-140652</v>
      </c>
      <c r="G61" s="105">
        <f t="shared" si="25"/>
        <v>-774740</v>
      </c>
      <c r="H61" s="105">
        <f t="shared" si="25"/>
        <v>-693012</v>
      </c>
      <c r="I61" s="105">
        <f t="shared" si="25"/>
        <v>-1661370</v>
      </c>
      <c r="J61" s="105">
        <f t="shared" si="25"/>
        <v>-1438746</v>
      </c>
      <c r="K61" s="105">
        <f t="shared" si="25"/>
        <v>-2241134</v>
      </c>
      <c r="L61" s="105">
        <f t="shared" si="25"/>
        <v>-2350836</v>
      </c>
      <c r="M61" s="105">
        <f t="shared" si="25"/>
        <v>-1139100</v>
      </c>
      <c r="N61" s="107">
        <f>SUM(B61:M61)</f>
        <v>-10323234</v>
      </c>
    </row>
    <row r="62" spans="1:15" ht="18" customHeight="1">
      <c r="A62" s="132" t="s">
        <v>81</v>
      </c>
      <c r="B62" s="133">
        <f>B63/(9*31)</f>
        <v>0.39784946236559138</v>
      </c>
      <c r="C62" s="133">
        <f>C63/(9*29)</f>
        <v>0.61685823754789271</v>
      </c>
      <c r="D62" s="133">
        <f>D63/(9*31)</f>
        <v>0.69892473118279574</v>
      </c>
      <c r="E62" s="133">
        <f>E63/(9*30)</f>
        <v>0.85925925925925928</v>
      </c>
      <c r="F62" s="133">
        <f>F63/(9*31)</f>
        <v>0.83512544802867383</v>
      </c>
      <c r="G62" s="133">
        <f>G63/(9*30)</f>
        <v>0.14074074074074075</v>
      </c>
      <c r="H62" s="133">
        <f>H63/(9*31)</f>
        <v>0.13261648745519714</v>
      </c>
      <c r="I62" s="133">
        <f>I63/(9*31)</f>
        <v>0.12544802867383512</v>
      </c>
      <c r="J62" s="133">
        <f>J63/(9*30)</f>
        <v>4.0740740740740744E-2</v>
      </c>
      <c r="K62" s="133">
        <f>K63/(9*31)</f>
        <v>6.4516129032258063E-2</v>
      </c>
      <c r="L62" s="133">
        <f>L63/(9*30)</f>
        <v>0</v>
      </c>
      <c r="M62" s="133">
        <f>M63/(9*31)</f>
        <v>0</v>
      </c>
      <c r="N62" s="134">
        <f>N63/(9*365)</f>
        <v>0.32602739726027397</v>
      </c>
    </row>
    <row r="63" spans="1:15">
      <c r="A63" s="135" t="s">
        <v>77</v>
      </c>
      <c r="B63" s="136">
        <v>111</v>
      </c>
      <c r="C63" s="136">
        <v>161</v>
      </c>
      <c r="D63" s="136">
        <v>195</v>
      </c>
      <c r="E63" s="136">
        <v>232</v>
      </c>
      <c r="F63" s="136">
        <v>233</v>
      </c>
      <c r="G63" s="136">
        <v>38</v>
      </c>
      <c r="H63" s="136">
        <v>37</v>
      </c>
      <c r="I63" s="136">
        <v>35</v>
      </c>
      <c r="J63" s="136">
        <v>11</v>
      </c>
      <c r="K63" s="136">
        <v>18</v>
      </c>
      <c r="L63" s="136"/>
      <c r="M63" s="136"/>
      <c r="N63" s="137">
        <f>SUM(B63:M63)</f>
        <v>1071</v>
      </c>
    </row>
    <row r="64" spans="1:15">
      <c r="A64" s="117" t="s">
        <v>78</v>
      </c>
      <c r="B64" s="138">
        <v>123</v>
      </c>
      <c r="C64" s="138">
        <v>184</v>
      </c>
      <c r="D64" s="138">
        <v>229</v>
      </c>
      <c r="E64" s="138">
        <v>263</v>
      </c>
      <c r="F64" s="138">
        <v>264</v>
      </c>
      <c r="G64" s="138">
        <v>38</v>
      </c>
      <c r="H64" s="138">
        <v>46</v>
      </c>
      <c r="I64" s="138">
        <v>38</v>
      </c>
      <c r="J64" s="138">
        <v>12</v>
      </c>
      <c r="K64" s="138">
        <v>25</v>
      </c>
      <c r="L64" s="138"/>
      <c r="M64" s="138"/>
      <c r="N64" s="131">
        <f>SUM(B64:M64)</f>
        <v>1222</v>
      </c>
    </row>
    <row r="65" spans="1:15">
      <c r="A65" s="117" t="s">
        <v>79</v>
      </c>
      <c r="B65" s="130">
        <f t="shared" ref="B65:N65" si="26">B59/B63</f>
        <v>5749.8378378378375</v>
      </c>
      <c r="C65" s="130">
        <f t="shared" si="26"/>
        <v>6421.565217391304</v>
      </c>
      <c r="D65" s="130">
        <f t="shared" si="26"/>
        <v>6959.4512820512819</v>
      </c>
      <c r="E65" s="130">
        <f t="shared" si="26"/>
        <v>8426.9741379310344</v>
      </c>
      <c r="F65" s="130">
        <f t="shared" si="26"/>
        <v>8100.6266094420598</v>
      </c>
      <c r="G65" s="130">
        <f t="shared" si="26"/>
        <v>7270.4210526315792</v>
      </c>
      <c r="H65" s="130">
        <f t="shared" si="26"/>
        <v>11275.18918918919</v>
      </c>
      <c r="I65" s="130">
        <f t="shared" si="26"/>
        <v>12455.6</v>
      </c>
      <c r="J65" s="130">
        <f t="shared" si="26"/>
        <v>11639.272727272728</v>
      </c>
      <c r="K65" s="130">
        <f t="shared" si="26"/>
        <v>13119.777777777777</v>
      </c>
      <c r="L65" s="130" t="e">
        <f t="shared" si="26"/>
        <v>#DIV/0!</v>
      </c>
      <c r="M65" s="130" t="e">
        <f t="shared" si="26"/>
        <v>#DIV/0!</v>
      </c>
      <c r="N65" s="131">
        <f t="shared" si="26"/>
        <v>7810.7310924369749</v>
      </c>
    </row>
    <row r="66" spans="1:15" ht="18" customHeight="1">
      <c r="A66" s="132" t="s">
        <v>80</v>
      </c>
      <c r="B66" s="139">
        <f t="shared" ref="B66:N66" si="27">B59/B64</f>
        <v>5188.8780487804879</v>
      </c>
      <c r="C66" s="139">
        <f t="shared" si="27"/>
        <v>5618.869565217391</v>
      </c>
      <c r="D66" s="139">
        <f t="shared" si="27"/>
        <v>5926.1703056768556</v>
      </c>
      <c r="E66" s="139">
        <f t="shared" si="27"/>
        <v>7433.680608365019</v>
      </c>
      <c r="F66" s="139">
        <f t="shared" si="27"/>
        <v>7149.416666666667</v>
      </c>
      <c r="G66" s="139">
        <f t="shared" si="27"/>
        <v>7270.4210526315792</v>
      </c>
      <c r="H66" s="139">
        <f t="shared" si="27"/>
        <v>9069.173913043478</v>
      </c>
      <c r="I66" s="139">
        <f t="shared" si="27"/>
        <v>11472.263157894737</v>
      </c>
      <c r="J66" s="139">
        <f t="shared" si="27"/>
        <v>10669.333333333334</v>
      </c>
      <c r="K66" s="139">
        <f t="shared" si="27"/>
        <v>9446.24</v>
      </c>
      <c r="L66" s="139" t="e">
        <f t="shared" si="27"/>
        <v>#DIV/0!</v>
      </c>
      <c r="M66" s="139" t="e">
        <f t="shared" si="27"/>
        <v>#DIV/0!</v>
      </c>
      <c r="N66" s="140">
        <f t="shared" si="27"/>
        <v>6845.5752864157121</v>
      </c>
    </row>
    <row r="67" spans="1:15">
      <c r="A67" s="99" t="s">
        <v>114</v>
      </c>
      <c r="B67" s="172">
        <v>901976</v>
      </c>
      <c r="C67" s="172">
        <v>970534</v>
      </c>
      <c r="D67" s="172">
        <v>1394853</v>
      </c>
      <c r="E67" s="172">
        <v>1600536</v>
      </c>
      <c r="F67" s="172">
        <v>2028098</v>
      </c>
      <c r="G67" s="172">
        <v>1051016</v>
      </c>
      <c r="H67" s="172">
        <v>1110194</v>
      </c>
      <c r="I67" s="172">
        <v>2097316</v>
      </c>
      <c r="J67" s="172">
        <v>1566778</v>
      </c>
      <c r="K67" s="172">
        <v>2477290</v>
      </c>
      <c r="L67" s="172">
        <v>2350836</v>
      </c>
      <c r="M67" s="172">
        <v>1139100</v>
      </c>
      <c r="N67" s="101">
        <v>18688527</v>
      </c>
      <c r="O67" s="120"/>
    </row>
    <row r="68" spans="1:15" ht="18" customHeight="1">
      <c r="A68" s="110" t="s">
        <v>115</v>
      </c>
      <c r="B68" s="173">
        <f t="shared" ref="B68:N68" si="28">B59/B67</f>
        <v>0.70759310669020015</v>
      </c>
      <c r="C68" s="173">
        <f t="shared" si="28"/>
        <v>1.0652609800377937</v>
      </c>
      <c r="D68" s="173">
        <f t="shared" si="28"/>
        <v>0.97292904700351934</v>
      </c>
      <c r="E68" s="173">
        <f t="shared" si="28"/>
        <v>1.2215020468143172</v>
      </c>
      <c r="F68" s="174">
        <f t="shared" si="28"/>
        <v>0.93064832172804268</v>
      </c>
      <c r="G68" s="173">
        <f t="shared" si="28"/>
        <v>0.26286564619377822</v>
      </c>
      <c r="H68" s="173">
        <f t="shared" si="28"/>
        <v>0.37577396382974509</v>
      </c>
      <c r="I68" s="173">
        <f t="shared" si="28"/>
        <v>0.20785899692750162</v>
      </c>
      <c r="J68" s="173">
        <f t="shared" si="28"/>
        <v>8.1716746086554701E-2</v>
      </c>
      <c r="K68" s="173">
        <f t="shared" si="28"/>
        <v>9.5328362848112247E-2</v>
      </c>
      <c r="L68" s="173">
        <f t="shared" si="28"/>
        <v>0</v>
      </c>
      <c r="M68" s="173">
        <f t="shared" si="28"/>
        <v>0</v>
      </c>
      <c r="N68" s="175">
        <f t="shared" si="28"/>
        <v>0.44761649754418847</v>
      </c>
    </row>
    <row r="69" spans="1:15" ht="18" customHeight="1">
      <c r="A69" s="158" t="s">
        <v>129</v>
      </c>
      <c r="B69" s="176">
        <v>0</v>
      </c>
      <c r="C69" s="176">
        <v>0</v>
      </c>
      <c r="D69" s="176">
        <v>0</v>
      </c>
      <c r="E69" s="176">
        <v>0</v>
      </c>
      <c r="F69" s="176">
        <v>571440</v>
      </c>
      <c r="G69" s="176">
        <v>710786</v>
      </c>
      <c r="H69" s="176">
        <v>876554</v>
      </c>
      <c r="I69" s="176">
        <v>1231315</v>
      </c>
      <c r="J69" s="176">
        <v>1437292</v>
      </c>
      <c r="K69" s="176">
        <v>1882390</v>
      </c>
      <c r="L69" s="176">
        <v>2086663</v>
      </c>
      <c r="M69" s="176">
        <v>1326852</v>
      </c>
      <c r="N69" s="161">
        <f>SUM(B69:M69)</f>
        <v>10123292</v>
      </c>
    </row>
    <row r="70" spans="1:15" ht="9" customHeight="1">
      <c r="A70" s="11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</row>
    <row r="71" spans="1:15" ht="15.75" customHeight="1">
      <c r="A71" s="114" t="s">
        <v>86</v>
      </c>
      <c r="B71" s="115" t="s">
        <v>98</v>
      </c>
      <c r="C71" s="115" t="s">
        <v>99</v>
      </c>
      <c r="D71" s="115" t="s">
        <v>100</v>
      </c>
      <c r="E71" s="115" t="s">
        <v>101</v>
      </c>
      <c r="F71" s="115" t="s">
        <v>102</v>
      </c>
      <c r="G71" s="115" t="s">
        <v>103</v>
      </c>
      <c r="H71" s="115" t="s">
        <v>104</v>
      </c>
      <c r="I71" s="115" t="s">
        <v>105</v>
      </c>
      <c r="J71" s="115" t="s">
        <v>106</v>
      </c>
      <c r="K71" s="115" t="s">
        <v>107</v>
      </c>
      <c r="L71" s="115" t="s">
        <v>108</v>
      </c>
      <c r="M71" s="115" t="s">
        <v>109</v>
      </c>
      <c r="N71" s="116" t="s">
        <v>42</v>
      </c>
    </row>
    <row r="72" spans="1:15">
      <c r="A72" s="117" t="s">
        <v>110</v>
      </c>
      <c r="B72" s="118">
        <v>210000</v>
      </c>
      <c r="C72" s="118">
        <v>320000</v>
      </c>
      <c r="D72" s="118">
        <v>320000</v>
      </c>
      <c r="E72" s="118">
        <v>280000</v>
      </c>
      <c r="F72" s="118">
        <v>250000</v>
      </c>
      <c r="G72" s="118">
        <v>250000</v>
      </c>
      <c r="H72" s="118">
        <v>240000</v>
      </c>
      <c r="I72" s="118">
        <v>290000</v>
      </c>
      <c r="J72" s="118">
        <v>180000</v>
      </c>
      <c r="K72" s="118">
        <v>210000</v>
      </c>
      <c r="L72" s="118">
        <v>150000</v>
      </c>
      <c r="M72" s="118">
        <v>150000</v>
      </c>
      <c r="N72" s="119">
        <f>SUM(B72:M72)</f>
        <v>2850000</v>
      </c>
      <c r="O72" s="120" t="s">
        <v>120</v>
      </c>
    </row>
    <row r="73" spans="1:15">
      <c r="A73" s="117" t="s">
        <v>111</v>
      </c>
      <c r="B73" s="125">
        <v>100300</v>
      </c>
      <c r="C73" s="125">
        <v>108270</v>
      </c>
      <c r="D73" s="126">
        <v>189640</v>
      </c>
      <c r="E73" s="126">
        <v>56700</v>
      </c>
      <c r="F73" s="127">
        <v>289480</v>
      </c>
      <c r="G73" s="126">
        <v>72400</v>
      </c>
      <c r="H73" s="126">
        <v>16200</v>
      </c>
      <c r="I73" s="126">
        <v>0</v>
      </c>
      <c r="J73" s="126">
        <v>0</v>
      </c>
      <c r="K73" s="126">
        <v>0</v>
      </c>
      <c r="L73" s="126">
        <v>0</v>
      </c>
      <c r="M73" s="126">
        <v>0</v>
      </c>
      <c r="N73" s="119">
        <v>2301229</v>
      </c>
    </row>
    <row r="74" spans="1:15">
      <c r="A74" s="117" t="s">
        <v>112</v>
      </c>
      <c r="B74" s="128">
        <f t="shared" ref="B74:N74" si="29">B73/B72</f>
        <v>0.47761904761904761</v>
      </c>
      <c r="C74" s="128">
        <f t="shared" si="29"/>
        <v>0.33834375</v>
      </c>
      <c r="D74" s="128">
        <f t="shared" si="29"/>
        <v>0.59262499999999996</v>
      </c>
      <c r="E74" s="128">
        <f t="shared" si="29"/>
        <v>0.20250000000000001</v>
      </c>
      <c r="F74" s="128">
        <f t="shared" si="29"/>
        <v>1.1579200000000001</v>
      </c>
      <c r="G74" s="128">
        <f t="shared" si="29"/>
        <v>0.28960000000000002</v>
      </c>
      <c r="H74" s="128">
        <f t="shared" si="29"/>
        <v>6.7500000000000004E-2</v>
      </c>
      <c r="I74" s="128">
        <f t="shared" si="29"/>
        <v>0</v>
      </c>
      <c r="J74" s="128">
        <f t="shared" si="29"/>
        <v>0</v>
      </c>
      <c r="K74" s="128">
        <f t="shared" si="29"/>
        <v>0</v>
      </c>
      <c r="L74" s="128">
        <f t="shared" si="29"/>
        <v>0</v>
      </c>
      <c r="M74" s="128">
        <f t="shared" si="29"/>
        <v>0</v>
      </c>
      <c r="N74" s="129">
        <f t="shared" si="29"/>
        <v>0.80744877192982456</v>
      </c>
    </row>
    <row r="75" spans="1:15">
      <c r="A75" s="117" t="s">
        <v>122</v>
      </c>
      <c r="B75" s="130">
        <f t="shared" ref="B75:M75" si="30">B73-B72</f>
        <v>-109700</v>
      </c>
      <c r="C75" s="130">
        <f t="shared" si="30"/>
        <v>-211730</v>
      </c>
      <c r="D75" s="130">
        <f t="shared" si="30"/>
        <v>-130360</v>
      </c>
      <c r="E75" s="130">
        <f t="shared" si="30"/>
        <v>-223300</v>
      </c>
      <c r="F75" s="130">
        <f t="shared" si="30"/>
        <v>39480</v>
      </c>
      <c r="G75" s="130">
        <f t="shared" si="30"/>
        <v>-177600</v>
      </c>
      <c r="H75" s="130">
        <f t="shared" si="30"/>
        <v>-223800</v>
      </c>
      <c r="I75" s="130">
        <f t="shared" si="30"/>
        <v>-290000</v>
      </c>
      <c r="J75" s="130">
        <f t="shared" si="30"/>
        <v>-180000</v>
      </c>
      <c r="K75" s="130">
        <f t="shared" si="30"/>
        <v>-210000</v>
      </c>
      <c r="L75" s="130">
        <f t="shared" si="30"/>
        <v>-150000</v>
      </c>
      <c r="M75" s="130">
        <f t="shared" si="30"/>
        <v>-150000</v>
      </c>
      <c r="N75" s="131">
        <f>SUM(B75:M75)</f>
        <v>-2017010</v>
      </c>
    </row>
    <row r="76" spans="1:15" ht="18" customHeight="1">
      <c r="A76" s="132" t="s">
        <v>81</v>
      </c>
      <c r="B76" s="133">
        <f>B77/(1*29)</f>
        <v>0.13793103448275862</v>
      </c>
      <c r="C76" s="133">
        <f>C77/(1*29)</f>
        <v>0.17241379310344829</v>
      </c>
      <c r="D76" s="133">
        <f>D77/(1*31)</f>
        <v>9.6774193548387094E-2</v>
      </c>
      <c r="E76" s="133">
        <f>E77/(1*30)</f>
        <v>6.6666666666666666E-2</v>
      </c>
      <c r="F76" s="133">
        <f>F77/(1*31)</f>
        <v>0.35483870967741937</v>
      </c>
      <c r="G76" s="133">
        <f>G77/(1*30)</f>
        <v>0.13333333333333333</v>
      </c>
      <c r="H76" s="133">
        <f>H77/(1*31)</f>
        <v>3.2258064516129031E-2</v>
      </c>
      <c r="I76" s="133">
        <f>I77/(1*31)</f>
        <v>0</v>
      </c>
      <c r="J76" s="133">
        <f>J77/(1*30)</f>
        <v>0</v>
      </c>
      <c r="K76" s="133">
        <f>K77/(1*31)</f>
        <v>0</v>
      </c>
      <c r="L76" s="133">
        <f>L77/(1*30)</f>
        <v>0</v>
      </c>
      <c r="M76" s="133">
        <f>M77/(1*31)</f>
        <v>0</v>
      </c>
      <c r="N76" s="134">
        <f>N77/(1*365)</f>
        <v>8.2191780821917804E-2</v>
      </c>
    </row>
    <row r="77" spans="1:15">
      <c r="A77" s="135" t="s">
        <v>77</v>
      </c>
      <c r="B77" s="136">
        <v>4</v>
      </c>
      <c r="C77" s="136">
        <v>5</v>
      </c>
      <c r="D77" s="136">
        <v>3</v>
      </c>
      <c r="E77" s="136">
        <v>2</v>
      </c>
      <c r="F77" s="136">
        <v>11</v>
      </c>
      <c r="G77" s="136">
        <v>4</v>
      </c>
      <c r="H77" s="136">
        <v>1</v>
      </c>
      <c r="I77" s="136"/>
      <c r="J77" s="136"/>
      <c r="K77" s="136"/>
      <c r="L77" s="136"/>
      <c r="M77" s="136"/>
      <c r="N77" s="137">
        <f>SUM(B77:M77)</f>
        <v>30</v>
      </c>
    </row>
    <row r="78" spans="1:15">
      <c r="A78" s="117" t="s">
        <v>78</v>
      </c>
      <c r="B78" s="138">
        <v>18</v>
      </c>
      <c r="C78" s="138">
        <v>22</v>
      </c>
      <c r="D78" s="138">
        <v>33</v>
      </c>
      <c r="E78" s="138">
        <v>8</v>
      </c>
      <c r="F78" s="138">
        <v>40</v>
      </c>
      <c r="G78" s="138">
        <v>16</v>
      </c>
      <c r="H78" s="138">
        <v>4</v>
      </c>
      <c r="I78" s="138"/>
      <c r="J78" s="138"/>
      <c r="K78" s="138"/>
      <c r="L78" s="138"/>
      <c r="M78" s="138"/>
      <c r="N78" s="131">
        <f>SUM(B78:M78)</f>
        <v>141</v>
      </c>
    </row>
    <row r="79" spans="1:15">
      <c r="A79" s="117" t="s">
        <v>79</v>
      </c>
      <c r="B79" s="130">
        <f t="shared" ref="B79:N79" si="31">B73/B77</f>
        <v>25075</v>
      </c>
      <c r="C79" s="130">
        <f t="shared" si="31"/>
        <v>21654</v>
      </c>
      <c r="D79" s="130">
        <f t="shared" si="31"/>
        <v>63213.333333333336</v>
      </c>
      <c r="E79" s="130">
        <f t="shared" si="31"/>
        <v>28350</v>
      </c>
      <c r="F79" s="130">
        <f t="shared" si="31"/>
        <v>26316.363636363636</v>
      </c>
      <c r="G79" s="130">
        <f t="shared" si="31"/>
        <v>18100</v>
      </c>
      <c r="H79" s="130">
        <f t="shared" si="31"/>
        <v>16200</v>
      </c>
      <c r="I79" s="130" t="e">
        <f t="shared" si="31"/>
        <v>#DIV/0!</v>
      </c>
      <c r="J79" s="130" t="e">
        <f t="shared" si="31"/>
        <v>#DIV/0!</v>
      </c>
      <c r="K79" s="130" t="e">
        <f t="shared" si="31"/>
        <v>#DIV/0!</v>
      </c>
      <c r="L79" s="130" t="e">
        <f t="shared" si="31"/>
        <v>#DIV/0!</v>
      </c>
      <c r="M79" s="130" t="e">
        <f t="shared" si="31"/>
        <v>#DIV/0!</v>
      </c>
      <c r="N79" s="131">
        <f t="shared" si="31"/>
        <v>76707.633333333331</v>
      </c>
    </row>
    <row r="80" spans="1:15" ht="18" customHeight="1">
      <c r="A80" s="132" t="s">
        <v>80</v>
      </c>
      <c r="B80" s="139">
        <f t="shared" ref="B80:N80" si="32">B73/B78</f>
        <v>5572.2222222222226</v>
      </c>
      <c r="C80" s="139">
        <f t="shared" si="32"/>
        <v>4921.363636363636</v>
      </c>
      <c r="D80" s="139">
        <f t="shared" si="32"/>
        <v>5746.666666666667</v>
      </c>
      <c r="E80" s="139">
        <f t="shared" si="32"/>
        <v>7087.5</v>
      </c>
      <c r="F80" s="139">
        <f t="shared" si="32"/>
        <v>7237</v>
      </c>
      <c r="G80" s="139">
        <f t="shared" si="32"/>
        <v>4525</v>
      </c>
      <c r="H80" s="139">
        <f t="shared" si="32"/>
        <v>4050</v>
      </c>
      <c r="I80" s="139" t="e">
        <f t="shared" si="32"/>
        <v>#DIV/0!</v>
      </c>
      <c r="J80" s="139" t="e">
        <f t="shared" si="32"/>
        <v>#DIV/0!</v>
      </c>
      <c r="K80" s="139" t="e">
        <f t="shared" si="32"/>
        <v>#DIV/0!</v>
      </c>
      <c r="L80" s="139" t="e">
        <f t="shared" si="32"/>
        <v>#DIV/0!</v>
      </c>
      <c r="M80" s="139" t="e">
        <f t="shared" si="32"/>
        <v>#DIV/0!</v>
      </c>
      <c r="N80" s="140">
        <f t="shared" si="32"/>
        <v>16320.77304964539</v>
      </c>
    </row>
    <row r="81" spans="1:15">
      <c r="A81" s="135" t="s">
        <v>114</v>
      </c>
      <c r="B81" s="153">
        <v>32400</v>
      </c>
      <c r="C81" s="153">
        <v>174440</v>
      </c>
      <c r="D81" s="153">
        <v>247060</v>
      </c>
      <c r="E81" s="153">
        <v>115860</v>
      </c>
      <c r="F81" s="153">
        <v>270500</v>
      </c>
      <c r="G81" s="153">
        <v>85200</v>
      </c>
      <c r="H81" s="153">
        <v>214180</v>
      </c>
      <c r="I81" s="153">
        <v>318420</v>
      </c>
      <c r="J81" s="153">
        <v>53469</v>
      </c>
      <c r="K81" s="153">
        <v>261170</v>
      </c>
      <c r="L81" s="153">
        <v>349410</v>
      </c>
      <c r="M81" s="153">
        <v>179120</v>
      </c>
      <c r="N81" s="155">
        <v>2301229</v>
      </c>
      <c r="O81" s="120"/>
    </row>
    <row r="82" spans="1:15" ht="18" customHeight="1">
      <c r="A82" s="132" t="s">
        <v>115</v>
      </c>
      <c r="B82" s="156">
        <f t="shared" ref="B82:N82" si="33">B73/B81</f>
        <v>3.0956790123456792</v>
      </c>
      <c r="C82" s="156">
        <f t="shared" si="33"/>
        <v>0.62067186425131848</v>
      </c>
      <c r="D82" s="156">
        <f t="shared" si="33"/>
        <v>0.76758682101513798</v>
      </c>
      <c r="E82" s="156">
        <f t="shared" si="33"/>
        <v>0.48938373899533921</v>
      </c>
      <c r="F82" s="156">
        <f t="shared" si="33"/>
        <v>1.0701663585951942</v>
      </c>
      <c r="G82" s="156">
        <f t="shared" si="33"/>
        <v>0.84976525821596249</v>
      </c>
      <c r="H82" s="156">
        <f t="shared" si="33"/>
        <v>7.56373144084415E-2</v>
      </c>
      <c r="I82" s="156">
        <f t="shared" si="33"/>
        <v>0</v>
      </c>
      <c r="J82" s="156">
        <f t="shared" si="33"/>
        <v>0</v>
      </c>
      <c r="K82" s="156">
        <f t="shared" si="33"/>
        <v>0</v>
      </c>
      <c r="L82" s="156">
        <f t="shared" si="33"/>
        <v>0</v>
      </c>
      <c r="M82" s="156">
        <f t="shared" si="33"/>
        <v>0</v>
      </c>
      <c r="N82" s="157">
        <f t="shared" si="33"/>
        <v>1</v>
      </c>
    </row>
    <row r="83" spans="1:15" ht="18" customHeight="1">
      <c r="A83" s="158" t="s">
        <v>129</v>
      </c>
      <c r="B83" s="177">
        <v>216000</v>
      </c>
      <c r="C83" s="177">
        <v>318740</v>
      </c>
      <c r="D83" s="177">
        <v>317100</v>
      </c>
      <c r="E83" s="177">
        <v>276880</v>
      </c>
      <c r="F83" s="177">
        <v>251435</v>
      </c>
      <c r="G83" s="177">
        <v>251435</v>
      </c>
      <c r="H83" s="177">
        <v>233230</v>
      </c>
      <c r="I83" s="177">
        <v>289860</v>
      </c>
      <c r="J83" s="177">
        <v>185030</v>
      </c>
      <c r="K83" s="177">
        <v>213110</v>
      </c>
      <c r="L83" s="177">
        <v>146920</v>
      </c>
      <c r="M83" s="177">
        <v>206190</v>
      </c>
      <c r="N83" s="161">
        <f>SUM(B83:M83)</f>
        <v>2905930</v>
      </c>
    </row>
    <row r="84" spans="1:15" ht="9" customHeight="1">
      <c r="A84" s="178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</row>
    <row r="85" spans="1:15">
      <c r="A85" s="114" t="s">
        <v>24</v>
      </c>
      <c r="B85" s="115" t="s">
        <v>98</v>
      </c>
      <c r="C85" s="115" t="s">
        <v>99</v>
      </c>
      <c r="D85" s="115" t="s">
        <v>100</v>
      </c>
      <c r="E85" s="115" t="s">
        <v>101</v>
      </c>
      <c r="F85" s="115" t="s">
        <v>102</v>
      </c>
      <c r="G85" s="115" t="s">
        <v>103</v>
      </c>
      <c r="H85" s="115" t="s">
        <v>104</v>
      </c>
      <c r="I85" s="115" t="s">
        <v>105</v>
      </c>
      <c r="J85" s="115" t="s">
        <v>106</v>
      </c>
      <c r="K85" s="115" t="s">
        <v>107</v>
      </c>
      <c r="L85" s="115" t="s">
        <v>108</v>
      </c>
      <c r="M85" s="115" t="s">
        <v>109</v>
      </c>
      <c r="N85" s="116" t="s">
        <v>42</v>
      </c>
    </row>
    <row r="86" spans="1:15">
      <c r="A86" s="117" t="s">
        <v>110</v>
      </c>
      <c r="B86" s="118">
        <v>280000</v>
      </c>
      <c r="C86" s="118">
        <v>350000</v>
      </c>
      <c r="D86" s="118">
        <v>710000</v>
      </c>
      <c r="E86" s="118">
        <v>350000</v>
      </c>
      <c r="F86" s="118">
        <v>280000</v>
      </c>
      <c r="G86" s="118">
        <v>345000</v>
      </c>
      <c r="H86" s="118">
        <v>460000</v>
      </c>
      <c r="I86" s="118">
        <v>570000</v>
      </c>
      <c r="J86" s="118">
        <v>450000</v>
      </c>
      <c r="K86" s="118">
        <v>345000</v>
      </c>
      <c r="L86" s="118">
        <v>700000</v>
      </c>
      <c r="M86" s="118">
        <v>395000</v>
      </c>
      <c r="N86" s="119">
        <f>SUM(B86:M86)</f>
        <v>5235000</v>
      </c>
      <c r="O86" s="120" t="s">
        <v>120</v>
      </c>
    </row>
    <row r="87" spans="1:15">
      <c r="A87" s="117" t="s">
        <v>111</v>
      </c>
      <c r="B87" s="126">
        <v>138750</v>
      </c>
      <c r="C87" s="126">
        <v>406500</v>
      </c>
      <c r="D87" s="126">
        <v>794600</v>
      </c>
      <c r="E87" s="126">
        <v>331500</v>
      </c>
      <c r="F87" s="126">
        <v>303810</v>
      </c>
      <c r="G87" s="126">
        <v>190750</v>
      </c>
      <c r="H87" s="126">
        <v>96000</v>
      </c>
      <c r="I87" s="126">
        <v>35000</v>
      </c>
      <c r="J87" s="126">
        <v>39600</v>
      </c>
      <c r="K87" s="126">
        <v>0</v>
      </c>
      <c r="L87" s="126">
        <v>0</v>
      </c>
      <c r="M87" s="126">
        <v>0</v>
      </c>
      <c r="N87" s="119">
        <v>4931500</v>
      </c>
    </row>
    <row r="88" spans="1:15">
      <c r="A88" s="117" t="s">
        <v>112</v>
      </c>
      <c r="B88" s="128">
        <f t="shared" ref="B88:N88" si="34">B87/B86</f>
        <v>0.4955357142857143</v>
      </c>
      <c r="C88" s="128">
        <f t="shared" si="34"/>
        <v>1.1614285714285715</v>
      </c>
      <c r="D88" s="128">
        <f t="shared" si="34"/>
        <v>1.1191549295774648</v>
      </c>
      <c r="E88" s="128">
        <f t="shared" si="34"/>
        <v>0.94714285714285718</v>
      </c>
      <c r="F88" s="128">
        <f t="shared" si="34"/>
        <v>1.0850357142857143</v>
      </c>
      <c r="G88" s="128">
        <f t="shared" si="34"/>
        <v>0.55289855072463767</v>
      </c>
      <c r="H88" s="128">
        <f t="shared" si="34"/>
        <v>0.20869565217391303</v>
      </c>
      <c r="I88" s="128">
        <f t="shared" si="34"/>
        <v>6.1403508771929821E-2</v>
      </c>
      <c r="J88" s="128">
        <f t="shared" si="34"/>
        <v>8.7999999999999995E-2</v>
      </c>
      <c r="K88" s="128">
        <f t="shared" si="34"/>
        <v>0</v>
      </c>
      <c r="L88" s="128">
        <f t="shared" si="34"/>
        <v>0</v>
      </c>
      <c r="M88" s="128">
        <f t="shared" si="34"/>
        <v>0</v>
      </c>
      <c r="N88" s="129">
        <f t="shared" si="34"/>
        <v>0.94202483285577843</v>
      </c>
    </row>
    <row r="89" spans="1:15">
      <c r="A89" s="117" t="s">
        <v>122</v>
      </c>
      <c r="B89" s="130">
        <f t="shared" ref="B89:M89" si="35">B87-B86</f>
        <v>-141250</v>
      </c>
      <c r="C89" s="130">
        <f t="shared" si="35"/>
        <v>56500</v>
      </c>
      <c r="D89" s="130">
        <f t="shared" si="35"/>
        <v>84600</v>
      </c>
      <c r="E89" s="130">
        <f t="shared" si="35"/>
        <v>-18500</v>
      </c>
      <c r="F89" s="130">
        <f t="shared" si="35"/>
        <v>23810</v>
      </c>
      <c r="G89" s="130">
        <f t="shared" si="35"/>
        <v>-154250</v>
      </c>
      <c r="H89" s="130">
        <f t="shared" si="35"/>
        <v>-364000</v>
      </c>
      <c r="I89" s="130">
        <f t="shared" si="35"/>
        <v>-535000</v>
      </c>
      <c r="J89" s="130">
        <f t="shared" si="35"/>
        <v>-410400</v>
      </c>
      <c r="K89" s="130">
        <f t="shared" si="35"/>
        <v>-345000</v>
      </c>
      <c r="L89" s="130">
        <f t="shared" si="35"/>
        <v>-700000</v>
      </c>
      <c r="M89" s="130">
        <f t="shared" si="35"/>
        <v>-395000</v>
      </c>
      <c r="N89" s="131">
        <f>SUM(B89:M89)</f>
        <v>-2898490</v>
      </c>
    </row>
    <row r="90" spans="1:15" ht="18" customHeight="1">
      <c r="A90" s="132" t="s">
        <v>81</v>
      </c>
      <c r="B90" s="133">
        <f t="shared" ref="B90:M90" si="36">B91/(1*15)</f>
        <v>0.2</v>
      </c>
      <c r="C90" s="133">
        <f t="shared" si="36"/>
        <v>0.73333333333333328</v>
      </c>
      <c r="D90" s="133">
        <f t="shared" si="36"/>
        <v>1.4666666666666666</v>
      </c>
      <c r="E90" s="133">
        <f t="shared" si="36"/>
        <v>0.6</v>
      </c>
      <c r="F90" s="133">
        <f t="shared" si="36"/>
        <v>0.46666666666666667</v>
      </c>
      <c r="G90" s="133">
        <f t="shared" si="36"/>
        <v>0.33333333333333331</v>
      </c>
      <c r="H90" s="133">
        <f t="shared" si="36"/>
        <v>0.13333333333333333</v>
      </c>
      <c r="I90" s="133">
        <f t="shared" si="36"/>
        <v>6.6666666666666666E-2</v>
      </c>
      <c r="J90" s="133">
        <f t="shared" si="36"/>
        <v>6.6666666666666666E-2</v>
      </c>
      <c r="K90" s="133">
        <f t="shared" si="36"/>
        <v>0</v>
      </c>
      <c r="L90" s="133">
        <f t="shared" si="36"/>
        <v>0</v>
      </c>
      <c r="M90" s="133">
        <f t="shared" si="36"/>
        <v>0</v>
      </c>
      <c r="N90" s="134">
        <f>N91/(1*180)</f>
        <v>0.33888888888888891</v>
      </c>
    </row>
    <row r="91" spans="1:15">
      <c r="A91" s="135" t="s">
        <v>77</v>
      </c>
      <c r="B91" s="136">
        <v>3</v>
      </c>
      <c r="C91" s="136">
        <v>11</v>
      </c>
      <c r="D91" s="136">
        <v>22</v>
      </c>
      <c r="E91" s="136">
        <v>9</v>
      </c>
      <c r="F91" s="136">
        <v>7</v>
      </c>
      <c r="G91" s="136">
        <v>5</v>
      </c>
      <c r="H91" s="136">
        <v>2</v>
      </c>
      <c r="I91" s="136">
        <v>1</v>
      </c>
      <c r="J91" s="136">
        <v>1</v>
      </c>
      <c r="K91" s="136"/>
      <c r="L91" s="136"/>
      <c r="M91" s="136"/>
      <c r="N91" s="137">
        <f>SUM(B91:M91)</f>
        <v>61</v>
      </c>
    </row>
    <row r="92" spans="1:15">
      <c r="A92" s="117" t="s">
        <v>78</v>
      </c>
      <c r="B92" s="138">
        <v>20</v>
      </c>
      <c r="C92" s="138">
        <v>63</v>
      </c>
      <c r="D92" s="138">
        <v>135</v>
      </c>
      <c r="E92" s="138">
        <v>46</v>
      </c>
      <c r="F92" s="138">
        <v>41</v>
      </c>
      <c r="G92" s="138">
        <v>39</v>
      </c>
      <c r="H92" s="138">
        <v>12</v>
      </c>
      <c r="I92" s="138">
        <v>5</v>
      </c>
      <c r="J92" s="138">
        <v>6</v>
      </c>
      <c r="K92" s="138"/>
      <c r="L92" s="138"/>
      <c r="M92" s="138"/>
      <c r="N92" s="131">
        <f>SUM(B92:M92)</f>
        <v>367</v>
      </c>
    </row>
    <row r="93" spans="1:15">
      <c r="A93" s="117" t="s">
        <v>79</v>
      </c>
      <c r="B93" s="130">
        <f t="shared" ref="B93:N93" si="37">B87/B91</f>
        <v>46250</v>
      </c>
      <c r="C93" s="130">
        <f t="shared" si="37"/>
        <v>36954.545454545456</v>
      </c>
      <c r="D93" s="130">
        <f t="shared" si="37"/>
        <v>36118.181818181816</v>
      </c>
      <c r="E93" s="130">
        <f t="shared" si="37"/>
        <v>36833.333333333336</v>
      </c>
      <c r="F93" s="130">
        <f t="shared" si="37"/>
        <v>43401.428571428572</v>
      </c>
      <c r="G93" s="130">
        <f t="shared" si="37"/>
        <v>38150</v>
      </c>
      <c r="H93" s="130">
        <f t="shared" si="37"/>
        <v>48000</v>
      </c>
      <c r="I93" s="130">
        <f t="shared" si="37"/>
        <v>35000</v>
      </c>
      <c r="J93" s="130">
        <f t="shared" si="37"/>
        <v>39600</v>
      </c>
      <c r="K93" s="130" t="e">
        <f t="shared" si="37"/>
        <v>#DIV/0!</v>
      </c>
      <c r="L93" s="130" t="e">
        <f t="shared" si="37"/>
        <v>#DIV/0!</v>
      </c>
      <c r="M93" s="130" t="e">
        <f t="shared" si="37"/>
        <v>#DIV/0!</v>
      </c>
      <c r="N93" s="131">
        <f t="shared" si="37"/>
        <v>80844.262295081964</v>
      </c>
    </row>
    <row r="94" spans="1:15" ht="18" customHeight="1">
      <c r="A94" s="132" t="s">
        <v>80</v>
      </c>
      <c r="B94" s="139">
        <f t="shared" ref="B94:N94" si="38">B87/B92</f>
        <v>6937.5</v>
      </c>
      <c r="C94" s="139">
        <f t="shared" si="38"/>
        <v>6452.3809523809523</v>
      </c>
      <c r="D94" s="139">
        <f t="shared" si="38"/>
        <v>5885.9259259259261</v>
      </c>
      <c r="E94" s="139">
        <f t="shared" si="38"/>
        <v>7206.521739130435</v>
      </c>
      <c r="F94" s="139">
        <f t="shared" si="38"/>
        <v>7410</v>
      </c>
      <c r="G94" s="139">
        <f t="shared" si="38"/>
        <v>4891.0256410256407</v>
      </c>
      <c r="H94" s="139">
        <f t="shared" si="38"/>
        <v>8000</v>
      </c>
      <c r="I94" s="139">
        <f t="shared" si="38"/>
        <v>7000</v>
      </c>
      <c r="J94" s="139">
        <f t="shared" si="38"/>
        <v>6600</v>
      </c>
      <c r="K94" s="139" t="e">
        <f t="shared" si="38"/>
        <v>#DIV/0!</v>
      </c>
      <c r="L94" s="139" t="e">
        <f t="shared" si="38"/>
        <v>#DIV/0!</v>
      </c>
      <c r="M94" s="139" t="e">
        <f t="shared" si="38"/>
        <v>#DIV/0!</v>
      </c>
      <c r="N94" s="140">
        <f t="shared" si="38"/>
        <v>13437.329700272479</v>
      </c>
    </row>
    <row r="95" spans="1:15">
      <c r="A95" s="135" t="s">
        <v>114</v>
      </c>
      <c r="B95" s="168">
        <v>327400</v>
      </c>
      <c r="C95" s="168">
        <v>369900</v>
      </c>
      <c r="D95" s="168">
        <v>730100</v>
      </c>
      <c r="E95" s="168">
        <v>460700</v>
      </c>
      <c r="F95" s="168">
        <v>431900</v>
      </c>
      <c r="G95" s="168">
        <v>183300</v>
      </c>
      <c r="H95" s="168">
        <v>218250</v>
      </c>
      <c r="I95" s="168">
        <v>793250</v>
      </c>
      <c r="J95" s="168">
        <v>246500</v>
      </c>
      <c r="K95" s="168">
        <v>418500</v>
      </c>
      <c r="L95" s="168">
        <v>476700</v>
      </c>
      <c r="M95" s="168">
        <v>275000</v>
      </c>
      <c r="N95" s="155">
        <v>4931500</v>
      </c>
      <c r="O95" s="120"/>
    </row>
    <row r="96" spans="1:15" ht="18" customHeight="1">
      <c r="A96" s="132" t="s">
        <v>115</v>
      </c>
      <c r="B96" s="156">
        <f t="shared" ref="B96:N96" si="39">B87/B95</f>
        <v>0.42379352474037874</v>
      </c>
      <c r="C96" s="156">
        <f t="shared" si="39"/>
        <v>1.0989456609894566</v>
      </c>
      <c r="D96" s="156">
        <f t="shared" si="39"/>
        <v>1.0883440624571976</v>
      </c>
      <c r="E96" s="156">
        <f t="shared" si="39"/>
        <v>0.71955719557195574</v>
      </c>
      <c r="F96" s="156">
        <f t="shared" si="39"/>
        <v>0.70342671914795096</v>
      </c>
      <c r="G96" s="156">
        <f t="shared" si="39"/>
        <v>1.0406437534097108</v>
      </c>
      <c r="H96" s="156">
        <f t="shared" si="39"/>
        <v>0.43986254295532645</v>
      </c>
      <c r="I96" s="156">
        <f t="shared" si="39"/>
        <v>4.4122281752284907E-2</v>
      </c>
      <c r="J96" s="156">
        <f t="shared" si="39"/>
        <v>0.16064908722109533</v>
      </c>
      <c r="K96" s="156">
        <f t="shared" si="39"/>
        <v>0</v>
      </c>
      <c r="L96" s="156">
        <f t="shared" si="39"/>
        <v>0</v>
      </c>
      <c r="M96" s="156">
        <f t="shared" si="39"/>
        <v>0</v>
      </c>
      <c r="N96" s="157">
        <f t="shared" si="39"/>
        <v>1</v>
      </c>
    </row>
    <row r="97" spans="1:14" ht="18" customHeight="1">
      <c r="A97" s="158" t="s">
        <v>129</v>
      </c>
      <c r="B97" s="177">
        <v>260908</v>
      </c>
      <c r="C97" s="177">
        <v>333729</v>
      </c>
      <c r="D97" s="177">
        <v>707653</v>
      </c>
      <c r="E97" s="177">
        <v>320551</v>
      </c>
      <c r="F97" s="177">
        <v>271773</v>
      </c>
      <c r="G97" s="177">
        <v>339973</v>
      </c>
      <c r="H97" s="177">
        <v>451525</v>
      </c>
      <c r="I97" s="177">
        <v>570328</v>
      </c>
      <c r="J97" s="177">
        <v>438835</v>
      </c>
      <c r="K97" s="177">
        <v>332323</v>
      </c>
      <c r="L97" s="177">
        <v>576702</v>
      </c>
      <c r="M97" s="177">
        <v>416350</v>
      </c>
      <c r="N97" s="161">
        <f>SUM(B97:M97)</f>
        <v>5020650</v>
      </c>
    </row>
  </sheetData>
  <mergeCells count="2">
    <mergeCell ref="A1:L1"/>
    <mergeCell ref="M1:N1"/>
  </mergeCells>
  <phoneticPr fontId="36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5"/>
  <sheetViews>
    <sheetView tabSelected="1" zoomScaleNormal="100" workbookViewId="0">
      <selection activeCell="E5" sqref="E5"/>
    </sheetView>
  </sheetViews>
  <sheetFormatPr defaultColWidth="8.5" defaultRowHeight="18"/>
  <cols>
    <col min="1" max="1" width="11.08203125" style="96" customWidth="1"/>
    <col min="2" max="2" width="8.08203125" style="96" customWidth="1"/>
    <col min="3" max="3" width="10.83203125" style="96" customWidth="1"/>
    <col min="11" max="11" width="9.08203125" style="96" customWidth="1"/>
    <col min="14" max="14" width="9.08203125" style="96" customWidth="1"/>
  </cols>
  <sheetData>
    <row r="1" spans="1:15" ht="18" customHeight="1">
      <c r="A1" s="391" t="s">
        <v>130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</row>
    <row r="2" spans="1:15">
      <c r="A2" s="114" t="s">
        <v>131</v>
      </c>
      <c r="B2" s="115" t="s">
        <v>98</v>
      </c>
      <c r="C2" s="115" t="s">
        <v>99</v>
      </c>
      <c r="D2" s="115" t="s">
        <v>100</v>
      </c>
      <c r="E2" s="115" t="s">
        <v>101</v>
      </c>
      <c r="F2" s="115" t="s">
        <v>102</v>
      </c>
      <c r="G2" s="115" t="s">
        <v>103</v>
      </c>
      <c r="H2" s="115" t="s">
        <v>104</v>
      </c>
      <c r="I2" s="115" t="s">
        <v>105</v>
      </c>
      <c r="J2" s="115" t="s">
        <v>106</v>
      </c>
      <c r="K2" s="115" t="s">
        <v>107</v>
      </c>
      <c r="L2" s="115" t="s">
        <v>108</v>
      </c>
      <c r="M2" s="115" t="s">
        <v>109</v>
      </c>
      <c r="N2" s="116" t="s">
        <v>42</v>
      </c>
    </row>
    <row r="3" spans="1:15">
      <c r="A3" s="117" t="s">
        <v>110</v>
      </c>
      <c r="B3" s="118">
        <v>3701096</v>
      </c>
      <c r="C3" s="118">
        <v>2980174</v>
      </c>
      <c r="D3" s="118">
        <v>5584201</v>
      </c>
      <c r="E3" s="118">
        <v>5487259</v>
      </c>
      <c r="F3" s="118">
        <v>6761527</v>
      </c>
      <c r="G3" s="118">
        <v>3942572</v>
      </c>
      <c r="H3" s="118">
        <v>5866719</v>
      </c>
      <c r="I3" s="118">
        <v>9564791</v>
      </c>
      <c r="J3" s="118">
        <v>5465630</v>
      </c>
      <c r="K3" s="118">
        <v>8958395</v>
      </c>
      <c r="L3" s="118">
        <v>8362200</v>
      </c>
      <c r="M3" s="118">
        <v>5672113</v>
      </c>
      <c r="N3" s="119">
        <v>72346677</v>
      </c>
      <c r="O3" s="120" t="s">
        <v>120</v>
      </c>
    </row>
    <row r="4" spans="1:15">
      <c r="A4" s="121" t="s">
        <v>111</v>
      </c>
      <c r="B4" s="122">
        <f t="shared" ref="B4:M4" si="0">B5+B14+B6</f>
        <v>2906901</v>
      </c>
      <c r="C4" s="122">
        <f t="shared" si="0"/>
        <v>4965898</v>
      </c>
      <c r="D4" s="122">
        <f t="shared" si="0"/>
        <v>6807485</v>
      </c>
      <c r="E4" s="122">
        <f t="shared" si="0"/>
        <v>4004248</v>
      </c>
      <c r="F4" s="122">
        <f t="shared" si="0"/>
        <v>6175495</v>
      </c>
      <c r="G4" s="122">
        <f t="shared" si="0"/>
        <v>2105073</v>
      </c>
      <c r="H4" s="122">
        <f t="shared" si="0"/>
        <v>1056902</v>
      </c>
      <c r="I4" s="122">
        <f t="shared" si="0"/>
        <v>1697508</v>
      </c>
      <c r="J4" s="122">
        <f t="shared" si="0"/>
        <v>797331</v>
      </c>
      <c r="K4" s="122">
        <f t="shared" si="0"/>
        <v>770415</v>
      </c>
      <c r="L4" s="122">
        <f t="shared" si="0"/>
        <v>247410</v>
      </c>
      <c r="M4" s="122">
        <f t="shared" si="0"/>
        <v>20000</v>
      </c>
      <c r="N4" s="123">
        <f>SUM(B4:M4)</f>
        <v>31554666</v>
      </c>
    </row>
    <row r="5" spans="1:15">
      <c r="A5" s="124" t="s">
        <v>82</v>
      </c>
      <c r="B5" s="126">
        <v>2493516</v>
      </c>
      <c r="C5" s="126">
        <v>4182983</v>
      </c>
      <c r="D5" s="126">
        <v>5251225</v>
      </c>
      <c r="E5" s="126">
        <v>3713533</v>
      </c>
      <c r="F5" s="126">
        <v>5433020</v>
      </c>
      <c r="G5" s="126">
        <v>1772568</v>
      </c>
      <c r="H5" s="126">
        <v>998427</v>
      </c>
      <c r="I5" s="126">
        <v>1575613</v>
      </c>
      <c r="J5" s="126">
        <v>686771</v>
      </c>
      <c r="K5" s="126">
        <v>562660</v>
      </c>
      <c r="L5" s="126">
        <v>170460</v>
      </c>
      <c r="M5" s="126">
        <v>12000</v>
      </c>
      <c r="N5" s="179">
        <f>SUM(B5:M5)</f>
        <v>26852776</v>
      </c>
    </row>
    <row r="6" spans="1:15">
      <c r="A6" s="124" t="s">
        <v>121</v>
      </c>
      <c r="B6" s="126">
        <v>138235</v>
      </c>
      <c r="C6" s="126">
        <v>187870</v>
      </c>
      <c r="D6" s="126">
        <v>685450</v>
      </c>
      <c r="E6" s="126"/>
      <c r="F6" s="126"/>
      <c r="G6" s="126"/>
      <c r="H6" s="126"/>
      <c r="I6" s="126"/>
      <c r="J6" s="126"/>
      <c r="K6" s="126"/>
      <c r="L6" s="126"/>
      <c r="M6" s="126"/>
      <c r="N6" s="179"/>
    </row>
    <row r="7" spans="1:15">
      <c r="A7" s="117" t="s">
        <v>112</v>
      </c>
      <c r="B7" s="128">
        <f t="shared" ref="B7:N7" si="1">B4/B3</f>
        <v>0.78541626588448399</v>
      </c>
      <c r="C7" s="128">
        <f t="shared" si="1"/>
        <v>1.6663114301379718</v>
      </c>
      <c r="D7" s="128">
        <f t="shared" si="1"/>
        <v>1.2190615989646505</v>
      </c>
      <c r="E7" s="128">
        <f t="shared" si="1"/>
        <v>0.72973555649551081</v>
      </c>
      <c r="F7" s="128">
        <f t="shared" si="1"/>
        <v>0.91332845376495575</v>
      </c>
      <c r="G7" s="128">
        <f t="shared" si="1"/>
        <v>0.53393393957041246</v>
      </c>
      <c r="H7" s="128">
        <f t="shared" si="1"/>
        <v>0.18015214296099746</v>
      </c>
      <c r="I7" s="128">
        <f t="shared" si="1"/>
        <v>0.17747465679072338</v>
      </c>
      <c r="J7" s="128">
        <f t="shared" si="1"/>
        <v>0.14588089570644189</v>
      </c>
      <c r="K7" s="128">
        <f t="shared" si="1"/>
        <v>8.5999221958844185E-2</v>
      </c>
      <c r="L7" s="128">
        <f t="shared" si="1"/>
        <v>2.9586711630910527E-2</v>
      </c>
      <c r="M7" s="128">
        <f t="shared" si="1"/>
        <v>3.5260228419285722E-3</v>
      </c>
      <c r="N7" s="128">
        <f t="shared" si="1"/>
        <v>0.43615916180918718</v>
      </c>
    </row>
    <row r="8" spans="1:15">
      <c r="A8" s="117" t="s">
        <v>113</v>
      </c>
      <c r="B8" s="130">
        <f t="shared" ref="B8:M8" si="2">B4-B3</f>
        <v>-794195</v>
      </c>
      <c r="C8" s="130">
        <f t="shared" si="2"/>
        <v>1985724</v>
      </c>
      <c r="D8" s="130">
        <f t="shared" si="2"/>
        <v>1223284</v>
      </c>
      <c r="E8" s="130">
        <f t="shared" si="2"/>
        <v>-1483011</v>
      </c>
      <c r="F8" s="130">
        <f t="shared" si="2"/>
        <v>-586032</v>
      </c>
      <c r="G8" s="130">
        <f t="shared" si="2"/>
        <v>-1837499</v>
      </c>
      <c r="H8" s="130">
        <f t="shared" si="2"/>
        <v>-4809817</v>
      </c>
      <c r="I8" s="130">
        <f t="shared" si="2"/>
        <v>-7867283</v>
      </c>
      <c r="J8" s="130">
        <f t="shared" si="2"/>
        <v>-4668299</v>
      </c>
      <c r="K8" s="130">
        <f t="shared" si="2"/>
        <v>-8187980</v>
      </c>
      <c r="L8" s="130">
        <f t="shared" si="2"/>
        <v>-8114790</v>
      </c>
      <c r="M8" s="130">
        <f t="shared" si="2"/>
        <v>-5652113</v>
      </c>
      <c r="N8" s="131">
        <f>SUM(B8:M8)</f>
        <v>-40792011</v>
      </c>
    </row>
    <row r="9" spans="1:15" ht="18" customHeight="1">
      <c r="A9" s="132" t="s">
        <v>81</v>
      </c>
      <c r="B9" s="133">
        <f>B10/(37*31)</f>
        <v>0.20488230165649521</v>
      </c>
      <c r="C9" s="133">
        <f>C10/(37*29)</f>
        <v>0.30288909599254427</v>
      </c>
      <c r="D9" s="133">
        <f>D10/(37*31)</f>
        <v>0.37053182214472535</v>
      </c>
      <c r="E9" s="133">
        <f>E10/(37*30)</f>
        <v>0.30540540540540539</v>
      </c>
      <c r="F9" s="133">
        <f>F10/(37*31)</f>
        <v>0.37227550130775938</v>
      </c>
      <c r="G9" s="133">
        <f>G10/(37*30)</f>
        <v>0.18018018018018017</v>
      </c>
      <c r="H9" s="133">
        <f>H10/(37*31)</f>
        <v>6.015693112467306E-2</v>
      </c>
      <c r="I9" s="133">
        <f>I10/(37*31)</f>
        <v>8.0209241499564085E-2</v>
      </c>
      <c r="J9" s="133">
        <f>J10/(37*30)</f>
        <v>5.0450450450450449E-2</v>
      </c>
      <c r="K9" s="133">
        <f>K10/(37*31)</f>
        <v>6.015693112467306E-2</v>
      </c>
      <c r="L9" s="133">
        <f>L10/(37*30)</f>
        <v>2.5225225225225224E-2</v>
      </c>
      <c r="M9" s="133">
        <f>M10/(37*31)</f>
        <v>1.7436791630340018E-3</v>
      </c>
      <c r="N9" s="134">
        <f>SUM(B9:M9)</f>
        <v>2.0141067652747298</v>
      </c>
    </row>
    <row r="10" spans="1:15" ht="20.25" customHeight="1">
      <c r="A10" s="135" t="s">
        <v>77</v>
      </c>
      <c r="B10" s="136">
        <v>235</v>
      </c>
      <c r="C10" s="136">
        <v>325</v>
      </c>
      <c r="D10" s="136">
        <v>425</v>
      </c>
      <c r="E10" s="136">
        <v>339</v>
      </c>
      <c r="F10" s="136">
        <v>427</v>
      </c>
      <c r="G10" s="136">
        <v>200</v>
      </c>
      <c r="H10" s="136">
        <v>69</v>
      </c>
      <c r="I10" s="136">
        <v>92</v>
      </c>
      <c r="J10" s="136">
        <v>56</v>
      </c>
      <c r="K10" s="136">
        <v>69</v>
      </c>
      <c r="L10" s="136">
        <v>28</v>
      </c>
      <c r="M10" s="136">
        <v>2</v>
      </c>
      <c r="N10" s="137">
        <f>SUM(B10:M10)</f>
        <v>2267</v>
      </c>
    </row>
    <row r="11" spans="1:15">
      <c r="A11" s="117" t="s">
        <v>78</v>
      </c>
      <c r="B11" s="138">
        <v>403</v>
      </c>
      <c r="C11" s="138">
        <v>762</v>
      </c>
      <c r="D11" s="138">
        <v>911</v>
      </c>
      <c r="E11" s="138">
        <v>532</v>
      </c>
      <c r="F11" s="138">
        <v>753</v>
      </c>
      <c r="G11" s="138">
        <v>356</v>
      </c>
      <c r="H11" s="138">
        <v>188</v>
      </c>
      <c r="I11" s="138">
        <v>302</v>
      </c>
      <c r="J11" s="138">
        <v>122</v>
      </c>
      <c r="K11" s="138">
        <v>93</v>
      </c>
      <c r="L11" s="138">
        <v>37</v>
      </c>
      <c r="M11" s="138">
        <v>2</v>
      </c>
      <c r="N11" s="131">
        <f>SUM(B11:M11)</f>
        <v>4461</v>
      </c>
    </row>
    <row r="12" spans="1:15">
      <c r="A12" s="117" t="s">
        <v>79</v>
      </c>
      <c r="B12" s="130">
        <f t="shared" ref="B12:N12" si="3">B5/B10</f>
        <v>10610.706382978724</v>
      </c>
      <c r="C12" s="130">
        <f t="shared" si="3"/>
        <v>12870.716923076923</v>
      </c>
      <c r="D12" s="130">
        <f t="shared" si="3"/>
        <v>12355.823529411764</v>
      </c>
      <c r="E12" s="130">
        <f t="shared" si="3"/>
        <v>10954.374631268436</v>
      </c>
      <c r="F12" s="130">
        <f t="shared" si="3"/>
        <v>12723.700234192038</v>
      </c>
      <c r="G12" s="130">
        <f t="shared" si="3"/>
        <v>8862.84</v>
      </c>
      <c r="H12" s="130">
        <f>H5/H10</f>
        <v>14469.95652173913</v>
      </c>
      <c r="I12" s="130">
        <f t="shared" si="3"/>
        <v>17126.228260869564</v>
      </c>
      <c r="J12" s="130">
        <f t="shared" si="3"/>
        <v>12263.767857142857</v>
      </c>
      <c r="K12" s="130">
        <f t="shared" si="3"/>
        <v>8154.492753623188</v>
      </c>
      <c r="L12" s="130">
        <f t="shared" si="3"/>
        <v>6087.8571428571431</v>
      </c>
      <c r="M12" s="130">
        <f t="shared" si="3"/>
        <v>6000</v>
      </c>
      <c r="N12" s="131">
        <f t="shared" si="3"/>
        <v>11845.071018967799</v>
      </c>
    </row>
    <row r="13" spans="1:15" ht="18" customHeight="1">
      <c r="A13" s="132" t="s">
        <v>80</v>
      </c>
      <c r="B13" s="139">
        <f t="shared" ref="B13:N13" si="4">B5/B11</f>
        <v>6187.3846153846152</v>
      </c>
      <c r="C13" s="139">
        <f t="shared" si="4"/>
        <v>5489.4790026246719</v>
      </c>
      <c r="D13" s="139">
        <f t="shared" si="4"/>
        <v>5764.2425905598247</v>
      </c>
      <c r="E13" s="139">
        <f t="shared" si="4"/>
        <v>6980.3251879699246</v>
      </c>
      <c r="F13" s="139">
        <f t="shared" si="4"/>
        <v>7215.1660026560421</v>
      </c>
      <c r="G13" s="139">
        <f t="shared" si="4"/>
        <v>4979.1235955056181</v>
      </c>
      <c r="H13" s="139">
        <f t="shared" si="4"/>
        <v>5310.7819148936169</v>
      </c>
      <c r="I13" s="139">
        <f t="shared" si="4"/>
        <v>5217.2615894039736</v>
      </c>
      <c r="J13" s="139">
        <f t="shared" si="4"/>
        <v>5629.2704918032787</v>
      </c>
      <c r="K13" s="139">
        <f t="shared" si="4"/>
        <v>6050.1075268817203</v>
      </c>
      <c r="L13" s="139">
        <f t="shared" si="4"/>
        <v>4607.0270270270266</v>
      </c>
      <c r="M13" s="139">
        <f t="shared" si="4"/>
        <v>6000</v>
      </c>
      <c r="N13" s="140">
        <f t="shared" si="4"/>
        <v>6019.452140775611</v>
      </c>
    </row>
    <row r="14" spans="1:15">
      <c r="A14" s="114" t="s">
        <v>123</v>
      </c>
      <c r="B14" s="180">
        <f t="shared" ref="B14:N14" si="5">B15+B18</f>
        <v>275150</v>
      </c>
      <c r="C14" s="180">
        <f t="shared" si="5"/>
        <v>595045</v>
      </c>
      <c r="D14" s="180">
        <f t="shared" si="5"/>
        <v>870810</v>
      </c>
      <c r="E14" s="180">
        <f t="shared" si="5"/>
        <v>290715</v>
      </c>
      <c r="F14" s="180">
        <f t="shared" si="5"/>
        <v>742475</v>
      </c>
      <c r="G14" s="180">
        <f t="shared" si="5"/>
        <v>332505</v>
      </c>
      <c r="H14" s="180">
        <f t="shared" si="5"/>
        <v>58475</v>
      </c>
      <c r="I14" s="180">
        <f t="shared" si="5"/>
        <v>121895</v>
      </c>
      <c r="J14" s="180">
        <f t="shared" si="5"/>
        <v>110560</v>
      </c>
      <c r="K14" s="180">
        <f t="shared" si="5"/>
        <v>207755</v>
      </c>
      <c r="L14" s="180">
        <f t="shared" si="5"/>
        <v>76950</v>
      </c>
      <c r="M14" s="180">
        <f t="shared" si="5"/>
        <v>8000</v>
      </c>
      <c r="N14" s="180">
        <f t="shared" si="5"/>
        <v>3690335</v>
      </c>
    </row>
    <row r="15" spans="1:15">
      <c r="A15" s="150" t="s">
        <v>124</v>
      </c>
      <c r="B15" s="181">
        <v>129030</v>
      </c>
      <c r="C15" s="181">
        <v>272740</v>
      </c>
      <c r="D15" s="181">
        <v>465795</v>
      </c>
      <c r="E15" s="181">
        <v>200475</v>
      </c>
      <c r="F15" s="181">
        <v>408540</v>
      </c>
      <c r="G15" s="181">
        <v>156255</v>
      </c>
      <c r="H15" s="181">
        <v>41085</v>
      </c>
      <c r="I15" s="181">
        <v>54450</v>
      </c>
      <c r="J15" s="181">
        <v>51810</v>
      </c>
      <c r="K15" s="181">
        <v>90255</v>
      </c>
      <c r="L15" s="181">
        <v>34650</v>
      </c>
      <c r="M15" s="181">
        <v>3300</v>
      </c>
      <c r="N15" s="182">
        <f>SUM(B15:M15)</f>
        <v>1908385</v>
      </c>
    </row>
    <row r="16" spans="1:15">
      <c r="A16" s="117" t="s">
        <v>125</v>
      </c>
      <c r="B16" s="138">
        <v>80</v>
      </c>
      <c r="C16" s="138">
        <v>192</v>
      </c>
      <c r="D16" s="138">
        <v>295</v>
      </c>
      <c r="E16" s="138">
        <v>123</v>
      </c>
      <c r="F16" s="138">
        <v>253</v>
      </c>
      <c r="G16" s="138">
        <v>95</v>
      </c>
      <c r="H16" s="138">
        <v>27</v>
      </c>
      <c r="I16" s="138">
        <v>36</v>
      </c>
      <c r="J16" s="138">
        <v>32</v>
      </c>
      <c r="K16" s="138">
        <v>55</v>
      </c>
      <c r="L16" s="138">
        <v>21</v>
      </c>
      <c r="M16" s="138">
        <v>2</v>
      </c>
      <c r="N16" s="131">
        <f>SUM(B16:M16)</f>
        <v>1211</v>
      </c>
    </row>
    <row r="17" spans="1:15">
      <c r="A17" s="117" t="s">
        <v>126</v>
      </c>
      <c r="B17" s="183">
        <f t="shared" ref="B17:M17" si="6">B16/B11</f>
        <v>0.19851116625310175</v>
      </c>
      <c r="C17" s="183">
        <f t="shared" si="6"/>
        <v>0.25196850393700787</v>
      </c>
      <c r="D17" s="183">
        <f t="shared" si="6"/>
        <v>0.32381997804610319</v>
      </c>
      <c r="E17" s="183">
        <f t="shared" si="6"/>
        <v>0.23120300751879699</v>
      </c>
      <c r="F17" s="183">
        <f t="shared" si="6"/>
        <v>0.33598937583001326</v>
      </c>
      <c r="G17" s="183">
        <f t="shared" si="6"/>
        <v>0.26685393258426965</v>
      </c>
      <c r="H17" s="183">
        <f t="shared" si="6"/>
        <v>0.14361702127659576</v>
      </c>
      <c r="I17" s="183">
        <f t="shared" si="6"/>
        <v>0.11920529801324503</v>
      </c>
      <c r="J17" s="183">
        <f t="shared" si="6"/>
        <v>0.26229508196721313</v>
      </c>
      <c r="K17" s="183">
        <f t="shared" si="6"/>
        <v>0.59139784946236562</v>
      </c>
      <c r="L17" s="183">
        <f t="shared" si="6"/>
        <v>0.56756756756756754</v>
      </c>
      <c r="M17" s="183">
        <f t="shared" si="6"/>
        <v>1</v>
      </c>
      <c r="N17" s="131"/>
    </row>
    <row r="18" spans="1:15">
      <c r="A18" s="117" t="s">
        <v>127</v>
      </c>
      <c r="B18" s="184">
        <v>146120</v>
      </c>
      <c r="C18" s="184">
        <v>322305</v>
      </c>
      <c r="D18" s="184">
        <v>405015</v>
      </c>
      <c r="E18" s="184">
        <v>90240</v>
      </c>
      <c r="F18" s="184">
        <v>333935</v>
      </c>
      <c r="G18" s="184">
        <v>176250</v>
      </c>
      <c r="H18" s="184">
        <v>17390</v>
      </c>
      <c r="I18" s="184">
        <v>67445</v>
      </c>
      <c r="J18" s="184">
        <v>58750</v>
      </c>
      <c r="K18" s="184">
        <v>117500</v>
      </c>
      <c r="L18" s="184">
        <v>42300</v>
      </c>
      <c r="M18" s="184">
        <v>4700</v>
      </c>
      <c r="N18" s="131">
        <f>SUM(B18:M18)</f>
        <v>1781950</v>
      </c>
    </row>
    <row r="19" spans="1:15">
      <c r="A19" s="117" t="s">
        <v>128</v>
      </c>
      <c r="B19" s="138">
        <v>50</v>
      </c>
      <c r="C19" s="138">
        <v>134</v>
      </c>
      <c r="D19" s="138">
        <v>178</v>
      </c>
      <c r="E19" s="138">
        <v>39</v>
      </c>
      <c r="F19" s="138">
        <v>146</v>
      </c>
      <c r="G19" s="138">
        <v>75</v>
      </c>
      <c r="H19" s="138">
        <v>8</v>
      </c>
      <c r="I19" s="138">
        <v>32</v>
      </c>
      <c r="J19" s="138">
        <v>25</v>
      </c>
      <c r="K19" s="138">
        <v>50</v>
      </c>
      <c r="L19" s="138">
        <v>18</v>
      </c>
      <c r="M19" s="138">
        <v>2</v>
      </c>
      <c r="N19" s="131">
        <f>SUM(B19:M19)</f>
        <v>757</v>
      </c>
    </row>
    <row r="20" spans="1:15" ht="18" customHeight="1">
      <c r="A20" s="132" t="s">
        <v>126</v>
      </c>
      <c r="B20" s="133">
        <f t="shared" ref="B20:M20" si="7">B19/B11</f>
        <v>0.12406947890818859</v>
      </c>
      <c r="C20" s="133">
        <f t="shared" si="7"/>
        <v>0.17585301837270342</v>
      </c>
      <c r="D20" s="133">
        <f t="shared" si="7"/>
        <v>0.19538968166849616</v>
      </c>
      <c r="E20" s="133">
        <f t="shared" si="7"/>
        <v>7.3308270676691725E-2</v>
      </c>
      <c r="F20" s="133">
        <f t="shared" si="7"/>
        <v>0.19389110225763612</v>
      </c>
      <c r="G20" s="133">
        <f t="shared" si="7"/>
        <v>0.21067415730337077</v>
      </c>
      <c r="H20" s="133">
        <f t="shared" si="7"/>
        <v>4.2553191489361701E-2</v>
      </c>
      <c r="I20" s="133">
        <f t="shared" si="7"/>
        <v>0.10596026490066225</v>
      </c>
      <c r="J20" s="133">
        <f t="shared" si="7"/>
        <v>0.20491803278688525</v>
      </c>
      <c r="K20" s="133">
        <f t="shared" si="7"/>
        <v>0.5376344086021505</v>
      </c>
      <c r="L20" s="133">
        <f t="shared" si="7"/>
        <v>0.48648648648648651</v>
      </c>
      <c r="M20" s="133">
        <f t="shared" si="7"/>
        <v>1</v>
      </c>
      <c r="N20" s="140"/>
    </row>
    <row r="21" spans="1:15">
      <c r="A21" s="117" t="s">
        <v>116</v>
      </c>
      <c r="B21" s="118">
        <v>14000000</v>
      </c>
      <c r="C21" s="118">
        <v>13500000</v>
      </c>
      <c r="D21" s="118">
        <v>16000000</v>
      </c>
      <c r="E21" s="118">
        <v>20000000</v>
      </c>
      <c r="F21" s="118">
        <v>19000000</v>
      </c>
      <c r="G21" s="118">
        <v>17000000</v>
      </c>
      <c r="H21" s="118">
        <v>16000000</v>
      </c>
      <c r="I21" s="118">
        <v>15000000</v>
      </c>
      <c r="J21" s="118">
        <v>17500000</v>
      </c>
      <c r="K21" s="118">
        <v>18500000</v>
      </c>
      <c r="L21" s="118">
        <v>17500000</v>
      </c>
      <c r="M21" s="118">
        <v>17000000</v>
      </c>
      <c r="N21" s="119">
        <f>SUM(B21:M21)</f>
        <v>201000000</v>
      </c>
    </row>
    <row r="22" spans="1:15">
      <c r="A22" s="117" t="s">
        <v>117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9"/>
      <c r="O22" s="185" t="s">
        <v>132</v>
      </c>
    </row>
    <row r="23" spans="1:15">
      <c r="A23" s="117" t="s">
        <v>118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19">
        <f>SUM(B23:M23)</f>
        <v>0</v>
      </c>
    </row>
    <row r="24" spans="1:15">
      <c r="A24" s="117" t="s">
        <v>119</v>
      </c>
      <c r="B24" s="130">
        <f>B21-B23</f>
        <v>14000000</v>
      </c>
      <c r="C24" s="130">
        <f>C21-C22</f>
        <v>13500000</v>
      </c>
      <c r="D24" s="130">
        <f>D21-D22</f>
        <v>16000000</v>
      </c>
      <c r="E24" s="130">
        <f>E21-E22</f>
        <v>20000000</v>
      </c>
      <c r="F24" s="130">
        <f>F21-F22</f>
        <v>19000000</v>
      </c>
      <c r="G24" s="130">
        <f t="shared" ref="G24:L24" si="8">G21-G23</f>
        <v>17000000</v>
      </c>
      <c r="H24" s="130">
        <f t="shared" si="8"/>
        <v>16000000</v>
      </c>
      <c r="I24" s="130">
        <f t="shared" si="8"/>
        <v>15000000</v>
      </c>
      <c r="J24" s="130">
        <f t="shared" si="8"/>
        <v>17500000</v>
      </c>
      <c r="K24" s="130">
        <f t="shared" si="8"/>
        <v>18500000</v>
      </c>
      <c r="L24" s="130">
        <f t="shared" si="8"/>
        <v>17500000</v>
      </c>
      <c r="M24" s="130">
        <v>18000000</v>
      </c>
      <c r="N24" s="131">
        <f>SUM(B24:M24)</f>
        <v>202000000</v>
      </c>
    </row>
    <row r="25" spans="1:15" ht="18" customHeight="1">
      <c r="A25" s="132" t="s">
        <v>73</v>
      </c>
      <c r="B25" s="139">
        <f>B5-B23</f>
        <v>2493516</v>
      </c>
      <c r="C25" s="139">
        <f>C5-C22</f>
        <v>4182983</v>
      </c>
      <c r="D25" s="139">
        <f>D5-D22</f>
        <v>5251225</v>
      </c>
      <c r="E25" s="139">
        <f>E5-E22</f>
        <v>3713533</v>
      </c>
      <c r="F25" s="139">
        <f>F5-F22</f>
        <v>5433020</v>
      </c>
      <c r="G25" s="139">
        <f t="shared" ref="G25:M25" si="9">G5-G21</f>
        <v>-15227432</v>
      </c>
      <c r="H25" s="139">
        <f t="shared" si="9"/>
        <v>-15001573</v>
      </c>
      <c r="I25" s="139">
        <f t="shared" si="9"/>
        <v>-13424387</v>
      </c>
      <c r="J25" s="139">
        <f t="shared" si="9"/>
        <v>-16813229</v>
      </c>
      <c r="K25" s="139">
        <f t="shared" si="9"/>
        <v>-17937340</v>
      </c>
      <c r="L25" s="139">
        <f t="shared" si="9"/>
        <v>-17329540</v>
      </c>
      <c r="M25" s="139">
        <f t="shared" si="9"/>
        <v>-16988000</v>
      </c>
      <c r="N25" s="140">
        <f>SUM(B25:M25)</f>
        <v>-91647224</v>
      </c>
    </row>
    <row r="26" spans="1:15">
      <c r="A26" s="186" t="s">
        <v>114</v>
      </c>
      <c r="B26" s="187">
        <v>3701096</v>
      </c>
      <c r="C26" s="187">
        <v>2980174</v>
      </c>
      <c r="D26" s="187">
        <v>5584201</v>
      </c>
      <c r="E26" s="187">
        <v>5487259</v>
      </c>
      <c r="F26" s="188">
        <v>6761527</v>
      </c>
      <c r="G26" s="187">
        <v>3942572</v>
      </c>
      <c r="H26" s="187">
        <v>5866719</v>
      </c>
      <c r="I26" s="187">
        <v>9564791</v>
      </c>
      <c r="J26" s="187">
        <v>5465630</v>
      </c>
      <c r="K26" s="187">
        <v>8958395</v>
      </c>
      <c r="L26" s="187">
        <v>8362200</v>
      </c>
      <c r="M26" s="187">
        <v>5672113</v>
      </c>
      <c r="N26" s="189">
        <v>72346677</v>
      </c>
      <c r="O26" s="185"/>
    </row>
    <row r="27" spans="1:15" ht="18" customHeight="1">
      <c r="A27" s="132" t="s">
        <v>115</v>
      </c>
      <c r="B27" s="156">
        <f t="shared" ref="B27:M27" si="10">B4/B26</f>
        <v>0.78541626588448399</v>
      </c>
      <c r="C27" s="156">
        <f t="shared" si="10"/>
        <v>1.6663114301379718</v>
      </c>
      <c r="D27" s="156">
        <f t="shared" si="10"/>
        <v>1.2190615989646505</v>
      </c>
      <c r="E27" s="156">
        <f t="shared" si="10"/>
        <v>0.72973555649551081</v>
      </c>
      <c r="F27" s="156">
        <f t="shared" si="10"/>
        <v>0.91332845376495575</v>
      </c>
      <c r="G27" s="156">
        <f t="shared" si="10"/>
        <v>0.53393393957041246</v>
      </c>
      <c r="H27" s="156">
        <f t="shared" si="10"/>
        <v>0.18015214296099746</v>
      </c>
      <c r="I27" s="156">
        <f t="shared" si="10"/>
        <v>0.17747465679072338</v>
      </c>
      <c r="J27" s="156">
        <f t="shared" si="10"/>
        <v>0.14588089570644189</v>
      </c>
      <c r="K27" s="156">
        <f t="shared" si="10"/>
        <v>8.5999221958844185E-2</v>
      </c>
      <c r="L27" s="156">
        <f t="shared" si="10"/>
        <v>2.9586711630910527E-2</v>
      </c>
      <c r="M27" s="156">
        <f t="shared" si="10"/>
        <v>3.5260228419285722E-3</v>
      </c>
      <c r="N27" s="157">
        <f>N5/N26</f>
        <v>0.37116806346198872</v>
      </c>
    </row>
    <row r="28" spans="1:15" ht="18" customHeight="1">
      <c r="A28" s="158" t="s">
        <v>129</v>
      </c>
      <c r="B28" s="176">
        <v>5019767</v>
      </c>
      <c r="C28" s="176">
        <v>5564351</v>
      </c>
      <c r="D28" s="176">
        <v>8310430</v>
      </c>
      <c r="E28" s="176">
        <v>4790923</v>
      </c>
      <c r="F28" s="176">
        <v>6533622</v>
      </c>
      <c r="G28" s="176">
        <v>4389116</v>
      </c>
      <c r="H28" s="176">
        <v>4605120</v>
      </c>
      <c r="I28" s="176">
        <v>9240258</v>
      </c>
      <c r="J28" s="176">
        <v>6569181</v>
      </c>
      <c r="K28" s="176">
        <v>7721028</v>
      </c>
      <c r="L28" s="176">
        <v>8280505</v>
      </c>
      <c r="M28" s="176">
        <v>5169972</v>
      </c>
      <c r="N28" s="161">
        <f>SUM(B28:M28)</f>
        <v>76194273</v>
      </c>
      <c r="O28" t="s">
        <v>133</v>
      </c>
    </row>
    <row r="29" spans="1:15" ht="18" customHeight="1">
      <c r="A29" s="190" t="s">
        <v>134</v>
      </c>
      <c r="D29" s="185"/>
    </row>
    <row r="30" spans="1:15">
      <c r="A30" s="114" t="s">
        <v>135</v>
      </c>
      <c r="B30" s="115" t="s">
        <v>98</v>
      </c>
      <c r="C30" s="115" t="s">
        <v>99</v>
      </c>
      <c r="D30" s="115" t="s">
        <v>100</v>
      </c>
      <c r="E30" s="115" t="s">
        <v>101</v>
      </c>
      <c r="F30" s="115" t="s">
        <v>102</v>
      </c>
      <c r="G30" s="115" t="s">
        <v>103</v>
      </c>
      <c r="H30" s="115" t="s">
        <v>104</v>
      </c>
      <c r="I30" s="115" t="s">
        <v>105</v>
      </c>
      <c r="J30" s="115" t="s">
        <v>106</v>
      </c>
      <c r="K30" s="115" t="s">
        <v>107</v>
      </c>
      <c r="L30" s="115" t="s">
        <v>108</v>
      </c>
      <c r="M30" s="115" t="s">
        <v>109</v>
      </c>
      <c r="N30" s="116" t="s">
        <v>42</v>
      </c>
    </row>
    <row r="31" spans="1:15">
      <c r="A31" s="117" t="s">
        <v>110</v>
      </c>
      <c r="B31" s="118">
        <v>50000</v>
      </c>
      <c r="C31" s="118">
        <v>150000</v>
      </c>
      <c r="D31" s="118">
        <v>200000</v>
      </c>
      <c r="E31" s="118">
        <v>210000</v>
      </c>
      <c r="F31" s="118">
        <v>190000</v>
      </c>
      <c r="G31" s="118">
        <v>90000</v>
      </c>
      <c r="H31" s="118">
        <v>90000</v>
      </c>
      <c r="I31" s="118">
        <v>250000</v>
      </c>
      <c r="J31" s="118">
        <v>90000</v>
      </c>
      <c r="K31" s="118">
        <v>130000</v>
      </c>
      <c r="L31" s="118">
        <v>200000</v>
      </c>
      <c r="M31" s="118">
        <v>50000</v>
      </c>
      <c r="N31" s="119">
        <f>SUM(B31:M31)</f>
        <v>1700000</v>
      </c>
    </row>
    <row r="32" spans="1:15">
      <c r="A32" s="117" t="s">
        <v>111</v>
      </c>
      <c r="B32" s="191">
        <v>60000</v>
      </c>
      <c r="C32" s="191">
        <v>0</v>
      </c>
      <c r="D32" s="191">
        <v>0</v>
      </c>
      <c r="E32" s="191"/>
      <c r="F32" s="191"/>
      <c r="G32" s="191"/>
      <c r="H32" s="191"/>
      <c r="I32" s="191"/>
      <c r="J32" s="191"/>
      <c r="K32" s="191"/>
      <c r="L32" s="191"/>
      <c r="M32" s="191"/>
      <c r="N32" s="119">
        <f>SUM(B32:M32)</f>
        <v>60000</v>
      </c>
    </row>
    <row r="33" spans="1:14">
      <c r="A33" s="117" t="s">
        <v>112</v>
      </c>
      <c r="B33" s="128">
        <f t="shared" ref="B33:N33" si="11">B32/B31</f>
        <v>1.2</v>
      </c>
      <c r="C33" s="128">
        <f t="shared" si="11"/>
        <v>0</v>
      </c>
      <c r="D33" s="128">
        <f t="shared" si="11"/>
        <v>0</v>
      </c>
      <c r="E33" s="128">
        <f t="shared" si="11"/>
        <v>0</v>
      </c>
      <c r="F33" s="128">
        <f t="shared" si="11"/>
        <v>0</v>
      </c>
      <c r="G33" s="128">
        <f t="shared" si="11"/>
        <v>0</v>
      </c>
      <c r="H33" s="128">
        <f t="shared" si="11"/>
        <v>0</v>
      </c>
      <c r="I33" s="128">
        <f t="shared" si="11"/>
        <v>0</v>
      </c>
      <c r="J33" s="128">
        <f t="shared" si="11"/>
        <v>0</v>
      </c>
      <c r="K33" s="128">
        <f t="shared" si="11"/>
        <v>0</v>
      </c>
      <c r="L33" s="128">
        <f t="shared" si="11"/>
        <v>0</v>
      </c>
      <c r="M33" s="128">
        <f t="shared" si="11"/>
        <v>0</v>
      </c>
      <c r="N33" s="129">
        <f t="shared" si="11"/>
        <v>3.5294117647058823E-2</v>
      </c>
    </row>
    <row r="34" spans="1:14">
      <c r="A34" s="117" t="s">
        <v>122</v>
      </c>
      <c r="B34" s="130">
        <f t="shared" ref="B34:M34" si="12">B32-B31</f>
        <v>10000</v>
      </c>
      <c r="C34" s="130">
        <f t="shared" si="12"/>
        <v>-150000</v>
      </c>
      <c r="D34" s="130">
        <f t="shared" si="12"/>
        <v>-200000</v>
      </c>
      <c r="E34" s="130">
        <f t="shared" si="12"/>
        <v>-210000</v>
      </c>
      <c r="F34" s="130">
        <f t="shared" si="12"/>
        <v>-190000</v>
      </c>
      <c r="G34" s="130">
        <f t="shared" si="12"/>
        <v>-90000</v>
      </c>
      <c r="H34" s="130">
        <f t="shared" si="12"/>
        <v>-90000</v>
      </c>
      <c r="I34" s="130">
        <f t="shared" si="12"/>
        <v>-250000</v>
      </c>
      <c r="J34" s="130">
        <f t="shared" si="12"/>
        <v>-90000</v>
      </c>
      <c r="K34" s="130">
        <f t="shared" si="12"/>
        <v>-130000</v>
      </c>
      <c r="L34" s="130">
        <f t="shared" si="12"/>
        <v>-200000</v>
      </c>
      <c r="M34" s="130">
        <f t="shared" si="12"/>
        <v>-50000</v>
      </c>
      <c r="N34" s="131">
        <f>SUM(B34:M34)</f>
        <v>-1640000</v>
      </c>
    </row>
    <row r="35" spans="1:14" ht="18" customHeight="1">
      <c r="A35" s="132" t="s">
        <v>81</v>
      </c>
      <c r="B35" s="133">
        <f>B36/(1*31)</f>
        <v>3.2258064516129031E-2</v>
      </c>
      <c r="C35" s="133">
        <f>C36/(1*29)</f>
        <v>0</v>
      </c>
      <c r="D35" s="133">
        <f>D36/(1*31)</f>
        <v>0</v>
      </c>
      <c r="E35" s="133">
        <f>E36/(1*30)</f>
        <v>0</v>
      </c>
      <c r="F35" s="133">
        <f>F36/(1*31)</f>
        <v>0</v>
      </c>
      <c r="G35" s="133">
        <f>G36/(1*30)</f>
        <v>0</v>
      </c>
      <c r="H35" s="133">
        <f>H36/(1*31)</f>
        <v>0</v>
      </c>
      <c r="I35" s="133">
        <f>I36/(1*31)</f>
        <v>0</v>
      </c>
      <c r="J35" s="133">
        <f>J36/(1*30)</f>
        <v>0</v>
      </c>
      <c r="K35" s="133">
        <f>K36/(1*31)</f>
        <v>0</v>
      </c>
      <c r="L35" s="133">
        <f>L36/(1*30)</f>
        <v>0</v>
      </c>
      <c r="M35" s="133">
        <f>M36/(1*31)</f>
        <v>0</v>
      </c>
      <c r="N35" s="134"/>
    </row>
    <row r="36" spans="1:14">
      <c r="A36" s="135" t="s">
        <v>77</v>
      </c>
      <c r="B36" s="192">
        <v>1</v>
      </c>
      <c r="C36" s="192">
        <v>0</v>
      </c>
      <c r="D36" s="192">
        <v>0</v>
      </c>
      <c r="E36" s="192"/>
      <c r="F36" s="192"/>
      <c r="G36" s="192"/>
      <c r="H36" s="192"/>
      <c r="I36" s="192"/>
      <c r="J36" s="192"/>
      <c r="K36" s="192"/>
      <c r="L36" s="192"/>
      <c r="M36" s="192"/>
      <c r="N36" s="137">
        <f>SUM(B36:M36)</f>
        <v>1</v>
      </c>
    </row>
    <row r="37" spans="1:14">
      <c r="A37" s="117" t="s">
        <v>78</v>
      </c>
      <c r="B37" s="193">
        <v>3</v>
      </c>
      <c r="C37" s="193">
        <v>0</v>
      </c>
      <c r="D37" s="193">
        <v>0</v>
      </c>
      <c r="E37" s="193"/>
      <c r="F37" s="193"/>
      <c r="G37" s="193"/>
      <c r="H37" s="193"/>
      <c r="I37" s="193"/>
      <c r="J37" s="193"/>
      <c r="K37" s="193"/>
      <c r="L37" s="193"/>
      <c r="M37" s="193"/>
      <c r="N37" s="131">
        <f>SUM(B37:M37)</f>
        <v>3</v>
      </c>
    </row>
    <row r="38" spans="1:14">
      <c r="A38" s="117" t="s">
        <v>79</v>
      </c>
      <c r="B38" s="130">
        <f t="shared" ref="B38:N38" si="13">B32/B36</f>
        <v>60000</v>
      </c>
      <c r="C38" s="130" t="e">
        <f t="shared" si="13"/>
        <v>#DIV/0!</v>
      </c>
      <c r="D38" s="130" t="e">
        <f t="shared" si="13"/>
        <v>#DIV/0!</v>
      </c>
      <c r="E38" s="130" t="e">
        <f t="shared" si="13"/>
        <v>#DIV/0!</v>
      </c>
      <c r="F38" s="130" t="e">
        <f t="shared" si="13"/>
        <v>#DIV/0!</v>
      </c>
      <c r="G38" s="130" t="e">
        <f t="shared" si="13"/>
        <v>#DIV/0!</v>
      </c>
      <c r="H38" s="130" t="e">
        <f t="shared" si="13"/>
        <v>#DIV/0!</v>
      </c>
      <c r="I38" s="130" t="e">
        <f t="shared" si="13"/>
        <v>#DIV/0!</v>
      </c>
      <c r="J38" s="130" t="e">
        <f t="shared" si="13"/>
        <v>#DIV/0!</v>
      </c>
      <c r="K38" s="130" t="e">
        <f t="shared" si="13"/>
        <v>#DIV/0!</v>
      </c>
      <c r="L38" s="130" t="e">
        <f t="shared" si="13"/>
        <v>#DIV/0!</v>
      </c>
      <c r="M38" s="130" t="e">
        <f t="shared" si="13"/>
        <v>#DIV/0!</v>
      </c>
      <c r="N38" s="131">
        <f t="shared" si="13"/>
        <v>60000</v>
      </c>
    </row>
    <row r="39" spans="1:14" ht="18" customHeight="1">
      <c r="A39" s="132" t="s">
        <v>80</v>
      </c>
      <c r="B39" s="139">
        <f t="shared" ref="B39:N39" si="14">B32/B37</f>
        <v>20000</v>
      </c>
      <c r="C39" s="139" t="e">
        <f t="shared" si="14"/>
        <v>#DIV/0!</v>
      </c>
      <c r="D39" s="139" t="e">
        <f t="shared" si="14"/>
        <v>#DIV/0!</v>
      </c>
      <c r="E39" s="139" t="e">
        <f t="shared" si="14"/>
        <v>#DIV/0!</v>
      </c>
      <c r="F39" s="139" t="e">
        <f t="shared" si="14"/>
        <v>#DIV/0!</v>
      </c>
      <c r="G39" s="139" t="e">
        <f t="shared" si="14"/>
        <v>#DIV/0!</v>
      </c>
      <c r="H39" s="139" t="e">
        <f t="shared" si="14"/>
        <v>#DIV/0!</v>
      </c>
      <c r="I39" s="139" t="e">
        <f t="shared" si="14"/>
        <v>#DIV/0!</v>
      </c>
      <c r="J39" s="139" t="e">
        <f t="shared" si="14"/>
        <v>#DIV/0!</v>
      </c>
      <c r="K39" s="139" t="e">
        <f t="shared" si="14"/>
        <v>#DIV/0!</v>
      </c>
      <c r="L39" s="139" t="e">
        <f t="shared" si="14"/>
        <v>#DIV/0!</v>
      </c>
      <c r="M39" s="139" t="e">
        <f t="shared" si="14"/>
        <v>#DIV/0!</v>
      </c>
      <c r="N39" s="140">
        <f t="shared" si="14"/>
        <v>20000</v>
      </c>
    </row>
    <row r="40" spans="1:14">
      <c r="A40" s="135" t="s">
        <v>114</v>
      </c>
      <c r="B40" s="168">
        <v>49071</v>
      </c>
      <c r="C40" s="168">
        <v>137999</v>
      </c>
      <c r="D40" s="168">
        <v>200400</v>
      </c>
      <c r="E40" s="168">
        <v>205579</v>
      </c>
      <c r="F40" s="168">
        <v>187337</v>
      </c>
      <c r="G40" s="168">
        <v>81410</v>
      </c>
      <c r="H40" s="168">
        <v>89625</v>
      </c>
      <c r="I40" s="168">
        <v>237984</v>
      </c>
      <c r="J40" s="194">
        <v>89828</v>
      </c>
      <c r="K40" s="168">
        <v>129196</v>
      </c>
      <c r="L40" s="168">
        <v>189315</v>
      </c>
      <c r="M40" s="168">
        <v>135230</v>
      </c>
      <c r="N40" s="155">
        <f>SUM(B40:M40)</f>
        <v>1732974</v>
      </c>
    </row>
    <row r="41" spans="1:14" ht="18" customHeight="1">
      <c r="A41" s="132" t="s">
        <v>115</v>
      </c>
      <c r="B41" s="156">
        <f t="shared" ref="B41:N41" si="15">B32/B40</f>
        <v>1.2227181023415052</v>
      </c>
      <c r="C41" s="156">
        <f t="shared" si="15"/>
        <v>0</v>
      </c>
      <c r="D41" s="156">
        <f t="shared" si="15"/>
        <v>0</v>
      </c>
      <c r="E41" s="156">
        <f t="shared" si="15"/>
        <v>0</v>
      </c>
      <c r="F41" s="156">
        <f t="shared" si="15"/>
        <v>0</v>
      </c>
      <c r="G41" s="156">
        <f t="shared" si="15"/>
        <v>0</v>
      </c>
      <c r="H41" s="156">
        <f t="shared" si="15"/>
        <v>0</v>
      </c>
      <c r="I41" s="156">
        <f t="shared" si="15"/>
        <v>0</v>
      </c>
      <c r="J41" s="156">
        <f t="shared" si="15"/>
        <v>0</v>
      </c>
      <c r="K41" s="156">
        <f t="shared" si="15"/>
        <v>0</v>
      </c>
      <c r="L41" s="156">
        <f t="shared" si="15"/>
        <v>0</v>
      </c>
      <c r="M41" s="156">
        <f t="shared" si="15"/>
        <v>0</v>
      </c>
      <c r="N41" s="157">
        <f t="shared" si="15"/>
        <v>3.4622562138843398E-2</v>
      </c>
    </row>
    <row r="42" spans="1:14">
      <c r="A42" s="113"/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</row>
    <row r="43" spans="1:14" ht="18" customHeight="1">
      <c r="A43" s="195" t="s">
        <v>136</v>
      </c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</row>
    <row r="44" spans="1:14">
      <c r="A44" s="114" t="s">
        <v>137</v>
      </c>
      <c r="B44" s="115" t="s">
        <v>98</v>
      </c>
      <c r="C44" s="115" t="s">
        <v>99</v>
      </c>
      <c r="D44" s="115" t="s">
        <v>100</v>
      </c>
      <c r="E44" s="115" t="s">
        <v>101</v>
      </c>
      <c r="F44" s="115" t="s">
        <v>102</v>
      </c>
      <c r="G44" s="115" t="s">
        <v>103</v>
      </c>
      <c r="H44" s="115" t="s">
        <v>104</v>
      </c>
      <c r="I44" s="115" t="s">
        <v>105</v>
      </c>
      <c r="J44" s="115" t="s">
        <v>106</v>
      </c>
      <c r="K44" s="115" t="s">
        <v>107</v>
      </c>
      <c r="L44" s="115" t="s">
        <v>108</v>
      </c>
      <c r="M44" s="115" t="s">
        <v>109</v>
      </c>
      <c r="N44" s="116" t="s">
        <v>42</v>
      </c>
    </row>
    <row r="45" spans="1:14">
      <c r="A45" s="117" t="s">
        <v>110</v>
      </c>
      <c r="B45" s="118">
        <v>50000</v>
      </c>
      <c r="C45" s="118">
        <v>130000</v>
      </c>
      <c r="D45" s="118">
        <v>200000</v>
      </c>
      <c r="E45" s="118">
        <v>150000</v>
      </c>
      <c r="F45" s="118">
        <v>150000</v>
      </c>
      <c r="G45" s="118">
        <v>100000</v>
      </c>
      <c r="H45" s="118">
        <v>150000</v>
      </c>
      <c r="I45" s="118">
        <v>200000</v>
      </c>
      <c r="J45" s="118">
        <v>150000</v>
      </c>
      <c r="K45" s="118">
        <v>130000</v>
      </c>
      <c r="L45" s="118">
        <v>200000</v>
      </c>
      <c r="M45" s="118">
        <v>150000</v>
      </c>
      <c r="N45" s="119">
        <f>SUM(B45:M45)</f>
        <v>1760000</v>
      </c>
    </row>
    <row r="46" spans="1:14">
      <c r="A46" s="117" t="s">
        <v>111</v>
      </c>
      <c r="B46" s="126">
        <v>104000</v>
      </c>
      <c r="C46" s="126">
        <v>104000</v>
      </c>
      <c r="D46" s="126">
        <v>104000</v>
      </c>
      <c r="E46" s="126">
        <v>104000</v>
      </c>
      <c r="F46" s="126">
        <v>4000</v>
      </c>
      <c r="G46" s="126">
        <v>4000</v>
      </c>
      <c r="H46" s="126">
        <v>4000</v>
      </c>
      <c r="I46" s="126">
        <v>4000</v>
      </c>
      <c r="J46" s="126">
        <v>4000</v>
      </c>
      <c r="K46" s="126">
        <v>4000</v>
      </c>
      <c r="L46" s="126">
        <v>4000</v>
      </c>
      <c r="M46" s="126">
        <v>4000</v>
      </c>
      <c r="N46" s="119">
        <f>SUM(B46:M46)</f>
        <v>448000</v>
      </c>
    </row>
    <row r="47" spans="1:14">
      <c r="A47" s="117" t="s">
        <v>112</v>
      </c>
      <c r="B47" s="128">
        <f t="shared" ref="B47:N47" si="16">B46/B45</f>
        <v>2.08</v>
      </c>
      <c r="C47" s="128">
        <f t="shared" si="16"/>
        <v>0.8</v>
      </c>
      <c r="D47" s="128">
        <f t="shared" si="16"/>
        <v>0.52</v>
      </c>
      <c r="E47" s="128">
        <f t="shared" si="16"/>
        <v>0.69333333333333336</v>
      </c>
      <c r="F47" s="128">
        <f t="shared" si="16"/>
        <v>2.6666666666666668E-2</v>
      </c>
      <c r="G47" s="128">
        <f t="shared" si="16"/>
        <v>0.04</v>
      </c>
      <c r="H47" s="128">
        <f t="shared" si="16"/>
        <v>2.6666666666666668E-2</v>
      </c>
      <c r="I47" s="128">
        <f t="shared" si="16"/>
        <v>0.02</v>
      </c>
      <c r="J47" s="128">
        <f t="shared" si="16"/>
        <v>2.6666666666666668E-2</v>
      </c>
      <c r="K47" s="128">
        <f t="shared" si="16"/>
        <v>3.0769230769230771E-2</v>
      </c>
      <c r="L47" s="128">
        <f t="shared" si="16"/>
        <v>0.02</v>
      </c>
      <c r="M47" s="128">
        <f t="shared" si="16"/>
        <v>2.6666666666666668E-2</v>
      </c>
      <c r="N47" s="129">
        <f t="shared" si="16"/>
        <v>0.25454545454545452</v>
      </c>
    </row>
    <row r="48" spans="1:14">
      <c r="A48" s="117" t="s">
        <v>122</v>
      </c>
      <c r="B48" s="130">
        <f t="shared" ref="B48:M48" si="17">B46-B45</f>
        <v>54000</v>
      </c>
      <c r="C48" s="130">
        <f t="shared" si="17"/>
        <v>-26000</v>
      </c>
      <c r="D48" s="130">
        <f t="shared" si="17"/>
        <v>-96000</v>
      </c>
      <c r="E48" s="130">
        <f t="shared" si="17"/>
        <v>-46000</v>
      </c>
      <c r="F48" s="130">
        <f t="shared" si="17"/>
        <v>-146000</v>
      </c>
      <c r="G48" s="130">
        <f t="shared" si="17"/>
        <v>-96000</v>
      </c>
      <c r="H48" s="130">
        <f t="shared" si="17"/>
        <v>-146000</v>
      </c>
      <c r="I48" s="130">
        <f t="shared" si="17"/>
        <v>-196000</v>
      </c>
      <c r="J48" s="130">
        <f t="shared" si="17"/>
        <v>-146000</v>
      </c>
      <c r="K48" s="130">
        <f t="shared" si="17"/>
        <v>-126000</v>
      </c>
      <c r="L48" s="130">
        <f t="shared" si="17"/>
        <v>-196000</v>
      </c>
      <c r="M48" s="130">
        <f t="shared" si="17"/>
        <v>-146000</v>
      </c>
      <c r="N48" s="131">
        <f>SUM(B48:M48)</f>
        <v>-1312000</v>
      </c>
    </row>
    <row r="49" spans="1:20" ht="18" customHeight="1">
      <c r="A49" s="132" t="s">
        <v>81</v>
      </c>
      <c r="B49" s="133">
        <f>B50/(1*31)</f>
        <v>1</v>
      </c>
      <c r="C49" s="133">
        <f>C50/(1*29)</f>
        <v>0.96551724137931039</v>
      </c>
      <c r="D49" s="133">
        <f>D50/(1*31)</f>
        <v>1</v>
      </c>
      <c r="E49" s="133">
        <f>E50/(1*30)</f>
        <v>1</v>
      </c>
      <c r="F49" s="133">
        <f>F50/(1*31)</f>
        <v>1</v>
      </c>
      <c r="G49" s="133">
        <f>G50/(1*30)</f>
        <v>1</v>
      </c>
      <c r="H49" s="133">
        <f>H50/(1*31)</f>
        <v>1</v>
      </c>
      <c r="I49" s="133">
        <f>I50/(1*31)</f>
        <v>1</v>
      </c>
      <c r="J49" s="133">
        <f>J50/(1*30)</f>
        <v>1</v>
      </c>
      <c r="K49" s="133">
        <f>K50/(1*31)</f>
        <v>1</v>
      </c>
      <c r="L49" s="133">
        <f>L50/(1*30)</f>
        <v>1</v>
      </c>
      <c r="M49" s="133">
        <f>M50/(1*31)</f>
        <v>1</v>
      </c>
      <c r="N49" s="134"/>
    </row>
    <row r="50" spans="1:20">
      <c r="A50" s="135" t="s">
        <v>77</v>
      </c>
      <c r="B50" s="136">
        <v>31</v>
      </c>
      <c r="C50" s="136">
        <v>28</v>
      </c>
      <c r="D50" s="136">
        <v>31</v>
      </c>
      <c r="E50" s="136">
        <v>30</v>
      </c>
      <c r="F50" s="136">
        <v>31</v>
      </c>
      <c r="G50" s="136">
        <v>30</v>
      </c>
      <c r="H50" s="136">
        <v>31</v>
      </c>
      <c r="I50" s="136">
        <v>31</v>
      </c>
      <c r="J50" s="136">
        <v>30</v>
      </c>
      <c r="K50" s="136">
        <v>31</v>
      </c>
      <c r="L50" s="136">
        <v>30</v>
      </c>
      <c r="M50" s="136">
        <v>31</v>
      </c>
      <c r="N50" s="137">
        <f>SUM(B50:M50)</f>
        <v>365</v>
      </c>
    </row>
    <row r="51" spans="1:20">
      <c r="A51" s="117" t="s">
        <v>78</v>
      </c>
      <c r="B51" s="138">
        <v>124</v>
      </c>
      <c r="C51" s="138"/>
      <c r="D51" s="138">
        <v>124</v>
      </c>
      <c r="E51" s="138">
        <v>120</v>
      </c>
      <c r="F51" s="138">
        <v>124</v>
      </c>
      <c r="G51" s="138">
        <v>120</v>
      </c>
      <c r="H51" s="138">
        <v>124</v>
      </c>
      <c r="I51" s="138">
        <v>124</v>
      </c>
      <c r="J51" s="138">
        <v>120</v>
      </c>
      <c r="K51" s="138">
        <v>124</v>
      </c>
      <c r="L51" s="138">
        <v>120</v>
      </c>
      <c r="M51" s="138">
        <v>124</v>
      </c>
      <c r="N51" s="131">
        <f>SUM(B51:M51)</f>
        <v>1348</v>
      </c>
    </row>
    <row r="52" spans="1:20">
      <c r="A52" s="117" t="s">
        <v>79</v>
      </c>
      <c r="B52" s="130">
        <f t="shared" ref="B52:N52" si="18">B46/B50</f>
        <v>3354.8387096774195</v>
      </c>
      <c r="C52" s="130">
        <f t="shared" si="18"/>
        <v>3714.2857142857142</v>
      </c>
      <c r="D52" s="130">
        <f t="shared" si="18"/>
        <v>3354.8387096774195</v>
      </c>
      <c r="E52" s="130">
        <f t="shared" si="18"/>
        <v>3466.6666666666665</v>
      </c>
      <c r="F52" s="130">
        <f t="shared" si="18"/>
        <v>129.03225806451613</v>
      </c>
      <c r="G52" s="130">
        <f t="shared" si="18"/>
        <v>133.33333333333334</v>
      </c>
      <c r="H52" s="130">
        <f t="shared" si="18"/>
        <v>129.03225806451613</v>
      </c>
      <c r="I52" s="130">
        <f t="shared" si="18"/>
        <v>129.03225806451613</v>
      </c>
      <c r="J52" s="130">
        <f t="shared" si="18"/>
        <v>133.33333333333334</v>
      </c>
      <c r="K52" s="130">
        <f t="shared" si="18"/>
        <v>129.03225806451613</v>
      </c>
      <c r="L52" s="130">
        <f t="shared" si="18"/>
        <v>133.33333333333334</v>
      </c>
      <c r="M52" s="130">
        <f t="shared" si="18"/>
        <v>129.03225806451613</v>
      </c>
      <c r="N52" s="131">
        <f t="shared" si="18"/>
        <v>1227.3972602739725</v>
      </c>
    </row>
    <row r="53" spans="1:20" ht="18" customHeight="1">
      <c r="A53" s="132" t="s">
        <v>80</v>
      </c>
      <c r="B53" s="139">
        <f t="shared" ref="B53:N53" si="19">B46/B51</f>
        <v>838.70967741935488</v>
      </c>
      <c r="C53" s="139" t="e">
        <f t="shared" si="19"/>
        <v>#DIV/0!</v>
      </c>
      <c r="D53" s="139">
        <f t="shared" si="19"/>
        <v>838.70967741935488</v>
      </c>
      <c r="E53" s="139">
        <f t="shared" si="19"/>
        <v>866.66666666666663</v>
      </c>
      <c r="F53" s="139">
        <f t="shared" si="19"/>
        <v>32.258064516129032</v>
      </c>
      <c r="G53" s="139">
        <f t="shared" si="19"/>
        <v>33.333333333333336</v>
      </c>
      <c r="H53" s="139">
        <f t="shared" si="19"/>
        <v>32.258064516129032</v>
      </c>
      <c r="I53" s="139">
        <f t="shared" si="19"/>
        <v>32.258064516129032</v>
      </c>
      <c r="J53" s="139">
        <f t="shared" si="19"/>
        <v>33.333333333333336</v>
      </c>
      <c r="K53" s="139">
        <f t="shared" si="19"/>
        <v>32.258064516129032</v>
      </c>
      <c r="L53" s="139">
        <f t="shared" si="19"/>
        <v>33.333333333333336</v>
      </c>
      <c r="M53" s="139">
        <f t="shared" si="19"/>
        <v>32.258064516129032</v>
      </c>
      <c r="N53" s="140">
        <f t="shared" si="19"/>
        <v>332.34421364985161</v>
      </c>
    </row>
    <row r="54" spans="1:20">
      <c r="A54" s="135" t="s">
        <v>114</v>
      </c>
      <c r="B54" s="168">
        <v>49071</v>
      </c>
      <c r="C54" s="168">
        <v>137999</v>
      </c>
      <c r="D54" s="168">
        <v>200400</v>
      </c>
      <c r="E54" s="168">
        <v>205579</v>
      </c>
      <c r="F54" s="168">
        <v>187337</v>
      </c>
      <c r="G54" s="168">
        <v>81410</v>
      </c>
      <c r="H54" s="168">
        <v>89625</v>
      </c>
      <c r="I54" s="168">
        <v>237984</v>
      </c>
      <c r="J54" s="194">
        <v>89828</v>
      </c>
      <c r="K54" s="168">
        <v>129196</v>
      </c>
      <c r="L54" s="168">
        <v>158915</v>
      </c>
      <c r="M54" s="168">
        <v>0</v>
      </c>
      <c r="N54" s="155">
        <f>SUM(B54:M54)</f>
        <v>1567344</v>
      </c>
    </row>
    <row r="55" spans="1:20" ht="18" customHeight="1">
      <c r="A55" s="132" t="s">
        <v>115</v>
      </c>
      <c r="B55" s="156">
        <f t="shared" ref="B55:N55" si="20">B46/B54</f>
        <v>2.119378044058609</v>
      </c>
      <c r="C55" s="156">
        <f t="shared" si="20"/>
        <v>0.75362864948296726</v>
      </c>
      <c r="D55" s="156">
        <f t="shared" si="20"/>
        <v>0.51896207584830334</v>
      </c>
      <c r="E55" s="156">
        <f t="shared" si="20"/>
        <v>0.50588824734043847</v>
      </c>
      <c r="F55" s="156">
        <f t="shared" si="20"/>
        <v>2.1351895247601914E-2</v>
      </c>
      <c r="G55" s="156">
        <f t="shared" si="20"/>
        <v>4.9134013020513449E-2</v>
      </c>
      <c r="H55" s="156">
        <f t="shared" si="20"/>
        <v>4.4630404463040445E-2</v>
      </c>
      <c r="I55" s="156">
        <f t="shared" si="20"/>
        <v>1.6807852628748152E-2</v>
      </c>
      <c r="J55" s="156">
        <f t="shared" si="20"/>
        <v>4.4529545353341943E-2</v>
      </c>
      <c r="K55" s="156">
        <f t="shared" si="20"/>
        <v>3.0960710857921299E-2</v>
      </c>
      <c r="L55" s="156">
        <f t="shared" si="20"/>
        <v>2.5170688732970455E-2</v>
      </c>
      <c r="M55" s="156" t="e">
        <f t="shared" si="20"/>
        <v>#DIV/0!</v>
      </c>
      <c r="N55" s="157">
        <f t="shared" si="20"/>
        <v>0.28583386927183824</v>
      </c>
    </row>
    <row r="57" spans="1:20" ht="18" customHeight="1">
      <c r="A57" s="393" t="s">
        <v>138</v>
      </c>
      <c r="B57" s="393"/>
      <c r="C57" s="393"/>
      <c r="D57" s="393"/>
      <c r="E57" s="393"/>
      <c r="F57" s="393"/>
      <c r="G57" s="393"/>
      <c r="H57" s="393"/>
      <c r="I57" s="393"/>
      <c r="J57" s="393"/>
      <c r="K57" s="393"/>
      <c r="L57" s="393"/>
      <c r="M57" s="393"/>
      <c r="N57" s="60"/>
    </row>
    <row r="58" spans="1:20">
      <c r="A58" s="196" t="s">
        <v>139</v>
      </c>
      <c r="B58" s="196" t="s">
        <v>140</v>
      </c>
      <c r="C58" s="196" t="s">
        <v>141</v>
      </c>
      <c r="D58" s="196" t="s">
        <v>142</v>
      </c>
      <c r="E58" s="196" t="s">
        <v>143</v>
      </c>
      <c r="F58" s="196" t="s">
        <v>144</v>
      </c>
      <c r="G58" s="196" t="s">
        <v>145</v>
      </c>
      <c r="H58" s="196" t="s">
        <v>146</v>
      </c>
      <c r="I58" s="196" t="s">
        <v>147</v>
      </c>
      <c r="J58" s="196" t="s">
        <v>148</v>
      </c>
      <c r="K58" s="196" t="s">
        <v>149</v>
      </c>
      <c r="L58" s="196" t="s">
        <v>150</v>
      </c>
      <c r="M58" s="196" t="s">
        <v>151</v>
      </c>
      <c r="N58" s="197" t="s">
        <v>42</v>
      </c>
      <c r="P58" s="135" t="s">
        <v>152</v>
      </c>
      <c r="Q58" s="198" t="s">
        <v>153</v>
      </c>
      <c r="R58" s="199" t="s">
        <v>154</v>
      </c>
      <c r="S58" s="200" t="s">
        <v>155</v>
      </c>
      <c r="T58" s="60"/>
    </row>
    <row r="59" spans="1:20" ht="18" customHeight="1">
      <c r="A59" s="197" t="s">
        <v>125</v>
      </c>
      <c r="B59" s="100">
        <f>B16+ホテル部門→!B29+ホテル部門→!B51</f>
        <v>323</v>
      </c>
      <c r="C59" s="100">
        <f>C16+ホテル部門→!C29+ホテル部門→!C51</f>
        <v>399</v>
      </c>
      <c r="D59" s="100">
        <f>D16+ホテル部門→!D29+ホテル部門→!D51</f>
        <v>675</v>
      </c>
      <c r="E59" s="100">
        <f>E16+ホテル部門→!E29+ホテル部門→!E51</f>
        <v>403</v>
      </c>
      <c r="F59" s="100">
        <f>F16+ホテル部門→!F29+ホテル部門→!F51</f>
        <v>520</v>
      </c>
      <c r="G59" s="100">
        <f>G16+ホテル部門→!G29+ホテル部門→!G51</f>
        <v>144</v>
      </c>
      <c r="H59" s="100">
        <f>H16+ホテル部門→!H29+ホテル部門→!H51</f>
        <v>65</v>
      </c>
      <c r="I59" s="100">
        <f>I16+ホテル部門→!I29+ホテル部門→!I51</f>
        <v>91</v>
      </c>
      <c r="J59" s="100">
        <f>J16+ホテル部門→!J29+ホテル部門→!J51</f>
        <v>72</v>
      </c>
      <c r="K59" s="100">
        <f>K16+ホテル部門→!K29+ホテル部門→!K51</f>
        <v>88</v>
      </c>
      <c r="L59" s="100">
        <f>L16+ホテル部門→!L29+ホテル部門→!L51</f>
        <v>22</v>
      </c>
      <c r="M59" s="100">
        <f>M16+ホテル部門→!M29+ホテル部門→!M51</f>
        <v>3</v>
      </c>
      <c r="N59" s="100">
        <f>SUM(B59:M59)</f>
        <v>2805</v>
      </c>
      <c r="P59" s="201">
        <v>1100</v>
      </c>
      <c r="Q59" s="202">
        <v>770</v>
      </c>
      <c r="R59" s="202">
        <v>1900</v>
      </c>
      <c r="S59" s="203">
        <v>1330</v>
      </c>
      <c r="T59" s="60"/>
    </row>
    <row r="60" spans="1:20">
      <c r="A60" s="204" t="s">
        <v>156</v>
      </c>
      <c r="B60" s="100">
        <f t="shared" ref="B60:M60" si="21">B19</f>
        <v>50</v>
      </c>
      <c r="C60" s="100">
        <f t="shared" si="21"/>
        <v>134</v>
      </c>
      <c r="D60" s="100">
        <f t="shared" si="21"/>
        <v>178</v>
      </c>
      <c r="E60" s="100">
        <f t="shared" si="21"/>
        <v>39</v>
      </c>
      <c r="F60" s="100">
        <f t="shared" si="21"/>
        <v>146</v>
      </c>
      <c r="G60" s="100">
        <f t="shared" si="21"/>
        <v>75</v>
      </c>
      <c r="H60" s="100">
        <f t="shared" si="21"/>
        <v>8</v>
      </c>
      <c r="I60" s="100">
        <f t="shared" si="21"/>
        <v>32</v>
      </c>
      <c r="J60" s="100">
        <f t="shared" si="21"/>
        <v>25</v>
      </c>
      <c r="K60" s="100">
        <f t="shared" si="21"/>
        <v>50</v>
      </c>
      <c r="L60" s="100">
        <f t="shared" si="21"/>
        <v>18</v>
      </c>
      <c r="M60" s="100">
        <f t="shared" si="21"/>
        <v>2</v>
      </c>
      <c r="N60" s="100">
        <f>SUM(B60:M60)</f>
        <v>757</v>
      </c>
      <c r="P60" s="60"/>
      <c r="Q60" s="60"/>
      <c r="R60" s="60"/>
      <c r="S60" s="60"/>
      <c r="T60" s="60"/>
    </row>
    <row r="61" spans="1:20" ht="35.25" customHeight="1">
      <c r="A61" s="204" t="s">
        <v>157</v>
      </c>
      <c r="B61" s="205">
        <v>24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100">
        <f>SUM(B61:M61)</f>
        <v>24</v>
      </c>
      <c r="P61" s="185" t="s">
        <v>158</v>
      </c>
      <c r="Q61" s="75"/>
      <c r="R61" s="75"/>
      <c r="S61" s="75"/>
      <c r="T61" s="75"/>
    </row>
    <row r="62" spans="1:20" ht="25.5" customHeight="1">
      <c r="A62" s="204" t="s">
        <v>159</v>
      </c>
      <c r="B62" s="205">
        <v>41610</v>
      </c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100"/>
      <c r="P62" s="206"/>
      <c r="Q62" s="207" t="s">
        <v>160</v>
      </c>
      <c r="R62" s="207" t="s">
        <v>161</v>
      </c>
      <c r="S62" s="207" t="s">
        <v>19</v>
      </c>
      <c r="T62" s="207" t="s">
        <v>162</v>
      </c>
    </row>
    <row r="63" spans="1:20">
      <c r="A63" s="208" t="s">
        <v>163</v>
      </c>
      <c r="B63" s="209">
        <f>B14+ホテル部門→!B28+ホテル部門→!B50</f>
        <v>670820</v>
      </c>
      <c r="C63" s="209">
        <f>C14+ホテル部門→!C28+ホテル部門→!C50</f>
        <v>928675</v>
      </c>
      <c r="D63" s="209">
        <f>D14+ホテル部門→!D28+ホテル部門→!D50</f>
        <v>1470090</v>
      </c>
      <c r="E63" s="209">
        <f>E14+ホテル部門→!E28+ホテル部門→!E50</f>
        <v>741330</v>
      </c>
      <c r="F63" s="209">
        <f>F14+ホテル部門→!F28+ホテル部門→!F50</f>
        <v>1171145</v>
      </c>
      <c r="G63" s="209">
        <f>G14+ホテル部門→!G28+ホテル部門→!G50</f>
        <v>412860</v>
      </c>
      <c r="H63" s="209">
        <f>H14+ホテル部門→!H28+ホテル部門→!H50</f>
        <v>117215</v>
      </c>
      <c r="I63" s="209">
        <f>I14+ホテル部門→!I28+ホテル部門→!I50</f>
        <v>204725</v>
      </c>
      <c r="J63" s="209">
        <f>J14+ホテル部門→!J28+ホテル部門→!J50</f>
        <v>174085</v>
      </c>
      <c r="K63" s="209">
        <f>K14+ホテル部門→!K28+ホテル部門→!K50</f>
        <v>259730</v>
      </c>
      <c r="L63" s="209">
        <f>L14+ホテル部門→!L28+ホテル部門→!L50</f>
        <v>78600</v>
      </c>
      <c r="M63" s="209">
        <f>M14+ホテル部門→!M28+ホテル部門→!M50</f>
        <v>9650</v>
      </c>
      <c r="N63" s="100">
        <f t="shared" ref="N63:N69" si="22">SUM(B63:M63)</f>
        <v>6238925</v>
      </c>
      <c r="P63" s="85" t="s">
        <v>152</v>
      </c>
      <c r="Q63" s="210"/>
      <c r="R63" s="206">
        <v>1100</v>
      </c>
      <c r="S63" s="211">
        <f>Q63*R63</f>
        <v>0</v>
      </c>
      <c r="T63" s="207" t="s">
        <v>164</v>
      </c>
    </row>
    <row r="64" spans="1:20">
      <c r="A64" s="197" t="s">
        <v>165</v>
      </c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100">
        <f t="shared" si="22"/>
        <v>0</v>
      </c>
      <c r="P64" s="85" t="s">
        <v>153</v>
      </c>
      <c r="Q64" s="210"/>
      <c r="R64" s="206">
        <v>770</v>
      </c>
      <c r="S64" s="211">
        <f>Q64*R64</f>
        <v>0</v>
      </c>
      <c r="T64" s="206">
        <f>Q63+Q64</f>
        <v>0</v>
      </c>
    </row>
    <row r="65" spans="1:20" ht="25.5" customHeight="1">
      <c r="A65" s="204" t="s">
        <v>166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100">
        <f t="shared" si="22"/>
        <v>0</v>
      </c>
      <c r="P65" s="85" t="s">
        <v>154</v>
      </c>
      <c r="Q65" s="210">
        <v>17</v>
      </c>
      <c r="R65" s="206">
        <v>1900</v>
      </c>
      <c r="S65" s="211">
        <f>Q65*R65</f>
        <v>32300</v>
      </c>
      <c r="T65" s="207" t="s">
        <v>167</v>
      </c>
    </row>
    <row r="66" spans="1:20">
      <c r="A66" s="208" t="s">
        <v>168</v>
      </c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100">
        <f t="shared" si="22"/>
        <v>0</v>
      </c>
      <c r="P66" s="85" t="s">
        <v>155</v>
      </c>
      <c r="Q66" s="210">
        <v>7</v>
      </c>
      <c r="R66" s="206">
        <v>1330</v>
      </c>
      <c r="S66" s="211">
        <f>Q66*R66</f>
        <v>9310</v>
      </c>
      <c r="T66" s="206">
        <f>Q65+Q66</f>
        <v>24</v>
      </c>
    </row>
    <row r="67" spans="1:20">
      <c r="A67" s="208" t="s">
        <v>25</v>
      </c>
      <c r="B67" s="213">
        <f t="shared" ref="B67:M67" si="23">B62+B63+B64+B65+B66</f>
        <v>712430</v>
      </c>
      <c r="C67" s="213">
        <f t="shared" si="23"/>
        <v>928675</v>
      </c>
      <c r="D67" s="213">
        <f t="shared" si="23"/>
        <v>1470090</v>
      </c>
      <c r="E67" s="213">
        <f t="shared" si="23"/>
        <v>741330</v>
      </c>
      <c r="F67" s="213">
        <f t="shared" si="23"/>
        <v>1171145</v>
      </c>
      <c r="G67" s="213">
        <f t="shared" si="23"/>
        <v>412860</v>
      </c>
      <c r="H67" s="213">
        <f t="shared" si="23"/>
        <v>117215</v>
      </c>
      <c r="I67" s="213">
        <f t="shared" si="23"/>
        <v>204725</v>
      </c>
      <c r="J67" s="213">
        <f t="shared" si="23"/>
        <v>174085</v>
      </c>
      <c r="K67" s="213">
        <f t="shared" si="23"/>
        <v>259730</v>
      </c>
      <c r="L67" s="213">
        <f t="shared" si="23"/>
        <v>78600</v>
      </c>
      <c r="M67" s="213">
        <f t="shared" si="23"/>
        <v>9650</v>
      </c>
      <c r="N67" s="213">
        <f t="shared" si="22"/>
        <v>6280535</v>
      </c>
      <c r="P67" s="206"/>
      <c r="Q67" s="206"/>
      <c r="R67" s="214" t="s">
        <v>25</v>
      </c>
      <c r="S67" s="211">
        <f>SUM(S63:S66)</f>
        <v>41610</v>
      </c>
      <c r="T67" s="206"/>
    </row>
    <row r="68" spans="1:20">
      <c r="A68" s="208" t="s">
        <v>169</v>
      </c>
      <c r="B68" s="109">
        <v>313563</v>
      </c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0">
        <f t="shared" si="22"/>
        <v>313563</v>
      </c>
      <c r="P68" s="185" t="s">
        <v>170</v>
      </c>
      <c r="Q68" s="75"/>
      <c r="R68" s="75"/>
      <c r="S68" s="75"/>
      <c r="T68" s="75"/>
    </row>
    <row r="69" spans="1:20">
      <c r="A69" s="208" t="s">
        <v>171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0">
        <f t="shared" si="22"/>
        <v>0</v>
      </c>
      <c r="P69" s="206"/>
      <c r="Q69" s="207" t="s">
        <v>160</v>
      </c>
      <c r="R69" s="207" t="s">
        <v>161</v>
      </c>
      <c r="S69" s="207" t="s">
        <v>19</v>
      </c>
      <c r="T69" s="207" t="s">
        <v>162</v>
      </c>
    </row>
    <row r="70" spans="1:20">
      <c r="A70" s="215" t="s">
        <v>172</v>
      </c>
      <c r="B70" s="216">
        <f t="shared" ref="B70:N70" si="24">B68/B67</f>
        <v>0.44013166205802673</v>
      </c>
      <c r="C70" s="216">
        <f t="shared" si="24"/>
        <v>0</v>
      </c>
      <c r="D70" s="216">
        <f t="shared" si="24"/>
        <v>0</v>
      </c>
      <c r="E70" s="216">
        <f t="shared" si="24"/>
        <v>0</v>
      </c>
      <c r="F70" s="216">
        <f t="shared" si="24"/>
        <v>0</v>
      </c>
      <c r="G70" s="216">
        <f t="shared" si="24"/>
        <v>0</v>
      </c>
      <c r="H70" s="216">
        <f t="shared" si="24"/>
        <v>0</v>
      </c>
      <c r="I70" s="216">
        <f t="shared" si="24"/>
        <v>0</v>
      </c>
      <c r="J70" s="216">
        <f t="shared" si="24"/>
        <v>0</v>
      </c>
      <c r="K70" s="216">
        <f t="shared" si="24"/>
        <v>0</v>
      </c>
      <c r="L70" s="216">
        <f t="shared" si="24"/>
        <v>0</v>
      </c>
      <c r="M70" s="216">
        <f t="shared" si="24"/>
        <v>0</v>
      </c>
      <c r="N70" s="216">
        <f t="shared" si="24"/>
        <v>4.9926160749044469E-2</v>
      </c>
      <c r="P70" s="85" t="s">
        <v>152</v>
      </c>
      <c r="Q70" s="210"/>
      <c r="R70" s="206">
        <v>1650</v>
      </c>
      <c r="S70" s="211">
        <f>Q70*R70</f>
        <v>0</v>
      </c>
      <c r="T70" s="207" t="s">
        <v>164</v>
      </c>
    </row>
    <row r="71" spans="1:20">
      <c r="A71" s="215" t="s">
        <v>173</v>
      </c>
      <c r="B71" s="217">
        <f t="shared" ref="B71:N71" si="25">B69/B67</f>
        <v>0</v>
      </c>
      <c r="C71" s="217">
        <f t="shared" si="25"/>
        <v>0</v>
      </c>
      <c r="D71" s="217">
        <f t="shared" si="25"/>
        <v>0</v>
      </c>
      <c r="E71" s="217">
        <f t="shared" si="25"/>
        <v>0</v>
      </c>
      <c r="F71" s="217">
        <f t="shared" si="25"/>
        <v>0</v>
      </c>
      <c r="G71" s="217">
        <f t="shared" si="25"/>
        <v>0</v>
      </c>
      <c r="H71" s="217">
        <f t="shared" si="25"/>
        <v>0</v>
      </c>
      <c r="I71" s="217">
        <f t="shared" si="25"/>
        <v>0</v>
      </c>
      <c r="J71" s="217">
        <f t="shared" si="25"/>
        <v>0</v>
      </c>
      <c r="K71" s="217">
        <f t="shared" si="25"/>
        <v>0</v>
      </c>
      <c r="L71" s="217">
        <f t="shared" si="25"/>
        <v>0</v>
      </c>
      <c r="M71" s="217">
        <f t="shared" si="25"/>
        <v>0</v>
      </c>
      <c r="N71" s="216">
        <f t="shared" si="25"/>
        <v>0</v>
      </c>
      <c r="P71" s="85" t="s">
        <v>153</v>
      </c>
      <c r="Q71" s="210"/>
      <c r="R71" s="206">
        <v>1155</v>
      </c>
      <c r="S71" s="211">
        <f>Q71*R71</f>
        <v>0</v>
      </c>
      <c r="T71" s="206">
        <f>Q70+Q71</f>
        <v>0</v>
      </c>
    </row>
    <row r="72" spans="1:20">
      <c r="A72" s="215" t="s">
        <v>174</v>
      </c>
      <c r="B72" s="209">
        <f t="shared" ref="B72:M72" si="26">B67</f>
        <v>712430</v>
      </c>
      <c r="C72" s="209">
        <f t="shared" si="26"/>
        <v>928675</v>
      </c>
      <c r="D72" s="209">
        <f t="shared" si="26"/>
        <v>1470090</v>
      </c>
      <c r="E72" s="209">
        <f t="shared" si="26"/>
        <v>741330</v>
      </c>
      <c r="F72" s="209">
        <f t="shared" si="26"/>
        <v>1171145</v>
      </c>
      <c r="G72" s="209">
        <f t="shared" si="26"/>
        <v>412860</v>
      </c>
      <c r="H72" s="209">
        <f t="shared" si="26"/>
        <v>117215</v>
      </c>
      <c r="I72" s="209">
        <f t="shared" si="26"/>
        <v>204725</v>
      </c>
      <c r="J72" s="209">
        <f t="shared" si="26"/>
        <v>174085</v>
      </c>
      <c r="K72" s="209">
        <f t="shared" si="26"/>
        <v>259730</v>
      </c>
      <c r="L72" s="209">
        <f t="shared" si="26"/>
        <v>78600</v>
      </c>
      <c r="M72" s="209">
        <f t="shared" si="26"/>
        <v>9650</v>
      </c>
      <c r="N72" s="218">
        <f>SUM(B72:M72)</f>
        <v>6280535</v>
      </c>
      <c r="P72" s="85" t="s">
        <v>154</v>
      </c>
      <c r="Q72" s="210">
        <v>19</v>
      </c>
      <c r="R72" s="206">
        <v>2350</v>
      </c>
      <c r="S72" s="211">
        <f>Q72*R72</f>
        <v>44650</v>
      </c>
      <c r="T72" s="207" t="s">
        <v>167</v>
      </c>
    </row>
    <row r="73" spans="1:20">
      <c r="A73" s="208" t="s">
        <v>175</v>
      </c>
      <c r="B73" s="100"/>
      <c r="C73" s="100"/>
      <c r="D73" s="100">
        <v>1809040</v>
      </c>
      <c r="E73" s="100">
        <v>1064870</v>
      </c>
      <c r="F73" s="100">
        <v>4005940</v>
      </c>
      <c r="G73" s="100">
        <v>1415030</v>
      </c>
      <c r="H73" s="100">
        <v>1163290</v>
      </c>
      <c r="I73" s="100">
        <v>1744210</v>
      </c>
      <c r="J73" s="100">
        <v>1375240</v>
      </c>
      <c r="K73" s="100">
        <v>1197720</v>
      </c>
      <c r="L73" s="100">
        <v>1828330</v>
      </c>
      <c r="M73" s="100">
        <v>950800</v>
      </c>
      <c r="N73" s="100">
        <f>SUM(B73:M73)</f>
        <v>16554470</v>
      </c>
      <c r="P73" s="85" t="s">
        <v>155</v>
      </c>
      <c r="Q73" s="210">
        <v>1</v>
      </c>
      <c r="R73" s="206">
        <v>1645</v>
      </c>
      <c r="S73" s="211">
        <f>Q73*R73</f>
        <v>1645</v>
      </c>
      <c r="T73" s="206">
        <f>Q72+Q73</f>
        <v>20</v>
      </c>
    </row>
    <row r="74" spans="1:20">
      <c r="A74" s="208" t="s">
        <v>115</v>
      </c>
      <c r="B74" s="219" t="e">
        <f t="shared" ref="B74:M74" si="27">B72/B73</f>
        <v>#DIV/0!</v>
      </c>
      <c r="C74" s="219" t="e">
        <f t="shared" si="27"/>
        <v>#DIV/0!</v>
      </c>
      <c r="D74" s="219">
        <f t="shared" si="27"/>
        <v>0.81263543094680046</v>
      </c>
      <c r="E74" s="219">
        <f t="shared" si="27"/>
        <v>0.69616948547710045</v>
      </c>
      <c r="F74" s="219">
        <f t="shared" si="27"/>
        <v>0.29235210712092541</v>
      </c>
      <c r="G74" s="219">
        <f t="shared" si="27"/>
        <v>0.29176766570320062</v>
      </c>
      <c r="H74" s="219">
        <f t="shared" si="27"/>
        <v>0.10076163295480921</v>
      </c>
      <c r="I74" s="219">
        <f t="shared" si="27"/>
        <v>0.11737405472964837</v>
      </c>
      <c r="J74" s="219">
        <f t="shared" si="27"/>
        <v>0.12658517785986445</v>
      </c>
      <c r="K74" s="219">
        <f t="shared" si="27"/>
        <v>0.21685368867514945</v>
      </c>
      <c r="L74" s="219">
        <f t="shared" si="27"/>
        <v>4.2990051030175079E-2</v>
      </c>
      <c r="M74" s="219">
        <f t="shared" si="27"/>
        <v>1.0149347917543121E-2</v>
      </c>
      <c r="N74" s="220"/>
      <c r="P74" s="206"/>
      <c r="Q74" s="206"/>
      <c r="R74" s="214" t="s">
        <v>25</v>
      </c>
      <c r="S74" s="211">
        <f>SUM(S70:S73)</f>
        <v>46295</v>
      </c>
      <c r="T74" s="206"/>
    </row>
    <row r="75" spans="1:20">
      <c r="A75" s="208" t="s">
        <v>176</v>
      </c>
      <c r="B75" s="102"/>
      <c r="C75" s="102"/>
      <c r="D75" s="102">
        <v>0.29699999999999999</v>
      </c>
      <c r="E75" s="102">
        <v>0.80500000000000005</v>
      </c>
      <c r="F75" s="102">
        <v>0.13900000000000001</v>
      </c>
      <c r="G75" s="102">
        <v>0.66</v>
      </c>
      <c r="H75" s="102">
        <v>0.38700000000000001</v>
      </c>
      <c r="I75" s="102">
        <v>0.252</v>
      </c>
      <c r="J75" s="102">
        <v>0.40899999999999997</v>
      </c>
      <c r="K75" s="102">
        <v>0.39200000000000002</v>
      </c>
      <c r="L75" s="102">
        <v>0.32700000000000001</v>
      </c>
      <c r="M75" s="102">
        <v>0.35499999999999998</v>
      </c>
      <c r="N75" s="102">
        <v>0.34699999999999998</v>
      </c>
    </row>
  </sheetData>
  <mergeCells count="2">
    <mergeCell ref="A1:L1"/>
    <mergeCell ref="A57:M57"/>
  </mergeCells>
  <phoneticPr fontId="36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"/>
  <sheetViews>
    <sheetView topLeftCell="H1" zoomScaleNormal="100" workbookViewId="0">
      <selection activeCell="M6" sqref="M6"/>
    </sheetView>
  </sheetViews>
  <sheetFormatPr defaultColWidth="8.25" defaultRowHeight="15" outlineLevelRow="1"/>
  <cols>
    <col min="1" max="1" width="18.5" style="221" customWidth="1"/>
    <col min="2" max="2" width="10.33203125" style="221" customWidth="1"/>
    <col min="3" max="3" width="11.58203125" style="221" customWidth="1"/>
    <col min="4" max="7" width="8.5" style="221" customWidth="1"/>
    <col min="8" max="13" width="7.83203125" style="221" customWidth="1"/>
    <col min="14" max="15" width="8.58203125" style="221" customWidth="1"/>
    <col min="16" max="16" width="13.58203125" style="221" customWidth="1"/>
    <col min="17" max="16384" width="8.25" style="221"/>
  </cols>
  <sheetData>
    <row r="1" spans="1:16" ht="18.75" customHeight="1">
      <c r="A1" s="222" t="s">
        <v>177</v>
      </c>
    </row>
    <row r="2" spans="1:16" s="226" customFormat="1" ht="18.75" customHeight="1">
      <c r="A2" s="411"/>
      <c r="B2" s="411"/>
      <c r="C2" s="223"/>
      <c r="D2" s="224" t="s">
        <v>178</v>
      </c>
      <c r="E2" s="224" t="s">
        <v>179</v>
      </c>
      <c r="F2" s="224" t="s">
        <v>180</v>
      </c>
      <c r="G2" s="224" t="s">
        <v>181</v>
      </c>
      <c r="H2" s="224" t="s">
        <v>182</v>
      </c>
      <c r="I2" s="224" t="s">
        <v>183</v>
      </c>
      <c r="J2" s="224" t="s">
        <v>184</v>
      </c>
      <c r="K2" s="224" t="s">
        <v>185</v>
      </c>
      <c r="L2" s="224" t="s">
        <v>186</v>
      </c>
      <c r="M2" s="224" t="s">
        <v>187</v>
      </c>
      <c r="N2" s="224" t="s">
        <v>188</v>
      </c>
      <c r="O2" s="224" t="s">
        <v>189</v>
      </c>
      <c r="P2" s="225" t="s">
        <v>42</v>
      </c>
    </row>
    <row r="3" spans="1:16" s="228" customFormat="1" ht="18.75" customHeight="1">
      <c r="A3" s="412" t="s">
        <v>190</v>
      </c>
      <c r="B3" s="412"/>
      <c r="C3" s="412"/>
      <c r="D3" s="227">
        <v>7428554</v>
      </c>
      <c r="E3" s="227">
        <v>7562227</v>
      </c>
      <c r="F3" s="227">
        <v>3799283</v>
      </c>
      <c r="G3" s="227">
        <v>2330934</v>
      </c>
      <c r="H3" s="227">
        <v>4784742</v>
      </c>
      <c r="I3" s="227">
        <v>2087208</v>
      </c>
      <c r="J3" s="227">
        <v>1038480</v>
      </c>
      <c r="K3" s="227">
        <v>1446637</v>
      </c>
      <c r="L3" s="227">
        <v>100152</v>
      </c>
      <c r="M3" s="227">
        <v>177600</v>
      </c>
      <c r="N3" s="227"/>
      <c r="O3" s="227"/>
      <c r="P3" s="227">
        <f t="shared" ref="P3:P17" si="0">SUM(D3:O3)</f>
        <v>30755817</v>
      </c>
    </row>
    <row r="4" spans="1:16" s="222" customFormat="1" ht="18.75" customHeight="1">
      <c r="A4" s="395" t="s">
        <v>191</v>
      </c>
      <c r="B4" s="395"/>
      <c r="C4" s="395"/>
      <c r="D4" s="229">
        <v>306</v>
      </c>
      <c r="E4" s="229">
        <v>360</v>
      </c>
      <c r="F4" s="229">
        <v>192</v>
      </c>
      <c r="G4" s="229">
        <v>163</v>
      </c>
      <c r="H4" s="229">
        <v>226</v>
      </c>
      <c r="I4" s="229">
        <v>156</v>
      </c>
      <c r="J4" s="229">
        <v>120</v>
      </c>
      <c r="K4" s="229">
        <v>284</v>
      </c>
      <c r="L4" s="229">
        <v>5</v>
      </c>
      <c r="M4" s="229">
        <v>35</v>
      </c>
      <c r="N4" s="229"/>
      <c r="O4" s="229"/>
      <c r="P4" s="229">
        <f t="shared" si="0"/>
        <v>1847</v>
      </c>
    </row>
    <row r="5" spans="1:16" s="222" customFormat="1" ht="19.5" customHeight="1">
      <c r="A5" s="395" t="s">
        <v>192</v>
      </c>
      <c r="B5" s="395"/>
      <c r="C5" s="395"/>
      <c r="D5" s="229">
        <v>632</v>
      </c>
      <c r="E5" s="229">
        <v>625</v>
      </c>
      <c r="F5" s="229">
        <v>339</v>
      </c>
      <c r="G5" s="229">
        <v>215</v>
      </c>
      <c r="H5" s="229">
        <v>370</v>
      </c>
      <c r="I5" s="229">
        <v>210</v>
      </c>
      <c r="J5" s="229">
        <v>241</v>
      </c>
      <c r="K5" s="229">
        <v>792</v>
      </c>
      <c r="L5" s="229">
        <v>8</v>
      </c>
      <c r="M5" s="229">
        <v>106</v>
      </c>
      <c r="N5" s="229"/>
      <c r="O5" s="229"/>
      <c r="P5" s="229">
        <f t="shared" si="0"/>
        <v>3538</v>
      </c>
    </row>
    <row r="6" spans="1:16" s="222" customFormat="1" ht="19.5" customHeight="1" outlineLevel="1">
      <c r="A6" s="406" t="s">
        <v>193</v>
      </c>
      <c r="B6" s="406"/>
      <c r="C6" s="406"/>
      <c r="D6" s="230">
        <v>538</v>
      </c>
      <c r="E6" s="230">
        <v>584</v>
      </c>
      <c r="F6" s="230">
        <v>316</v>
      </c>
      <c r="G6" s="230">
        <v>205</v>
      </c>
      <c r="H6" s="230"/>
      <c r="I6" s="230"/>
      <c r="J6" s="230"/>
      <c r="K6" s="230"/>
      <c r="L6" s="230"/>
      <c r="M6" s="230"/>
      <c r="N6" s="230"/>
      <c r="O6" s="230"/>
      <c r="P6" s="229">
        <f t="shared" si="0"/>
        <v>1643</v>
      </c>
    </row>
    <row r="7" spans="1:16" s="222" customFormat="1" ht="18" customHeight="1" outlineLevel="1">
      <c r="A7" s="406" t="s">
        <v>194</v>
      </c>
      <c r="B7" s="406"/>
      <c r="C7" s="406"/>
      <c r="D7" s="230">
        <v>94</v>
      </c>
      <c r="E7" s="230">
        <v>41</v>
      </c>
      <c r="F7" s="230">
        <v>23</v>
      </c>
      <c r="G7" s="230">
        <v>10</v>
      </c>
      <c r="H7" s="230"/>
      <c r="I7" s="230"/>
      <c r="J7" s="230"/>
      <c r="K7" s="230"/>
      <c r="L7" s="230"/>
      <c r="M7" s="230"/>
      <c r="N7" s="230"/>
      <c r="O7" s="230"/>
      <c r="P7" s="229">
        <f t="shared" si="0"/>
        <v>168</v>
      </c>
    </row>
    <row r="8" spans="1:16" ht="17.25" customHeight="1" outlineLevel="1">
      <c r="A8" s="406" t="s">
        <v>195</v>
      </c>
      <c r="B8" s="406"/>
      <c r="C8" s="406"/>
      <c r="D8" s="230">
        <v>837</v>
      </c>
      <c r="E8" s="230">
        <v>702</v>
      </c>
      <c r="F8" s="230">
        <v>810</v>
      </c>
      <c r="G8" s="230">
        <v>729</v>
      </c>
      <c r="H8" s="230"/>
      <c r="I8" s="230"/>
      <c r="J8" s="230"/>
      <c r="K8" s="230"/>
      <c r="L8" s="230"/>
      <c r="M8" s="230"/>
      <c r="N8" s="230"/>
      <c r="O8" s="230"/>
      <c r="P8" s="229">
        <f t="shared" si="0"/>
        <v>3078</v>
      </c>
    </row>
    <row r="9" spans="1:16" ht="21" customHeight="1" outlineLevel="1">
      <c r="A9" s="406" t="s">
        <v>196</v>
      </c>
      <c r="B9" s="406"/>
      <c r="C9" s="406"/>
      <c r="D9" s="230">
        <v>3420</v>
      </c>
      <c r="E9" s="230">
        <v>3420</v>
      </c>
      <c r="F9" s="230">
        <v>3420</v>
      </c>
      <c r="G9" s="230">
        <v>3420</v>
      </c>
      <c r="H9" s="230"/>
      <c r="I9" s="230"/>
      <c r="J9" s="230"/>
      <c r="K9" s="230"/>
      <c r="L9" s="230"/>
      <c r="M9" s="230"/>
      <c r="N9" s="230"/>
      <c r="O9" s="230"/>
      <c r="P9" s="229">
        <f t="shared" si="0"/>
        <v>13680</v>
      </c>
    </row>
    <row r="10" spans="1:16" ht="18.75" customHeight="1">
      <c r="A10" s="406" t="s">
        <v>197</v>
      </c>
      <c r="B10" s="406"/>
      <c r="C10" s="406"/>
      <c r="D10" s="231">
        <v>0.36559139784946199</v>
      </c>
      <c r="E10" s="231">
        <v>0.512820512820513</v>
      </c>
      <c r="F10" s="231">
        <v>0.23703703703703699</v>
      </c>
      <c r="G10" s="231">
        <v>0.22359396433470508</v>
      </c>
      <c r="H10" s="231"/>
      <c r="I10" s="231"/>
      <c r="J10" s="231"/>
      <c r="K10" s="231"/>
      <c r="L10" s="231"/>
      <c r="M10" s="231"/>
      <c r="N10" s="231"/>
      <c r="O10" s="231"/>
      <c r="P10" s="229">
        <f t="shared" si="0"/>
        <v>1.3390429120417171</v>
      </c>
    </row>
    <row r="11" spans="1:16" ht="18.75" customHeight="1">
      <c r="A11" s="406" t="s">
        <v>198</v>
      </c>
      <c r="B11" s="406"/>
      <c r="C11" s="406"/>
      <c r="D11" s="231">
        <v>0.18479532163742701</v>
      </c>
      <c r="E11" s="231">
        <v>0.18274853801169599</v>
      </c>
      <c r="F11" s="231">
        <v>9.9122807017543904E-2</v>
      </c>
      <c r="G11" s="231">
        <v>6.2865497076023388E-2</v>
      </c>
      <c r="H11" s="231"/>
      <c r="I11" s="231"/>
      <c r="J11" s="231"/>
      <c r="K11" s="231"/>
      <c r="L11" s="231"/>
      <c r="M11" s="231"/>
      <c r="N11" s="231"/>
      <c r="O11" s="231"/>
      <c r="P11" s="229">
        <f t="shared" si="0"/>
        <v>0.5295321637426903</v>
      </c>
    </row>
    <row r="12" spans="1:16" ht="18.75" customHeight="1">
      <c r="A12" s="410" t="s">
        <v>199</v>
      </c>
      <c r="B12" s="410"/>
      <c r="C12" s="410"/>
      <c r="D12" s="232">
        <v>2.0653594771241801</v>
      </c>
      <c r="E12" s="232">
        <v>1.7361111111111101</v>
      </c>
      <c r="F12" s="232">
        <v>1.765625</v>
      </c>
      <c r="G12" s="232">
        <v>1.3190184049079754</v>
      </c>
      <c r="H12" s="232"/>
      <c r="I12" s="232"/>
      <c r="J12" s="232"/>
      <c r="K12" s="232"/>
      <c r="L12" s="232"/>
      <c r="M12" s="232"/>
      <c r="N12" s="232"/>
      <c r="O12" s="232"/>
      <c r="P12" s="229">
        <f t="shared" si="0"/>
        <v>6.8861139931432653</v>
      </c>
    </row>
    <row r="13" spans="1:16" ht="18.75" customHeight="1">
      <c r="A13" s="410" t="s">
        <v>200</v>
      </c>
      <c r="B13" s="410"/>
      <c r="C13" s="410"/>
      <c r="D13" s="230">
        <v>18241.5620915033</v>
      </c>
      <c r="E13" s="230">
        <v>13774.7722222222</v>
      </c>
      <c r="F13" s="230">
        <v>14952.411458333299</v>
      </c>
      <c r="G13" s="230">
        <v>9820.8711656441719</v>
      </c>
      <c r="H13" s="230"/>
      <c r="I13" s="230"/>
      <c r="J13" s="230"/>
      <c r="K13" s="230"/>
      <c r="L13" s="230"/>
      <c r="M13" s="230"/>
      <c r="N13" s="230"/>
      <c r="O13" s="230"/>
      <c r="P13" s="229">
        <f t="shared" si="0"/>
        <v>56789.616937702973</v>
      </c>
    </row>
    <row r="14" spans="1:16" ht="18.75" customHeight="1">
      <c r="A14" s="410" t="s">
        <v>201</v>
      </c>
      <c r="B14" s="410"/>
      <c r="C14" s="410"/>
      <c r="D14" s="230">
        <v>8832.1487341772208</v>
      </c>
      <c r="E14" s="230">
        <v>7934.2687999999998</v>
      </c>
      <c r="F14" s="230">
        <v>8468.6224188790602</v>
      </c>
      <c r="G14" s="230">
        <v>7445.5906976744182</v>
      </c>
      <c r="H14" s="230"/>
      <c r="I14" s="230"/>
      <c r="J14" s="230"/>
      <c r="K14" s="230"/>
      <c r="L14" s="230"/>
      <c r="M14" s="230"/>
      <c r="N14" s="230"/>
      <c r="O14" s="230"/>
      <c r="P14" s="229">
        <f t="shared" si="0"/>
        <v>32680.630650730698</v>
      </c>
    </row>
    <row r="15" spans="1:16" ht="18.75" customHeight="1">
      <c r="A15" s="410" t="s">
        <v>202</v>
      </c>
      <c r="B15" s="410"/>
      <c r="C15" s="410"/>
      <c r="D15" s="230">
        <v>6668.9581839904404</v>
      </c>
      <c r="E15" s="230">
        <v>7063.9857549857597</v>
      </c>
      <c r="F15" s="230">
        <v>3544.2753086419798</v>
      </c>
      <c r="G15" s="230">
        <v>2195.8875171467762</v>
      </c>
      <c r="H15" s="230"/>
      <c r="I15" s="230"/>
      <c r="J15" s="230"/>
      <c r="K15" s="230"/>
      <c r="L15" s="230"/>
      <c r="M15" s="230"/>
      <c r="N15" s="230"/>
      <c r="O15" s="230"/>
      <c r="P15" s="229">
        <f t="shared" si="0"/>
        <v>19473.106764764958</v>
      </c>
    </row>
    <row r="16" spans="1:16" ht="18.75" customHeight="1">
      <c r="A16" s="410"/>
      <c r="B16" s="410"/>
      <c r="C16" s="41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29">
        <f t="shared" si="0"/>
        <v>0</v>
      </c>
    </row>
    <row r="17" spans="1:16" s="222" customFormat="1" ht="30" customHeight="1">
      <c r="A17" s="395" t="s">
        <v>203</v>
      </c>
      <c r="B17" s="395"/>
      <c r="C17" s="395"/>
      <c r="D17" s="229">
        <v>265</v>
      </c>
      <c r="E17" s="229">
        <v>278</v>
      </c>
      <c r="F17" s="229">
        <v>190</v>
      </c>
      <c r="G17" s="229">
        <v>136</v>
      </c>
      <c r="H17" s="229"/>
      <c r="I17" s="229"/>
      <c r="J17" s="229"/>
      <c r="K17" s="229"/>
      <c r="L17" s="229"/>
      <c r="M17" s="229"/>
      <c r="N17" s="229"/>
      <c r="O17" s="229"/>
      <c r="P17" s="229">
        <f t="shared" si="0"/>
        <v>869</v>
      </c>
    </row>
    <row r="18" spans="1:16" ht="18" customHeight="1" outlineLevel="1">
      <c r="A18" s="400" t="s">
        <v>204</v>
      </c>
      <c r="B18" s="400"/>
      <c r="C18" s="233">
        <f>IF(D5=0,"",D18/D5)</f>
        <v>0.25158227848101267</v>
      </c>
      <c r="D18" s="230">
        <v>159</v>
      </c>
      <c r="E18" s="230">
        <v>165</v>
      </c>
      <c r="F18" s="230">
        <v>117</v>
      </c>
      <c r="G18" s="230">
        <v>82</v>
      </c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 ht="19.5" customHeight="1" outlineLevel="1">
      <c r="A19" s="400" t="s">
        <v>205</v>
      </c>
      <c r="B19" s="400"/>
      <c r="C19" s="233"/>
      <c r="D19" s="230">
        <v>0</v>
      </c>
      <c r="E19" s="230">
        <v>0</v>
      </c>
      <c r="F19" s="230">
        <v>0</v>
      </c>
      <c r="G19" s="230">
        <v>1</v>
      </c>
      <c r="H19" s="230"/>
      <c r="I19" s="230"/>
      <c r="J19" s="230"/>
      <c r="K19" s="230"/>
      <c r="L19" s="230"/>
      <c r="M19" s="230"/>
      <c r="N19" s="230"/>
      <c r="O19" s="230"/>
      <c r="P19" s="230"/>
    </row>
    <row r="20" spans="1:16" ht="21" customHeight="1" outlineLevel="1">
      <c r="A20" s="400" t="s">
        <v>206</v>
      </c>
      <c r="B20" s="400"/>
      <c r="C20" s="233">
        <f>IF(D5=0,"",D20/D5)</f>
        <v>0.16772151898734178</v>
      </c>
      <c r="D20" s="230">
        <v>106</v>
      </c>
      <c r="E20" s="230">
        <v>113</v>
      </c>
      <c r="F20" s="230">
        <v>73</v>
      </c>
      <c r="G20" s="230">
        <v>53</v>
      </c>
      <c r="H20" s="230"/>
      <c r="I20" s="230"/>
      <c r="J20" s="230"/>
      <c r="K20" s="230"/>
      <c r="L20" s="230"/>
      <c r="M20" s="230"/>
      <c r="N20" s="230"/>
      <c r="O20" s="230"/>
      <c r="P20" s="230"/>
    </row>
    <row r="21" spans="1:16" ht="18.75" customHeight="1">
      <c r="A21" s="409"/>
      <c r="B21" s="409"/>
      <c r="C21" s="409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</row>
    <row r="22" spans="1:16" s="222" customFormat="1" ht="18.75" customHeight="1">
      <c r="A22" s="395" t="s">
        <v>207</v>
      </c>
      <c r="B22" s="395"/>
      <c r="C22" s="395"/>
      <c r="D22" s="229">
        <v>81</v>
      </c>
      <c r="E22" s="229">
        <v>148</v>
      </c>
      <c r="F22" s="229">
        <v>0</v>
      </c>
      <c r="G22" s="229">
        <v>0</v>
      </c>
      <c r="H22" s="229"/>
      <c r="I22" s="229"/>
      <c r="J22" s="229"/>
      <c r="K22" s="229"/>
      <c r="L22" s="229"/>
      <c r="M22" s="229"/>
      <c r="N22" s="229"/>
      <c r="O22" s="229"/>
      <c r="P22" s="229">
        <f>SUM(D22:O22)</f>
        <v>229</v>
      </c>
    </row>
    <row r="23" spans="1:16" ht="18.75" hidden="1" customHeight="1" outlineLevel="1">
      <c r="A23" s="406" t="s">
        <v>208</v>
      </c>
      <c r="B23" s="406"/>
      <c r="C23" s="406"/>
      <c r="D23" s="230">
        <v>0</v>
      </c>
      <c r="E23" s="230">
        <v>9</v>
      </c>
      <c r="F23" s="230">
        <v>0</v>
      </c>
      <c r="G23" s="230">
        <v>0</v>
      </c>
      <c r="H23" s="230"/>
      <c r="I23" s="230"/>
      <c r="J23" s="230"/>
      <c r="K23" s="230"/>
      <c r="L23" s="230"/>
      <c r="M23" s="230"/>
      <c r="N23" s="230"/>
      <c r="O23" s="230"/>
      <c r="P23" s="230"/>
    </row>
    <row r="24" spans="1:16" ht="18.75" hidden="1" customHeight="1" outlineLevel="1">
      <c r="A24" s="406" t="s">
        <v>209</v>
      </c>
      <c r="B24" s="406"/>
      <c r="C24" s="406"/>
      <c r="D24" s="230">
        <v>81</v>
      </c>
      <c r="E24" s="230">
        <v>139</v>
      </c>
      <c r="F24" s="230">
        <v>0</v>
      </c>
      <c r="G24" s="230">
        <v>0</v>
      </c>
      <c r="H24" s="230"/>
      <c r="I24" s="230"/>
      <c r="J24" s="230"/>
      <c r="K24" s="230"/>
      <c r="L24" s="230"/>
      <c r="M24" s="230"/>
      <c r="N24" s="230"/>
      <c r="O24" s="230"/>
      <c r="P24" s="230"/>
    </row>
    <row r="25" spans="1:16" ht="18.75" customHeight="1" collapsed="1">
      <c r="A25" s="409"/>
      <c r="B25" s="409"/>
      <c r="C25" s="409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</row>
    <row r="26" spans="1:16" s="222" customFormat="1" ht="18.75" customHeight="1">
      <c r="A26" s="395" t="s">
        <v>210</v>
      </c>
      <c r="B26" s="395"/>
      <c r="C26" s="395"/>
      <c r="D26" s="229">
        <v>478</v>
      </c>
      <c r="E26" s="229">
        <v>499</v>
      </c>
      <c r="F26" s="229">
        <v>513</v>
      </c>
      <c r="G26" s="229">
        <v>425</v>
      </c>
      <c r="H26" s="229"/>
      <c r="I26" s="229"/>
      <c r="J26" s="229"/>
      <c r="K26" s="229"/>
      <c r="L26" s="229"/>
      <c r="M26" s="229"/>
      <c r="N26" s="229"/>
      <c r="O26" s="229"/>
      <c r="P26" s="229">
        <f>SUM(D26:O26)</f>
        <v>1915</v>
      </c>
    </row>
    <row r="27" spans="1:16" ht="18.75" hidden="1" customHeight="1" outlineLevel="1">
      <c r="A27" s="406" t="s">
        <v>211</v>
      </c>
      <c r="B27" s="406"/>
      <c r="C27" s="406"/>
      <c r="D27" s="230">
        <v>478</v>
      </c>
      <c r="E27" s="230">
        <v>499</v>
      </c>
      <c r="F27" s="230">
        <v>513</v>
      </c>
      <c r="G27" s="230">
        <v>425</v>
      </c>
      <c r="H27" s="230"/>
      <c r="I27" s="230"/>
      <c r="J27" s="230"/>
      <c r="K27" s="230"/>
      <c r="L27" s="230"/>
      <c r="M27" s="230"/>
      <c r="N27" s="230"/>
      <c r="O27" s="230"/>
      <c r="P27" s="230"/>
    </row>
    <row r="28" spans="1:16" ht="18.75" customHeight="1" collapsed="1">
      <c r="A28" s="407"/>
      <c r="B28" s="407"/>
      <c r="C28" s="407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</row>
    <row r="29" spans="1:16" s="222" customFormat="1">
      <c r="A29" s="408" t="s">
        <v>212</v>
      </c>
      <c r="B29" s="395" t="s">
        <v>213</v>
      </c>
      <c r="C29" s="395"/>
      <c r="D29" s="229">
        <v>5581918</v>
      </c>
      <c r="E29" s="229">
        <v>4958918</v>
      </c>
      <c r="F29" s="229">
        <v>2870863</v>
      </c>
      <c r="G29" s="229">
        <v>1600802</v>
      </c>
      <c r="H29" s="229"/>
      <c r="I29" s="229"/>
      <c r="J29" s="229"/>
      <c r="K29" s="229"/>
      <c r="L29" s="229"/>
      <c r="M29" s="229"/>
      <c r="N29" s="229"/>
      <c r="O29" s="229"/>
      <c r="P29" s="229">
        <f>SUM(D29:O29)</f>
        <v>15012501</v>
      </c>
    </row>
    <row r="30" spans="1:16" outlineLevel="1">
      <c r="A30" s="408"/>
      <c r="B30" s="406" t="s">
        <v>214</v>
      </c>
      <c r="C30" s="406"/>
      <c r="D30" s="230">
        <v>5565653</v>
      </c>
      <c r="E30" s="230">
        <v>4958918</v>
      </c>
      <c r="F30" s="230">
        <v>2870863</v>
      </c>
      <c r="G30" s="230">
        <v>1593602</v>
      </c>
      <c r="H30" s="230"/>
      <c r="I30" s="230"/>
      <c r="J30" s="230"/>
      <c r="K30" s="230"/>
      <c r="L30" s="230"/>
      <c r="M30" s="230"/>
      <c r="N30" s="230"/>
      <c r="O30" s="230"/>
      <c r="P30" s="230"/>
    </row>
    <row r="31" spans="1:16" outlineLevel="1">
      <c r="A31" s="408"/>
      <c r="B31" s="406" t="s">
        <v>215</v>
      </c>
      <c r="C31" s="406"/>
      <c r="D31" s="230">
        <v>0</v>
      </c>
      <c r="E31" s="230">
        <v>0</v>
      </c>
      <c r="F31" s="230">
        <v>0</v>
      </c>
      <c r="G31" s="230">
        <v>0</v>
      </c>
      <c r="H31" s="230"/>
      <c r="I31" s="230"/>
      <c r="J31" s="230"/>
      <c r="K31" s="230"/>
      <c r="L31" s="230"/>
      <c r="M31" s="230"/>
      <c r="N31" s="230"/>
      <c r="O31" s="230"/>
      <c r="P31" s="230"/>
    </row>
    <row r="32" spans="1:16" outlineLevel="1">
      <c r="A32" s="408"/>
      <c r="B32" s="406" t="s">
        <v>216</v>
      </c>
      <c r="C32" s="406"/>
      <c r="D32" s="230">
        <v>0</v>
      </c>
      <c r="E32" s="230">
        <v>0</v>
      </c>
      <c r="F32" s="230">
        <v>0</v>
      </c>
      <c r="G32" s="230">
        <v>0</v>
      </c>
      <c r="H32" s="230"/>
      <c r="I32" s="230"/>
      <c r="J32" s="230"/>
      <c r="K32" s="230"/>
      <c r="L32" s="230"/>
      <c r="M32" s="230"/>
      <c r="N32" s="230"/>
      <c r="O32" s="230"/>
      <c r="P32" s="230"/>
    </row>
    <row r="33" spans="1:16" outlineLevel="1">
      <c r="A33" s="408"/>
      <c r="B33" s="406" t="s">
        <v>217</v>
      </c>
      <c r="C33" s="406"/>
      <c r="D33" s="230">
        <v>4000</v>
      </c>
      <c r="E33" s="230">
        <v>0</v>
      </c>
      <c r="F33" s="230">
        <v>0</v>
      </c>
      <c r="G33" s="230">
        <v>0</v>
      </c>
      <c r="H33" s="230"/>
      <c r="I33" s="230"/>
      <c r="J33" s="230"/>
      <c r="K33" s="230"/>
      <c r="L33" s="230"/>
      <c r="M33" s="230"/>
      <c r="N33" s="230"/>
      <c r="O33" s="230"/>
      <c r="P33" s="230"/>
    </row>
    <row r="34" spans="1:16" outlineLevel="1">
      <c r="A34" s="408"/>
      <c r="B34" s="400"/>
      <c r="C34" s="400"/>
      <c r="D34" s="230">
        <v>0</v>
      </c>
      <c r="E34" s="230">
        <v>0</v>
      </c>
      <c r="F34" s="230">
        <v>0</v>
      </c>
      <c r="G34" s="230">
        <v>0</v>
      </c>
      <c r="H34" s="230"/>
      <c r="I34" s="230"/>
      <c r="J34" s="230"/>
      <c r="K34" s="230"/>
      <c r="L34" s="230"/>
      <c r="M34" s="230"/>
      <c r="N34" s="230"/>
      <c r="O34" s="230"/>
      <c r="P34" s="230"/>
    </row>
    <row r="35" spans="1:16" outlineLevel="1">
      <c r="A35" s="408"/>
      <c r="B35" s="406" t="s">
        <v>218</v>
      </c>
      <c r="C35" s="406"/>
      <c r="D35" s="230">
        <v>12265</v>
      </c>
      <c r="E35" s="230">
        <v>0</v>
      </c>
      <c r="F35" s="230">
        <v>0</v>
      </c>
      <c r="G35" s="230">
        <v>7200</v>
      </c>
      <c r="H35" s="230"/>
      <c r="I35" s="230"/>
      <c r="J35" s="230"/>
      <c r="K35" s="230"/>
      <c r="L35" s="230"/>
      <c r="M35" s="230"/>
      <c r="N35" s="230"/>
      <c r="O35" s="230"/>
      <c r="P35" s="230"/>
    </row>
    <row r="36" spans="1:16" s="222" customFormat="1">
      <c r="A36" s="408"/>
      <c r="B36" s="395" t="s">
        <v>219</v>
      </c>
      <c r="C36" s="395"/>
      <c r="D36" s="229">
        <v>0</v>
      </c>
      <c r="E36" s="229">
        <v>0</v>
      </c>
      <c r="F36" s="229">
        <v>0</v>
      </c>
      <c r="G36" s="229">
        <v>0</v>
      </c>
      <c r="H36" s="229"/>
      <c r="I36" s="229"/>
      <c r="J36" s="229"/>
      <c r="K36" s="229"/>
      <c r="L36" s="229"/>
      <c r="M36" s="229"/>
      <c r="N36" s="229"/>
      <c r="O36" s="229"/>
      <c r="P36" s="229">
        <f t="shared" ref="P36:P76" si="1">SUM(D36:O36)</f>
        <v>0</v>
      </c>
    </row>
    <row r="37" spans="1:16" outlineLevel="1">
      <c r="A37" s="408"/>
      <c r="B37" s="406" t="s">
        <v>220</v>
      </c>
      <c r="C37" s="406"/>
      <c r="D37" s="230">
        <v>0</v>
      </c>
      <c r="E37" s="230">
        <v>0</v>
      </c>
      <c r="F37" s="230">
        <v>0</v>
      </c>
      <c r="G37" s="230">
        <v>0</v>
      </c>
      <c r="H37" s="230"/>
      <c r="I37" s="230"/>
      <c r="J37" s="230"/>
      <c r="K37" s="230"/>
      <c r="L37" s="230"/>
      <c r="M37" s="230"/>
      <c r="N37" s="230"/>
      <c r="O37" s="230"/>
      <c r="P37" s="229">
        <f t="shared" si="1"/>
        <v>0</v>
      </c>
    </row>
    <row r="38" spans="1:16" outlineLevel="1">
      <c r="A38" s="408"/>
      <c r="B38" s="407"/>
      <c r="C38" s="407"/>
      <c r="D38" s="230">
        <v>0</v>
      </c>
      <c r="E38" s="230">
        <v>0</v>
      </c>
      <c r="F38" s="230">
        <v>0</v>
      </c>
      <c r="G38" s="230">
        <v>0</v>
      </c>
      <c r="H38" s="230"/>
      <c r="I38" s="230"/>
      <c r="J38" s="230"/>
      <c r="K38" s="230"/>
      <c r="L38" s="230"/>
      <c r="M38" s="230"/>
      <c r="N38" s="230"/>
      <c r="O38" s="230"/>
      <c r="P38" s="229">
        <f t="shared" si="1"/>
        <v>0</v>
      </c>
    </row>
    <row r="39" spans="1:16" outlineLevel="1">
      <c r="A39" s="408"/>
      <c r="B39" s="407"/>
      <c r="C39" s="407"/>
      <c r="D39" s="230">
        <v>0</v>
      </c>
      <c r="E39" s="230">
        <v>0</v>
      </c>
      <c r="F39" s="230">
        <v>0</v>
      </c>
      <c r="G39" s="230">
        <v>0</v>
      </c>
      <c r="H39" s="230"/>
      <c r="I39" s="230"/>
      <c r="J39" s="230"/>
      <c r="K39" s="230"/>
      <c r="L39" s="230"/>
      <c r="M39" s="230"/>
      <c r="N39" s="230"/>
      <c r="O39" s="230"/>
      <c r="P39" s="229">
        <f t="shared" si="1"/>
        <v>0</v>
      </c>
    </row>
    <row r="40" spans="1:16" outlineLevel="1">
      <c r="A40" s="408"/>
      <c r="B40" s="407"/>
      <c r="C40" s="407"/>
      <c r="D40" s="230">
        <v>0</v>
      </c>
      <c r="E40" s="230">
        <v>0</v>
      </c>
      <c r="F40" s="230">
        <v>0</v>
      </c>
      <c r="G40" s="230">
        <v>0</v>
      </c>
      <c r="H40" s="230"/>
      <c r="I40" s="230"/>
      <c r="J40" s="230"/>
      <c r="K40" s="230"/>
      <c r="L40" s="230"/>
      <c r="M40" s="230"/>
      <c r="N40" s="230"/>
      <c r="O40" s="230"/>
      <c r="P40" s="229">
        <f t="shared" si="1"/>
        <v>0</v>
      </c>
    </row>
    <row r="41" spans="1:16" s="222" customFormat="1">
      <c r="A41" s="408"/>
      <c r="B41" s="402" t="s">
        <v>221</v>
      </c>
      <c r="C41" s="402"/>
      <c r="D41" s="229">
        <v>771900</v>
      </c>
      <c r="E41" s="229">
        <v>850700</v>
      </c>
      <c r="F41" s="229">
        <v>606500</v>
      </c>
      <c r="G41" s="229">
        <v>480700</v>
      </c>
      <c r="H41" s="229"/>
      <c r="I41" s="229"/>
      <c r="J41" s="229"/>
      <c r="K41" s="229"/>
      <c r="L41" s="229"/>
      <c r="M41" s="229"/>
      <c r="N41" s="229"/>
      <c r="O41" s="229"/>
      <c r="P41" s="229">
        <f t="shared" si="1"/>
        <v>2709800</v>
      </c>
    </row>
    <row r="42" spans="1:16" outlineLevel="1">
      <c r="A42" s="408"/>
      <c r="B42" s="400" t="s">
        <v>222</v>
      </c>
      <c r="C42" s="400"/>
      <c r="D42" s="230">
        <v>742400</v>
      </c>
      <c r="E42" s="230">
        <v>796100</v>
      </c>
      <c r="F42" s="230">
        <v>591000</v>
      </c>
      <c r="G42" s="230">
        <v>459200</v>
      </c>
      <c r="H42" s="230"/>
      <c r="I42" s="230"/>
      <c r="J42" s="230"/>
      <c r="K42" s="230"/>
      <c r="L42" s="230"/>
      <c r="M42" s="230"/>
      <c r="N42" s="230"/>
      <c r="O42" s="230"/>
      <c r="P42" s="229">
        <f t="shared" si="1"/>
        <v>2588700</v>
      </c>
    </row>
    <row r="43" spans="1:16" outlineLevel="1">
      <c r="A43" s="408"/>
      <c r="B43" s="404" t="s">
        <v>223</v>
      </c>
      <c r="C43" s="404"/>
      <c r="D43" s="230">
        <v>285800</v>
      </c>
      <c r="E43" s="230">
        <v>300800</v>
      </c>
      <c r="F43" s="230">
        <v>211000</v>
      </c>
      <c r="G43" s="230">
        <v>155000</v>
      </c>
      <c r="H43" s="230"/>
      <c r="I43" s="230"/>
      <c r="J43" s="230"/>
      <c r="K43" s="230"/>
      <c r="L43" s="230"/>
      <c r="M43" s="230"/>
      <c r="N43" s="230"/>
      <c r="O43" s="230"/>
      <c r="P43" s="229">
        <f t="shared" si="1"/>
        <v>952600</v>
      </c>
    </row>
    <row r="44" spans="1:16" outlineLevel="1">
      <c r="A44" s="408"/>
      <c r="B44" s="404" t="s">
        <v>224</v>
      </c>
      <c r="C44" s="404"/>
      <c r="D44" s="230">
        <v>0</v>
      </c>
      <c r="E44" s="230">
        <v>0</v>
      </c>
      <c r="F44" s="230">
        <v>0</v>
      </c>
      <c r="G44" s="230">
        <v>1200</v>
      </c>
      <c r="H44" s="230"/>
      <c r="I44" s="230"/>
      <c r="J44" s="230"/>
      <c r="K44" s="230"/>
      <c r="L44" s="230"/>
      <c r="M44" s="230"/>
      <c r="N44" s="230"/>
      <c r="O44" s="230"/>
      <c r="P44" s="229">
        <f t="shared" si="1"/>
        <v>1200</v>
      </c>
    </row>
    <row r="45" spans="1:16" outlineLevel="1">
      <c r="A45" s="408"/>
      <c r="B45" s="404" t="s">
        <v>225</v>
      </c>
      <c r="C45" s="404"/>
      <c r="D45" s="230">
        <v>456600</v>
      </c>
      <c r="E45" s="230">
        <v>495300</v>
      </c>
      <c r="F45" s="230">
        <v>380000</v>
      </c>
      <c r="G45" s="230">
        <v>303000</v>
      </c>
      <c r="H45" s="230"/>
      <c r="I45" s="230"/>
      <c r="J45" s="230"/>
      <c r="K45" s="230"/>
      <c r="L45" s="230"/>
      <c r="M45" s="230"/>
      <c r="N45" s="230"/>
      <c r="O45" s="230"/>
      <c r="P45" s="229">
        <f t="shared" si="1"/>
        <v>1634900</v>
      </c>
    </row>
    <row r="46" spans="1:16" outlineLevel="1">
      <c r="A46" s="408"/>
      <c r="B46" s="403"/>
      <c r="C46" s="403"/>
      <c r="D46" s="230">
        <v>0</v>
      </c>
      <c r="E46" s="230">
        <v>0</v>
      </c>
      <c r="F46" s="230">
        <v>0</v>
      </c>
      <c r="G46" s="230">
        <v>0</v>
      </c>
      <c r="H46" s="230"/>
      <c r="I46" s="230"/>
      <c r="J46" s="230"/>
      <c r="K46" s="230"/>
      <c r="L46" s="230"/>
      <c r="M46" s="230"/>
      <c r="N46" s="230"/>
      <c r="O46" s="230"/>
      <c r="P46" s="229">
        <f t="shared" si="1"/>
        <v>0</v>
      </c>
    </row>
    <row r="47" spans="1:16" outlineLevel="1">
      <c r="A47" s="408"/>
      <c r="B47" s="403"/>
      <c r="C47" s="403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29">
        <f t="shared" si="1"/>
        <v>0</v>
      </c>
    </row>
    <row r="48" spans="1:16" outlineLevel="1">
      <c r="A48" s="408"/>
      <c r="B48" s="400" t="s">
        <v>226</v>
      </c>
      <c r="C48" s="400"/>
      <c r="D48" s="230">
        <v>29500</v>
      </c>
      <c r="E48" s="230">
        <v>54600</v>
      </c>
      <c r="F48" s="230">
        <v>15500</v>
      </c>
      <c r="G48" s="230">
        <v>21500</v>
      </c>
      <c r="H48" s="230"/>
      <c r="I48" s="230"/>
      <c r="J48" s="230"/>
      <c r="K48" s="230"/>
      <c r="L48" s="230"/>
      <c r="M48" s="230"/>
      <c r="N48" s="230"/>
      <c r="O48" s="230"/>
      <c r="P48" s="229">
        <f t="shared" si="1"/>
        <v>121100</v>
      </c>
    </row>
    <row r="49" spans="1:16" ht="15" customHeight="1" outlineLevel="1">
      <c r="A49" s="408"/>
      <c r="B49" s="404" t="s">
        <v>227</v>
      </c>
      <c r="C49" s="404"/>
      <c r="D49" s="230">
        <v>29500</v>
      </c>
      <c r="E49" s="230">
        <v>54600</v>
      </c>
      <c r="F49" s="230">
        <v>15500</v>
      </c>
      <c r="G49" s="230">
        <v>20900</v>
      </c>
      <c r="H49" s="230"/>
      <c r="I49" s="230"/>
      <c r="J49" s="230"/>
      <c r="K49" s="230"/>
      <c r="L49" s="230"/>
      <c r="M49" s="230"/>
      <c r="N49" s="230"/>
      <c r="O49" s="230"/>
      <c r="P49" s="229">
        <f t="shared" si="1"/>
        <v>120500</v>
      </c>
    </row>
    <row r="50" spans="1:16" outlineLevel="1">
      <c r="A50" s="408"/>
      <c r="B50" s="404" t="s">
        <v>228</v>
      </c>
      <c r="C50" s="404"/>
      <c r="D50" s="230">
        <v>0</v>
      </c>
      <c r="E50" s="230">
        <v>0</v>
      </c>
      <c r="F50" s="230">
        <v>0</v>
      </c>
      <c r="G50" s="230">
        <v>600</v>
      </c>
      <c r="H50" s="230"/>
      <c r="I50" s="230"/>
      <c r="J50" s="230"/>
      <c r="K50" s="230"/>
      <c r="L50" s="230"/>
      <c r="M50" s="230"/>
      <c r="N50" s="230"/>
      <c r="O50" s="230"/>
      <c r="P50" s="229">
        <f t="shared" si="1"/>
        <v>600</v>
      </c>
    </row>
    <row r="51" spans="1:16" outlineLevel="1">
      <c r="A51" s="408"/>
      <c r="B51" s="405" t="s">
        <v>229</v>
      </c>
      <c r="C51" s="405"/>
      <c r="D51" s="230">
        <v>0</v>
      </c>
      <c r="E51" s="230">
        <v>0</v>
      </c>
      <c r="F51" s="230">
        <v>0</v>
      </c>
      <c r="G51" s="230">
        <v>0</v>
      </c>
      <c r="H51" s="230"/>
      <c r="I51" s="230"/>
      <c r="J51" s="230"/>
      <c r="K51" s="230"/>
      <c r="L51" s="230"/>
      <c r="M51" s="230"/>
      <c r="N51" s="230"/>
      <c r="O51" s="230"/>
      <c r="P51" s="229">
        <f t="shared" si="1"/>
        <v>0</v>
      </c>
    </row>
    <row r="52" spans="1:16" s="222" customFormat="1" ht="18.75" customHeight="1">
      <c r="A52" s="408"/>
      <c r="B52" s="402" t="s">
        <v>230</v>
      </c>
      <c r="C52" s="402"/>
      <c r="D52" s="229">
        <v>601800</v>
      </c>
      <c r="E52" s="229">
        <v>1335200</v>
      </c>
      <c r="F52" s="229">
        <v>0</v>
      </c>
      <c r="G52" s="229">
        <v>0</v>
      </c>
      <c r="H52" s="229"/>
      <c r="I52" s="229"/>
      <c r="J52" s="229"/>
      <c r="K52" s="229"/>
      <c r="L52" s="229"/>
      <c r="M52" s="229"/>
      <c r="N52" s="229"/>
      <c r="O52" s="229"/>
      <c r="P52" s="229">
        <f t="shared" si="1"/>
        <v>1937000</v>
      </c>
    </row>
    <row r="53" spans="1:16" ht="18.75" hidden="1" customHeight="1" outlineLevel="1">
      <c r="A53" s="408"/>
      <c r="B53" s="400" t="s">
        <v>222</v>
      </c>
      <c r="C53" s="400"/>
      <c r="D53" s="230">
        <v>454000</v>
      </c>
      <c r="E53" s="230">
        <v>1027500</v>
      </c>
      <c r="F53" s="230">
        <v>0</v>
      </c>
      <c r="G53" s="230">
        <v>0</v>
      </c>
      <c r="H53" s="230"/>
      <c r="I53" s="230"/>
      <c r="J53" s="230"/>
      <c r="K53" s="230"/>
      <c r="L53" s="230"/>
      <c r="M53" s="230"/>
      <c r="N53" s="230"/>
      <c r="O53" s="230"/>
      <c r="P53" s="229">
        <f t="shared" si="1"/>
        <v>1481500</v>
      </c>
    </row>
    <row r="54" spans="1:16" ht="18.75" hidden="1" customHeight="1" outlineLevel="1">
      <c r="A54" s="408"/>
      <c r="B54" s="400" t="s">
        <v>231</v>
      </c>
      <c r="C54" s="400"/>
      <c r="D54" s="230">
        <v>147800</v>
      </c>
      <c r="E54" s="230">
        <v>221700</v>
      </c>
      <c r="F54" s="230">
        <v>0</v>
      </c>
      <c r="G54" s="230">
        <v>0</v>
      </c>
      <c r="H54" s="230"/>
      <c r="I54" s="230"/>
      <c r="J54" s="230"/>
      <c r="K54" s="230"/>
      <c r="L54" s="230"/>
      <c r="M54" s="230"/>
      <c r="N54" s="230"/>
      <c r="O54" s="230"/>
      <c r="P54" s="229">
        <f t="shared" si="1"/>
        <v>369500</v>
      </c>
    </row>
    <row r="55" spans="1:16" ht="18.75" hidden="1" customHeight="1" outlineLevel="1">
      <c r="A55" s="408"/>
      <c r="B55" s="400" t="s">
        <v>232</v>
      </c>
      <c r="C55" s="400"/>
      <c r="D55" s="230">
        <v>0</v>
      </c>
      <c r="E55" s="230">
        <v>46000</v>
      </c>
      <c r="F55" s="230">
        <v>0</v>
      </c>
      <c r="G55" s="230">
        <v>0</v>
      </c>
      <c r="H55" s="230"/>
      <c r="I55" s="230"/>
      <c r="J55" s="230"/>
      <c r="K55" s="230"/>
      <c r="L55" s="230"/>
      <c r="M55" s="230"/>
      <c r="N55" s="230"/>
      <c r="O55" s="230"/>
      <c r="P55" s="229">
        <f t="shared" si="1"/>
        <v>46000</v>
      </c>
    </row>
    <row r="56" spans="1:16" ht="18.75" hidden="1" customHeight="1" outlineLevel="1">
      <c r="A56" s="408"/>
      <c r="B56" s="400" t="s">
        <v>233</v>
      </c>
      <c r="C56" s="400"/>
      <c r="D56" s="230">
        <v>0</v>
      </c>
      <c r="E56" s="230">
        <v>35000</v>
      </c>
      <c r="F56" s="230">
        <v>0</v>
      </c>
      <c r="G56" s="230">
        <v>0</v>
      </c>
      <c r="H56" s="230"/>
      <c r="I56" s="230"/>
      <c r="J56" s="230"/>
      <c r="K56" s="230"/>
      <c r="L56" s="230"/>
      <c r="M56" s="230"/>
      <c r="N56" s="230"/>
      <c r="O56" s="230"/>
      <c r="P56" s="229">
        <f t="shared" si="1"/>
        <v>35000</v>
      </c>
    </row>
    <row r="57" spans="1:16" ht="18.75" hidden="1" customHeight="1" outlineLevel="1">
      <c r="A57" s="408"/>
      <c r="B57" s="400" t="s">
        <v>234</v>
      </c>
      <c r="C57" s="400"/>
      <c r="D57" s="230">
        <v>0</v>
      </c>
      <c r="E57" s="230">
        <v>5000</v>
      </c>
      <c r="F57" s="230">
        <v>0</v>
      </c>
      <c r="G57" s="230">
        <v>0</v>
      </c>
      <c r="H57" s="230"/>
      <c r="I57" s="230"/>
      <c r="J57" s="230"/>
      <c r="K57" s="230"/>
      <c r="L57" s="230"/>
      <c r="M57" s="230"/>
      <c r="N57" s="230"/>
      <c r="O57" s="230"/>
      <c r="P57" s="229">
        <f t="shared" si="1"/>
        <v>5000</v>
      </c>
    </row>
    <row r="58" spans="1:16" ht="18.75" hidden="1" customHeight="1" outlineLevel="1">
      <c r="A58" s="408"/>
      <c r="B58" s="400" t="s">
        <v>235</v>
      </c>
      <c r="C58" s="400"/>
      <c r="D58" s="230">
        <v>0</v>
      </c>
      <c r="E58" s="230">
        <v>0</v>
      </c>
      <c r="F58" s="230">
        <v>0</v>
      </c>
      <c r="G58" s="230">
        <v>0</v>
      </c>
      <c r="H58" s="230"/>
      <c r="I58" s="230"/>
      <c r="J58" s="230"/>
      <c r="K58" s="230"/>
      <c r="L58" s="230"/>
      <c r="M58" s="230"/>
      <c r="N58" s="230"/>
      <c r="O58" s="230"/>
      <c r="P58" s="229">
        <f t="shared" si="1"/>
        <v>0</v>
      </c>
    </row>
    <row r="59" spans="1:16" s="222" customFormat="1" ht="18.75" customHeight="1" collapsed="1">
      <c r="A59" s="408"/>
      <c r="B59" s="395" t="s">
        <v>236</v>
      </c>
      <c r="C59" s="395"/>
      <c r="D59" s="229">
        <v>398236</v>
      </c>
      <c r="E59" s="229">
        <v>334159</v>
      </c>
      <c r="F59" s="229">
        <v>277970</v>
      </c>
      <c r="G59" s="229">
        <v>218682</v>
      </c>
      <c r="H59" s="229"/>
      <c r="I59" s="229"/>
      <c r="J59" s="229"/>
      <c r="K59" s="229"/>
      <c r="L59" s="229"/>
      <c r="M59" s="229"/>
      <c r="N59" s="229"/>
      <c r="O59" s="229"/>
      <c r="P59" s="229">
        <f t="shared" si="1"/>
        <v>1229047</v>
      </c>
    </row>
    <row r="60" spans="1:16" ht="18.75" hidden="1" customHeight="1" outlineLevel="1">
      <c r="A60" s="408"/>
      <c r="B60" s="400" t="s">
        <v>237</v>
      </c>
      <c r="C60" s="400"/>
      <c r="D60" s="230">
        <v>32236</v>
      </c>
      <c r="E60" s="230">
        <v>56469</v>
      </c>
      <c r="F60" s="230">
        <v>44870</v>
      </c>
      <c r="G60" s="230">
        <v>26182</v>
      </c>
      <c r="H60" s="230"/>
      <c r="I60" s="230"/>
      <c r="J60" s="230"/>
      <c r="K60" s="230"/>
      <c r="L60" s="230"/>
      <c r="M60" s="230"/>
      <c r="N60" s="230"/>
      <c r="O60" s="230"/>
      <c r="P60" s="229">
        <f t="shared" si="1"/>
        <v>159757</v>
      </c>
    </row>
    <row r="61" spans="1:16" ht="18.75" hidden="1" customHeight="1" outlineLevel="1">
      <c r="A61" s="408"/>
      <c r="B61" s="400" t="s">
        <v>238</v>
      </c>
      <c r="C61" s="400"/>
      <c r="D61" s="230">
        <v>213300</v>
      </c>
      <c r="E61" s="230">
        <v>221790</v>
      </c>
      <c r="F61" s="230">
        <v>227200</v>
      </c>
      <c r="G61" s="230">
        <v>189100</v>
      </c>
      <c r="H61" s="230"/>
      <c r="I61" s="230"/>
      <c r="J61" s="230"/>
      <c r="K61" s="230"/>
      <c r="L61" s="230"/>
      <c r="M61" s="230"/>
      <c r="N61" s="230"/>
      <c r="O61" s="230"/>
      <c r="P61" s="229">
        <f t="shared" si="1"/>
        <v>851390</v>
      </c>
    </row>
    <row r="62" spans="1:16" ht="18.75" hidden="1" customHeight="1" outlineLevel="1">
      <c r="A62" s="408"/>
      <c r="B62" s="400" t="s">
        <v>239</v>
      </c>
      <c r="C62" s="400"/>
      <c r="D62" s="230">
        <v>6700</v>
      </c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29">
        <f t="shared" si="1"/>
        <v>6700</v>
      </c>
    </row>
    <row r="63" spans="1:16" ht="18.75" hidden="1" customHeight="1" outlineLevel="1">
      <c r="A63" s="408"/>
      <c r="B63" s="400" t="s">
        <v>240</v>
      </c>
      <c r="C63" s="400"/>
      <c r="D63" s="230">
        <v>0</v>
      </c>
      <c r="E63" s="230">
        <v>0</v>
      </c>
      <c r="F63" s="230">
        <v>0</v>
      </c>
      <c r="G63" s="230">
        <v>0</v>
      </c>
      <c r="H63" s="230"/>
      <c r="I63" s="230"/>
      <c r="J63" s="230"/>
      <c r="K63" s="230"/>
      <c r="L63" s="230"/>
      <c r="M63" s="230"/>
      <c r="N63" s="230"/>
      <c r="O63" s="230"/>
      <c r="P63" s="229">
        <f t="shared" si="1"/>
        <v>0</v>
      </c>
    </row>
    <row r="64" spans="1:16" ht="18.75" hidden="1" customHeight="1" outlineLevel="1">
      <c r="A64" s="408"/>
      <c r="B64" s="400" t="s">
        <v>241</v>
      </c>
      <c r="C64" s="400"/>
      <c r="D64" s="230">
        <v>0</v>
      </c>
      <c r="E64" s="230">
        <v>5000</v>
      </c>
      <c r="F64" s="230">
        <v>0</v>
      </c>
      <c r="G64" s="230">
        <v>0</v>
      </c>
      <c r="H64" s="230"/>
      <c r="I64" s="230"/>
      <c r="J64" s="230"/>
      <c r="K64" s="230"/>
      <c r="L64" s="230"/>
      <c r="M64" s="230"/>
      <c r="N64" s="230"/>
      <c r="O64" s="230"/>
      <c r="P64" s="229">
        <f t="shared" si="1"/>
        <v>5000</v>
      </c>
    </row>
    <row r="65" spans="1:16" ht="18.75" hidden="1" customHeight="1" outlineLevel="1">
      <c r="A65" s="408"/>
      <c r="B65" s="400"/>
      <c r="C65" s="400"/>
      <c r="D65" s="230">
        <v>146000</v>
      </c>
      <c r="E65" s="230">
        <v>45000</v>
      </c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29">
        <f t="shared" si="1"/>
        <v>191000</v>
      </c>
    </row>
    <row r="66" spans="1:16" ht="18.75" hidden="1" customHeight="1" outlineLevel="1">
      <c r="A66" s="408"/>
      <c r="B66" s="400"/>
      <c r="C66" s="40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29">
        <f t="shared" si="1"/>
        <v>0</v>
      </c>
    </row>
    <row r="67" spans="1:16" ht="18.75" hidden="1" customHeight="1" outlineLevel="1">
      <c r="A67" s="408"/>
      <c r="B67" s="400"/>
      <c r="C67" s="40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29">
        <f t="shared" si="1"/>
        <v>0</v>
      </c>
    </row>
    <row r="68" spans="1:16" ht="18.75" hidden="1" customHeight="1" outlineLevel="1">
      <c r="A68" s="408"/>
      <c r="B68" s="400"/>
      <c r="C68" s="400"/>
      <c r="D68" s="230">
        <v>0</v>
      </c>
      <c r="E68" s="230">
        <v>0</v>
      </c>
      <c r="F68" s="230">
        <v>0</v>
      </c>
      <c r="G68" s="230">
        <v>0</v>
      </c>
      <c r="H68" s="230"/>
      <c r="I68" s="230"/>
      <c r="J68" s="230"/>
      <c r="K68" s="230"/>
      <c r="L68" s="230"/>
      <c r="M68" s="230"/>
      <c r="N68" s="230"/>
      <c r="O68" s="230"/>
      <c r="P68" s="229">
        <f t="shared" si="1"/>
        <v>0</v>
      </c>
    </row>
    <row r="69" spans="1:16" ht="18.75" customHeight="1" collapsed="1">
      <c r="A69" s="401"/>
      <c r="B69" s="395" t="s">
        <v>242</v>
      </c>
      <c r="C69" s="395"/>
      <c r="D69" s="230">
        <v>74700</v>
      </c>
      <c r="E69" s="230">
        <v>83250</v>
      </c>
      <c r="F69" s="230">
        <v>43950</v>
      </c>
      <c r="G69" s="230">
        <v>30750</v>
      </c>
      <c r="H69" s="230"/>
      <c r="I69" s="230"/>
      <c r="J69" s="230"/>
      <c r="K69" s="230"/>
      <c r="L69" s="230"/>
      <c r="M69" s="230"/>
      <c r="N69" s="230"/>
      <c r="O69" s="230"/>
      <c r="P69" s="229">
        <f t="shared" si="1"/>
        <v>232650</v>
      </c>
    </row>
    <row r="70" spans="1:16" ht="18.75" customHeight="1">
      <c r="A70" s="401"/>
      <c r="B70" s="395" t="s">
        <v>243</v>
      </c>
      <c r="C70" s="395"/>
      <c r="D70" s="230">
        <v>0</v>
      </c>
      <c r="E70" s="230">
        <v>0</v>
      </c>
      <c r="F70" s="230">
        <v>0</v>
      </c>
      <c r="G70" s="230">
        <v>0</v>
      </c>
      <c r="H70" s="230"/>
      <c r="I70" s="230"/>
      <c r="J70" s="230"/>
      <c r="K70" s="230"/>
      <c r="L70" s="230"/>
      <c r="M70" s="230"/>
      <c r="N70" s="230"/>
      <c r="O70" s="230"/>
      <c r="P70" s="229">
        <f t="shared" si="1"/>
        <v>0</v>
      </c>
    </row>
    <row r="71" spans="1:16" ht="18.75" customHeight="1">
      <c r="A71" s="343"/>
      <c r="B71" s="395" t="s">
        <v>244</v>
      </c>
      <c r="C71" s="395"/>
      <c r="D71" s="230">
        <v>0</v>
      </c>
      <c r="E71" s="230">
        <v>0</v>
      </c>
      <c r="F71" s="230">
        <v>0</v>
      </c>
      <c r="G71" s="230">
        <v>0</v>
      </c>
      <c r="H71" s="230"/>
      <c r="I71" s="230"/>
      <c r="J71" s="230"/>
      <c r="K71" s="230"/>
      <c r="L71" s="230"/>
      <c r="M71" s="230"/>
      <c r="N71" s="230"/>
      <c r="O71" s="230"/>
      <c r="P71" s="229">
        <f t="shared" si="1"/>
        <v>0</v>
      </c>
    </row>
    <row r="72" spans="1:16" s="228" customFormat="1" ht="18.75" customHeight="1">
      <c r="A72" s="396"/>
      <c r="B72" s="397" t="s">
        <v>245</v>
      </c>
      <c r="C72" s="397"/>
      <c r="D72" s="235">
        <v>7480894</v>
      </c>
      <c r="E72" s="235">
        <v>6516716</v>
      </c>
      <c r="F72" s="235">
        <v>3647353</v>
      </c>
      <c r="G72" s="235">
        <v>2348974</v>
      </c>
      <c r="H72" s="235"/>
      <c r="I72" s="235"/>
      <c r="J72" s="235"/>
      <c r="K72" s="235"/>
      <c r="L72" s="235"/>
      <c r="M72" s="235"/>
      <c r="N72" s="235"/>
      <c r="O72" s="235"/>
      <c r="P72" s="235">
        <f t="shared" si="1"/>
        <v>19993937</v>
      </c>
    </row>
    <row r="73" spans="1:16" ht="18.75" customHeight="1">
      <c r="A73" s="396"/>
      <c r="B73" s="398" t="s">
        <v>246</v>
      </c>
      <c r="C73" s="398"/>
      <c r="D73" s="230">
        <v>1254863</v>
      </c>
      <c r="E73" s="230">
        <v>1205997</v>
      </c>
      <c r="F73" s="230">
        <v>688590</v>
      </c>
      <c r="G73" s="230">
        <v>509752</v>
      </c>
      <c r="H73" s="230"/>
      <c r="I73" s="230"/>
      <c r="J73" s="230"/>
      <c r="K73" s="230"/>
      <c r="L73" s="230"/>
      <c r="M73" s="230"/>
      <c r="N73" s="230"/>
      <c r="O73" s="230"/>
      <c r="P73" s="230">
        <f t="shared" si="1"/>
        <v>3659202</v>
      </c>
    </row>
    <row r="74" spans="1:16" ht="18.75" customHeight="1">
      <c r="A74" s="396"/>
      <c r="B74" s="398" t="s">
        <v>247</v>
      </c>
      <c r="C74" s="398"/>
      <c r="D74" s="230">
        <v>5259164</v>
      </c>
      <c r="E74" s="230">
        <v>4512778</v>
      </c>
      <c r="F74" s="230">
        <v>2766763</v>
      </c>
      <c r="G74" s="230">
        <v>1811422</v>
      </c>
      <c r="H74" s="230"/>
      <c r="I74" s="230"/>
      <c r="J74" s="230"/>
      <c r="K74" s="230"/>
      <c r="L74" s="230"/>
      <c r="M74" s="230"/>
      <c r="N74" s="230"/>
      <c r="O74" s="230"/>
      <c r="P74" s="230">
        <f t="shared" si="1"/>
        <v>14350127</v>
      </c>
    </row>
    <row r="75" spans="1:16" ht="18.75" customHeight="1">
      <c r="A75" s="396"/>
      <c r="B75" s="398" t="s">
        <v>248</v>
      </c>
      <c r="C75" s="398"/>
      <c r="D75" s="230">
        <v>966867</v>
      </c>
      <c r="E75" s="230">
        <v>797941</v>
      </c>
      <c r="F75" s="230">
        <v>192000</v>
      </c>
      <c r="G75" s="230">
        <v>27800</v>
      </c>
      <c r="H75" s="230"/>
      <c r="I75" s="230"/>
      <c r="J75" s="230"/>
      <c r="K75" s="230"/>
      <c r="L75" s="230"/>
      <c r="M75" s="230"/>
      <c r="N75" s="230"/>
      <c r="O75" s="230"/>
      <c r="P75" s="230">
        <f t="shared" si="1"/>
        <v>1984608</v>
      </c>
    </row>
    <row r="76" spans="1:16" ht="18.75" customHeight="1">
      <c r="A76" s="396"/>
      <c r="B76" s="399" t="s">
        <v>249</v>
      </c>
      <c r="C76" s="399"/>
      <c r="D76" s="230">
        <v>52340</v>
      </c>
      <c r="E76" s="230">
        <v>-1045511</v>
      </c>
      <c r="F76" s="230">
        <v>-151930</v>
      </c>
      <c r="G76" s="230">
        <v>18040</v>
      </c>
      <c r="H76" s="230"/>
      <c r="I76" s="230"/>
      <c r="J76" s="230"/>
      <c r="K76" s="230"/>
      <c r="L76" s="230"/>
      <c r="M76" s="230"/>
      <c r="N76" s="230"/>
      <c r="O76" s="230"/>
      <c r="P76" s="230">
        <f t="shared" si="1"/>
        <v>-1127061</v>
      </c>
    </row>
    <row r="77" spans="1:16" ht="18.75" customHeight="1">
      <c r="A77" s="236"/>
      <c r="B77" s="226"/>
      <c r="C77" s="226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</row>
    <row r="78" spans="1:16" ht="15" customHeight="1"/>
    <row r="79" spans="1:16" ht="36.75" customHeight="1">
      <c r="A79" s="394" t="s">
        <v>26</v>
      </c>
      <c r="B79" s="238" t="s">
        <v>33</v>
      </c>
      <c r="C79" s="239" t="s">
        <v>98</v>
      </c>
      <c r="D79" s="239" t="s">
        <v>99</v>
      </c>
      <c r="E79" s="239" t="s">
        <v>100</v>
      </c>
      <c r="F79" s="239" t="s">
        <v>101</v>
      </c>
      <c r="G79" s="240" t="s">
        <v>102</v>
      </c>
      <c r="H79" s="239" t="s">
        <v>103</v>
      </c>
      <c r="I79" s="239" t="s">
        <v>104</v>
      </c>
      <c r="J79" s="239" t="s">
        <v>105</v>
      </c>
      <c r="K79" s="239" t="s">
        <v>106</v>
      </c>
      <c r="L79" s="239" t="s">
        <v>107</v>
      </c>
      <c r="M79" s="239" t="s">
        <v>108</v>
      </c>
      <c r="N79" s="239" t="s">
        <v>109</v>
      </c>
      <c r="O79" s="241" t="s">
        <v>42</v>
      </c>
    </row>
    <row r="80" spans="1:16">
      <c r="A80" s="394"/>
      <c r="B80" s="242" t="s">
        <v>110</v>
      </c>
      <c r="C80" s="243">
        <v>3022505</v>
      </c>
      <c r="D80" s="243">
        <v>4261675</v>
      </c>
      <c r="E80" s="243">
        <v>3738314</v>
      </c>
      <c r="F80" s="243">
        <v>2113091</v>
      </c>
      <c r="G80" s="243">
        <v>3281694</v>
      </c>
      <c r="H80" s="243">
        <v>2228827</v>
      </c>
      <c r="I80" s="243">
        <v>5237483</v>
      </c>
      <c r="J80" s="243">
        <v>6962206</v>
      </c>
      <c r="K80" s="243">
        <v>4111027</v>
      </c>
      <c r="L80" s="243">
        <v>5703514</v>
      </c>
      <c r="M80" s="243">
        <v>5651540</v>
      </c>
      <c r="N80" s="243">
        <v>4532837</v>
      </c>
      <c r="O80" s="244">
        <v>50844713</v>
      </c>
    </row>
    <row r="81" spans="1:16">
      <c r="A81" s="394"/>
      <c r="B81" s="242" t="s">
        <v>111</v>
      </c>
      <c r="C81" s="243">
        <f t="shared" ref="C81:N81" si="2">D3</f>
        <v>7428554</v>
      </c>
      <c r="D81" s="243">
        <f t="shared" si="2"/>
        <v>7562227</v>
      </c>
      <c r="E81" s="243">
        <f t="shared" si="2"/>
        <v>3799283</v>
      </c>
      <c r="F81" s="243">
        <f t="shared" si="2"/>
        <v>2330934</v>
      </c>
      <c r="G81" s="243">
        <f t="shared" si="2"/>
        <v>4784742</v>
      </c>
      <c r="H81" s="243">
        <f t="shared" si="2"/>
        <v>2087208</v>
      </c>
      <c r="I81" s="243">
        <f t="shared" si="2"/>
        <v>1038480</v>
      </c>
      <c r="J81" s="243">
        <f t="shared" si="2"/>
        <v>1446637</v>
      </c>
      <c r="K81" s="243">
        <f t="shared" si="2"/>
        <v>100152</v>
      </c>
      <c r="L81" s="243">
        <f t="shared" si="2"/>
        <v>177600</v>
      </c>
      <c r="M81" s="243">
        <f t="shared" si="2"/>
        <v>0</v>
      </c>
      <c r="N81" s="243">
        <f t="shared" si="2"/>
        <v>0</v>
      </c>
      <c r="O81" s="244">
        <f>SUM(C81:N81)</f>
        <v>30755817</v>
      </c>
    </row>
    <row r="82" spans="1:16">
      <c r="A82" s="394"/>
      <c r="B82" s="242" t="s">
        <v>112</v>
      </c>
      <c r="C82" s="245">
        <f t="shared" ref="C82:O82" si="3">C81/C80</f>
        <v>2.4577474644376105</v>
      </c>
      <c r="D82" s="245">
        <f t="shared" si="3"/>
        <v>1.7744729478432777</v>
      </c>
      <c r="E82" s="245">
        <f t="shared" si="3"/>
        <v>1.0163092238907701</v>
      </c>
      <c r="F82" s="245">
        <f t="shared" si="3"/>
        <v>1.1030921053565605</v>
      </c>
      <c r="G82" s="246">
        <f t="shared" si="3"/>
        <v>1.4580097961601539</v>
      </c>
      <c r="H82" s="245">
        <f t="shared" si="3"/>
        <v>0.93646029952077936</v>
      </c>
      <c r="I82" s="245">
        <f t="shared" si="3"/>
        <v>0.19827844787276636</v>
      </c>
      <c r="J82" s="245">
        <f t="shared" si="3"/>
        <v>0.20778428561292211</v>
      </c>
      <c r="K82" s="245">
        <f t="shared" si="3"/>
        <v>2.4361795726469324E-2</v>
      </c>
      <c r="L82" s="245">
        <f t="shared" si="3"/>
        <v>3.1138698002669933E-2</v>
      </c>
      <c r="M82" s="245">
        <f t="shared" si="3"/>
        <v>0</v>
      </c>
      <c r="N82" s="245">
        <f t="shared" si="3"/>
        <v>0</v>
      </c>
      <c r="O82" s="247">
        <f t="shared" si="3"/>
        <v>0.60489705193143684</v>
      </c>
    </row>
    <row r="83" spans="1:16">
      <c r="A83" s="394"/>
      <c r="B83" s="242" t="s">
        <v>113</v>
      </c>
      <c r="C83" s="248">
        <f t="shared" ref="C83:N83" si="4">C81-C80</f>
        <v>4406049</v>
      </c>
      <c r="D83" s="248">
        <f t="shared" si="4"/>
        <v>3300552</v>
      </c>
      <c r="E83" s="248">
        <f t="shared" si="4"/>
        <v>60969</v>
      </c>
      <c r="F83" s="248">
        <f t="shared" si="4"/>
        <v>217843</v>
      </c>
      <c r="G83" s="249">
        <f t="shared" si="4"/>
        <v>1503048</v>
      </c>
      <c r="H83" s="248">
        <f t="shared" si="4"/>
        <v>-141619</v>
      </c>
      <c r="I83" s="248">
        <f t="shared" si="4"/>
        <v>-4199003</v>
      </c>
      <c r="J83" s="248">
        <f t="shared" si="4"/>
        <v>-5515569</v>
      </c>
      <c r="K83" s="248">
        <f t="shared" si="4"/>
        <v>-4010875</v>
      </c>
      <c r="L83" s="248">
        <f t="shared" si="4"/>
        <v>-5525914</v>
      </c>
      <c r="M83" s="248">
        <f t="shared" si="4"/>
        <v>-5651540</v>
      </c>
      <c r="N83" s="248">
        <f t="shared" si="4"/>
        <v>-4532837</v>
      </c>
      <c r="O83" s="250">
        <f>SUM(C83:N83)</f>
        <v>-20088896</v>
      </c>
    </row>
    <row r="84" spans="1:16">
      <c r="A84" s="394"/>
      <c r="B84" s="242" t="s">
        <v>114</v>
      </c>
      <c r="C84" s="243">
        <v>3022505</v>
      </c>
      <c r="D84" s="243">
        <v>4261675</v>
      </c>
      <c r="E84" s="243">
        <v>3738314</v>
      </c>
      <c r="F84" s="243">
        <v>2113091</v>
      </c>
      <c r="G84" s="243">
        <v>3281694</v>
      </c>
      <c r="H84" s="243">
        <v>2228827</v>
      </c>
      <c r="I84" s="243">
        <v>5237483</v>
      </c>
      <c r="J84" s="243">
        <v>6962206</v>
      </c>
      <c r="K84" s="243">
        <v>4111027</v>
      </c>
      <c r="L84" s="243">
        <v>5703514</v>
      </c>
      <c r="M84" s="243">
        <v>5651540</v>
      </c>
      <c r="N84" s="243">
        <v>2520879</v>
      </c>
      <c r="O84" s="244">
        <f>SUM(C84:N84)</f>
        <v>48832755</v>
      </c>
      <c r="P84" s="75" t="s">
        <v>250</v>
      </c>
    </row>
    <row r="85" spans="1:16">
      <c r="A85" s="394"/>
      <c r="B85" s="242" t="s">
        <v>115</v>
      </c>
      <c r="C85" s="245">
        <f t="shared" ref="C85:O85" si="5">C81/C84</f>
        <v>2.4577474644376105</v>
      </c>
      <c r="D85" s="245">
        <f t="shared" si="5"/>
        <v>1.7744729478432777</v>
      </c>
      <c r="E85" s="245">
        <f t="shared" si="5"/>
        <v>1.0163092238907701</v>
      </c>
      <c r="F85" s="245">
        <f t="shared" si="5"/>
        <v>1.1030921053565605</v>
      </c>
      <c r="G85" s="246">
        <f t="shared" si="5"/>
        <v>1.4580097961601539</v>
      </c>
      <c r="H85" s="245">
        <f t="shared" si="5"/>
        <v>0.93646029952077936</v>
      </c>
      <c r="I85" s="245">
        <f t="shared" si="5"/>
        <v>0.19827844787276636</v>
      </c>
      <c r="J85" s="245">
        <f t="shared" si="5"/>
        <v>0.20778428561292211</v>
      </c>
      <c r="K85" s="245">
        <f t="shared" si="5"/>
        <v>2.4361795726469324E-2</v>
      </c>
      <c r="L85" s="245">
        <f t="shared" si="5"/>
        <v>3.1138698002669933E-2</v>
      </c>
      <c r="M85" s="245">
        <f t="shared" si="5"/>
        <v>0</v>
      </c>
      <c r="N85" s="245">
        <f t="shared" si="5"/>
        <v>0</v>
      </c>
      <c r="O85" s="247">
        <f t="shared" si="5"/>
        <v>0.62981941117186613</v>
      </c>
    </row>
    <row r="86" spans="1:16">
      <c r="A86" s="394"/>
      <c r="B86" s="242" t="s">
        <v>116</v>
      </c>
      <c r="C86" s="243"/>
      <c r="D86" s="243"/>
      <c r="E86" s="243"/>
      <c r="F86" s="243"/>
      <c r="G86" s="251"/>
      <c r="H86" s="243"/>
      <c r="I86" s="243"/>
      <c r="J86" s="243"/>
      <c r="K86" s="243"/>
      <c r="L86" s="243"/>
      <c r="M86" s="243"/>
      <c r="N86" s="243"/>
      <c r="O86" s="244">
        <f>SUM(C86:N86)</f>
        <v>0</v>
      </c>
    </row>
    <row r="87" spans="1:16">
      <c r="A87" s="394"/>
      <c r="B87" s="242" t="s">
        <v>117</v>
      </c>
      <c r="C87" s="243">
        <v>2059304</v>
      </c>
      <c r="D87" s="243">
        <v>2334640</v>
      </c>
      <c r="E87" s="243">
        <v>5917638</v>
      </c>
      <c r="F87" s="243">
        <v>6785357</v>
      </c>
      <c r="G87" s="251">
        <v>6789048</v>
      </c>
      <c r="H87" s="243">
        <v>5520140</v>
      </c>
      <c r="I87" s="243">
        <v>5057960</v>
      </c>
      <c r="J87" s="243">
        <v>5678353</v>
      </c>
      <c r="K87" s="243">
        <v>2742138</v>
      </c>
      <c r="L87" s="243"/>
      <c r="M87" s="243"/>
      <c r="N87" s="243"/>
      <c r="O87" s="244">
        <f>SUM(C87:N87)</f>
        <v>42884578</v>
      </c>
    </row>
    <row r="88" spans="1:16">
      <c r="A88" s="394"/>
      <c r="B88" s="242" t="s">
        <v>118</v>
      </c>
      <c r="C88" s="252">
        <v>3022505</v>
      </c>
      <c r="D88" s="252">
        <v>4261675</v>
      </c>
      <c r="E88" s="252">
        <v>3738314</v>
      </c>
      <c r="F88" s="252">
        <v>2113091</v>
      </c>
      <c r="G88" s="252">
        <v>3281694</v>
      </c>
      <c r="H88" s="252">
        <v>2228827</v>
      </c>
      <c r="I88" s="252">
        <v>5237483</v>
      </c>
      <c r="J88" s="252">
        <v>6962206</v>
      </c>
      <c r="K88" s="252">
        <v>4111027</v>
      </c>
      <c r="L88" s="252">
        <v>5703514</v>
      </c>
      <c r="M88" s="252">
        <v>5651540</v>
      </c>
      <c r="N88" s="252">
        <v>4532837</v>
      </c>
      <c r="O88" s="244">
        <v>50844713</v>
      </c>
    </row>
    <row r="89" spans="1:16">
      <c r="A89" s="394"/>
      <c r="B89" s="242" t="s">
        <v>119</v>
      </c>
      <c r="C89" s="248">
        <f>C86-C88</f>
        <v>-3022505</v>
      </c>
      <c r="D89" s="248">
        <f>D86-D87</f>
        <v>-2334640</v>
      </c>
      <c r="E89" s="248">
        <f>E86-E87</f>
        <v>-5917638</v>
      </c>
      <c r="F89" s="248">
        <f>F86-F87</f>
        <v>-6785357</v>
      </c>
      <c r="G89" s="249">
        <f>G86-G87</f>
        <v>-6789048</v>
      </c>
      <c r="H89" s="248">
        <f t="shared" ref="H89:M89" si="6">H86-H88</f>
        <v>-2228827</v>
      </c>
      <c r="I89" s="248">
        <f t="shared" si="6"/>
        <v>-5237483</v>
      </c>
      <c r="J89" s="248">
        <f t="shared" si="6"/>
        <v>-6962206</v>
      </c>
      <c r="K89" s="248">
        <f t="shared" si="6"/>
        <v>-4111027</v>
      </c>
      <c r="L89" s="248">
        <f t="shared" si="6"/>
        <v>-5703514</v>
      </c>
      <c r="M89" s="248">
        <f t="shared" si="6"/>
        <v>-5651540</v>
      </c>
      <c r="N89" s="248">
        <v>18000000</v>
      </c>
      <c r="O89" s="250">
        <f>SUM(C89:N89)</f>
        <v>-36743785</v>
      </c>
    </row>
    <row r="90" spans="1:16" ht="15" customHeight="1">
      <c r="A90" s="394"/>
      <c r="B90" s="253" t="s">
        <v>73</v>
      </c>
      <c r="C90" s="254">
        <f t="shared" ref="C90:N90" si="7">C81-C88</f>
        <v>4406049</v>
      </c>
      <c r="D90" s="254">
        <f t="shared" si="7"/>
        <v>3300552</v>
      </c>
      <c r="E90" s="254">
        <f t="shared" si="7"/>
        <v>60969</v>
      </c>
      <c r="F90" s="254">
        <f t="shared" si="7"/>
        <v>217843</v>
      </c>
      <c r="G90" s="254">
        <f t="shared" si="7"/>
        <v>1503048</v>
      </c>
      <c r="H90" s="254">
        <f t="shared" si="7"/>
        <v>-141619</v>
      </c>
      <c r="I90" s="254">
        <f t="shared" si="7"/>
        <v>-4199003</v>
      </c>
      <c r="J90" s="254">
        <f t="shared" si="7"/>
        <v>-5515569</v>
      </c>
      <c r="K90" s="254">
        <f t="shared" si="7"/>
        <v>-4010875</v>
      </c>
      <c r="L90" s="254">
        <f t="shared" si="7"/>
        <v>-5525914</v>
      </c>
      <c r="M90" s="254">
        <f t="shared" si="7"/>
        <v>-5651540</v>
      </c>
      <c r="N90" s="254">
        <f t="shared" si="7"/>
        <v>-4532837</v>
      </c>
      <c r="O90" s="255">
        <f>SUM(C90:N90)</f>
        <v>-20088896</v>
      </c>
    </row>
  </sheetData>
  <mergeCells count="79">
    <mergeCell ref="A2:B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B18"/>
    <mergeCell ref="A19:B19"/>
    <mergeCell ref="A20:B20"/>
    <mergeCell ref="A21:C21"/>
    <mergeCell ref="A22:C22"/>
    <mergeCell ref="A23:C23"/>
    <mergeCell ref="A24:C24"/>
    <mergeCell ref="A25:C25"/>
    <mergeCell ref="A26:C26"/>
    <mergeCell ref="A27:C27"/>
    <mergeCell ref="A28:C28"/>
    <mergeCell ref="A29:A6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A69:A70"/>
    <mergeCell ref="B69:C69"/>
    <mergeCell ref="B70:C70"/>
    <mergeCell ref="A79:A90"/>
    <mergeCell ref="B71:C71"/>
    <mergeCell ref="A72:A76"/>
    <mergeCell ref="B72:C72"/>
    <mergeCell ref="B73:C73"/>
    <mergeCell ref="B74:C74"/>
    <mergeCell ref="B75:C75"/>
    <mergeCell ref="B76:C76"/>
  </mergeCells>
  <phoneticPr fontId="36"/>
  <conditionalFormatting sqref="D3:P3">
    <cfRule type="cellIs" dxfId="9" priority="3" operator="equal">
      <formula>0</formula>
    </cfRule>
  </conditionalFormatting>
  <conditionalFormatting sqref="D3:P4">
    <cfRule type="cellIs" dxfId="8" priority="5" operator="equal">
      <formula>0</formula>
    </cfRule>
  </conditionalFormatting>
  <conditionalFormatting sqref="P5:P76 D5:O77">
    <cfRule type="cellIs" dxfId="7" priority="2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9"/>
  <sheetViews>
    <sheetView topLeftCell="F1" zoomScaleNormal="100" workbookViewId="0">
      <selection activeCell="M6" sqref="M6"/>
    </sheetView>
  </sheetViews>
  <sheetFormatPr defaultColWidth="8.58203125" defaultRowHeight="12.5"/>
  <cols>
    <col min="1" max="1" width="3.58203125" style="256" customWidth="1"/>
    <col min="2" max="2" width="10.08203125" style="256" customWidth="1"/>
    <col min="3" max="3" width="13.08203125" style="256" customWidth="1"/>
    <col min="4" max="4" width="13.75" style="256" customWidth="1"/>
    <col min="5" max="9" width="8.58203125" style="185"/>
    <col min="10" max="10" width="9.33203125" style="185" customWidth="1"/>
    <col min="11" max="14" width="8.58203125" style="185"/>
    <col min="15" max="15" width="9.33203125" style="185" customWidth="1"/>
    <col min="16" max="16384" width="8.58203125" style="185"/>
  </cols>
  <sheetData>
    <row r="1" spans="1:16">
      <c r="A1" s="257" t="s">
        <v>251</v>
      </c>
    </row>
    <row r="2" spans="1:16">
      <c r="A2" s="258"/>
      <c r="B2" s="259"/>
      <c r="C2" s="260"/>
      <c r="D2" s="261" t="s">
        <v>252</v>
      </c>
      <c r="E2" s="261" t="s">
        <v>253</v>
      </c>
      <c r="F2" s="261" t="s">
        <v>254</v>
      </c>
      <c r="G2" s="261" t="s">
        <v>255</v>
      </c>
      <c r="H2" s="261" t="s">
        <v>256</v>
      </c>
      <c r="I2" s="261" t="s">
        <v>257</v>
      </c>
      <c r="J2" s="261" t="s">
        <v>258</v>
      </c>
      <c r="K2" s="261" t="s">
        <v>259</v>
      </c>
      <c r="L2" s="261" t="s">
        <v>260</v>
      </c>
      <c r="M2" s="261" t="s">
        <v>261</v>
      </c>
      <c r="N2" s="261" t="s">
        <v>262</v>
      </c>
      <c r="O2" s="261" t="s">
        <v>263</v>
      </c>
      <c r="P2" s="262" t="s">
        <v>42</v>
      </c>
    </row>
    <row r="3" spans="1:16">
      <c r="A3" s="412" t="s">
        <v>264</v>
      </c>
      <c r="B3" s="412"/>
      <c r="C3" s="412"/>
      <c r="D3" s="263">
        <v>8292624</v>
      </c>
      <c r="E3" s="263">
        <v>8535484</v>
      </c>
      <c r="F3" s="263">
        <v>4929332</v>
      </c>
      <c r="G3" s="263">
        <v>6092392</v>
      </c>
      <c r="H3" s="263">
        <v>3646914</v>
      </c>
      <c r="I3" s="263">
        <v>1303991</v>
      </c>
      <c r="J3" s="263">
        <v>1869506</v>
      </c>
      <c r="K3" s="263">
        <v>948336</v>
      </c>
      <c r="L3" s="263">
        <v>1793043</v>
      </c>
      <c r="M3" s="263">
        <v>415440</v>
      </c>
      <c r="N3" s="263"/>
      <c r="O3" s="263"/>
      <c r="P3" s="263"/>
    </row>
    <row r="4" spans="1:16">
      <c r="A4" s="395" t="s">
        <v>191</v>
      </c>
      <c r="B4" s="395"/>
      <c r="C4" s="395"/>
      <c r="D4" s="264">
        <v>303</v>
      </c>
      <c r="E4" s="264">
        <v>279</v>
      </c>
      <c r="F4" s="264">
        <v>162</v>
      </c>
      <c r="G4" s="264">
        <v>182</v>
      </c>
      <c r="H4" s="264">
        <v>155</v>
      </c>
      <c r="I4" s="264">
        <v>103</v>
      </c>
      <c r="J4" s="264">
        <v>183</v>
      </c>
      <c r="K4" s="264">
        <v>459</v>
      </c>
      <c r="L4" s="264">
        <v>105</v>
      </c>
      <c r="M4" s="264">
        <v>83</v>
      </c>
      <c r="N4" s="264"/>
      <c r="O4" s="264"/>
      <c r="P4" s="264"/>
    </row>
    <row r="5" spans="1:16">
      <c r="A5" s="395" t="s">
        <v>192</v>
      </c>
      <c r="B5" s="395"/>
      <c r="C5" s="395"/>
      <c r="D5" s="264">
        <v>738</v>
      </c>
      <c r="E5" s="264">
        <v>741</v>
      </c>
      <c r="F5" s="264">
        <v>426</v>
      </c>
      <c r="G5" s="264">
        <v>554</v>
      </c>
      <c r="H5" s="264">
        <v>440</v>
      </c>
      <c r="I5" s="264">
        <v>273</v>
      </c>
      <c r="J5" s="264">
        <v>636</v>
      </c>
      <c r="K5" s="264">
        <v>1969</v>
      </c>
      <c r="L5" s="264">
        <v>469</v>
      </c>
      <c r="M5" s="264">
        <v>314</v>
      </c>
      <c r="N5" s="264"/>
      <c r="O5" s="264"/>
      <c r="P5" s="264"/>
    </row>
    <row r="6" spans="1:16">
      <c r="A6" s="406" t="s">
        <v>193</v>
      </c>
      <c r="B6" s="406"/>
      <c r="C6" s="406"/>
      <c r="D6" s="265">
        <v>0</v>
      </c>
      <c r="E6" s="265">
        <v>636</v>
      </c>
      <c r="F6" s="265">
        <v>116</v>
      </c>
      <c r="G6" s="265">
        <v>0</v>
      </c>
      <c r="H6" s="265"/>
      <c r="I6" s="265"/>
      <c r="J6" s="265"/>
      <c r="K6" s="265"/>
      <c r="L6" s="265"/>
      <c r="M6" s="265"/>
      <c r="N6" s="265"/>
      <c r="O6" s="265"/>
      <c r="P6" s="265"/>
    </row>
    <row r="7" spans="1:16">
      <c r="A7" s="406" t="s">
        <v>194</v>
      </c>
      <c r="B7" s="406"/>
      <c r="C7" s="406"/>
      <c r="D7" s="265">
        <v>0</v>
      </c>
      <c r="E7" s="265">
        <v>37</v>
      </c>
      <c r="F7" s="265">
        <v>8</v>
      </c>
      <c r="G7" s="265">
        <v>0</v>
      </c>
      <c r="H7" s="265"/>
      <c r="I7" s="265"/>
      <c r="J7" s="265"/>
      <c r="K7" s="265"/>
      <c r="L7" s="265"/>
      <c r="M7" s="265"/>
      <c r="N7" s="265"/>
      <c r="O7" s="265"/>
      <c r="P7" s="265"/>
    </row>
    <row r="8" spans="1:16">
      <c r="A8" s="406" t="s">
        <v>195</v>
      </c>
      <c r="B8" s="406"/>
      <c r="C8" s="406"/>
      <c r="D8" s="265">
        <v>837</v>
      </c>
      <c r="E8" s="265">
        <v>702</v>
      </c>
      <c r="F8" s="265">
        <v>837</v>
      </c>
      <c r="G8" s="265">
        <v>648</v>
      </c>
      <c r="H8" s="265"/>
      <c r="I8" s="265"/>
      <c r="J8" s="265"/>
      <c r="K8" s="265"/>
      <c r="L8" s="265"/>
      <c r="M8" s="265"/>
      <c r="N8" s="265"/>
      <c r="O8" s="265"/>
      <c r="P8" s="265"/>
    </row>
    <row r="9" spans="1:16">
      <c r="A9" s="406" t="s">
        <v>196</v>
      </c>
      <c r="B9" s="406"/>
      <c r="C9" s="406"/>
      <c r="D9" s="265">
        <v>3751</v>
      </c>
      <c r="E9" s="265">
        <v>3146</v>
      </c>
      <c r="F9" s="265">
        <v>3388</v>
      </c>
      <c r="G9" s="265">
        <v>3630</v>
      </c>
      <c r="H9" s="265"/>
      <c r="I9" s="265"/>
      <c r="J9" s="265"/>
      <c r="K9" s="265"/>
      <c r="L9" s="265"/>
      <c r="M9" s="265"/>
      <c r="N9" s="265"/>
      <c r="O9" s="265"/>
      <c r="P9" s="265"/>
    </row>
    <row r="10" spans="1:16">
      <c r="A10" s="406" t="s">
        <v>265</v>
      </c>
      <c r="B10" s="406"/>
      <c r="C10" s="406"/>
      <c r="D10" s="266">
        <v>0.362007168458781</v>
      </c>
      <c r="E10" s="266">
        <v>0.39743589743589702</v>
      </c>
      <c r="F10" s="266">
        <v>0.19354838709677399</v>
      </c>
      <c r="G10" s="266">
        <v>0.28086419753086422</v>
      </c>
      <c r="H10" s="266"/>
      <c r="I10" s="266"/>
      <c r="J10" s="266"/>
      <c r="K10" s="266"/>
      <c r="L10" s="266"/>
      <c r="M10" s="266"/>
      <c r="N10" s="266"/>
      <c r="O10" s="266"/>
      <c r="P10" s="266"/>
    </row>
    <row r="11" spans="1:16">
      <c r="A11" s="406" t="s">
        <v>198</v>
      </c>
      <c r="B11" s="406"/>
      <c r="C11" s="406"/>
      <c r="D11" s="266">
        <v>0.196747533990936</v>
      </c>
      <c r="E11" s="266">
        <v>0.23553719008264501</v>
      </c>
      <c r="F11" s="266">
        <v>0.125737898465171</v>
      </c>
      <c r="G11" s="266">
        <v>0.15261707988980716</v>
      </c>
      <c r="H11" s="266"/>
      <c r="I11" s="266"/>
      <c r="J11" s="266"/>
      <c r="K11" s="266"/>
      <c r="L11" s="266"/>
      <c r="M11" s="266"/>
      <c r="N11" s="266"/>
      <c r="O11" s="266"/>
      <c r="P11" s="266"/>
    </row>
    <row r="12" spans="1:16">
      <c r="A12" s="419" t="s">
        <v>266</v>
      </c>
      <c r="B12" s="419"/>
      <c r="C12" s="419"/>
      <c r="D12" s="267">
        <v>2.43564356435644</v>
      </c>
      <c r="E12" s="267">
        <v>2.65591397849462</v>
      </c>
      <c r="F12" s="267">
        <v>2.6296296296296302</v>
      </c>
      <c r="G12" s="267">
        <v>3.0439560439560438</v>
      </c>
      <c r="H12" s="267"/>
      <c r="I12" s="267"/>
      <c r="J12" s="267"/>
      <c r="K12" s="267"/>
      <c r="L12" s="267"/>
      <c r="M12" s="267"/>
      <c r="N12" s="267"/>
      <c r="O12" s="267"/>
      <c r="P12" s="267"/>
    </row>
    <row r="13" spans="1:16">
      <c r="A13" s="419" t="s">
        <v>200</v>
      </c>
      <c r="B13" s="419"/>
      <c r="C13" s="419"/>
      <c r="D13" s="265">
        <v>26170.2442244224</v>
      </c>
      <c r="E13" s="265">
        <v>16863.0967741936</v>
      </c>
      <c r="F13" s="265">
        <v>16012.7901234568</v>
      </c>
      <c r="G13" s="265">
        <v>13805.653846153846</v>
      </c>
      <c r="H13" s="265"/>
      <c r="I13" s="265"/>
      <c r="J13" s="265"/>
      <c r="K13" s="265"/>
      <c r="L13" s="265"/>
      <c r="M13" s="265"/>
      <c r="N13" s="265"/>
      <c r="O13" s="265"/>
      <c r="P13" s="265"/>
    </row>
    <row r="14" spans="1:16">
      <c r="A14" s="419" t="s">
        <v>201</v>
      </c>
      <c r="B14" s="419"/>
      <c r="C14" s="419"/>
      <c r="D14" s="265">
        <v>10744.6937669377</v>
      </c>
      <c r="E14" s="265">
        <v>6349.2631578947403</v>
      </c>
      <c r="F14" s="265">
        <v>6089.3708920187801</v>
      </c>
      <c r="G14" s="265">
        <v>4535.4314079422384</v>
      </c>
      <c r="H14" s="265"/>
      <c r="I14" s="265"/>
      <c r="J14" s="265"/>
      <c r="K14" s="265"/>
      <c r="L14" s="265"/>
      <c r="M14" s="265"/>
      <c r="N14" s="265"/>
      <c r="O14" s="265"/>
      <c r="P14" s="265"/>
    </row>
    <row r="15" spans="1:16">
      <c r="A15" s="419" t="s">
        <v>202</v>
      </c>
      <c r="B15" s="419"/>
      <c r="C15" s="419"/>
      <c r="D15" s="265">
        <v>9473.8160095579406</v>
      </c>
      <c r="E15" s="265">
        <v>6702</v>
      </c>
      <c r="F15" s="265">
        <v>3099.2497013142201</v>
      </c>
      <c r="G15" s="265">
        <v>3877.5138888888887</v>
      </c>
      <c r="H15" s="265"/>
      <c r="I15" s="265"/>
      <c r="J15" s="265"/>
      <c r="K15" s="265"/>
      <c r="L15" s="265"/>
      <c r="M15" s="265"/>
      <c r="N15" s="265"/>
      <c r="O15" s="265"/>
      <c r="P15" s="265"/>
    </row>
    <row r="16" spans="1:16">
      <c r="A16" s="406"/>
      <c r="B16" s="406"/>
      <c r="C16" s="406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</row>
    <row r="17" spans="1:16">
      <c r="A17" s="395" t="s">
        <v>203</v>
      </c>
      <c r="B17" s="395"/>
      <c r="C17" s="395"/>
      <c r="D17" s="264">
        <v>0</v>
      </c>
      <c r="E17" s="264">
        <v>1015</v>
      </c>
      <c r="F17" s="264">
        <v>709</v>
      </c>
      <c r="G17" s="264">
        <v>1469</v>
      </c>
      <c r="H17" s="264"/>
      <c r="I17" s="264"/>
      <c r="J17" s="264"/>
      <c r="K17" s="264"/>
      <c r="L17" s="264"/>
      <c r="M17" s="264"/>
      <c r="N17" s="264"/>
      <c r="O17" s="264"/>
      <c r="P17" s="264"/>
    </row>
    <row r="18" spans="1:16">
      <c r="A18" s="400" t="s">
        <v>204</v>
      </c>
      <c r="B18" s="400"/>
      <c r="C18" s="268">
        <f>IF(J5=0,"",J18/J5)</f>
        <v>0</v>
      </c>
      <c r="D18" s="265">
        <v>0</v>
      </c>
      <c r="E18" s="265">
        <v>512</v>
      </c>
      <c r="F18" s="265">
        <v>296</v>
      </c>
      <c r="G18" s="265">
        <v>518</v>
      </c>
      <c r="H18" s="265"/>
      <c r="I18" s="265"/>
      <c r="J18" s="265"/>
      <c r="K18" s="265"/>
      <c r="L18" s="265"/>
      <c r="M18" s="265"/>
      <c r="N18" s="265"/>
      <c r="O18" s="265"/>
      <c r="P18" s="265"/>
    </row>
    <row r="19" spans="1:16">
      <c r="A19" s="400" t="s">
        <v>205</v>
      </c>
      <c r="B19" s="400"/>
      <c r="C19" s="268"/>
      <c r="D19" s="265">
        <v>0</v>
      </c>
      <c r="E19" s="265">
        <v>0</v>
      </c>
      <c r="F19" s="265">
        <v>128</v>
      </c>
      <c r="G19" s="265">
        <v>438</v>
      </c>
      <c r="H19" s="265"/>
      <c r="I19" s="265"/>
      <c r="J19" s="265"/>
      <c r="K19" s="265"/>
      <c r="L19" s="265"/>
      <c r="M19" s="265"/>
      <c r="N19" s="265"/>
      <c r="O19" s="265"/>
      <c r="P19" s="265"/>
    </row>
    <row r="20" spans="1:16">
      <c r="A20" s="400" t="s">
        <v>206</v>
      </c>
      <c r="B20" s="400"/>
      <c r="C20" s="268">
        <f>IF(J5=0,"",J20/J5)</f>
        <v>0</v>
      </c>
      <c r="D20" s="265">
        <v>0</v>
      </c>
      <c r="E20" s="265">
        <v>503</v>
      </c>
      <c r="F20" s="265">
        <v>285</v>
      </c>
      <c r="G20" s="265">
        <v>513</v>
      </c>
      <c r="H20" s="265"/>
      <c r="I20" s="265"/>
      <c r="J20" s="265"/>
      <c r="K20" s="265"/>
      <c r="L20" s="265"/>
      <c r="M20" s="265"/>
      <c r="N20" s="265"/>
      <c r="O20" s="265"/>
      <c r="P20" s="265"/>
    </row>
    <row r="21" spans="1:16">
      <c r="A21" s="418"/>
      <c r="B21" s="418"/>
      <c r="C21" s="418"/>
      <c r="D21" s="269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  <c r="P21" s="269"/>
    </row>
    <row r="22" spans="1:16">
      <c r="A22" s="395" t="s">
        <v>207</v>
      </c>
      <c r="B22" s="395"/>
      <c r="C22" s="395"/>
      <c r="D22" s="264">
        <v>0</v>
      </c>
      <c r="E22" s="264">
        <v>0</v>
      </c>
      <c r="F22" s="264">
        <v>0</v>
      </c>
      <c r="G22" s="264">
        <v>0</v>
      </c>
      <c r="H22" s="264"/>
      <c r="I22" s="264"/>
      <c r="J22" s="264"/>
      <c r="K22" s="264"/>
      <c r="L22" s="264"/>
      <c r="M22" s="264"/>
      <c r="N22" s="264"/>
      <c r="O22" s="264"/>
      <c r="P22" s="264"/>
    </row>
    <row r="23" spans="1:16">
      <c r="A23" s="406" t="s">
        <v>267</v>
      </c>
      <c r="B23" s="406"/>
      <c r="C23" s="406"/>
      <c r="D23" s="265">
        <v>0</v>
      </c>
      <c r="E23" s="265">
        <v>0</v>
      </c>
      <c r="F23" s="265">
        <v>0</v>
      </c>
      <c r="G23" s="265">
        <v>0</v>
      </c>
      <c r="H23" s="265"/>
      <c r="I23" s="265"/>
      <c r="J23" s="265"/>
      <c r="K23" s="265"/>
      <c r="L23" s="265"/>
      <c r="M23" s="265"/>
      <c r="N23" s="265"/>
      <c r="O23" s="265"/>
      <c r="P23" s="265"/>
    </row>
    <row r="24" spans="1:16">
      <c r="A24" s="406" t="s">
        <v>209</v>
      </c>
      <c r="B24" s="406"/>
      <c r="C24" s="406"/>
      <c r="D24" s="265">
        <v>0</v>
      </c>
      <c r="E24" s="265">
        <v>0</v>
      </c>
      <c r="F24" s="265">
        <v>0</v>
      </c>
      <c r="G24" s="265">
        <v>0</v>
      </c>
      <c r="H24" s="265"/>
      <c r="I24" s="265"/>
      <c r="J24" s="265"/>
      <c r="K24" s="265"/>
      <c r="L24" s="265"/>
      <c r="M24" s="265"/>
      <c r="N24" s="265"/>
      <c r="O24" s="265"/>
      <c r="P24" s="265"/>
    </row>
    <row r="25" spans="1:16">
      <c r="A25" s="418"/>
      <c r="B25" s="418"/>
      <c r="C25" s="418"/>
      <c r="D25" s="26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</row>
    <row r="26" spans="1:16">
      <c r="A26" s="395" t="s">
        <v>268</v>
      </c>
      <c r="B26" s="395"/>
      <c r="C26" s="395"/>
      <c r="D26" s="264">
        <v>0</v>
      </c>
      <c r="E26" s="264">
        <v>426</v>
      </c>
      <c r="F26" s="264">
        <v>226</v>
      </c>
      <c r="G26" s="264">
        <v>150</v>
      </c>
      <c r="H26" s="264"/>
      <c r="I26" s="264"/>
      <c r="J26" s="264"/>
      <c r="K26" s="264"/>
      <c r="L26" s="264"/>
      <c r="M26" s="264"/>
      <c r="N26" s="264"/>
      <c r="O26" s="264"/>
      <c r="P26" s="264"/>
    </row>
    <row r="27" spans="1:16">
      <c r="A27" s="406" t="s">
        <v>269</v>
      </c>
      <c r="B27" s="406"/>
      <c r="C27" s="406"/>
      <c r="D27" s="265">
        <v>0</v>
      </c>
      <c r="E27" s="265">
        <v>426</v>
      </c>
      <c r="F27" s="265">
        <v>226</v>
      </c>
      <c r="G27" s="265">
        <v>150</v>
      </c>
      <c r="H27" s="265"/>
      <c r="I27" s="265"/>
      <c r="J27" s="265"/>
      <c r="K27" s="265"/>
      <c r="L27" s="265"/>
      <c r="M27" s="265"/>
      <c r="N27" s="265"/>
      <c r="O27" s="265"/>
      <c r="P27" s="265"/>
    </row>
    <row r="28" spans="1:16">
      <c r="A28" s="406" t="s">
        <v>270</v>
      </c>
      <c r="B28" s="406"/>
      <c r="C28" s="406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</row>
    <row r="29" spans="1:16">
      <c r="A29" s="408" t="s">
        <v>212</v>
      </c>
      <c r="B29" s="395" t="s">
        <v>213</v>
      </c>
      <c r="C29" s="395"/>
      <c r="D29" s="264">
        <v>7929584</v>
      </c>
      <c r="E29" s="264">
        <v>4704804</v>
      </c>
      <c r="F29" s="264">
        <v>2594072</v>
      </c>
      <c r="G29" s="264">
        <v>2512629</v>
      </c>
      <c r="H29" s="264"/>
      <c r="I29" s="264"/>
      <c r="J29" s="264"/>
      <c r="K29" s="264"/>
      <c r="L29" s="264"/>
      <c r="M29" s="264"/>
      <c r="N29" s="264"/>
      <c r="O29" s="264"/>
      <c r="P29" s="264"/>
    </row>
    <row r="30" spans="1:16">
      <c r="A30" s="408"/>
      <c r="B30" s="406" t="s">
        <v>271</v>
      </c>
      <c r="C30" s="406"/>
      <c r="D30" s="265">
        <v>7929584</v>
      </c>
      <c r="E30" s="265">
        <v>4694114</v>
      </c>
      <c r="F30" s="265">
        <v>2588872</v>
      </c>
      <c r="G30" s="265">
        <v>2512629</v>
      </c>
      <c r="H30" s="265"/>
      <c r="I30" s="265"/>
      <c r="J30" s="265"/>
      <c r="K30" s="265"/>
      <c r="L30" s="265"/>
      <c r="M30" s="265"/>
      <c r="N30" s="265"/>
      <c r="O30" s="265"/>
      <c r="P30" s="265"/>
    </row>
    <row r="31" spans="1:16">
      <c r="A31" s="408"/>
      <c r="B31" s="406" t="s">
        <v>272</v>
      </c>
      <c r="C31" s="406"/>
      <c r="D31" s="265">
        <v>0</v>
      </c>
      <c r="E31" s="265">
        <v>0</v>
      </c>
      <c r="F31" s="265">
        <v>0</v>
      </c>
      <c r="G31" s="265">
        <v>0</v>
      </c>
      <c r="H31" s="265"/>
      <c r="I31" s="265"/>
      <c r="J31" s="265"/>
      <c r="K31" s="265"/>
      <c r="L31" s="265"/>
      <c r="M31" s="265"/>
      <c r="N31" s="265"/>
      <c r="O31" s="265"/>
      <c r="P31" s="265"/>
    </row>
    <row r="32" spans="1:16">
      <c r="A32" s="408"/>
      <c r="B32" s="406" t="s">
        <v>216</v>
      </c>
      <c r="C32" s="406"/>
      <c r="D32" s="265">
        <v>0</v>
      </c>
      <c r="E32" s="265">
        <v>0</v>
      </c>
      <c r="F32" s="265">
        <v>0</v>
      </c>
      <c r="G32" s="265">
        <v>0</v>
      </c>
      <c r="H32" s="265"/>
      <c r="I32" s="265"/>
      <c r="J32" s="265"/>
      <c r="K32" s="265"/>
      <c r="L32" s="265"/>
      <c r="M32" s="265"/>
      <c r="N32" s="265"/>
      <c r="O32" s="265"/>
      <c r="P32" s="265"/>
    </row>
    <row r="33" spans="1:16">
      <c r="A33" s="408"/>
      <c r="B33" s="406" t="s">
        <v>217</v>
      </c>
      <c r="C33" s="406"/>
      <c r="D33" s="265">
        <v>0</v>
      </c>
      <c r="E33" s="265">
        <v>0</v>
      </c>
      <c r="F33" s="265">
        <v>0</v>
      </c>
      <c r="G33" s="265">
        <v>0</v>
      </c>
      <c r="H33" s="265"/>
      <c r="I33" s="265"/>
      <c r="J33" s="265"/>
      <c r="K33" s="265"/>
      <c r="L33" s="265"/>
      <c r="M33" s="265"/>
      <c r="N33" s="265"/>
      <c r="O33" s="265"/>
      <c r="P33" s="265"/>
    </row>
    <row r="34" spans="1:16">
      <c r="A34" s="408"/>
      <c r="B34" s="400"/>
      <c r="C34" s="400"/>
      <c r="D34" s="265">
        <v>0</v>
      </c>
      <c r="E34" s="265">
        <v>0</v>
      </c>
      <c r="F34" s="265">
        <v>0</v>
      </c>
      <c r="G34" s="265">
        <v>0</v>
      </c>
      <c r="H34" s="265"/>
      <c r="I34" s="265"/>
      <c r="J34" s="265"/>
      <c r="K34" s="265"/>
      <c r="L34" s="265"/>
      <c r="M34" s="265"/>
      <c r="N34" s="265"/>
      <c r="O34" s="265"/>
      <c r="P34" s="265"/>
    </row>
    <row r="35" spans="1:16">
      <c r="A35" s="408"/>
      <c r="B35" s="406" t="s">
        <v>218</v>
      </c>
      <c r="C35" s="406"/>
      <c r="D35" s="265">
        <v>0</v>
      </c>
      <c r="E35" s="265">
        <v>10690</v>
      </c>
      <c r="F35" s="265">
        <v>5200</v>
      </c>
      <c r="G35" s="265">
        <v>0</v>
      </c>
      <c r="H35" s="265"/>
      <c r="I35" s="265"/>
      <c r="J35" s="265"/>
      <c r="K35" s="265"/>
      <c r="L35" s="265"/>
      <c r="M35" s="265"/>
      <c r="N35" s="265"/>
      <c r="O35" s="265"/>
      <c r="P35" s="265"/>
    </row>
    <row r="36" spans="1:16">
      <c r="A36" s="408"/>
      <c r="B36" s="395" t="s">
        <v>219</v>
      </c>
      <c r="C36" s="395"/>
      <c r="D36" s="264">
        <v>0</v>
      </c>
      <c r="E36" s="264">
        <v>0</v>
      </c>
      <c r="F36" s="264">
        <v>0</v>
      </c>
      <c r="G36" s="264">
        <v>0</v>
      </c>
      <c r="H36" s="264"/>
      <c r="I36" s="264"/>
      <c r="J36" s="264"/>
      <c r="K36" s="264"/>
      <c r="L36" s="264"/>
      <c r="M36" s="264"/>
      <c r="N36" s="264"/>
      <c r="O36" s="264"/>
      <c r="P36" s="264"/>
    </row>
    <row r="37" spans="1:16">
      <c r="A37" s="408"/>
      <c r="B37" s="406" t="s">
        <v>273</v>
      </c>
      <c r="C37" s="406"/>
      <c r="D37" s="265">
        <v>0</v>
      </c>
      <c r="E37" s="265">
        <v>0</v>
      </c>
      <c r="F37" s="265">
        <v>0</v>
      </c>
      <c r="G37" s="265">
        <v>0</v>
      </c>
      <c r="H37" s="265"/>
      <c r="I37" s="265"/>
      <c r="J37" s="265"/>
      <c r="K37" s="265"/>
      <c r="L37" s="265"/>
      <c r="M37" s="265"/>
      <c r="N37" s="265"/>
      <c r="O37" s="265"/>
      <c r="P37" s="265"/>
    </row>
    <row r="38" spans="1:16">
      <c r="A38" s="408"/>
      <c r="B38" s="417"/>
      <c r="C38" s="417"/>
      <c r="D38" s="265">
        <v>0</v>
      </c>
      <c r="E38" s="265">
        <v>0</v>
      </c>
      <c r="F38" s="265">
        <v>0</v>
      </c>
      <c r="G38" s="265">
        <v>0</v>
      </c>
      <c r="H38" s="265"/>
      <c r="I38" s="265"/>
      <c r="J38" s="265"/>
      <c r="K38" s="265"/>
      <c r="L38" s="265"/>
      <c r="M38" s="265"/>
      <c r="N38" s="265"/>
      <c r="O38" s="265"/>
      <c r="P38" s="265"/>
    </row>
    <row r="39" spans="1:16">
      <c r="A39" s="408"/>
      <c r="B39" s="417"/>
      <c r="C39" s="417"/>
      <c r="D39" s="265">
        <v>0</v>
      </c>
      <c r="E39" s="265">
        <v>0</v>
      </c>
      <c r="F39" s="265">
        <v>0</v>
      </c>
      <c r="G39" s="265">
        <v>0</v>
      </c>
      <c r="H39" s="265"/>
      <c r="I39" s="265"/>
      <c r="J39" s="265"/>
      <c r="K39" s="265"/>
      <c r="L39" s="265"/>
      <c r="M39" s="265"/>
      <c r="N39" s="265"/>
      <c r="O39" s="265"/>
      <c r="P39" s="265"/>
    </row>
    <row r="40" spans="1:16">
      <c r="A40" s="408"/>
      <c r="B40" s="417"/>
      <c r="C40" s="417"/>
      <c r="D40" s="265">
        <v>0</v>
      </c>
      <c r="E40" s="265">
        <v>0</v>
      </c>
      <c r="F40" s="265">
        <v>0</v>
      </c>
      <c r="G40" s="265">
        <v>0</v>
      </c>
      <c r="H40" s="265"/>
      <c r="I40" s="265"/>
      <c r="J40" s="265"/>
      <c r="K40" s="265"/>
      <c r="L40" s="265"/>
      <c r="M40" s="265"/>
      <c r="N40" s="265"/>
      <c r="O40" s="265"/>
      <c r="P40" s="265"/>
    </row>
    <row r="41" spans="1:16">
      <c r="A41" s="408"/>
      <c r="B41" s="402" t="s">
        <v>221</v>
      </c>
      <c r="C41" s="402"/>
      <c r="D41" s="264">
        <v>7390</v>
      </c>
      <c r="E41" s="264">
        <v>3163530</v>
      </c>
      <c r="F41" s="264">
        <v>1686760</v>
      </c>
      <c r="G41" s="264">
        <v>2802181</v>
      </c>
      <c r="H41" s="264"/>
      <c r="I41" s="264"/>
      <c r="J41" s="264"/>
      <c r="K41" s="264"/>
      <c r="L41" s="264"/>
      <c r="M41" s="264"/>
      <c r="N41" s="264"/>
      <c r="O41" s="264"/>
      <c r="P41" s="264"/>
    </row>
    <row r="42" spans="1:16">
      <c r="A42" s="408"/>
      <c r="B42" s="400" t="s">
        <v>222</v>
      </c>
      <c r="C42" s="400"/>
      <c r="D42" s="265">
        <v>0</v>
      </c>
      <c r="E42" s="265">
        <v>3081860</v>
      </c>
      <c r="F42" s="265">
        <v>1625640</v>
      </c>
      <c r="G42" s="265">
        <v>2794541</v>
      </c>
      <c r="H42" s="265"/>
      <c r="I42" s="265"/>
      <c r="J42" s="265"/>
      <c r="K42" s="265"/>
      <c r="L42" s="265"/>
      <c r="M42" s="265"/>
      <c r="N42" s="265"/>
      <c r="O42" s="265"/>
      <c r="P42" s="265"/>
    </row>
    <row r="43" spans="1:16">
      <c r="A43" s="408"/>
      <c r="B43" s="415" t="s">
        <v>274</v>
      </c>
      <c r="C43" s="415"/>
      <c r="D43" s="265">
        <v>0</v>
      </c>
      <c r="E43" s="265">
        <v>915250</v>
      </c>
      <c r="F43" s="265">
        <v>531000</v>
      </c>
      <c r="G43" s="265">
        <v>791840</v>
      </c>
      <c r="H43" s="265"/>
      <c r="I43" s="265"/>
      <c r="J43" s="265"/>
      <c r="K43" s="265"/>
      <c r="L43" s="265"/>
      <c r="M43" s="265"/>
      <c r="N43" s="265"/>
      <c r="O43" s="265"/>
      <c r="P43" s="265"/>
    </row>
    <row r="44" spans="1:16">
      <c r="A44" s="408"/>
      <c r="B44" s="415" t="s">
        <v>275</v>
      </c>
      <c r="C44" s="415"/>
      <c r="D44" s="265">
        <v>0</v>
      </c>
      <c r="E44" s="265">
        <v>46610</v>
      </c>
      <c r="F44" s="265">
        <v>112640</v>
      </c>
      <c r="G44" s="265">
        <v>385440</v>
      </c>
      <c r="H44" s="265"/>
      <c r="I44" s="265"/>
      <c r="J44" s="265"/>
      <c r="K44" s="265"/>
      <c r="L44" s="265"/>
      <c r="M44" s="265"/>
      <c r="N44" s="265"/>
      <c r="O44" s="265"/>
      <c r="P44" s="265"/>
    </row>
    <row r="45" spans="1:16">
      <c r="A45" s="408"/>
      <c r="B45" s="415" t="s">
        <v>276</v>
      </c>
      <c r="C45" s="415"/>
      <c r="D45" s="265">
        <v>0</v>
      </c>
      <c r="E45" s="265">
        <v>2120000</v>
      </c>
      <c r="F45" s="265">
        <v>982000</v>
      </c>
      <c r="G45" s="265">
        <v>1617261</v>
      </c>
      <c r="H45" s="265"/>
      <c r="I45" s="265"/>
      <c r="J45" s="265"/>
      <c r="K45" s="265"/>
      <c r="L45" s="265"/>
      <c r="M45" s="265"/>
      <c r="N45" s="265"/>
      <c r="O45" s="265"/>
      <c r="P45" s="265"/>
    </row>
    <row r="46" spans="1:16">
      <c r="A46" s="408"/>
      <c r="B46" s="415" t="s">
        <v>277</v>
      </c>
      <c r="C46" s="415"/>
      <c r="D46" s="265">
        <v>0</v>
      </c>
      <c r="E46" s="265">
        <v>0</v>
      </c>
      <c r="F46" s="265">
        <v>0</v>
      </c>
      <c r="G46" s="265">
        <v>0</v>
      </c>
      <c r="H46" s="265"/>
      <c r="I46" s="265"/>
      <c r="J46" s="265"/>
      <c r="K46" s="265"/>
      <c r="L46" s="265"/>
      <c r="M46" s="265"/>
      <c r="N46" s="265"/>
      <c r="O46" s="265"/>
      <c r="P46" s="265"/>
    </row>
    <row r="47" spans="1:16">
      <c r="A47" s="408"/>
      <c r="B47" s="416"/>
      <c r="C47" s="416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</row>
    <row r="48" spans="1:16">
      <c r="A48" s="408"/>
      <c r="B48" s="400" t="s">
        <v>226</v>
      </c>
      <c r="C48" s="400"/>
      <c r="D48" s="265">
        <v>7390</v>
      </c>
      <c r="E48" s="265">
        <v>81670</v>
      </c>
      <c r="F48" s="265">
        <v>61120</v>
      </c>
      <c r="G48" s="265">
        <v>7640</v>
      </c>
      <c r="H48" s="265"/>
      <c r="I48" s="265"/>
      <c r="J48" s="265"/>
      <c r="K48" s="265"/>
      <c r="L48" s="265"/>
      <c r="M48" s="265"/>
      <c r="N48" s="265"/>
      <c r="O48" s="265"/>
      <c r="P48" s="265"/>
    </row>
    <row r="49" spans="1:16">
      <c r="A49" s="408"/>
      <c r="B49" s="415" t="s">
        <v>278</v>
      </c>
      <c r="C49" s="415"/>
      <c r="D49" s="265">
        <v>0</v>
      </c>
      <c r="E49" s="265">
        <v>76770</v>
      </c>
      <c r="F49" s="265">
        <v>61120</v>
      </c>
      <c r="G49" s="265">
        <v>7640</v>
      </c>
      <c r="H49" s="265"/>
      <c r="I49" s="265"/>
      <c r="J49" s="265"/>
      <c r="K49" s="265"/>
      <c r="L49" s="265"/>
      <c r="M49" s="265"/>
      <c r="N49" s="265"/>
      <c r="O49" s="265"/>
      <c r="P49" s="265"/>
    </row>
    <row r="50" spans="1:16">
      <c r="A50" s="408"/>
      <c r="B50" s="415" t="s">
        <v>279</v>
      </c>
      <c r="C50" s="415"/>
      <c r="D50" s="265">
        <v>0</v>
      </c>
      <c r="E50" s="265">
        <v>0</v>
      </c>
      <c r="F50" s="265">
        <v>0</v>
      </c>
      <c r="G50" s="265">
        <v>0</v>
      </c>
      <c r="H50" s="265"/>
      <c r="I50" s="265"/>
      <c r="J50" s="265"/>
      <c r="K50" s="265"/>
      <c r="L50" s="265"/>
      <c r="M50" s="265"/>
      <c r="N50" s="265"/>
      <c r="O50" s="265"/>
      <c r="P50" s="265"/>
    </row>
    <row r="51" spans="1:16">
      <c r="A51" s="408"/>
      <c r="B51" s="405" t="s">
        <v>229</v>
      </c>
      <c r="C51" s="405"/>
      <c r="D51" s="265">
        <v>0</v>
      </c>
      <c r="E51" s="265">
        <v>0</v>
      </c>
      <c r="F51" s="265">
        <v>0</v>
      </c>
      <c r="G51" s="265">
        <v>0</v>
      </c>
      <c r="H51" s="265"/>
      <c r="I51" s="265"/>
      <c r="J51" s="265"/>
      <c r="K51" s="265"/>
      <c r="L51" s="265"/>
      <c r="M51" s="265"/>
      <c r="N51" s="265"/>
      <c r="O51" s="265"/>
      <c r="P51" s="265"/>
    </row>
    <row r="52" spans="1:16">
      <c r="A52" s="408"/>
      <c r="B52" s="402" t="s">
        <v>230</v>
      </c>
      <c r="C52" s="402"/>
      <c r="D52" s="264">
        <v>0</v>
      </c>
      <c r="E52" s="264">
        <v>0</v>
      </c>
      <c r="F52" s="264">
        <v>438130</v>
      </c>
      <c r="G52" s="264">
        <v>528070</v>
      </c>
      <c r="H52" s="264"/>
      <c r="I52" s="264"/>
      <c r="J52" s="264"/>
      <c r="K52" s="264"/>
      <c r="L52" s="264"/>
      <c r="M52" s="264"/>
      <c r="N52" s="264"/>
      <c r="O52" s="264"/>
      <c r="P52" s="264"/>
    </row>
    <row r="53" spans="1:16">
      <c r="A53" s="408"/>
      <c r="B53" s="400" t="s">
        <v>222</v>
      </c>
      <c r="C53" s="400"/>
      <c r="D53" s="265">
        <v>0</v>
      </c>
      <c r="E53" s="265">
        <v>0</v>
      </c>
      <c r="F53" s="265">
        <v>386100</v>
      </c>
      <c r="G53" s="265">
        <v>388920</v>
      </c>
      <c r="H53" s="265"/>
      <c r="I53" s="265"/>
      <c r="J53" s="265"/>
      <c r="K53" s="265"/>
      <c r="L53" s="265"/>
      <c r="M53" s="265"/>
      <c r="N53" s="265"/>
      <c r="O53" s="265"/>
      <c r="P53" s="265"/>
    </row>
    <row r="54" spans="1:16">
      <c r="A54" s="408"/>
      <c r="B54" s="400" t="s">
        <v>231</v>
      </c>
      <c r="C54" s="400"/>
      <c r="D54" s="265">
        <v>0</v>
      </c>
      <c r="E54" s="265">
        <v>0</v>
      </c>
      <c r="F54" s="265">
        <v>9130</v>
      </c>
      <c r="G54" s="265">
        <v>3850</v>
      </c>
      <c r="H54" s="265"/>
      <c r="I54" s="265"/>
      <c r="J54" s="265"/>
      <c r="K54" s="265"/>
      <c r="L54" s="265"/>
      <c r="M54" s="265"/>
      <c r="N54" s="265"/>
      <c r="O54" s="265"/>
      <c r="P54" s="265"/>
    </row>
    <row r="55" spans="1:16">
      <c r="A55" s="408"/>
      <c r="B55" s="400" t="s">
        <v>232</v>
      </c>
      <c r="C55" s="400"/>
      <c r="D55" s="265">
        <v>0</v>
      </c>
      <c r="E55" s="265">
        <v>0</v>
      </c>
      <c r="F55" s="265">
        <v>0</v>
      </c>
      <c r="G55" s="265">
        <v>0</v>
      </c>
      <c r="H55" s="265"/>
      <c r="I55" s="265"/>
      <c r="J55" s="265"/>
      <c r="K55" s="265"/>
      <c r="L55" s="265"/>
      <c r="M55" s="265"/>
      <c r="N55" s="265"/>
      <c r="O55" s="265"/>
      <c r="P55" s="265"/>
    </row>
    <row r="56" spans="1:16">
      <c r="A56" s="408"/>
      <c r="B56" s="400" t="s">
        <v>233</v>
      </c>
      <c r="C56" s="400"/>
      <c r="D56" s="265">
        <v>0</v>
      </c>
      <c r="E56" s="265">
        <v>0</v>
      </c>
      <c r="F56" s="265">
        <v>0</v>
      </c>
      <c r="G56" s="265">
        <v>0</v>
      </c>
      <c r="H56" s="265"/>
      <c r="I56" s="265"/>
      <c r="J56" s="265"/>
      <c r="K56" s="265"/>
      <c r="L56" s="265"/>
      <c r="M56" s="265"/>
      <c r="N56" s="265"/>
      <c r="O56" s="265"/>
      <c r="P56" s="265"/>
    </row>
    <row r="57" spans="1:16">
      <c r="A57" s="408"/>
      <c r="B57" s="400" t="s">
        <v>234</v>
      </c>
      <c r="C57" s="400"/>
      <c r="D57" s="265">
        <v>0</v>
      </c>
      <c r="E57" s="265">
        <v>0</v>
      </c>
      <c r="F57" s="265">
        <v>42900</v>
      </c>
      <c r="G57" s="265">
        <v>135300</v>
      </c>
      <c r="H57" s="265"/>
      <c r="I57" s="265"/>
      <c r="J57" s="265"/>
      <c r="K57" s="265"/>
      <c r="L57" s="265"/>
      <c r="M57" s="265"/>
      <c r="N57" s="265"/>
      <c r="O57" s="265"/>
      <c r="P57" s="265"/>
    </row>
    <row r="58" spans="1:16">
      <c r="A58" s="408"/>
      <c r="B58" s="400" t="s">
        <v>235</v>
      </c>
      <c r="C58" s="400"/>
      <c r="D58" s="265">
        <v>0</v>
      </c>
      <c r="E58" s="265">
        <v>0</v>
      </c>
      <c r="F58" s="265">
        <v>0</v>
      </c>
      <c r="G58" s="265">
        <v>0</v>
      </c>
      <c r="H58" s="265"/>
      <c r="I58" s="265"/>
      <c r="J58" s="265"/>
      <c r="K58" s="265"/>
      <c r="L58" s="265"/>
      <c r="M58" s="265"/>
      <c r="N58" s="265"/>
      <c r="O58" s="265"/>
      <c r="P58" s="265"/>
    </row>
    <row r="59" spans="1:16">
      <c r="A59" s="408"/>
      <c r="B59" s="395" t="s">
        <v>236</v>
      </c>
      <c r="C59" s="395"/>
      <c r="D59" s="264">
        <v>355650</v>
      </c>
      <c r="E59" s="264">
        <v>667150</v>
      </c>
      <c r="F59" s="264">
        <v>210370</v>
      </c>
      <c r="G59" s="264">
        <v>147912</v>
      </c>
      <c r="H59" s="264"/>
      <c r="I59" s="264"/>
      <c r="J59" s="264"/>
      <c r="K59" s="264"/>
      <c r="L59" s="264"/>
      <c r="M59" s="264"/>
      <c r="N59" s="264"/>
      <c r="O59" s="264"/>
      <c r="P59" s="264"/>
    </row>
    <row r="60" spans="1:16">
      <c r="A60" s="408"/>
      <c r="B60" s="400" t="s">
        <v>237</v>
      </c>
      <c r="C60" s="400"/>
      <c r="D60" s="265">
        <v>50060</v>
      </c>
      <c r="E60" s="265">
        <v>95620</v>
      </c>
      <c r="F60" s="265">
        <v>35470</v>
      </c>
      <c r="G60" s="265">
        <v>30922</v>
      </c>
      <c r="H60" s="265"/>
      <c r="I60" s="265"/>
      <c r="J60" s="265"/>
      <c r="K60" s="265"/>
      <c r="L60" s="265"/>
      <c r="M60" s="265"/>
      <c r="N60" s="265"/>
      <c r="O60" s="265"/>
      <c r="P60" s="265"/>
    </row>
    <row r="61" spans="1:16">
      <c r="A61" s="408"/>
      <c r="B61" s="400" t="s">
        <v>238</v>
      </c>
      <c r="C61" s="400"/>
      <c r="D61" s="265">
        <v>273200</v>
      </c>
      <c r="E61" s="265">
        <v>228100</v>
      </c>
      <c r="F61" s="265">
        <v>125900</v>
      </c>
      <c r="G61" s="265">
        <v>84200</v>
      </c>
      <c r="H61" s="265"/>
      <c r="I61" s="265"/>
      <c r="J61" s="265"/>
      <c r="K61" s="265"/>
      <c r="L61" s="265"/>
      <c r="M61" s="265"/>
      <c r="N61" s="265"/>
      <c r="O61" s="265"/>
      <c r="P61" s="265"/>
    </row>
    <row r="62" spans="1:16">
      <c r="A62" s="408"/>
      <c r="B62" s="400" t="s">
        <v>239</v>
      </c>
      <c r="C62" s="400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</row>
    <row r="63" spans="1:16">
      <c r="A63" s="408"/>
      <c r="B63" s="400" t="s">
        <v>240</v>
      </c>
      <c r="C63" s="400"/>
      <c r="D63" s="265">
        <v>10190</v>
      </c>
      <c r="E63" s="265">
        <v>86070</v>
      </c>
      <c r="F63" s="265">
        <v>0</v>
      </c>
      <c r="G63" s="265">
        <v>29190</v>
      </c>
      <c r="H63" s="265"/>
      <c r="I63" s="265"/>
      <c r="J63" s="265"/>
      <c r="K63" s="265"/>
      <c r="L63" s="265"/>
      <c r="M63" s="265"/>
      <c r="N63" s="265"/>
      <c r="O63" s="265"/>
      <c r="P63" s="265"/>
    </row>
    <row r="64" spans="1:16">
      <c r="A64" s="408"/>
      <c r="B64" s="400" t="s">
        <v>241</v>
      </c>
      <c r="C64" s="400"/>
      <c r="D64" s="265">
        <v>0</v>
      </c>
      <c r="E64" s="265">
        <v>0</v>
      </c>
      <c r="F64" s="265">
        <v>0</v>
      </c>
      <c r="G64" s="265">
        <v>300</v>
      </c>
      <c r="H64" s="265"/>
      <c r="I64" s="265"/>
      <c r="J64" s="265"/>
      <c r="K64" s="265"/>
      <c r="L64" s="265"/>
      <c r="M64" s="265"/>
      <c r="N64" s="265"/>
      <c r="O64" s="265"/>
      <c r="P64" s="265"/>
    </row>
    <row r="65" spans="1:16">
      <c r="A65" s="408"/>
      <c r="B65" s="400" t="s">
        <v>280</v>
      </c>
      <c r="C65" s="400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</row>
    <row r="66" spans="1:16">
      <c r="A66" s="408"/>
      <c r="B66" s="400"/>
      <c r="C66" s="400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</row>
    <row r="67" spans="1:16">
      <c r="A67" s="408"/>
      <c r="B67" s="400"/>
      <c r="C67" s="400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</row>
    <row r="68" spans="1:16">
      <c r="A68" s="408"/>
      <c r="B68" s="400"/>
      <c r="C68" s="400"/>
      <c r="D68" s="265">
        <v>0</v>
      </c>
      <c r="E68" s="265">
        <v>5560</v>
      </c>
      <c r="F68" s="265">
        <v>0</v>
      </c>
      <c r="G68" s="265">
        <v>0</v>
      </c>
      <c r="H68" s="265"/>
      <c r="I68" s="265"/>
      <c r="J68" s="265"/>
      <c r="K68" s="265"/>
      <c r="L68" s="265"/>
      <c r="M68" s="265"/>
      <c r="N68" s="265"/>
      <c r="O68" s="265"/>
      <c r="P68" s="265"/>
    </row>
    <row r="69" spans="1:16">
      <c r="A69" s="414"/>
      <c r="B69" s="395" t="s">
        <v>242</v>
      </c>
      <c r="C69" s="395"/>
      <c r="D69" s="265">
        <v>0</v>
      </c>
      <c r="E69" s="265">
        <v>0</v>
      </c>
      <c r="F69" s="265">
        <v>0</v>
      </c>
      <c r="G69" s="265">
        <v>101600</v>
      </c>
      <c r="H69" s="265"/>
      <c r="I69" s="265"/>
      <c r="J69" s="265"/>
      <c r="K69" s="265"/>
      <c r="L69" s="265"/>
      <c r="M69" s="265"/>
      <c r="N69" s="265"/>
      <c r="O69" s="265"/>
      <c r="P69" s="265"/>
    </row>
    <row r="70" spans="1:16">
      <c r="A70" s="414"/>
      <c r="B70" s="395" t="s">
        <v>243</v>
      </c>
      <c r="C70" s="395"/>
      <c r="D70" s="265">
        <v>0</v>
      </c>
      <c r="E70" s="265">
        <v>0</v>
      </c>
      <c r="F70" s="265">
        <v>0</v>
      </c>
      <c r="G70" s="265">
        <v>0</v>
      </c>
      <c r="H70" s="265"/>
      <c r="I70" s="265"/>
      <c r="J70" s="265"/>
      <c r="K70" s="265"/>
      <c r="L70" s="265"/>
      <c r="M70" s="265"/>
      <c r="N70" s="265"/>
      <c r="O70" s="265"/>
      <c r="P70" s="265"/>
    </row>
    <row r="71" spans="1:16">
      <c r="A71" s="340"/>
      <c r="B71" s="395" t="s">
        <v>244</v>
      </c>
      <c r="C71" s="395"/>
      <c r="D71" s="265">
        <v>0</v>
      </c>
      <c r="E71" s="265">
        <v>0</v>
      </c>
      <c r="F71" s="265">
        <v>0</v>
      </c>
      <c r="G71" s="265">
        <v>0</v>
      </c>
      <c r="H71" s="265"/>
      <c r="I71" s="265"/>
      <c r="J71" s="265"/>
      <c r="K71" s="265"/>
      <c r="L71" s="265"/>
      <c r="M71" s="265"/>
      <c r="N71" s="265"/>
      <c r="O71" s="265"/>
      <c r="P71" s="265"/>
    </row>
    <row r="72" spans="1:16">
      <c r="A72" s="413"/>
      <c r="B72" s="397" t="s">
        <v>245</v>
      </c>
      <c r="C72" s="397"/>
      <c r="D72" s="270">
        <v>8553834</v>
      </c>
      <c r="E72" s="270">
        <v>8595394</v>
      </c>
      <c r="F72" s="270">
        <v>4850912</v>
      </c>
      <c r="G72" s="270">
        <v>6087282</v>
      </c>
      <c r="H72" s="270"/>
      <c r="I72" s="270"/>
      <c r="J72" s="270"/>
      <c r="K72" s="270"/>
      <c r="L72" s="270"/>
      <c r="M72" s="270"/>
      <c r="N72" s="270"/>
      <c r="O72" s="270"/>
      <c r="P72" s="270"/>
    </row>
    <row r="73" spans="1:16">
      <c r="A73" s="413"/>
      <c r="B73" s="398" t="s">
        <v>246</v>
      </c>
      <c r="C73" s="398"/>
      <c r="D73" s="265">
        <v>2548955</v>
      </c>
      <c r="E73" s="265">
        <v>2316903</v>
      </c>
      <c r="F73" s="265">
        <v>1283288</v>
      </c>
      <c r="G73" s="265">
        <v>712162</v>
      </c>
      <c r="H73" s="265"/>
      <c r="I73" s="265"/>
      <c r="J73" s="265"/>
      <c r="K73" s="265"/>
      <c r="L73" s="265"/>
      <c r="M73" s="265"/>
      <c r="N73" s="265"/>
      <c r="O73" s="265"/>
      <c r="P73" s="265"/>
    </row>
    <row r="74" spans="1:16">
      <c r="A74" s="413"/>
      <c r="B74" s="398" t="s">
        <v>247</v>
      </c>
      <c r="C74" s="398"/>
      <c r="D74" s="265">
        <v>3359948</v>
      </c>
      <c r="E74" s="265">
        <v>3064393</v>
      </c>
      <c r="F74" s="265">
        <v>1380454</v>
      </c>
      <c r="G74" s="265">
        <v>751610</v>
      </c>
      <c r="H74" s="265"/>
      <c r="I74" s="265"/>
      <c r="J74" s="265"/>
      <c r="K74" s="265"/>
      <c r="L74" s="265"/>
      <c r="M74" s="265"/>
      <c r="N74" s="265"/>
      <c r="O74" s="265"/>
      <c r="P74" s="265"/>
    </row>
    <row r="75" spans="1:16">
      <c r="A75" s="413"/>
      <c r="B75" s="398" t="s">
        <v>248</v>
      </c>
      <c r="C75" s="398"/>
      <c r="D75" s="265">
        <v>2644931</v>
      </c>
      <c r="E75" s="265">
        <v>3214098</v>
      </c>
      <c r="F75" s="265">
        <v>2187170</v>
      </c>
      <c r="G75" s="265">
        <v>4623510</v>
      </c>
      <c r="H75" s="265"/>
      <c r="I75" s="265"/>
      <c r="J75" s="265"/>
      <c r="K75" s="265"/>
      <c r="L75" s="265"/>
      <c r="M75" s="265"/>
      <c r="N75" s="265"/>
      <c r="O75" s="265"/>
      <c r="P75" s="265"/>
    </row>
    <row r="76" spans="1:16">
      <c r="A76" s="413"/>
      <c r="B76" s="399" t="s">
        <v>249</v>
      </c>
      <c r="C76" s="399"/>
      <c r="D76" s="265">
        <v>278100</v>
      </c>
      <c r="E76" s="265">
        <v>59910</v>
      </c>
      <c r="F76" s="265">
        <v>-78420</v>
      </c>
      <c r="G76" s="265">
        <v>-5110</v>
      </c>
      <c r="H76" s="265"/>
      <c r="I76" s="265"/>
      <c r="J76" s="265"/>
      <c r="K76" s="265"/>
      <c r="L76" s="265"/>
      <c r="M76" s="265"/>
      <c r="N76" s="265"/>
      <c r="O76" s="265"/>
      <c r="P76" s="265"/>
    </row>
    <row r="77" spans="1:16" ht="15" customHeight="1"/>
    <row r="78" spans="1:16" ht="11.5">
      <c r="A78" s="394"/>
      <c r="B78" s="238" t="s">
        <v>35</v>
      </c>
      <c r="C78" s="239" t="s">
        <v>98</v>
      </c>
      <c r="D78" s="239" t="s">
        <v>99</v>
      </c>
      <c r="E78" s="239" t="s">
        <v>100</v>
      </c>
      <c r="F78" s="239" t="s">
        <v>101</v>
      </c>
      <c r="G78" s="240" t="s">
        <v>102</v>
      </c>
      <c r="H78" s="239" t="s">
        <v>103</v>
      </c>
      <c r="I78" s="239" t="s">
        <v>104</v>
      </c>
      <c r="J78" s="239" t="s">
        <v>105</v>
      </c>
      <c r="K78" s="239" t="s">
        <v>106</v>
      </c>
      <c r="L78" s="239" t="s">
        <v>107</v>
      </c>
      <c r="M78" s="239" t="s">
        <v>108</v>
      </c>
      <c r="N78" s="239" t="s">
        <v>109</v>
      </c>
      <c r="O78" s="241" t="s">
        <v>42</v>
      </c>
    </row>
    <row r="79" spans="1:16" ht="15">
      <c r="A79" s="394"/>
      <c r="B79" s="242" t="s">
        <v>110</v>
      </c>
      <c r="C79" s="243">
        <v>0</v>
      </c>
      <c r="D79" s="243">
        <v>0</v>
      </c>
      <c r="E79" s="243">
        <v>0</v>
      </c>
      <c r="F79" s="243">
        <v>5067080</v>
      </c>
      <c r="G79" s="243">
        <v>5172360</v>
      </c>
      <c r="H79" s="243">
        <v>5590656</v>
      </c>
      <c r="I79" s="243">
        <v>8590205</v>
      </c>
      <c r="J79" s="243">
        <v>14720394</v>
      </c>
      <c r="K79" s="243">
        <v>5111672</v>
      </c>
      <c r="L79" s="243">
        <v>5445149</v>
      </c>
      <c r="M79" s="243">
        <v>5263750</v>
      </c>
      <c r="N79" s="243">
        <v>4624660</v>
      </c>
      <c r="O79" s="244">
        <v>59585926</v>
      </c>
    </row>
    <row r="80" spans="1:16" ht="15">
      <c r="A80" s="394"/>
      <c r="B80" s="242" t="s">
        <v>111</v>
      </c>
      <c r="C80" s="243">
        <f t="shared" ref="C80:N80" si="0">D3</f>
        <v>8292624</v>
      </c>
      <c r="D80" s="243">
        <f t="shared" si="0"/>
        <v>8535484</v>
      </c>
      <c r="E80" s="243">
        <f t="shared" si="0"/>
        <v>4929332</v>
      </c>
      <c r="F80" s="243">
        <f t="shared" si="0"/>
        <v>6092392</v>
      </c>
      <c r="G80" s="243">
        <f t="shared" si="0"/>
        <v>3646914</v>
      </c>
      <c r="H80" s="243">
        <f t="shared" si="0"/>
        <v>1303991</v>
      </c>
      <c r="I80" s="243">
        <f t="shared" si="0"/>
        <v>1869506</v>
      </c>
      <c r="J80" s="243">
        <f t="shared" si="0"/>
        <v>948336</v>
      </c>
      <c r="K80" s="243">
        <f t="shared" si="0"/>
        <v>1793043</v>
      </c>
      <c r="L80" s="243">
        <f t="shared" si="0"/>
        <v>415440</v>
      </c>
      <c r="M80" s="243">
        <f t="shared" si="0"/>
        <v>0</v>
      </c>
      <c r="N80" s="243">
        <f t="shared" si="0"/>
        <v>0</v>
      </c>
      <c r="O80" s="244">
        <f>SUM(C80:N80)</f>
        <v>37827062</v>
      </c>
    </row>
    <row r="81" spans="1:15" ht="15">
      <c r="A81" s="394"/>
      <c r="B81" s="242" t="s">
        <v>112</v>
      </c>
      <c r="C81" s="245" t="e">
        <f t="shared" ref="C81:O81" si="1">C80/C79</f>
        <v>#DIV/0!</v>
      </c>
      <c r="D81" s="245" t="e">
        <f t="shared" si="1"/>
        <v>#DIV/0!</v>
      </c>
      <c r="E81" s="245" t="e">
        <f t="shared" si="1"/>
        <v>#DIV/0!</v>
      </c>
      <c r="F81" s="245">
        <f t="shared" si="1"/>
        <v>1.2023477032136851</v>
      </c>
      <c r="G81" s="246">
        <f t="shared" si="1"/>
        <v>0.70507737280467719</v>
      </c>
      <c r="H81" s="245">
        <f t="shared" si="1"/>
        <v>0.23324472119193168</v>
      </c>
      <c r="I81" s="245">
        <f t="shared" si="1"/>
        <v>0.21763229166242248</v>
      </c>
      <c r="J81" s="245">
        <f t="shared" si="1"/>
        <v>6.4423275626997484E-2</v>
      </c>
      <c r="K81" s="245">
        <f t="shared" si="1"/>
        <v>0.35077426720650307</v>
      </c>
      <c r="L81" s="245">
        <f t="shared" si="1"/>
        <v>7.6295432870615659E-2</v>
      </c>
      <c r="M81" s="245">
        <f t="shared" si="1"/>
        <v>0</v>
      </c>
      <c r="N81" s="245">
        <f t="shared" si="1"/>
        <v>0</v>
      </c>
      <c r="O81" s="247">
        <f t="shared" si="1"/>
        <v>0.63483215818446792</v>
      </c>
    </row>
    <row r="82" spans="1:15" ht="15">
      <c r="A82" s="394"/>
      <c r="B82" s="242" t="s">
        <v>113</v>
      </c>
      <c r="C82" s="248">
        <f t="shared" ref="C82:N82" si="2">C80-C79</f>
        <v>8292624</v>
      </c>
      <c r="D82" s="248">
        <f t="shared" si="2"/>
        <v>8535484</v>
      </c>
      <c r="E82" s="248">
        <f t="shared" si="2"/>
        <v>4929332</v>
      </c>
      <c r="F82" s="248">
        <f t="shared" si="2"/>
        <v>1025312</v>
      </c>
      <c r="G82" s="249">
        <f t="shared" si="2"/>
        <v>-1525446</v>
      </c>
      <c r="H82" s="248">
        <f t="shared" si="2"/>
        <v>-4286665</v>
      </c>
      <c r="I82" s="248">
        <f t="shared" si="2"/>
        <v>-6720699</v>
      </c>
      <c r="J82" s="248">
        <f t="shared" si="2"/>
        <v>-13772058</v>
      </c>
      <c r="K82" s="248">
        <f t="shared" si="2"/>
        <v>-3318629</v>
      </c>
      <c r="L82" s="248">
        <f t="shared" si="2"/>
        <v>-5029709</v>
      </c>
      <c r="M82" s="248">
        <f t="shared" si="2"/>
        <v>-5263750</v>
      </c>
      <c r="N82" s="248">
        <f t="shared" si="2"/>
        <v>-4624660</v>
      </c>
      <c r="O82" s="250">
        <f>SUM(C82:N82)</f>
        <v>-21758864</v>
      </c>
    </row>
    <row r="83" spans="1:15" ht="15">
      <c r="A83" s="394"/>
      <c r="B83" s="242" t="s">
        <v>114</v>
      </c>
      <c r="C83" s="271">
        <v>0</v>
      </c>
      <c r="D83" s="271">
        <v>0</v>
      </c>
      <c r="E83" s="271">
        <v>0</v>
      </c>
      <c r="F83" s="243">
        <v>5067080</v>
      </c>
      <c r="G83" s="243">
        <v>5172360</v>
      </c>
      <c r="H83" s="243">
        <v>5590656</v>
      </c>
      <c r="I83" s="243">
        <v>8590205</v>
      </c>
      <c r="J83" s="243">
        <v>14720394</v>
      </c>
      <c r="K83" s="243">
        <v>5111672</v>
      </c>
      <c r="L83" s="243">
        <v>5445149</v>
      </c>
      <c r="M83" s="243">
        <v>5263750</v>
      </c>
      <c r="N83" s="243">
        <v>4624660</v>
      </c>
      <c r="O83" s="244">
        <v>59585926</v>
      </c>
    </row>
    <row r="84" spans="1:15" ht="15">
      <c r="A84" s="394"/>
      <c r="B84" s="242" t="s">
        <v>115</v>
      </c>
      <c r="C84" s="245" t="e">
        <f t="shared" ref="C84:O84" si="3">C80/C83</f>
        <v>#DIV/0!</v>
      </c>
      <c r="D84" s="245" t="e">
        <f t="shared" si="3"/>
        <v>#DIV/0!</v>
      </c>
      <c r="E84" s="245" t="e">
        <f t="shared" si="3"/>
        <v>#DIV/0!</v>
      </c>
      <c r="F84" s="245">
        <f t="shared" si="3"/>
        <v>1.2023477032136851</v>
      </c>
      <c r="G84" s="246">
        <f t="shared" si="3"/>
        <v>0.70507737280467719</v>
      </c>
      <c r="H84" s="245">
        <f t="shared" si="3"/>
        <v>0.23324472119193168</v>
      </c>
      <c r="I84" s="245">
        <f t="shared" si="3"/>
        <v>0.21763229166242248</v>
      </c>
      <c r="J84" s="245">
        <f t="shared" si="3"/>
        <v>6.4423275626997484E-2</v>
      </c>
      <c r="K84" s="245">
        <f t="shared" si="3"/>
        <v>0.35077426720650307</v>
      </c>
      <c r="L84" s="245">
        <f t="shared" si="3"/>
        <v>7.6295432870615659E-2</v>
      </c>
      <c r="M84" s="245">
        <f t="shared" si="3"/>
        <v>0</v>
      </c>
      <c r="N84" s="245">
        <f t="shared" si="3"/>
        <v>0</v>
      </c>
      <c r="O84" s="247">
        <f t="shared" si="3"/>
        <v>0.63483215818446792</v>
      </c>
    </row>
    <row r="85" spans="1:15" ht="15">
      <c r="A85" s="394"/>
      <c r="B85" s="242" t="s">
        <v>116</v>
      </c>
      <c r="C85" s="243"/>
      <c r="D85" s="243"/>
      <c r="E85" s="243"/>
      <c r="F85" s="243"/>
      <c r="G85" s="251"/>
      <c r="H85" s="243"/>
      <c r="I85" s="243"/>
      <c r="J85" s="243"/>
      <c r="K85" s="243"/>
      <c r="L85" s="243"/>
      <c r="M85" s="243"/>
      <c r="N85" s="243"/>
      <c r="O85" s="244">
        <f>SUM(C85:N85)</f>
        <v>0</v>
      </c>
    </row>
    <row r="86" spans="1:15" ht="15">
      <c r="A86" s="394"/>
      <c r="B86" s="242" t="s">
        <v>117</v>
      </c>
      <c r="C86" s="243"/>
      <c r="D86" s="243"/>
      <c r="E86" s="243"/>
      <c r="F86" s="243">
        <v>5067080</v>
      </c>
      <c r="G86" s="251">
        <v>5172360</v>
      </c>
      <c r="H86" s="243">
        <v>5590656</v>
      </c>
      <c r="I86" s="243">
        <v>8590205</v>
      </c>
      <c r="J86" s="243">
        <v>14720394</v>
      </c>
      <c r="K86" s="243">
        <v>5111672</v>
      </c>
      <c r="L86" s="243">
        <v>5445149</v>
      </c>
      <c r="M86" s="243"/>
      <c r="N86" s="243"/>
      <c r="O86" s="244">
        <f>SUM(C86:N86)</f>
        <v>49697516</v>
      </c>
    </row>
    <row r="87" spans="1:15" ht="15">
      <c r="A87" s="394"/>
      <c r="B87" s="242" t="s">
        <v>118</v>
      </c>
      <c r="C87" s="252">
        <v>5778007</v>
      </c>
      <c r="D87" s="252">
        <v>5913951</v>
      </c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44">
        <f>SUM(C87:N87)</f>
        <v>11691958</v>
      </c>
    </row>
    <row r="88" spans="1:15" ht="15">
      <c r="A88" s="394"/>
      <c r="B88" s="242" t="s">
        <v>119</v>
      </c>
      <c r="C88" s="248">
        <f>C85-C87</f>
        <v>-5778007</v>
      </c>
      <c r="D88" s="248">
        <f>D85-D86</f>
        <v>0</v>
      </c>
      <c r="E88" s="248">
        <f>E85-E86</f>
        <v>0</v>
      </c>
      <c r="F88" s="248">
        <f>F85-F86</f>
        <v>-5067080</v>
      </c>
      <c r="G88" s="249">
        <f>G85-G86</f>
        <v>-5172360</v>
      </c>
      <c r="H88" s="248">
        <f t="shared" ref="H88:M88" si="4">H85-H87</f>
        <v>0</v>
      </c>
      <c r="I88" s="248">
        <f t="shared" si="4"/>
        <v>0</v>
      </c>
      <c r="J88" s="248">
        <f t="shared" si="4"/>
        <v>0</v>
      </c>
      <c r="K88" s="248">
        <f t="shared" si="4"/>
        <v>0</v>
      </c>
      <c r="L88" s="248">
        <f t="shared" si="4"/>
        <v>0</v>
      </c>
      <c r="M88" s="248">
        <f t="shared" si="4"/>
        <v>0</v>
      </c>
      <c r="N88" s="248">
        <v>18000000</v>
      </c>
      <c r="O88" s="250">
        <f>SUM(C88:N88)</f>
        <v>1982553</v>
      </c>
    </row>
    <row r="89" spans="1:15" ht="15" customHeight="1">
      <c r="A89" s="394"/>
      <c r="B89" s="253" t="s">
        <v>73</v>
      </c>
      <c r="C89" s="254">
        <f t="shared" ref="C89:N89" si="5">C80-C87</f>
        <v>2514617</v>
      </c>
      <c r="D89" s="254">
        <f t="shared" si="5"/>
        <v>2621533</v>
      </c>
      <c r="E89" s="254">
        <f t="shared" si="5"/>
        <v>4929332</v>
      </c>
      <c r="F89" s="254">
        <f t="shared" si="5"/>
        <v>6092392</v>
      </c>
      <c r="G89" s="254">
        <f t="shared" si="5"/>
        <v>3646914</v>
      </c>
      <c r="H89" s="254">
        <f t="shared" si="5"/>
        <v>1303991</v>
      </c>
      <c r="I89" s="254">
        <f t="shared" si="5"/>
        <v>1869506</v>
      </c>
      <c r="J89" s="254">
        <f t="shared" si="5"/>
        <v>948336</v>
      </c>
      <c r="K89" s="254">
        <f t="shared" si="5"/>
        <v>1793043</v>
      </c>
      <c r="L89" s="254">
        <f t="shared" si="5"/>
        <v>415440</v>
      </c>
      <c r="M89" s="254">
        <f t="shared" si="5"/>
        <v>0</v>
      </c>
      <c r="N89" s="254">
        <f t="shared" si="5"/>
        <v>0</v>
      </c>
      <c r="O89" s="255">
        <f>SUM(C89:N89)</f>
        <v>26135104</v>
      </c>
    </row>
  </sheetData>
  <mergeCells count="78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B18"/>
    <mergeCell ref="A19:B19"/>
    <mergeCell ref="A20:B20"/>
    <mergeCell ref="A21:C21"/>
    <mergeCell ref="A22:C22"/>
    <mergeCell ref="A23:C23"/>
    <mergeCell ref="A24:C24"/>
    <mergeCell ref="A25:C25"/>
    <mergeCell ref="A26:C26"/>
    <mergeCell ref="A27:C27"/>
    <mergeCell ref="A28:C28"/>
    <mergeCell ref="A29:A6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A69:A70"/>
    <mergeCell ref="B69:C69"/>
    <mergeCell ref="B70:C70"/>
    <mergeCell ref="B71:C71"/>
    <mergeCell ref="A78:A89"/>
    <mergeCell ref="A72:A76"/>
    <mergeCell ref="B72:C72"/>
    <mergeCell ref="B73:C73"/>
    <mergeCell ref="B74:C74"/>
    <mergeCell ref="B75:C75"/>
    <mergeCell ref="B76:C76"/>
  </mergeCells>
  <phoneticPr fontId="36"/>
  <conditionalFormatting sqref="D3:P3">
    <cfRule type="cellIs" dxfId="6" priority="3" operator="equal">
      <formula>0</formula>
    </cfRule>
  </conditionalFormatting>
  <conditionalFormatting sqref="D3:P76">
    <cfRule type="cellIs" dxfId="5" priority="2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4"/>
  <sheetViews>
    <sheetView zoomScaleNormal="100" workbookViewId="0">
      <selection activeCell="G13" sqref="G13"/>
    </sheetView>
  </sheetViews>
  <sheetFormatPr defaultColWidth="8.58203125" defaultRowHeight="15"/>
  <cols>
    <col min="1" max="1" width="8.58203125" style="75"/>
    <col min="2" max="2" width="10.58203125" style="75" customWidth="1"/>
    <col min="3" max="3" width="7.83203125" style="75" customWidth="1"/>
    <col min="4" max="4" width="8.5" style="221" customWidth="1"/>
    <col min="5" max="7" width="8.5" style="75" customWidth="1"/>
    <col min="8" max="11" width="7.83203125" style="75" customWidth="1"/>
    <col min="12" max="12" width="10.33203125" style="75" customWidth="1"/>
    <col min="13" max="13" width="10.08203125" style="75" customWidth="1"/>
    <col min="14" max="15" width="8.58203125" style="75"/>
    <col min="16" max="16" width="13.58203125" style="75" customWidth="1"/>
    <col min="17" max="16384" width="8.58203125" style="75"/>
  </cols>
  <sheetData>
    <row r="1" spans="1:16">
      <c r="D1" s="424" t="s">
        <v>281</v>
      </c>
      <c r="E1" s="424"/>
      <c r="F1" s="424"/>
      <c r="O1" s="272" t="s">
        <v>281</v>
      </c>
    </row>
    <row r="2" spans="1:16">
      <c r="D2" s="273" t="s">
        <v>178</v>
      </c>
      <c r="E2" s="273" t="s">
        <v>179</v>
      </c>
      <c r="F2" s="273" t="s">
        <v>180</v>
      </c>
      <c r="G2" s="273" t="s">
        <v>181</v>
      </c>
      <c r="H2" s="273" t="s">
        <v>182</v>
      </c>
      <c r="I2" s="273" t="s">
        <v>183</v>
      </c>
      <c r="J2" s="273" t="s">
        <v>184</v>
      </c>
      <c r="K2" s="273" t="s">
        <v>185</v>
      </c>
      <c r="L2" s="273" t="s">
        <v>186</v>
      </c>
      <c r="M2" s="273" t="s">
        <v>187</v>
      </c>
      <c r="N2" s="273" t="s">
        <v>188</v>
      </c>
      <c r="O2" s="274" t="s">
        <v>189</v>
      </c>
      <c r="P2" s="262" t="s">
        <v>42</v>
      </c>
    </row>
    <row r="3" spans="1:16">
      <c r="A3" s="412" t="s">
        <v>190</v>
      </c>
      <c r="B3" s="412"/>
      <c r="C3" s="412"/>
      <c r="D3" s="275"/>
      <c r="E3" s="275"/>
      <c r="F3" s="275"/>
      <c r="G3" s="227">
        <v>378080</v>
      </c>
      <c r="H3" s="227"/>
      <c r="I3" s="227"/>
      <c r="J3" s="227"/>
      <c r="K3" s="227"/>
      <c r="L3" s="227"/>
      <c r="M3" s="227"/>
      <c r="N3" s="227"/>
      <c r="O3" s="275"/>
      <c r="P3" s="227">
        <f t="shared" ref="P3:P11" si="0">SUM(D3:O3)</f>
        <v>378080</v>
      </c>
    </row>
    <row r="4" spans="1:16">
      <c r="A4" s="395" t="s">
        <v>282</v>
      </c>
      <c r="B4" s="395"/>
      <c r="C4" s="395"/>
      <c r="D4" s="276"/>
      <c r="E4" s="276"/>
      <c r="F4" s="276"/>
      <c r="G4" s="229">
        <v>29</v>
      </c>
      <c r="H4" s="229"/>
      <c r="I4" s="229"/>
      <c r="J4" s="229"/>
      <c r="K4" s="229"/>
      <c r="L4" s="229"/>
      <c r="M4" s="229"/>
      <c r="N4" s="229"/>
      <c r="O4" s="276"/>
      <c r="P4" s="229">
        <f t="shared" si="0"/>
        <v>29</v>
      </c>
    </row>
    <row r="5" spans="1:16">
      <c r="A5" s="421" t="s">
        <v>283</v>
      </c>
      <c r="B5" s="421"/>
      <c r="C5" s="421"/>
      <c r="D5" s="277"/>
      <c r="E5" s="277"/>
      <c r="F5" s="277"/>
      <c r="G5" s="230">
        <v>19</v>
      </c>
      <c r="H5" s="230"/>
      <c r="I5" s="230"/>
      <c r="J5" s="230"/>
      <c r="K5" s="230"/>
      <c r="L5" s="230"/>
      <c r="M5" s="230"/>
      <c r="N5" s="230"/>
      <c r="O5" s="277"/>
      <c r="P5" s="229">
        <f t="shared" si="0"/>
        <v>19</v>
      </c>
    </row>
    <row r="6" spans="1:16">
      <c r="A6" s="421" t="s">
        <v>284</v>
      </c>
      <c r="B6" s="421"/>
      <c r="C6" s="421"/>
      <c r="D6" s="277"/>
      <c r="E6" s="277"/>
      <c r="F6" s="277"/>
      <c r="G6" s="230">
        <v>0</v>
      </c>
      <c r="H6" s="230"/>
      <c r="I6" s="230"/>
      <c r="J6" s="230"/>
      <c r="K6" s="230"/>
      <c r="L6" s="230"/>
      <c r="M6" s="230"/>
      <c r="N6" s="230"/>
      <c r="O6" s="277"/>
      <c r="P6" s="229">
        <f t="shared" si="0"/>
        <v>0</v>
      </c>
    </row>
    <row r="7" spans="1:16">
      <c r="A7" s="421" t="s">
        <v>285</v>
      </c>
      <c r="B7" s="421"/>
      <c r="C7" s="421"/>
      <c r="D7" s="277"/>
      <c r="E7" s="277"/>
      <c r="F7" s="277"/>
      <c r="G7" s="230">
        <v>0</v>
      </c>
      <c r="H7" s="230"/>
      <c r="I7" s="230"/>
      <c r="J7" s="230"/>
      <c r="K7" s="230"/>
      <c r="L7" s="230"/>
      <c r="M7" s="230"/>
      <c r="N7" s="230"/>
      <c r="O7" s="277"/>
      <c r="P7" s="229">
        <f t="shared" si="0"/>
        <v>0</v>
      </c>
    </row>
    <row r="8" spans="1:16">
      <c r="A8" s="421" t="s">
        <v>286</v>
      </c>
      <c r="B8" s="421"/>
      <c r="C8" s="421"/>
      <c r="D8" s="277"/>
      <c r="E8" s="277"/>
      <c r="F8" s="277"/>
      <c r="G8" s="230">
        <v>5</v>
      </c>
      <c r="H8" s="230"/>
      <c r="I8" s="230"/>
      <c r="J8" s="230"/>
      <c r="K8" s="230"/>
      <c r="L8" s="230"/>
      <c r="M8" s="230"/>
      <c r="N8" s="230"/>
      <c r="O8" s="277"/>
      <c r="P8" s="229">
        <f t="shared" si="0"/>
        <v>5</v>
      </c>
    </row>
    <row r="9" spans="1:16">
      <c r="A9" s="421" t="s">
        <v>287</v>
      </c>
      <c r="B9" s="421"/>
      <c r="C9" s="421"/>
      <c r="D9" s="277"/>
      <c r="E9" s="277"/>
      <c r="F9" s="277"/>
      <c r="G9" s="230">
        <v>5</v>
      </c>
      <c r="H9" s="230"/>
      <c r="I9" s="230"/>
      <c r="J9" s="230"/>
      <c r="K9" s="230"/>
      <c r="L9" s="230"/>
      <c r="M9" s="230"/>
      <c r="N9" s="230"/>
      <c r="O9" s="277"/>
      <c r="P9" s="229">
        <f t="shared" si="0"/>
        <v>5</v>
      </c>
    </row>
    <row r="10" spans="1:16">
      <c r="A10" s="421" t="s">
        <v>288</v>
      </c>
      <c r="B10" s="421"/>
      <c r="C10" s="421"/>
      <c r="D10" s="277"/>
      <c r="E10" s="277"/>
      <c r="F10" s="277"/>
      <c r="G10" s="230">
        <v>0</v>
      </c>
      <c r="H10" s="230"/>
      <c r="I10" s="230"/>
      <c r="J10" s="230"/>
      <c r="K10" s="230"/>
      <c r="L10" s="230"/>
      <c r="M10" s="230"/>
      <c r="N10" s="230"/>
      <c r="O10" s="277"/>
      <c r="P10" s="229">
        <f t="shared" si="0"/>
        <v>0</v>
      </c>
    </row>
    <row r="11" spans="1:16">
      <c r="A11" s="421" t="s">
        <v>289</v>
      </c>
      <c r="B11" s="421"/>
      <c r="C11" s="421"/>
      <c r="D11" s="277"/>
      <c r="E11" s="277"/>
      <c r="F11" s="277"/>
      <c r="G11" s="230">
        <v>0</v>
      </c>
      <c r="H11" s="230"/>
      <c r="I11" s="230"/>
      <c r="J11" s="230"/>
      <c r="K11" s="230"/>
      <c r="L11" s="230"/>
      <c r="M11" s="230"/>
      <c r="N11" s="230"/>
      <c r="O11" s="277"/>
      <c r="P11" s="229">
        <f t="shared" si="0"/>
        <v>0</v>
      </c>
    </row>
    <row r="12" spans="1:16">
      <c r="A12" s="409"/>
      <c r="B12" s="409"/>
      <c r="C12" s="409"/>
      <c r="D12" s="277"/>
      <c r="E12" s="277"/>
      <c r="F12" s="277"/>
      <c r="G12" s="234"/>
      <c r="H12" s="234"/>
      <c r="I12" s="234"/>
      <c r="J12" s="234"/>
      <c r="K12" s="234"/>
      <c r="L12" s="234"/>
      <c r="M12" s="234"/>
      <c r="N12" s="234"/>
      <c r="O12" s="277"/>
      <c r="P12" s="234"/>
    </row>
    <row r="13" spans="1:16">
      <c r="A13" s="395" t="s">
        <v>78</v>
      </c>
      <c r="B13" s="395"/>
      <c r="C13" s="395"/>
      <c r="D13" s="276"/>
      <c r="E13" s="276"/>
      <c r="F13" s="276"/>
      <c r="G13" s="229">
        <v>111</v>
      </c>
      <c r="H13" s="229"/>
      <c r="I13" s="229"/>
      <c r="J13" s="229"/>
      <c r="K13" s="229"/>
      <c r="L13" s="229"/>
      <c r="M13" s="229"/>
      <c r="N13" s="229"/>
      <c r="O13" s="276"/>
      <c r="P13" s="229">
        <f t="shared" ref="P13:P22" si="1">SUM(D13:O13)</f>
        <v>111</v>
      </c>
    </row>
    <row r="14" spans="1:16">
      <c r="A14" s="421" t="s">
        <v>290</v>
      </c>
      <c r="B14" s="421"/>
      <c r="C14" s="421"/>
      <c r="D14" s="276"/>
      <c r="E14" s="276"/>
      <c r="F14" s="276"/>
      <c r="G14" s="229">
        <v>56</v>
      </c>
      <c r="H14" s="229"/>
      <c r="I14" s="229"/>
      <c r="J14" s="229"/>
      <c r="K14" s="229"/>
      <c r="L14" s="229"/>
      <c r="M14" s="229"/>
      <c r="N14" s="229"/>
      <c r="O14" s="276"/>
      <c r="P14" s="229">
        <f t="shared" si="1"/>
        <v>56</v>
      </c>
    </row>
    <row r="15" spans="1:16">
      <c r="A15" s="421" t="s">
        <v>291</v>
      </c>
      <c r="B15" s="421"/>
      <c r="C15" s="421"/>
      <c r="D15" s="276"/>
      <c r="E15" s="276"/>
      <c r="F15" s="276"/>
      <c r="G15" s="229">
        <v>5</v>
      </c>
      <c r="H15" s="229"/>
      <c r="I15" s="229"/>
      <c r="J15" s="229"/>
      <c r="K15" s="229"/>
      <c r="L15" s="229"/>
      <c r="M15" s="229"/>
      <c r="N15" s="229"/>
      <c r="O15" s="276"/>
      <c r="P15" s="229">
        <f t="shared" si="1"/>
        <v>5</v>
      </c>
    </row>
    <row r="16" spans="1:16">
      <c r="A16" s="421" t="s">
        <v>292</v>
      </c>
      <c r="B16" s="421"/>
      <c r="C16" s="421"/>
      <c r="D16" s="276"/>
      <c r="E16" s="276"/>
      <c r="F16" s="276"/>
      <c r="G16" s="229">
        <v>2</v>
      </c>
      <c r="H16" s="229"/>
      <c r="I16" s="229"/>
      <c r="J16" s="229"/>
      <c r="K16" s="229"/>
      <c r="L16" s="229"/>
      <c r="M16" s="229"/>
      <c r="N16" s="229"/>
      <c r="O16" s="276"/>
      <c r="P16" s="229">
        <f t="shared" si="1"/>
        <v>2</v>
      </c>
    </row>
    <row r="17" spans="1:16">
      <c r="A17" s="421" t="s">
        <v>293</v>
      </c>
      <c r="B17" s="421"/>
      <c r="C17" s="421"/>
      <c r="D17" s="276"/>
      <c r="E17" s="276"/>
      <c r="F17" s="276"/>
      <c r="G17" s="229">
        <v>0</v>
      </c>
      <c r="H17" s="229"/>
      <c r="I17" s="229"/>
      <c r="J17" s="229"/>
      <c r="K17" s="229"/>
      <c r="L17" s="229"/>
      <c r="M17" s="229"/>
      <c r="N17" s="229"/>
      <c r="O17" s="276"/>
      <c r="P17" s="229">
        <f t="shared" si="1"/>
        <v>0</v>
      </c>
    </row>
    <row r="18" spans="1:16">
      <c r="A18" s="421" t="s">
        <v>285</v>
      </c>
      <c r="B18" s="421"/>
      <c r="C18" s="421"/>
      <c r="D18" s="276"/>
      <c r="E18" s="276"/>
      <c r="F18" s="276"/>
      <c r="G18" s="229">
        <v>20</v>
      </c>
      <c r="H18" s="229"/>
      <c r="I18" s="229"/>
      <c r="J18" s="229"/>
      <c r="K18" s="229"/>
      <c r="L18" s="229"/>
      <c r="M18" s="229"/>
      <c r="N18" s="229"/>
      <c r="O18" s="276"/>
      <c r="P18" s="229">
        <f t="shared" si="1"/>
        <v>20</v>
      </c>
    </row>
    <row r="19" spans="1:16">
      <c r="A19" s="421" t="s">
        <v>286</v>
      </c>
      <c r="B19" s="421"/>
      <c r="C19" s="421"/>
      <c r="D19" s="276"/>
      <c r="E19" s="276"/>
      <c r="F19" s="276"/>
      <c r="G19" s="229">
        <v>13</v>
      </c>
      <c r="H19" s="229"/>
      <c r="I19" s="229"/>
      <c r="J19" s="229"/>
      <c r="K19" s="229"/>
      <c r="L19" s="229"/>
      <c r="M19" s="229"/>
      <c r="N19" s="229"/>
      <c r="O19" s="276"/>
      <c r="P19" s="229">
        <f t="shared" si="1"/>
        <v>13</v>
      </c>
    </row>
    <row r="20" spans="1:16">
      <c r="A20" s="421" t="s">
        <v>287</v>
      </c>
      <c r="B20" s="421"/>
      <c r="C20" s="421"/>
      <c r="D20" s="276"/>
      <c r="E20" s="276"/>
      <c r="F20" s="276"/>
      <c r="G20" s="229">
        <v>15</v>
      </c>
      <c r="H20" s="229"/>
      <c r="I20" s="229"/>
      <c r="J20" s="229"/>
      <c r="K20" s="229"/>
      <c r="L20" s="229"/>
      <c r="M20" s="229"/>
      <c r="N20" s="229"/>
      <c r="O20" s="276"/>
      <c r="P20" s="229">
        <f t="shared" si="1"/>
        <v>15</v>
      </c>
    </row>
    <row r="21" spans="1:16">
      <c r="A21" s="421" t="s">
        <v>288</v>
      </c>
      <c r="B21" s="421"/>
      <c r="C21" s="421"/>
      <c r="D21" s="277"/>
      <c r="E21" s="277"/>
      <c r="F21" s="277"/>
      <c r="G21" s="230">
        <v>0</v>
      </c>
      <c r="H21" s="230"/>
      <c r="I21" s="230"/>
      <c r="J21" s="230"/>
      <c r="K21" s="230"/>
      <c r="L21" s="230"/>
      <c r="M21" s="230"/>
      <c r="N21" s="230"/>
      <c r="O21" s="277"/>
      <c r="P21" s="229">
        <f t="shared" si="1"/>
        <v>0</v>
      </c>
    </row>
    <row r="22" spans="1:16">
      <c r="A22" s="421" t="s">
        <v>289</v>
      </c>
      <c r="B22" s="421"/>
      <c r="C22" s="421"/>
      <c r="D22" s="277"/>
      <c r="E22" s="277"/>
      <c r="F22" s="277"/>
      <c r="G22" s="230">
        <v>0</v>
      </c>
      <c r="H22" s="230"/>
      <c r="I22" s="230"/>
      <c r="J22" s="230"/>
      <c r="K22" s="230"/>
      <c r="L22" s="230"/>
      <c r="M22" s="230"/>
      <c r="N22" s="230"/>
      <c r="O22" s="277"/>
      <c r="P22" s="229">
        <f t="shared" si="1"/>
        <v>0</v>
      </c>
    </row>
    <row r="23" spans="1:16">
      <c r="A23" s="409"/>
      <c r="B23" s="409"/>
      <c r="C23" s="409"/>
      <c r="D23" s="277"/>
      <c r="E23" s="277"/>
      <c r="F23" s="277"/>
      <c r="G23" s="234"/>
      <c r="H23" s="234"/>
      <c r="I23" s="234"/>
      <c r="J23" s="234"/>
      <c r="K23" s="234"/>
      <c r="L23" s="234"/>
      <c r="M23" s="234"/>
      <c r="N23" s="234"/>
      <c r="O23" s="277"/>
      <c r="P23" s="234"/>
    </row>
    <row r="24" spans="1:16">
      <c r="A24" s="408" t="s">
        <v>212</v>
      </c>
      <c r="B24" s="395" t="s">
        <v>294</v>
      </c>
      <c r="C24" s="395"/>
      <c r="D24" s="276"/>
      <c r="E24" s="276"/>
      <c r="F24" s="276"/>
      <c r="G24" s="229">
        <v>73800</v>
      </c>
      <c r="H24" s="229"/>
      <c r="I24" s="229"/>
      <c r="J24" s="229"/>
      <c r="K24" s="229"/>
      <c r="L24" s="229"/>
      <c r="M24" s="229"/>
      <c r="N24" s="229"/>
      <c r="O24" s="276"/>
      <c r="P24" s="229">
        <f t="shared" ref="P24:P41" si="2">SUM(D24:O24)</f>
        <v>73800</v>
      </c>
    </row>
    <row r="25" spans="1:16">
      <c r="A25" s="408"/>
      <c r="B25" s="422" t="s">
        <v>295</v>
      </c>
      <c r="C25" s="422"/>
      <c r="D25" s="277"/>
      <c r="E25" s="277"/>
      <c r="F25" s="277"/>
      <c r="G25" s="230">
        <v>30600</v>
      </c>
      <c r="H25" s="230"/>
      <c r="I25" s="230"/>
      <c r="J25" s="230"/>
      <c r="K25" s="230"/>
      <c r="L25" s="230"/>
      <c r="M25" s="230"/>
      <c r="N25" s="230"/>
      <c r="O25" s="277"/>
      <c r="P25" s="230">
        <f t="shared" si="2"/>
        <v>30600</v>
      </c>
    </row>
    <row r="26" spans="1:16">
      <c r="A26" s="408"/>
      <c r="B26" s="422" t="s">
        <v>286</v>
      </c>
      <c r="C26" s="422"/>
      <c r="D26" s="277"/>
      <c r="E26" s="277"/>
      <c r="F26" s="277"/>
      <c r="G26" s="230">
        <v>24000</v>
      </c>
      <c r="H26" s="230"/>
      <c r="I26" s="230"/>
      <c r="J26" s="230"/>
      <c r="K26" s="230"/>
      <c r="L26" s="230"/>
      <c r="M26" s="230"/>
      <c r="N26" s="230"/>
      <c r="O26" s="277"/>
      <c r="P26" s="230">
        <f t="shared" si="2"/>
        <v>24000</v>
      </c>
    </row>
    <row r="27" spans="1:16">
      <c r="A27" s="408"/>
      <c r="B27" s="422" t="s">
        <v>287</v>
      </c>
      <c r="C27" s="422"/>
      <c r="D27" s="277"/>
      <c r="E27" s="277"/>
      <c r="F27" s="277"/>
      <c r="G27" s="230">
        <v>17000</v>
      </c>
      <c r="H27" s="230"/>
      <c r="I27" s="230"/>
      <c r="J27" s="230"/>
      <c r="K27" s="230"/>
      <c r="L27" s="230"/>
      <c r="M27" s="230"/>
      <c r="N27" s="230"/>
      <c r="O27" s="277"/>
      <c r="P27" s="230">
        <f t="shared" si="2"/>
        <v>17000</v>
      </c>
    </row>
    <row r="28" spans="1:16">
      <c r="A28" s="408"/>
      <c r="B28" s="422" t="s">
        <v>296</v>
      </c>
      <c r="C28" s="422"/>
      <c r="D28" s="277"/>
      <c r="E28" s="277"/>
      <c r="F28" s="277"/>
      <c r="G28" s="230">
        <v>700</v>
      </c>
      <c r="H28" s="230"/>
      <c r="I28" s="230"/>
      <c r="J28" s="230"/>
      <c r="K28" s="230"/>
      <c r="L28" s="230"/>
      <c r="M28" s="230"/>
      <c r="N28" s="230"/>
      <c r="O28" s="277"/>
      <c r="P28" s="230">
        <f t="shared" si="2"/>
        <v>700</v>
      </c>
    </row>
    <row r="29" spans="1:16">
      <c r="A29" s="408"/>
      <c r="B29" s="422" t="s">
        <v>289</v>
      </c>
      <c r="C29" s="422"/>
      <c r="D29" s="277"/>
      <c r="E29" s="277"/>
      <c r="F29" s="277"/>
      <c r="G29" s="230">
        <v>1500</v>
      </c>
      <c r="H29" s="230"/>
      <c r="I29" s="230"/>
      <c r="J29" s="230"/>
      <c r="K29" s="230"/>
      <c r="L29" s="230"/>
      <c r="M29" s="230"/>
      <c r="N29" s="230"/>
      <c r="O29" s="277"/>
      <c r="P29" s="230">
        <f t="shared" si="2"/>
        <v>1500</v>
      </c>
    </row>
    <row r="30" spans="1:16">
      <c r="A30" s="408"/>
      <c r="B30" s="422" t="s">
        <v>288</v>
      </c>
      <c r="C30" s="422"/>
      <c r="D30" s="277"/>
      <c r="E30" s="277"/>
      <c r="F30" s="277"/>
      <c r="G30" s="230">
        <v>0</v>
      </c>
      <c r="H30" s="230"/>
      <c r="I30" s="230"/>
      <c r="J30" s="230"/>
      <c r="K30" s="230"/>
      <c r="L30" s="230"/>
      <c r="M30" s="230"/>
      <c r="N30" s="230"/>
      <c r="O30" s="277"/>
      <c r="P30" s="230">
        <f t="shared" si="2"/>
        <v>0</v>
      </c>
    </row>
    <row r="31" spans="1:16">
      <c r="A31" s="408"/>
      <c r="B31" s="422"/>
      <c r="C31" s="422"/>
      <c r="D31" s="277"/>
      <c r="E31" s="277"/>
      <c r="F31" s="277"/>
      <c r="G31" s="230">
        <v>0</v>
      </c>
      <c r="H31" s="230"/>
      <c r="I31" s="230"/>
      <c r="J31" s="230"/>
      <c r="K31" s="230"/>
      <c r="L31" s="230"/>
      <c r="M31" s="230"/>
      <c r="N31" s="230"/>
      <c r="O31" s="277"/>
      <c r="P31" s="230">
        <f t="shared" si="2"/>
        <v>0</v>
      </c>
    </row>
    <row r="32" spans="1:16">
      <c r="A32" s="408"/>
      <c r="B32" s="423"/>
      <c r="C32" s="423"/>
      <c r="D32" s="277"/>
      <c r="E32" s="277"/>
      <c r="F32" s="277"/>
      <c r="G32" s="230">
        <v>0</v>
      </c>
      <c r="H32" s="230"/>
      <c r="I32" s="230"/>
      <c r="J32" s="230"/>
      <c r="K32" s="230"/>
      <c r="L32" s="230"/>
      <c r="M32" s="230"/>
      <c r="N32" s="230"/>
      <c r="O32" s="277"/>
      <c r="P32" s="230">
        <f t="shared" si="2"/>
        <v>0</v>
      </c>
    </row>
    <row r="33" spans="1:16">
      <c r="A33" s="408"/>
      <c r="B33" s="395" t="s">
        <v>297</v>
      </c>
      <c r="C33" s="395"/>
      <c r="D33" s="276"/>
      <c r="E33" s="276"/>
      <c r="F33" s="276"/>
      <c r="G33" s="229">
        <v>304280</v>
      </c>
      <c r="H33" s="229"/>
      <c r="I33" s="229"/>
      <c r="J33" s="229"/>
      <c r="K33" s="229"/>
      <c r="L33" s="229"/>
      <c r="M33" s="229"/>
      <c r="N33" s="229"/>
      <c r="O33" s="276"/>
      <c r="P33" s="230">
        <f t="shared" si="2"/>
        <v>304280</v>
      </c>
    </row>
    <row r="34" spans="1:16">
      <c r="A34" s="408"/>
      <c r="B34" s="420" t="s">
        <v>298</v>
      </c>
      <c r="C34" s="420"/>
      <c r="D34" s="277"/>
      <c r="E34" s="277"/>
      <c r="F34" s="277"/>
      <c r="G34" s="230">
        <v>222100</v>
      </c>
      <c r="H34" s="230"/>
      <c r="I34" s="230"/>
      <c r="J34" s="230"/>
      <c r="K34" s="230"/>
      <c r="L34" s="230"/>
      <c r="M34" s="230"/>
      <c r="N34" s="230"/>
      <c r="O34" s="277"/>
      <c r="P34" s="230">
        <f t="shared" si="2"/>
        <v>222100</v>
      </c>
    </row>
    <row r="35" spans="1:16">
      <c r="A35" s="408"/>
      <c r="B35" s="420" t="s">
        <v>299</v>
      </c>
      <c r="C35" s="420"/>
      <c r="D35" s="277"/>
      <c r="E35" s="277"/>
      <c r="F35" s="277"/>
      <c r="G35" s="230">
        <v>9100</v>
      </c>
      <c r="H35" s="230"/>
      <c r="I35" s="230"/>
      <c r="J35" s="230"/>
      <c r="K35" s="230"/>
      <c r="L35" s="230"/>
      <c r="M35" s="230"/>
      <c r="N35" s="230"/>
      <c r="O35" s="277"/>
      <c r="P35" s="230">
        <f t="shared" si="2"/>
        <v>9100</v>
      </c>
    </row>
    <row r="36" spans="1:16">
      <c r="A36" s="408"/>
      <c r="B36" s="420" t="s">
        <v>300</v>
      </c>
      <c r="C36" s="420"/>
      <c r="D36" s="277"/>
      <c r="E36" s="277"/>
      <c r="F36" s="277"/>
      <c r="G36" s="230">
        <v>48880</v>
      </c>
      <c r="H36" s="230"/>
      <c r="I36" s="230"/>
      <c r="J36" s="230"/>
      <c r="K36" s="230"/>
      <c r="L36" s="230"/>
      <c r="M36" s="230"/>
      <c r="N36" s="230"/>
      <c r="O36" s="277"/>
      <c r="P36" s="230">
        <f t="shared" si="2"/>
        <v>48880</v>
      </c>
    </row>
    <row r="37" spans="1:16">
      <c r="A37" s="408"/>
      <c r="B37" s="420" t="s">
        <v>301</v>
      </c>
      <c r="C37" s="420"/>
      <c r="D37" s="277"/>
      <c r="E37" s="277"/>
      <c r="F37" s="277"/>
      <c r="G37" s="230">
        <v>24200</v>
      </c>
      <c r="H37" s="230"/>
      <c r="I37" s="230"/>
      <c r="J37" s="230"/>
      <c r="K37" s="230"/>
      <c r="L37" s="230"/>
      <c r="M37" s="230"/>
      <c r="N37" s="230"/>
      <c r="O37" s="277"/>
      <c r="P37" s="230">
        <f t="shared" si="2"/>
        <v>24200</v>
      </c>
    </row>
    <row r="38" spans="1:16">
      <c r="A38" s="408"/>
      <c r="B38" s="420" t="s">
        <v>302</v>
      </c>
      <c r="C38" s="420"/>
      <c r="D38" s="277"/>
      <c r="E38" s="277"/>
      <c r="F38" s="277"/>
      <c r="G38" s="230">
        <v>0</v>
      </c>
      <c r="H38" s="230"/>
      <c r="I38" s="230"/>
      <c r="J38" s="230"/>
      <c r="K38" s="230"/>
      <c r="L38" s="230"/>
      <c r="M38" s="230"/>
      <c r="N38" s="230"/>
      <c r="O38" s="277"/>
      <c r="P38" s="230">
        <f t="shared" si="2"/>
        <v>0</v>
      </c>
    </row>
    <row r="39" spans="1:16">
      <c r="A39" s="408"/>
      <c r="B39" s="420" t="s">
        <v>240</v>
      </c>
      <c r="C39" s="420"/>
      <c r="D39" s="277"/>
      <c r="E39" s="277"/>
      <c r="F39" s="277"/>
      <c r="G39" s="230">
        <v>0</v>
      </c>
      <c r="H39" s="230"/>
      <c r="I39" s="230"/>
      <c r="J39" s="230"/>
      <c r="K39" s="230"/>
      <c r="L39" s="230"/>
      <c r="M39" s="230"/>
      <c r="N39" s="230"/>
      <c r="O39" s="277"/>
      <c r="P39" s="230">
        <f t="shared" si="2"/>
        <v>0</v>
      </c>
    </row>
    <row r="40" spans="1:16">
      <c r="A40" s="408"/>
      <c r="B40" s="420" t="s">
        <v>303</v>
      </c>
      <c r="C40" s="420"/>
      <c r="D40" s="277"/>
      <c r="E40" s="277"/>
      <c r="F40" s="277"/>
      <c r="G40" s="230">
        <v>0</v>
      </c>
      <c r="H40" s="230"/>
      <c r="I40" s="230"/>
      <c r="J40" s="230"/>
      <c r="K40" s="230"/>
      <c r="L40" s="230"/>
      <c r="M40" s="230"/>
      <c r="N40" s="230"/>
      <c r="O40" s="277"/>
      <c r="P40" s="230">
        <f t="shared" si="2"/>
        <v>0</v>
      </c>
    </row>
    <row r="41" spans="1:16">
      <c r="A41" s="408"/>
      <c r="B41" s="420" t="s">
        <v>280</v>
      </c>
      <c r="C41" s="420"/>
      <c r="D41" s="277"/>
      <c r="E41" s="277"/>
      <c r="F41" s="277"/>
      <c r="G41" s="230">
        <v>0</v>
      </c>
      <c r="H41" s="230"/>
      <c r="I41" s="230"/>
      <c r="J41" s="230"/>
      <c r="K41" s="230"/>
      <c r="L41" s="230"/>
      <c r="M41" s="230"/>
      <c r="N41" s="230"/>
      <c r="O41" s="277"/>
      <c r="P41" s="230">
        <f t="shared" si="2"/>
        <v>0</v>
      </c>
    </row>
    <row r="42" spans="1:16">
      <c r="A42" s="408"/>
      <c r="B42" s="420"/>
      <c r="C42" s="420"/>
      <c r="D42" s="277"/>
      <c r="E42" s="277"/>
      <c r="F42" s="277"/>
      <c r="G42" s="230">
        <v>0</v>
      </c>
      <c r="H42" s="230"/>
      <c r="I42" s="230"/>
      <c r="J42" s="230"/>
      <c r="K42" s="230"/>
      <c r="L42" s="230"/>
      <c r="M42" s="230"/>
      <c r="N42" s="230"/>
      <c r="O42" s="277"/>
      <c r="P42" s="230"/>
    </row>
    <row r="43" spans="1:16">
      <c r="A43" s="396"/>
      <c r="B43" s="397" t="s">
        <v>245</v>
      </c>
      <c r="C43" s="397"/>
      <c r="D43" s="275"/>
      <c r="E43" s="275"/>
      <c r="F43" s="275"/>
      <c r="G43" s="235">
        <v>378080</v>
      </c>
      <c r="H43" s="235"/>
      <c r="I43" s="235"/>
      <c r="J43" s="235"/>
      <c r="K43" s="235"/>
      <c r="L43" s="235"/>
      <c r="M43" s="235"/>
      <c r="N43" s="235"/>
      <c r="O43" s="275"/>
      <c r="P43" s="235">
        <f>SUM(D43:O43)</f>
        <v>378080</v>
      </c>
    </row>
    <row r="44" spans="1:16">
      <c r="A44" s="396"/>
      <c r="B44" s="398" t="s">
        <v>246</v>
      </c>
      <c r="C44" s="398"/>
      <c r="D44" s="277"/>
      <c r="E44" s="277"/>
      <c r="F44" s="277"/>
      <c r="G44" s="230">
        <v>378080</v>
      </c>
      <c r="H44" s="230"/>
      <c r="I44" s="230"/>
      <c r="J44" s="230"/>
      <c r="K44" s="230"/>
      <c r="L44" s="230"/>
      <c r="M44" s="230"/>
      <c r="N44" s="230"/>
      <c r="O44" s="277"/>
      <c r="P44" s="230">
        <f>SUM(D44:O44)</f>
        <v>378080</v>
      </c>
    </row>
    <row r="45" spans="1:16">
      <c r="A45" s="396"/>
      <c r="B45" s="398" t="s">
        <v>247</v>
      </c>
      <c r="C45" s="398"/>
      <c r="D45" s="277"/>
      <c r="E45" s="277"/>
      <c r="F45" s="277"/>
      <c r="G45" s="230">
        <v>0</v>
      </c>
      <c r="H45" s="230"/>
      <c r="I45" s="230"/>
      <c r="J45" s="230"/>
      <c r="K45" s="230"/>
      <c r="L45" s="230"/>
      <c r="M45" s="230"/>
      <c r="N45" s="230"/>
      <c r="O45" s="277"/>
      <c r="P45" s="230">
        <f>SUM(D45:O45)</f>
        <v>0</v>
      </c>
    </row>
    <row r="46" spans="1:16">
      <c r="A46" s="396"/>
      <c r="B46" s="398" t="s">
        <v>248</v>
      </c>
      <c r="C46" s="398"/>
      <c r="D46" s="277"/>
      <c r="E46" s="277"/>
      <c r="F46" s="277"/>
      <c r="G46" s="230">
        <v>0</v>
      </c>
      <c r="H46" s="230"/>
      <c r="I46" s="230"/>
      <c r="J46" s="230"/>
      <c r="K46" s="230"/>
      <c r="L46" s="230"/>
      <c r="M46" s="230"/>
      <c r="N46" s="230"/>
      <c r="O46" s="277"/>
      <c r="P46" s="230">
        <f>SUM(D46:O46)</f>
        <v>0</v>
      </c>
    </row>
    <row r="47" spans="1:16">
      <c r="A47" s="396"/>
      <c r="B47" s="399" t="s">
        <v>249</v>
      </c>
      <c r="C47" s="399"/>
      <c r="D47" s="277"/>
      <c r="E47" s="277"/>
      <c r="F47" s="277"/>
      <c r="G47" s="230"/>
      <c r="H47" s="230"/>
      <c r="I47" s="230"/>
      <c r="J47" s="230"/>
      <c r="K47" s="230"/>
      <c r="L47" s="230"/>
      <c r="M47" s="230"/>
      <c r="N47" s="230"/>
      <c r="O47" s="277"/>
      <c r="P47" s="230">
        <f>SUM(D47:O47)</f>
        <v>0</v>
      </c>
    </row>
    <row r="48" spans="1:16" ht="15" customHeight="1"/>
    <row r="49" spans="1:15">
      <c r="A49" s="394" t="s">
        <v>26</v>
      </c>
      <c r="B49" s="278" t="s">
        <v>304</v>
      </c>
      <c r="C49" s="239" t="s">
        <v>98</v>
      </c>
      <c r="D49" s="239" t="s">
        <v>99</v>
      </c>
      <c r="E49" s="239" t="s">
        <v>100</v>
      </c>
      <c r="F49" s="239" t="s">
        <v>101</v>
      </c>
      <c r="G49" s="240" t="s">
        <v>102</v>
      </c>
      <c r="H49" s="239" t="s">
        <v>103</v>
      </c>
      <c r="I49" s="239" t="s">
        <v>104</v>
      </c>
      <c r="J49" s="239" t="s">
        <v>105</v>
      </c>
      <c r="K49" s="239" t="s">
        <v>106</v>
      </c>
      <c r="L49" s="239" t="s">
        <v>107</v>
      </c>
      <c r="M49" s="239" t="s">
        <v>108</v>
      </c>
      <c r="N49" s="239" t="s">
        <v>109</v>
      </c>
      <c r="O49" s="241" t="s">
        <v>42</v>
      </c>
    </row>
    <row r="50" spans="1:15">
      <c r="A50" s="394"/>
      <c r="B50" s="242" t="s">
        <v>110</v>
      </c>
      <c r="C50" s="271"/>
      <c r="D50" s="271"/>
      <c r="E50" s="271"/>
      <c r="F50" s="243">
        <v>461140</v>
      </c>
      <c r="G50" s="243">
        <v>783440</v>
      </c>
      <c r="H50" s="243">
        <v>442970</v>
      </c>
      <c r="I50" s="243">
        <v>505440</v>
      </c>
      <c r="J50" s="243">
        <v>550560</v>
      </c>
      <c r="K50" s="243">
        <v>529680</v>
      </c>
      <c r="L50" s="243">
        <v>896640</v>
      </c>
      <c r="M50" s="243">
        <v>1183910</v>
      </c>
      <c r="N50" s="243"/>
      <c r="O50" s="244">
        <v>5353780</v>
      </c>
    </row>
    <row r="51" spans="1:15">
      <c r="A51" s="394"/>
      <c r="B51" s="242" t="s">
        <v>68</v>
      </c>
      <c r="C51" s="271">
        <f t="shared" ref="C51:O51" si="3">C52+C53</f>
        <v>248917</v>
      </c>
      <c r="D51" s="271">
        <f t="shared" si="3"/>
        <v>248917</v>
      </c>
      <c r="E51" s="271">
        <f t="shared" si="3"/>
        <v>248917</v>
      </c>
      <c r="F51" s="243">
        <f t="shared" si="3"/>
        <v>626997</v>
      </c>
      <c r="G51" s="243">
        <f t="shared" si="3"/>
        <v>248917</v>
      </c>
      <c r="H51" s="243">
        <f t="shared" si="3"/>
        <v>248917</v>
      </c>
      <c r="I51" s="243">
        <f t="shared" si="3"/>
        <v>248917</v>
      </c>
      <c r="J51" s="243">
        <f t="shared" si="3"/>
        <v>248917</v>
      </c>
      <c r="K51" s="243">
        <f t="shared" si="3"/>
        <v>248917</v>
      </c>
      <c r="L51" s="243">
        <f t="shared" si="3"/>
        <v>248917</v>
      </c>
      <c r="M51" s="243">
        <f t="shared" si="3"/>
        <v>248917</v>
      </c>
      <c r="N51" s="243">
        <f t="shared" si="3"/>
        <v>248917</v>
      </c>
      <c r="O51" s="243">
        <f t="shared" si="3"/>
        <v>3365084</v>
      </c>
    </row>
    <row r="52" spans="1:15">
      <c r="A52" s="394"/>
      <c r="B52" s="242" t="s">
        <v>111</v>
      </c>
      <c r="C52" s="243">
        <f t="shared" ref="C52:N52" si="4">D3</f>
        <v>0</v>
      </c>
      <c r="D52" s="243">
        <f t="shared" si="4"/>
        <v>0</v>
      </c>
      <c r="E52" s="243">
        <f t="shared" si="4"/>
        <v>0</v>
      </c>
      <c r="F52" s="243">
        <f t="shared" si="4"/>
        <v>378080</v>
      </c>
      <c r="G52" s="243">
        <f t="shared" si="4"/>
        <v>0</v>
      </c>
      <c r="H52" s="243">
        <f t="shared" si="4"/>
        <v>0</v>
      </c>
      <c r="I52" s="243">
        <f t="shared" si="4"/>
        <v>0</v>
      </c>
      <c r="J52" s="243">
        <f t="shared" si="4"/>
        <v>0</v>
      </c>
      <c r="K52" s="243">
        <f t="shared" si="4"/>
        <v>0</v>
      </c>
      <c r="L52" s="243">
        <f t="shared" si="4"/>
        <v>0</v>
      </c>
      <c r="M52" s="243">
        <f t="shared" si="4"/>
        <v>0</v>
      </c>
      <c r="N52" s="243">
        <f t="shared" si="4"/>
        <v>0</v>
      </c>
      <c r="O52" s="244">
        <f>SUM(C52:N52)</f>
        <v>378080</v>
      </c>
    </row>
    <row r="53" spans="1:15">
      <c r="A53" s="394"/>
      <c r="B53" s="242" t="s">
        <v>305</v>
      </c>
      <c r="C53" s="243">
        <v>248917</v>
      </c>
      <c r="D53" s="243">
        <v>248917</v>
      </c>
      <c r="E53" s="243">
        <v>248917</v>
      </c>
      <c r="F53" s="243">
        <v>248917</v>
      </c>
      <c r="G53" s="243">
        <v>248917</v>
      </c>
      <c r="H53" s="243">
        <v>248917</v>
      </c>
      <c r="I53" s="243">
        <v>248917</v>
      </c>
      <c r="J53" s="243">
        <v>248917</v>
      </c>
      <c r="K53" s="243">
        <v>248917</v>
      </c>
      <c r="L53" s="243">
        <v>248917</v>
      </c>
      <c r="M53" s="243">
        <v>248917</v>
      </c>
      <c r="N53" s="243">
        <v>248917</v>
      </c>
      <c r="O53" s="244">
        <f>SUM(C53:N53)</f>
        <v>2987004</v>
      </c>
    </row>
    <row r="54" spans="1:15">
      <c r="A54" s="394"/>
      <c r="B54" s="242" t="s">
        <v>112</v>
      </c>
      <c r="C54" s="245" t="e">
        <f t="shared" ref="C54:O54" si="5">C52/C50</f>
        <v>#DIV/0!</v>
      </c>
      <c r="D54" s="245" t="e">
        <f t="shared" si="5"/>
        <v>#DIV/0!</v>
      </c>
      <c r="E54" s="245" t="e">
        <f t="shared" si="5"/>
        <v>#DIV/0!</v>
      </c>
      <c r="F54" s="245">
        <f t="shared" si="5"/>
        <v>0.81988116407164857</v>
      </c>
      <c r="G54" s="246">
        <f t="shared" si="5"/>
        <v>0</v>
      </c>
      <c r="H54" s="245">
        <f t="shared" si="5"/>
        <v>0</v>
      </c>
      <c r="I54" s="245">
        <f t="shared" si="5"/>
        <v>0</v>
      </c>
      <c r="J54" s="245">
        <f t="shared" si="5"/>
        <v>0</v>
      </c>
      <c r="K54" s="245">
        <f t="shared" si="5"/>
        <v>0</v>
      </c>
      <c r="L54" s="245">
        <f t="shared" si="5"/>
        <v>0</v>
      </c>
      <c r="M54" s="245">
        <f t="shared" si="5"/>
        <v>0</v>
      </c>
      <c r="N54" s="245" t="e">
        <f t="shared" si="5"/>
        <v>#DIV/0!</v>
      </c>
      <c r="O54" s="247">
        <f t="shared" si="5"/>
        <v>7.0619263398944296E-2</v>
      </c>
    </row>
    <row r="55" spans="1:15">
      <c r="A55" s="394"/>
      <c r="B55" s="242" t="s">
        <v>113</v>
      </c>
      <c r="C55" s="248">
        <f t="shared" ref="C55:N55" si="6">C52-C50</f>
        <v>0</v>
      </c>
      <c r="D55" s="248">
        <f t="shared" si="6"/>
        <v>0</v>
      </c>
      <c r="E55" s="248">
        <f t="shared" si="6"/>
        <v>0</v>
      </c>
      <c r="F55" s="248">
        <f t="shared" si="6"/>
        <v>-83060</v>
      </c>
      <c r="G55" s="249">
        <f t="shared" si="6"/>
        <v>-783440</v>
      </c>
      <c r="H55" s="248">
        <f t="shared" si="6"/>
        <v>-442970</v>
      </c>
      <c r="I55" s="248">
        <f t="shared" si="6"/>
        <v>-505440</v>
      </c>
      <c r="J55" s="248">
        <f t="shared" si="6"/>
        <v>-550560</v>
      </c>
      <c r="K55" s="248">
        <f t="shared" si="6"/>
        <v>-529680</v>
      </c>
      <c r="L55" s="248">
        <f t="shared" si="6"/>
        <v>-896640</v>
      </c>
      <c r="M55" s="248">
        <f t="shared" si="6"/>
        <v>-1183910</v>
      </c>
      <c r="N55" s="248">
        <f t="shared" si="6"/>
        <v>0</v>
      </c>
      <c r="O55" s="250">
        <f>SUM(C55:N55)</f>
        <v>-4975700</v>
      </c>
    </row>
    <row r="56" spans="1:15">
      <c r="A56" s="394"/>
      <c r="B56" s="242" t="s">
        <v>114</v>
      </c>
      <c r="C56" s="271"/>
      <c r="D56" s="271"/>
      <c r="E56" s="271"/>
      <c r="F56" s="243">
        <v>461140</v>
      </c>
      <c r="G56" s="243">
        <v>783440</v>
      </c>
      <c r="H56" s="243">
        <v>442970</v>
      </c>
      <c r="I56" s="243">
        <v>505440</v>
      </c>
      <c r="J56" s="243">
        <v>550560</v>
      </c>
      <c r="K56" s="243">
        <v>529680</v>
      </c>
      <c r="L56" s="243">
        <v>896640</v>
      </c>
      <c r="M56" s="243">
        <v>1183910</v>
      </c>
      <c r="N56" s="243"/>
      <c r="O56" s="244">
        <f>SUM(C56:N56)</f>
        <v>5353780</v>
      </c>
    </row>
    <row r="57" spans="1:15">
      <c r="A57" s="394"/>
      <c r="B57" s="242" t="s">
        <v>115</v>
      </c>
      <c r="C57" s="245" t="e">
        <f t="shared" ref="C57:O57" si="7">C52/C56</f>
        <v>#DIV/0!</v>
      </c>
      <c r="D57" s="245" t="e">
        <f t="shared" si="7"/>
        <v>#DIV/0!</v>
      </c>
      <c r="E57" s="245" t="e">
        <f t="shared" si="7"/>
        <v>#DIV/0!</v>
      </c>
      <c r="F57" s="245">
        <f t="shared" si="7"/>
        <v>0.81988116407164857</v>
      </c>
      <c r="G57" s="246">
        <f t="shared" si="7"/>
        <v>0</v>
      </c>
      <c r="H57" s="245">
        <f t="shared" si="7"/>
        <v>0</v>
      </c>
      <c r="I57" s="245">
        <f t="shared" si="7"/>
        <v>0</v>
      </c>
      <c r="J57" s="245">
        <f t="shared" si="7"/>
        <v>0</v>
      </c>
      <c r="K57" s="245">
        <f t="shared" si="7"/>
        <v>0</v>
      </c>
      <c r="L57" s="245">
        <f t="shared" si="7"/>
        <v>0</v>
      </c>
      <c r="M57" s="245">
        <f t="shared" si="7"/>
        <v>0</v>
      </c>
      <c r="N57" s="245" t="e">
        <f t="shared" si="7"/>
        <v>#DIV/0!</v>
      </c>
      <c r="O57" s="247">
        <f t="shared" si="7"/>
        <v>7.0619263398944296E-2</v>
      </c>
    </row>
    <row r="58" spans="1:15">
      <c r="A58" s="394"/>
      <c r="B58" s="242" t="s">
        <v>116</v>
      </c>
      <c r="C58" s="243"/>
      <c r="D58" s="243"/>
      <c r="E58" s="243"/>
      <c r="F58" s="243"/>
      <c r="G58" s="251"/>
      <c r="H58" s="243"/>
      <c r="I58" s="243"/>
      <c r="J58" s="243"/>
      <c r="K58" s="243"/>
      <c r="L58" s="243"/>
      <c r="M58" s="243"/>
      <c r="N58" s="243"/>
      <c r="O58" s="244">
        <f>SUM(C58:N58)</f>
        <v>0</v>
      </c>
    </row>
    <row r="59" spans="1:15">
      <c r="A59" s="394"/>
      <c r="B59" s="242" t="s">
        <v>117</v>
      </c>
      <c r="C59" s="243">
        <v>2059304</v>
      </c>
      <c r="D59" s="243">
        <v>2334640</v>
      </c>
      <c r="E59" s="243">
        <v>5917638</v>
      </c>
      <c r="F59" s="243">
        <v>6785357</v>
      </c>
      <c r="G59" s="251">
        <v>6789048</v>
      </c>
      <c r="H59" s="243">
        <v>5520140</v>
      </c>
      <c r="I59" s="243">
        <v>5057960</v>
      </c>
      <c r="J59" s="243">
        <v>5678353</v>
      </c>
      <c r="K59" s="243">
        <v>2742138</v>
      </c>
      <c r="L59" s="243"/>
      <c r="M59" s="243"/>
      <c r="N59" s="243"/>
      <c r="O59" s="244">
        <f>SUM(C59:N59)</f>
        <v>42884578</v>
      </c>
    </row>
    <row r="60" spans="1:15">
      <c r="A60" s="394"/>
      <c r="B60" s="242" t="s">
        <v>118</v>
      </c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44">
        <f>SUM(C60:N60)</f>
        <v>0</v>
      </c>
    </row>
    <row r="61" spans="1:15">
      <c r="A61" s="394"/>
      <c r="B61" s="242" t="s">
        <v>119</v>
      </c>
      <c r="C61" s="248">
        <f>C58-C60</f>
        <v>0</v>
      </c>
      <c r="D61" s="248">
        <f>D58-D59</f>
        <v>-2334640</v>
      </c>
      <c r="E61" s="248">
        <f>E58-E59</f>
        <v>-5917638</v>
      </c>
      <c r="F61" s="248">
        <f>F58-F59</f>
        <v>-6785357</v>
      </c>
      <c r="G61" s="249">
        <f>G58-G59</f>
        <v>-6789048</v>
      </c>
      <c r="H61" s="248">
        <f t="shared" ref="H61:M61" si="8">H58-H60</f>
        <v>0</v>
      </c>
      <c r="I61" s="248">
        <f t="shared" si="8"/>
        <v>0</v>
      </c>
      <c r="J61" s="248">
        <f t="shared" si="8"/>
        <v>0</v>
      </c>
      <c r="K61" s="248">
        <f t="shared" si="8"/>
        <v>0</v>
      </c>
      <c r="L61" s="248">
        <f t="shared" si="8"/>
        <v>0</v>
      </c>
      <c r="M61" s="248">
        <f t="shared" si="8"/>
        <v>0</v>
      </c>
      <c r="N61" s="248">
        <v>18000000</v>
      </c>
      <c r="O61" s="250">
        <f>SUM(C61:N61)</f>
        <v>-3826683</v>
      </c>
    </row>
    <row r="62" spans="1:15" ht="15" customHeight="1">
      <c r="A62" s="394"/>
      <c r="B62" s="253" t="s">
        <v>73</v>
      </c>
      <c r="C62" s="254">
        <f t="shared" ref="C62:N62" si="9">C52-C60</f>
        <v>0</v>
      </c>
      <c r="D62" s="254">
        <f t="shared" si="9"/>
        <v>0</v>
      </c>
      <c r="E62" s="254">
        <f t="shared" si="9"/>
        <v>0</v>
      </c>
      <c r="F62" s="254">
        <f t="shared" si="9"/>
        <v>378080</v>
      </c>
      <c r="G62" s="254">
        <f t="shared" si="9"/>
        <v>0</v>
      </c>
      <c r="H62" s="254">
        <f t="shared" si="9"/>
        <v>0</v>
      </c>
      <c r="I62" s="254">
        <f t="shared" si="9"/>
        <v>0</v>
      </c>
      <c r="J62" s="254">
        <f t="shared" si="9"/>
        <v>0</v>
      </c>
      <c r="K62" s="254">
        <f t="shared" si="9"/>
        <v>0</v>
      </c>
      <c r="L62" s="254">
        <f t="shared" si="9"/>
        <v>0</v>
      </c>
      <c r="M62" s="254">
        <f t="shared" si="9"/>
        <v>0</v>
      </c>
      <c r="N62" s="254">
        <f t="shared" si="9"/>
        <v>0</v>
      </c>
      <c r="O62" s="255">
        <f>SUM(C62:N62)</f>
        <v>378080</v>
      </c>
    </row>
    <row r="64" spans="1:15">
      <c r="A64" s="75" t="s">
        <v>306</v>
      </c>
    </row>
  </sheetData>
  <mergeCells count="49">
    <mergeCell ref="D1:F1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A4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49:A62"/>
    <mergeCell ref="B42:C42"/>
    <mergeCell ref="A43:A47"/>
    <mergeCell ref="B43:C43"/>
    <mergeCell ref="B44:C44"/>
    <mergeCell ref="B45:C45"/>
    <mergeCell ref="B46:C46"/>
    <mergeCell ref="B47:C47"/>
  </mergeCells>
  <phoneticPr fontId="36"/>
  <conditionalFormatting sqref="D3:P3">
    <cfRule type="cellIs" dxfId="4" priority="2" operator="equal">
      <formula>0</formula>
    </cfRule>
  </conditionalFormatting>
  <conditionalFormatting sqref="D3:P47">
    <cfRule type="cellIs" dxfId="3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zoomScaleNormal="100" workbookViewId="0">
      <selection activeCell="J10" sqref="J10"/>
    </sheetView>
  </sheetViews>
  <sheetFormatPr defaultColWidth="8.5" defaultRowHeight="18"/>
  <cols>
    <col min="1" max="1" width="12.08203125" customWidth="1"/>
  </cols>
  <sheetData>
    <row r="1" spans="1:14" ht="25.5" customHeight="1">
      <c r="A1" s="279" t="s">
        <v>48</v>
      </c>
      <c r="B1" s="115" t="s">
        <v>98</v>
      </c>
      <c r="C1" s="115" t="s">
        <v>99</v>
      </c>
      <c r="D1" s="115" t="s">
        <v>100</v>
      </c>
      <c r="E1" s="115" t="s">
        <v>101</v>
      </c>
      <c r="F1" s="115" t="s">
        <v>102</v>
      </c>
      <c r="G1" s="115" t="s">
        <v>103</v>
      </c>
      <c r="H1" s="115" t="s">
        <v>104</v>
      </c>
      <c r="I1" s="115" t="s">
        <v>105</v>
      </c>
      <c r="J1" s="115" t="s">
        <v>106</v>
      </c>
      <c r="K1" s="115" t="s">
        <v>107</v>
      </c>
      <c r="L1" s="115" t="s">
        <v>108</v>
      </c>
      <c r="M1" s="115" t="s">
        <v>109</v>
      </c>
      <c r="N1" s="116" t="s">
        <v>42</v>
      </c>
    </row>
    <row r="2" spans="1:14">
      <c r="A2" s="117" t="s">
        <v>110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9">
        <f>SUM(B2:M2)</f>
        <v>0</v>
      </c>
    </row>
    <row r="3" spans="1:14">
      <c r="A3" s="117" t="s">
        <v>68</v>
      </c>
      <c r="B3" s="118">
        <f t="shared" ref="B3:N3" si="0">B4+B5</f>
        <v>5670857</v>
      </c>
      <c r="C3" s="118">
        <f t="shared" si="0"/>
        <v>5411304</v>
      </c>
      <c r="D3" s="118">
        <f t="shared" si="0"/>
        <v>6110445</v>
      </c>
      <c r="E3" s="118">
        <f t="shared" si="0"/>
        <v>5535949</v>
      </c>
      <c r="F3" s="118">
        <f t="shared" si="0"/>
        <v>7265723</v>
      </c>
      <c r="G3" s="118">
        <f t="shared" si="0"/>
        <v>5640457</v>
      </c>
      <c r="H3" s="118">
        <f t="shared" si="0"/>
        <v>4902843</v>
      </c>
      <c r="I3" s="118">
        <f t="shared" si="0"/>
        <v>5877492</v>
      </c>
      <c r="J3" s="118">
        <f t="shared" si="0"/>
        <v>4830033</v>
      </c>
      <c r="K3" s="118">
        <f t="shared" si="0"/>
        <v>4621833</v>
      </c>
      <c r="L3" s="118">
        <f t="shared" si="0"/>
        <v>4696833</v>
      </c>
      <c r="M3" s="118">
        <f t="shared" si="0"/>
        <v>4621833</v>
      </c>
      <c r="N3" s="118">
        <f t="shared" si="0"/>
        <v>60057288</v>
      </c>
    </row>
    <row r="4" spans="1:14">
      <c r="A4" s="117" t="s">
        <v>111</v>
      </c>
      <c r="B4" s="125">
        <v>1049020</v>
      </c>
      <c r="C4" s="125">
        <v>789471</v>
      </c>
      <c r="D4" s="126">
        <v>1488612</v>
      </c>
      <c r="E4" s="126">
        <v>914116</v>
      </c>
      <c r="F4" s="127">
        <v>2643890</v>
      </c>
      <c r="G4" s="126">
        <v>1018624</v>
      </c>
      <c r="H4" s="126">
        <v>281010</v>
      </c>
      <c r="I4" s="126">
        <v>1255659</v>
      </c>
      <c r="J4" s="126">
        <v>208200</v>
      </c>
      <c r="K4" s="126">
        <v>0</v>
      </c>
      <c r="L4" s="126">
        <v>75000</v>
      </c>
      <c r="M4" s="126">
        <v>0</v>
      </c>
      <c r="N4" s="119">
        <v>4595288</v>
      </c>
    </row>
    <row r="5" spans="1:14">
      <c r="A5" s="117" t="s">
        <v>305</v>
      </c>
      <c r="B5" s="280">
        <v>4621837</v>
      </c>
      <c r="C5" s="280">
        <v>4621833</v>
      </c>
      <c r="D5" s="280">
        <v>4621833</v>
      </c>
      <c r="E5" s="280">
        <v>4621833</v>
      </c>
      <c r="F5" s="280">
        <v>4621833</v>
      </c>
      <c r="G5" s="280">
        <v>4621833</v>
      </c>
      <c r="H5" s="280">
        <v>4621833</v>
      </c>
      <c r="I5" s="280">
        <v>4621833</v>
      </c>
      <c r="J5" s="280">
        <v>4621833</v>
      </c>
      <c r="K5" s="280">
        <v>4621833</v>
      </c>
      <c r="L5" s="280">
        <v>4621833</v>
      </c>
      <c r="M5" s="280">
        <v>4621833</v>
      </c>
      <c r="N5" s="119">
        <f>SUM(B5:M5)</f>
        <v>55462000</v>
      </c>
    </row>
    <row r="6" spans="1:14">
      <c r="A6" s="117" t="s">
        <v>112</v>
      </c>
      <c r="B6" s="128" t="e">
        <f t="shared" ref="B6:N6" si="1">B4/B2</f>
        <v>#DIV/0!</v>
      </c>
      <c r="C6" s="128" t="e">
        <f t="shared" si="1"/>
        <v>#DIV/0!</v>
      </c>
      <c r="D6" s="128" t="e">
        <f t="shared" si="1"/>
        <v>#DIV/0!</v>
      </c>
      <c r="E6" s="128" t="e">
        <f t="shared" si="1"/>
        <v>#DIV/0!</v>
      </c>
      <c r="F6" s="128" t="e">
        <f t="shared" si="1"/>
        <v>#DIV/0!</v>
      </c>
      <c r="G6" s="128" t="e">
        <f t="shared" si="1"/>
        <v>#DIV/0!</v>
      </c>
      <c r="H6" s="128" t="e">
        <f t="shared" si="1"/>
        <v>#DIV/0!</v>
      </c>
      <c r="I6" s="128" t="e">
        <f t="shared" si="1"/>
        <v>#DIV/0!</v>
      </c>
      <c r="J6" s="128" t="e">
        <f t="shared" si="1"/>
        <v>#DIV/0!</v>
      </c>
      <c r="K6" s="128" t="e">
        <f t="shared" si="1"/>
        <v>#DIV/0!</v>
      </c>
      <c r="L6" s="128" t="e">
        <f t="shared" si="1"/>
        <v>#DIV/0!</v>
      </c>
      <c r="M6" s="128" t="e">
        <f t="shared" si="1"/>
        <v>#DIV/0!</v>
      </c>
      <c r="N6" s="129" t="e">
        <f t="shared" si="1"/>
        <v>#DIV/0!</v>
      </c>
    </row>
    <row r="7" spans="1:14">
      <c r="A7" s="117" t="s">
        <v>122</v>
      </c>
      <c r="B7" s="130">
        <f t="shared" ref="B7:M7" si="2">B4-B2</f>
        <v>1049020</v>
      </c>
      <c r="C7" s="130">
        <f t="shared" si="2"/>
        <v>789471</v>
      </c>
      <c r="D7" s="130">
        <f t="shared" si="2"/>
        <v>1488612</v>
      </c>
      <c r="E7" s="130">
        <f t="shared" si="2"/>
        <v>914116</v>
      </c>
      <c r="F7" s="130">
        <f t="shared" si="2"/>
        <v>2643890</v>
      </c>
      <c r="G7" s="130">
        <f t="shared" si="2"/>
        <v>1018624</v>
      </c>
      <c r="H7" s="130">
        <f t="shared" si="2"/>
        <v>281010</v>
      </c>
      <c r="I7" s="130">
        <f t="shared" si="2"/>
        <v>1255659</v>
      </c>
      <c r="J7" s="130">
        <f t="shared" si="2"/>
        <v>208200</v>
      </c>
      <c r="K7" s="130">
        <f t="shared" si="2"/>
        <v>0</v>
      </c>
      <c r="L7" s="130">
        <f t="shared" si="2"/>
        <v>75000</v>
      </c>
      <c r="M7" s="130">
        <f t="shared" si="2"/>
        <v>0</v>
      </c>
      <c r="N7" s="131">
        <f>SUM(B7:M7)</f>
        <v>9723602</v>
      </c>
    </row>
    <row r="8" spans="1:14" ht="18" customHeight="1">
      <c r="A8" s="132" t="s">
        <v>81</v>
      </c>
      <c r="B8" s="133">
        <f>B9/(8*29)</f>
        <v>9.9137931034482762E-2</v>
      </c>
      <c r="C8" s="133">
        <f>C9/(8*29)</f>
        <v>0.1336206896551724</v>
      </c>
      <c r="D8" s="133">
        <f>D9/(8*31)</f>
        <v>0.16129032258064516</v>
      </c>
      <c r="E8" s="133">
        <f>E9/(8*30)</f>
        <v>0.10833333333333334</v>
      </c>
      <c r="F8" s="133">
        <f>F9/(8*31)</f>
        <v>0.26209677419354838</v>
      </c>
      <c r="G8" s="133">
        <f>G9/(8*30)</f>
        <v>0.12083333333333333</v>
      </c>
      <c r="H8" s="133">
        <f>H9/(8*31)</f>
        <v>9.2741935483870969E-2</v>
      </c>
      <c r="I8" s="133">
        <f>I9/(8*31)</f>
        <v>9.2741935483870969E-2</v>
      </c>
      <c r="J8" s="133">
        <f>J9/(8*30)</f>
        <v>2.0833333333333332E-2</v>
      </c>
      <c r="K8" s="133">
        <f>K9/(8*31)</f>
        <v>4.0322580645161289E-3</v>
      </c>
      <c r="L8" s="133">
        <f>L9/(8*30)</f>
        <v>3.3333333333333333E-2</v>
      </c>
      <c r="M8" s="133">
        <f>M9/(8*31)</f>
        <v>8.0645161290322578E-3</v>
      </c>
      <c r="N8" s="134">
        <f>N9/(8*365)</f>
        <v>3.8698630136986302E-2</v>
      </c>
    </row>
    <row r="9" spans="1:14">
      <c r="A9" s="135" t="s">
        <v>77</v>
      </c>
      <c r="B9" s="136">
        <v>23</v>
      </c>
      <c r="C9" s="136">
        <v>31</v>
      </c>
      <c r="D9" s="136">
        <v>40</v>
      </c>
      <c r="E9" s="136">
        <v>26</v>
      </c>
      <c r="F9" s="136">
        <v>65</v>
      </c>
      <c r="G9" s="136">
        <v>29</v>
      </c>
      <c r="H9" s="136">
        <v>23</v>
      </c>
      <c r="I9" s="136">
        <v>23</v>
      </c>
      <c r="J9" s="136">
        <v>5</v>
      </c>
      <c r="K9" s="136">
        <v>1</v>
      </c>
      <c r="L9" s="136">
        <v>8</v>
      </c>
      <c r="M9" s="136">
        <v>2</v>
      </c>
      <c r="N9" s="137">
        <v>113</v>
      </c>
    </row>
    <row r="10" spans="1:14">
      <c r="A10" s="117" t="s">
        <v>78</v>
      </c>
      <c r="B10" s="138">
        <v>98</v>
      </c>
      <c r="C10" s="138">
        <v>97</v>
      </c>
      <c r="D10" s="138">
        <v>122</v>
      </c>
      <c r="E10" s="138">
        <v>83</v>
      </c>
      <c r="F10" s="138">
        <v>214</v>
      </c>
      <c r="G10" s="138">
        <v>106</v>
      </c>
      <c r="H10" s="138">
        <v>88</v>
      </c>
      <c r="I10" s="138">
        <v>88</v>
      </c>
      <c r="J10" s="138">
        <v>15</v>
      </c>
      <c r="K10" s="138">
        <v>6</v>
      </c>
      <c r="L10" s="138">
        <v>23</v>
      </c>
      <c r="M10" s="138">
        <v>13</v>
      </c>
      <c r="N10" s="131">
        <v>397</v>
      </c>
    </row>
    <row r="11" spans="1:14">
      <c r="A11" s="117" t="s">
        <v>79</v>
      </c>
      <c r="B11" s="130">
        <f t="shared" ref="B11:N11" si="3">B4/B9</f>
        <v>45609.565217391304</v>
      </c>
      <c r="C11" s="130">
        <f t="shared" si="3"/>
        <v>25466.806451612902</v>
      </c>
      <c r="D11" s="130">
        <f t="shared" si="3"/>
        <v>37215.300000000003</v>
      </c>
      <c r="E11" s="130">
        <f t="shared" si="3"/>
        <v>35158.307692307695</v>
      </c>
      <c r="F11" s="130">
        <f t="shared" si="3"/>
        <v>40675.230769230766</v>
      </c>
      <c r="G11" s="130">
        <f t="shared" si="3"/>
        <v>35124.965517241377</v>
      </c>
      <c r="H11" s="130">
        <f t="shared" si="3"/>
        <v>12217.826086956522</v>
      </c>
      <c r="I11" s="130">
        <f t="shared" si="3"/>
        <v>54593.869565217392</v>
      </c>
      <c r="J11" s="130">
        <f t="shared" si="3"/>
        <v>41640</v>
      </c>
      <c r="K11" s="130">
        <f t="shared" si="3"/>
        <v>0</v>
      </c>
      <c r="L11" s="130">
        <f t="shared" si="3"/>
        <v>9375</v>
      </c>
      <c r="M11" s="130">
        <f t="shared" si="3"/>
        <v>0</v>
      </c>
      <c r="N11" s="131">
        <f t="shared" si="3"/>
        <v>40666.265486725664</v>
      </c>
    </row>
    <row r="12" spans="1:14" ht="18" customHeight="1">
      <c r="A12" s="132" t="s">
        <v>80</v>
      </c>
      <c r="B12" s="139">
        <f t="shared" ref="B12:N12" si="4">B4/B10</f>
        <v>10704.285714285714</v>
      </c>
      <c r="C12" s="139">
        <f t="shared" si="4"/>
        <v>8138.8762886597942</v>
      </c>
      <c r="D12" s="139">
        <f t="shared" si="4"/>
        <v>12201.737704918032</v>
      </c>
      <c r="E12" s="139">
        <f t="shared" si="4"/>
        <v>11013.445783132531</v>
      </c>
      <c r="F12" s="139">
        <f t="shared" si="4"/>
        <v>12354.626168224298</v>
      </c>
      <c r="G12" s="139">
        <f t="shared" si="4"/>
        <v>9609.6603773584902</v>
      </c>
      <c r="H12" s="139">
        <f t="shared" si="4"/>
        <v>3193.2954545454545</v>
      </c>
      <c r="I12" s="139">
        <f t="shared" si="4"/>
        <v>14268.852272727272</v>
      </c>
      <c r="J12" s="139">
        <f t="shared" si="4"/>
        <v>13880</v>
      </c>
      <c r="K12" s="139">
        <f t="shared" si="4"/>
        <v>0</v>
      </c>
      <c r="L12" s="139">
        <f t="shared" si="4"/>
        <v>3260.8695652173915</v>
      </c>
      <c r="M12" s="139">
        <f t="shared" si="4"/>
        <v>0</v>
      </c>
      <c r="N12" s="140">
        <f t="shared" si="4"/>
        <v>11575.03274559194</v>
      </c>
    </row>
    <row r="13" spans="1:14">
      <c r="A13" s="135" t="s">
        <v>114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5"/>
    </row>
    <row r="14" spans="1:14" ht="18" customHeight="1">
      <c r="A14" s="132" t="s">
        <v>115</v>
      </c>
      <c r="B14" s="156" t="e">
        <f t="shared" ref="B14:N14" si="5">B4/B13</f>
        <v>#DIV/0!</v>
      </c>
      <c r="C14" s="156" t="e">
        <f t="shared" si="5"/>
        <v>#DIV/0!</v>
      </c>
      <c r="D14" s="156" t="e">
        <f t="shared" si="5"/>
        <v>#DIV/0!</v>
      </c>
      <c r="E14" s="156" t="e">
        <f t="shared" si="5"/>
        <v>#DIV/0!</v>
      </c>
      <c r="F14" s="156" t="e">
        <f t="shared" si="5"/>
        <v>#DIV/0!</v>
      </c>
      <c r="G14" s="156" t="e">
        <f t="shared" si="5"/>
        <v>#DIV/0!</v>
      </c>
      <c r="H14" s="156" t="e">
        <f t="shared" si="5"/>
        <v>#DIV/0!</v>
      </c>
      <c r="I14" s="156" t="e">
        <f t="shared" si="5"/>
        <v>#DIV/0!</v>
      </c>
      <c r="J14" s="156" t="e">
        <f t="shared" si="5"/>
        <v>#DIV/0!</v>
      </c>
      <c r="K14" s="156" t="e">
        <f t="shared" si="5"/>
        <v>#DIV/0!</v>
      </c>
      <c r="L14" s="156" t="e">
        <f t="shared" si="5"/>
        <v>#DIV/0!</v>
      </c>
      <c r="M14" s="156" t="e">
        <f t="shared" si="5"/>
        <v>#DIV/0!</v>
      </c>
      <c r="N14" s="157" t="e">
        <f t="shared" si="5"/>
        <v>#DIV/0!</v>
      </c>
    </row>
    <row r="16" spans="1:14">
      <c r="A16" s="281" t="s">
        <v>307</v>
      </c>
    </row>
  </sheetData>
  <phoneticPr fontId="36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21"/>
  <sheetViews>
    <sheetView topLeftCell="A7" zoomScaleNormal="100" workbookViewId="0">
      <selection activeCell="G28" sqref="G28"/>
    </sheetView>
  </sheetViews>
  <sheetFormatPr defaultColWidth="8.5" defaultRowHeight="18"/>
  <cols>
    <col min="1" max="1" width="12.25" style="96" customWidth="1"/>
    <col min="2" max="13" width="9.08203125" style="96" customWidth="1"/>
    <col min="14" max="14" width="11.08203125" style="96" customWidth="1"/>
    <col min="15" max="15" width="8.58203125" style="96"/>
    <col min="16" max="16" width="9.08203125" style="96" customWidth="1"/>
    <col min="17" max="18" width="8.33203125" style="96" customWidth="1"/>
    <col min="19" max="19" width="4" style="96" customWidth="1"/>
  </cols>
  <sheetData>
    <row r="1" spans="1:19" ht="18" customHeight="1">
      <c r="A1" s="391" t="s">
        <v>308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428"/>
      <c r="N1" s="428"/>
      <c r="O1" s="75"/>
      <c r="P1" s="75"/>
      <c r="Q1" s="75"/>
      <c r="R1" s="75"/>
      <c r="S1" s="75"/>
    </row>
    <row r="2" spans="1:19" s="75" customFormat="1" ht="12.75" customHeight="1">
      <c r="A2" s="282" t="s">
        <v>38</v>
      </c>
      <c r="B2" s="115" t="s">
        <v>98</v>
      </c>
      <c r="C2" s="115" t="s">
        <v>99</v>
      </c>
      <c r="D2" s="115" t="s">
        <v>100</v>
      </c>
      <c r="E2" s="115" t="s">
        <v>101</v>
      </c>
      <c r="F2" s="115" t="s">
        <v>102</v>
      </c>
      <c r="G2" s="115" t="s">
        <v>103</v>
      </c>
      <c r="H2" s="115" t="s">
        <v>104</v>
      </c>
      <c r="I2" s="115" t="s">
        <v>105</v>
      </c>
      <c r="J2" s="115" t="s">
        <v>106</v>
      </c>
      <c r="K2" s="115" t="s">
        <v>107</v>
      </c>
      <c r="L2" s="115" t="s">
        <v>108</v>
      </c>
      <c r="M2" s="115" t="s">
        <v>109</v>
      </c>
      <c r="N2" s="116" t="s">
        <v>42</v>
      </c>
    </row>
    <row r="3" spans="1:19" s="75" customFormat="1" ht="12.75" customHeight="1">
      <c r="A3" s="117" t="s">
        <v>110</v>
      </c>
      <c r="B3" s="118">
        <v>142000</v>
      </c>
      <c r="C3" s="118">
        <v>506000</v>
      </c>
      <c r="D3" s="118">
        <v>517000</v>
      </c>
      <c r="E3" s="118">
        <v>636000</v>
      </c>
      <c r="F3" s="118">
        <v>441000</v>
      </c>
      <c r="G3" s="118">
        <v>421980</v>
      </c>
      <c r="H3" s="118">
        <v>310000</v>
      </c>
      <c r="I3" s="118">
        <v>246000</v>
      </c>
      <c r="J3" s="118">
        <v>96000</v>
      </c>
      <c r="K3" s="118">
        <v>228000</v>
      </c>
      <c r="L3" s="118">
        <v>450000</v>
      </c>
      <c r="M3" s="118">
        <v>323000</v>
      </c>
      <c r="N3" s="119">
        <v>4316980</v>
      </c>
    </row>
    <row r="4" spans="1:19" s="75" customFormat="1" ht="12.75" customHeight="1">
      <c r="A4" s="117" t="s">
        <v>111</v>
      </c>
      <c r="B4" s="125">
        <v>251000</v>
      </c>
      <c r="C4" s="125">
        <v>308000</v>
      </c>
      <c r="D4" s="126">
        <v>651000</v>
      </c>
      <c r="E4" s="126">
        <v>455000</v>
      </c>
      <c r="F4" s="126">
        <v>272000</v>
      </c>
      <c r="G4" s="126">
        <v>195000</v>
      </c>
      <c r="H4" s="126">
        <v>78000</v>
      </c>
      <c r="I4" s="126">
        <v>120000</v>
      </c>
      <c r="J4" s="126">
        <v>0</v>
      </c>
      <c r="K4" s="126">
        <v>0</v>
      </c>
      <c r="L4" s="126">
        <v>0</v>
      </c>
      <c r="M4" s="126">
        <v>0</v>
      </c>
      <c r="N4" s="119">
        <f>SUM(B4:M4)</f>
        <v>2330000</v>
      </c>
    </row>
    <row r="5" spans="1:19" s="75" customFormat="1" ht="12.75" customHeight="1">
      <c r="A5" s="117" t="s">
        <v>112</v>
      </c>
      <c r="B5" s="128">
        <f t="shared" ref="B5:N5" si="0">B4/B3</f>
        <v>1.767605633802817</v>
      </c>
      <c r="C5" s="128">
        <f t="shared" si="0"/>
        <v>0.60869565217391308</v>
      </c>
      <c r="D5" s="128">
        <f t="shared" si="0"/>
        <v>1.2591876208897486</v>
      </c>
      <c r="E5" s="128">
        <f t="shared" si="0"/>
        <v>0.71540880503144655</v>
      </c>
      <c r="F5" s="128">
        <f t="shared" si="0"/>
        <v>0.6167800453514739</v>
      </c>
      <c r="G5" s="128">
        <f t="shared" si="0"/>
        <v>0.46210720887245843</v>
      </c>
      <c r="H5" s="128">
        <f t="shared" si="0"/>
        <v>0.25161290322580643</v>
      </c>
      <c r="I5" s="128">
        <f t="shared" si="0"/>
        <v>0.48780487804878048</v>
      </c>
      <c r="J5" s="128">
        <f t="shared" si="0"/>
        <v>0</v>
      </c>
      <c r="K5" s="128">
        <f t="shared" si="0"/>
        <v>0</v>
      </c>
      <c r="L5" s="128">
        <f t="shared" si="0"/>
        <v>0</v>
      </c>
      <c r="M5" s="128">
        <f t="shared" si="0"/>
        <v>0</v>
      </c>
      <c r="N5" s="129">
        <f t="shared" si="0"/>
        <v>0.53972916251638881</v>
      </c>
    </row>
    <row r="6" spans="1:19" s="75" customFormat="1" ht="12.75" customHeight="1">
      <c r="A6" s="117" t="s">
        <v>122</v>
      </c>
      <c r="B6" s="130">
        <f t="shared" ref="B6:M6" si="1">B4-B3</f>
        <v>109000</v>
      </c>
      <c r="C6" s="130">
        <f t="shared" si="1"/>
        <v>-198000</v>
      </c>
      <c r="D6" s="130">
        <f t="shared" si="1"/>
        <v>134000</v>
      </c>
      <c r="E6" s="130">
        <f t="shared" si="1"/>
        <v>-181000</v>
      </c>
      <c r="F6" s="130">
        <f t="shared" si="1"/>
        <v>-169000</v>
      </c>
      <c r="G6" s="130">
        <f t="shared" si="1"/>
        <v>-226980</v>
      </c>
      <c r="H6" s="130">
        <f t="shared" si="1"/>
        <v>-232000</v>
      </c>
      <c r="I6" s="130">
        <f t="shared" si="1"/>
        <v>-126000</v>
      </c>
      <c r="J6" s="130">
        <f t="shared" si="1"/>
        <v>-96000</v>
      </c>
      <c r="K6" s="130">
        <f t="shared" si="1"/>
        <v>-228000</v>
      </c>
      <c r="L6" s="130">
        <f t="shared" si="1"/>
        <v>-450000</v>
      </c>
      <c r="M6" s="130">
        <f t="shared" si="1"/>
        <v>-323000</v>
      </c>
      <c r="N6" s="131">
        <f>SUM(B6:M6)</f>
        <v>-1986980</v>
      </c>
    </row>
    <row r="7" spans="1:19" s="75" customFormat="1" ht="12.75" customHeight="1">
      <c r="A7" s="132" t="s">
        <v>81</v>
      </c>
      <c r="B7" s="133">
        <f>B8/(12*31)</f>
        <v>0.239247311827957</v>
      </c>
      <c r="C7" s="133">
        <f>C8/(12*29)</f>
        <v>0.31896551724137934</v>
      </c>
      <c r="D7" s="133">
        <f>D8/(12*31)</f>
        <v>0.56989247311827962</v>
      </c>
      <c r="E7" s="133">
        <f>E8/(12*30)</f>
        <v>0.41944444444444445</v>
      </c>
      <c r="F7" s="133">
        <f>F8/(12*31)</f>
        <v>0.22580645161290322</v>
      </c>
      <c r="G7" s="133">
        <f>G8/(12*30)</f>
        <v>0.18055555555555555</v>
      </c>
      <c r="H7" s="133">
        <f>H8/(11*31)</f>
        <v>7.6246334310850442E-2</v>
      </c>
      <c r="I7" s="133">
        <f>I8/(11*31)</f>
        <v>0.14076246334310852</v>
      </c>
      <c r="J7" s="133">
        <f>J8/(11*30)</f>
        <v>0</v>
      </c>
      <c r="K7" s="133">
        <f>K8/(11*31)</f>
        <v>0</v>
      </c>
      <c r="L7" s="133">
        <f>L8/(11*30)</f>
        <v>0</v>
      </c>
      <c r="M7" s="133">
        <f>M8/(11*31)</f>
        <v>0</v>
      </c>
      <c r="N7" s="134">
        <f>N8/(11*365)</f>
        <v>0.19576587795765879</v>
      </c>
    </row>
    <row r="8" spans="1:19" s="75" customFormat="1" ht="12.75" customHeight="1">
      <c r="A8" s="135" t="s">
        <v>77</v>
      </c>
      <c r="B8" s="136">
        <v>89</v>
      </c>
      <c r="C8" s="136">
        <v>111</v>
      </c>
      <c r="D8" s="136">
        <v>212</v>
      </c>
      <c r="E8" s="136">
        <v>151</v>
      </c>
      <c r="F8" s="136">
        <v>84</v>
      </c>
      <c r="G8" s="136">
        <v>65</v>
      </c>
      <c r="H8" s="136">
        <v>26</v>
      </c>
      <c r="I8" s="136">
        <v>48</v>
      </c>
      <c r="J8" s="136">
        <v>0</v>
      </c>
      <c r="K8" s="136">
        <v>0</v>
      </c>
      <c r="L8" s="136">
        <v>0</v>
      </c>
      <c r="M8" s="136">
        <v>0</v>
      </c>
      <c r="N8" s="137">
        <f>SUM(B8:M8)</f>
        <v>786</v>
      </c>
    </row>
    <row r="9" spans="1:19" s="75" customFormat="1" ht="12.75" customHeight="1">
      <c r="A9" s="117" t="s">
        <v>78</v>
      </c>
      <c r="B9" s="138">
        <v>89</v>
      </c>
      <c r="C9" s="138">
        <v>111</v>
      </c>
      <c r="D9" s="138">
        <v>212</v>
      </c>
      <c r="E9" s="138">
        <v>151</v>
      </c>
      <c r="F9" s="138">
        <v>84</v>
      </c>
      <c r="G9" s="138">
        <v>65</v>
      </c>
      <c r="H9" s="138">
        <v>26</v>
      </c>
      <c r="I9" s="138">
        <v>48</v>
      </c>
      <c r="J9" s="138">
        <v>0</v>
      </c>
      <c r="K9" s="138">
        <v>0</v>
      </c>
      <c r="L9" s="138">
        <v>0</v>
      </c>
      <c r="M9" s="138">
        <v>0</v>
      </c>
      <c r="N9" s="131">
        <f>SUM(B9:M9)</f>
        <v>786</v>
      </c>
    </row>
    <row r="10" spans="1:19" s="75" customFormat="1" ht="12.75" customHeight="1">
      <c r="A10" s="117" t="s">
        <v>79</v>
      </c>
      <c r="B10" s="130">
        <f t="shared" ref="B10:M10" si="2">B4/B8</f>
        <v>2820.2247191011238</v>
      </c>
      <c r="C10" s="130">
        <f t="shared" si="2"/>
        <v>2774.7747747747749</v>
      </c>
      <c r="D10" s="130">
        <f t="shared" si="2"/>
        <v>3070.7547169811319</v>
      </c>
      <c r="E10" s="130">
        <f t="shared" si="2"/>
        <v>3013.2450331125829</v>
      </c>
      <c r="F10" s="130">
        <f t="shared" si="2"/>
        <v>3238.0952380952381</v>
      </c>
      <c r="G10" s="130">
        <f t="shared" si="2"/>
        <v>3000</v>
      </c>
      <c r="H10" s="130">
        <f t="shared" si="2"/>
        <v>3000</v>
      </c>
      <c r="I10" s="130">
        <f t="shared" si="2"/>
        <v>2500</v>
      </c>
      <c r="J10" s="130" t="e">
        <f t="shared" si="2"/>
        <v>#DIV/0!</v>
      </c>
      <c r="K10" s="130" t="e">
        <f t="shared" si="2"/>
        <v>#DIV/0!</v>
      </c>
      <c r="L10" s="130" t="e">
        <f t="shared" si="2"/>
        <v>#DIV/0!</v>
      </c>
      <c r="M10" s="130" t="e">
        <f t="shared" si="2"/>
        <v>#DIV/0!</v>
      </c>
      <c r="N10" s="131" t="e">
        <f>AVERAGE(B10:M10)</f>
        <v>#DIV/0!</v>
      </c>
    </row>
    <row r="11" spans="1:19" s="75" customFormat="1" ht="12.75" customHeight="1">
      <c r="A11" s="132" t="s">
        <v>80</v>
      </c>
      <c r="B11" s="130">
        <f t="shared" ref="B11:M11" si="3">B4/B9</f>
        <v>2820.2247191011238</v>
      </c>
      <c r="C11" s="130">
        <f t="shared" si="3"/>
        <v>2774.7747747747749</v>
      </c>
      <c r="D11" s="130">
        <f t="shared" si="3"/>
        <v>3070.7547169811319</v>
      </c>
      <c r="E11" s="130">
        <f t="shared" si="3"/>
        <v>3013.2450331125829</v>
      </c>
      <c r="F11" s="130">
        <f t="shared" si="3"/>
        <v>3238.0952380952381</v>
      </c>
      <c r="G11" s="130">
        <f t="shared" si="3"/>
        <v>3000</v>
      </c>
      <c r="H11" s="130">
        <f t="shared" si="3"/>
        <v>3000</v>
      </c>
      <c r="I11" s="130">
        <f t="shared" si="3"/>
        <v>2500</v>
      </c>
      <c r="J11" s="130" t="e">
        <f t="shared" si="3"/>
        <v>#DIV/0!</v>
      </c>
      <c r="K11" s="130" t="e">
        <f t="shared" si="3"/>
        <v>#DIV/0!</v>
      </c>
      <c r="L11" s="130" t="e">
        <f t="shared" si="3"/>
        <v>#DIV/0!</v>
      </c>
      <c r="M11" s="130" t="e">
        <f t="shared" si="3"/>
        <v>#DIV/0!</v>
      </c>
      <c r="N11" s="140" t="e">
        <f>AVERAGE(B11:M11)</f>
        <v>#DIV/0!</v>
      </c>
    </row>
    <row r="12" spans="1:19" s="75" customFormat="1" ht="12.75" customHeight="1">
      <c r="A12" s="135" t="s">
        <v>114</v>
      </c>
      <c r="B12" s="153">
        <v>142000</v>
      </c>
      <c r="C12" s="153">
        <v>506000</v>
      </c>
      <c r="D12" s="153">
        <v>517000</v>
      </c>
      <c r="E12" s="153">
        <v>636000</v>
      </c>
      <c r="F12" s="153">
        <v>441000</v>
      </c>
      <c r="G12" s="153">
        <v>421980</v>
      </c>
      <c r="H12" s="153">
        <v>310000</v>
      </c>
      <c r="I12" s="153">
        <v>246000</v>
      </c>
      <c r="J12" s="153">
        <v>96000</v>
      </c>
      <c r="K12" s="153">
        <v>228000</v>
      </c>
      <c r="L12" s="153">
        <v>450000</v>
      </c>
      <c r="M12" s="153">
        <v>323000</v>
      </c>
      <c r="N12" s="155">
        <v>4316980</v>
      </c>
    </row>
    <row r="13" spans="1:19" s="75" customFormat="1" ht="12.75" customHeight="1">
      <c r="A13" s="117" t="s">
        <v>115</v>
      </c>
      <c r="B13" s="128">
        <f t="shared" ref="B13:N13" si="4">B4/B12</f>
        <v>1.767605633802817</v>
      </c>
      <c r="C13" s="128">
        <f t="shared" si="4"/>
        <v>0.60869565217391308</v>
      </c>
      <c r="D13" s="128">
        <f t="shared" si="4"/>
        <v>1.2591876208897486</v>
      </c>
      <c r="E13" s="128">
        <f t="shared" si="4"/>
        <v>0.71540880503144655</v>
      </c>
      <c r="F13" s="128">
        <f t="shared" si="4"/>
        <v>0.6167800453514739</v>
      </c>
      <c r="G13" s="128">
        <f t="shared" si="4"/>
        <v>0.46210720887245843</v>
      </c>
      <c r="H13" s="128">
        <f t="shared" si="4"/>
        <v>0.25161290322580643</v>
      </c>
      <c r="I13" s="128">
        <f t="shared" si="4"/>
        <v>0.48780487804878048</v>
      </c>
      <c r="J13" s="128">
        <f t="shared" si="4"/>
        <v>0</v>
      </c>
      <c r="K13" s="128">
        <f t="shared" si="4"/>
        <v>0</v>
      </c>
      <c r="L13" s="128">
        <f t="shared" si="4"/>
        <v>0</v>
      </c>
      <c r="M13" s="128">
        <f t="shared" si="4"/>
        <v>0</v>
      </c>
      <c r="N13" s="129">
        <f t="shared" si="4"/>
        <v>0.53972916251638881</v>
      </c>
    </row>
    <row r="14" spans="1:19" s="75" customFormat="1" ht="12.75" customHeight="1">
      <c r="A14" s="117" t="s">
        <v>118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19">
        <f>SUM(B14:M14)</f>
        <v>0</v>
      </c>
    </row>
    <row r="15" spans="1:19" s="75" customFormat="1" ht="12.75" customHeight="1">
      <c r="A15" s="132" t="s">
        <v>309</v>
      </c>
      <c r="B15" s="139">
        <f t="shared" ref="B15:M15" si="5">B4-B14</f>
        <v>251000</v>
      </c>
      <c r="C15" s="139">
        <f t="shared" si="5"/>
        <v>308000</v>
      </c>
      <c r="D15" s="139">
        <f t="shared" si="5"/>
        <v>651000</v>
      </c>
      <c r="E15" s="139">
        <f t="shared" si="5"/>
        <v>455000</v>
      </c>
      <c r="F15" s="139">
        <f t="shared" si="5"/>
        <v>272000</v>
      </c>
      <c r="G15" s="139">
        <f t="shared" si="5"/>
        <v>195000</v>
      </c>
      <c r="H15" s="139">
        <f t="shared" si="5"/>
        <v>78000</v>
      </c>
      <c r="I15" s="139">
        <f t="shared" si="5"/>
        <v>120000</v>
      </c>
      <c r="J15" s="139">
        <f t="shared" si="5"/>
        <v>0</v>
      </c>
      <c r="K15" s="139">
        <f t="shared" si="5"/>
        <v>0</v>
      </c>
      <c r="L15" s="139">
        <f t="shared" si="5"/>
        <v>0</v>
      </c>
      <c r="M15" s="139">
        <f t="shared" si="5"/>
        <v>0</v>
      </c>
      <c r="N15" s="140">
        <f>SUM(B15:M15)</f>
        <v>2330000</v>
      </c>
    </row>
    <row r="16" spans="1:19" ht="8.25" customHeight="1"/>
    <row r="17" spans="1:15" ht="12.75" customHeight="1">
      <c r="A17" s="283" t="s">
        <v>39</v>
      </c>
      <c r="B17" s="115" t="s">
        <v>98</v>
      </c>
      <c r="C17" s="115" t="s">
        <v>99</v>
      </c>
      <c r="D17" s="115" t="s">
        <v>100</v>
      </c>
      <c r="E17" s="115" t="s">
        <v>101</v>
      </c>
      <c r="F17" s="115" t="s">
        <v>102</v>
      </c>
      <c r="G17" s="115" t="s">
        <v>103</v>
      </c>
      <c r="H17" s="115" t="s">
        <v>104</v>
      </c>
      <c r="I17" s="115" t="s">
        <v>105</v>
      </c>
      <c r="J17" s="115" t="s">
        <v>106</v>
      </c>
      <c r="K17" s="115" t="s">
        <v>107</v>
      </c>
      <c r="L17" s="115" t="s">
        <v>108</v>
      </c>
      <c r="M17" s="115" t="s">
        <v>109</v>
      </c>
      <c r="N17" s="116" t="s">
        <v>42</v>
      </c>
      <c r="O17" s="195"/>
    </row>
    <row r="18" spans="1:15" ht="12.75" customHeight="1">
      <c r="A18" s="117" t="s">
        <v>110</v>
      </c>
      <c r="B18" s="118">
        <v>276000</v>
      </c>
      <c r="C18" s="118">
        <v>162000</v>
      </c>
      <c r="D18" s="118">
        <v>189000</v>
      </c>
      <c r="E18" s="118">
        <v>103500</v>
      </c>
      <c r="F18" s="118">
        <v>164000</v>
      </c>
      <c r="G18" s="118">
        <v>165000</v>
      </c>
      <c r="H18" s="118">
        <v>127500</v>
      </c>
      <c r="I18" s="118">
        <v>217000</v>
      </c>
      <c r="J18" s="118">
        <v>142500</v>
      </c>
      <c r="K18" s="118">
        <v>0</v>
      </c>
      <c r="L18" s="118">
        <v>183000</v>
      </c>
      <c r="M18" s="118">
        <v>78000</v>
      </c>
      <c r="N18" s="119">
        <v>1807500</v>
      </c>
    </row>
    <row r="19" spans="1:15" ht="12.75" customHeight="1">
      <c r="A19" s="117" t="s">
        <v>111</v>
      </c>
      <c r="B19" s="126">
        <v>155000</v>
      </c>
      <c r="C19" s="126">
        <v>110500</v>
      </c>
      <c r="D19" s="126">
        <v>66000</v>
      </c>
      <c r="E19" s="126">
        <v>101400</v>
      </c>
      <c r="F19" s="126">
        <v>24000</v>
      </c>
      <c r="G19" s="126">
        <v>45000</v>
      </c>
      <c r="H19" s="126">
        <v>0</v>
      </c>
      <c r="I19" s="126">
        <v>0</v>
      </c>
      <c r="J19" s="126">
        <v>0</v>
      </c>
      <c r="K19" s="126">
        <v>0</v>
      </c>
      <c r="L19" s="126">
        <v>0</v>
      </c>
      <c r="M19" s="126">
        <v>0</v>
      </c>
      <c r="N19" s="119">
        <f>SUM(B19:M19)</f>
        <v>501900</v>
      </c>
    </row>
    <row r="20" spans="1:15" ht="12.75" customHeight="1">
      <c r="A20" s="117" t="s">
        <v>112</v>
      </c>
      <c r="B20" s="128">
        <f t="shared" ref="B20:N20" si="6">B19/B18</f>
        <v>0.56159420289855078</v>
      </c>
      <c r="C20" s="128">
        <f t="shared" si="6"/>
        <v>0.6820987654320988</v>
      </c>
      <c r="D20" s="128">
        <f t="shared" si="6"/>
        <v>0.34920634920634919</v>
      </c>
      <c r="E20" s="128">
        <f t="shared" si="6"/>
        <v>0.97971014492753628</v>
      </c>
      <c r="F20" s="128">
        <f t="shared" si="6"/>
        <v>0.14634146341463414</v>
      </c>
      <c r="G20" s="128">
        <f t="shared" si="6"/>
        <v>0.27272727272727271</v>
      </c>
      <c r="H20" s="128">
        <f t="shared" si="6"/>
        <v>0</v>
      </c>
      <c r="I20" s="128">
        <f t="shared" si="6"/>
        <v>0</v>
      </c>
      <c r="J20" s="128">
        <f t="shared" si="6"/>
        <v>0</v>
      </c>
      <c r="K20" s="128" t="e">
        <f t="shared" si="6"/>
        <v>#DIV/0!</v>
      </c>
      <c r="L20" s="128">
        <f t="shared" si="6"/>
        <v>0</v>
      </c>
      <c r="M20" s="128">
        <f t="shared" si="6"/>
        <v>0</v>
      </c>
      <c r="N20" s="129">
        <f t="shared" si="6"/>
        <v>0.27767634854771783</v>
      </c>
    </row>
    <row r="21" spans="1:15" ht="12.75" customHeight="1">
      <c r="A21" s="117" t="s">
        <v>122</v>
      </c>
      <c r="B21" s="130">
        <f t="shared" ref="B21:M21" si="7">B19-B18</f>
        <v>-121000</v>
      </c>
      <c r="C21" s="130">
        <f t="shared" si="7"/>
        <v>-51500</v>
      </c>
      <c r="D21" s="130">
        <f t="shared" si="7"/>
        <v>-123000</v>
      </c>
      <c r="E21" s="130">
        <f t="shared" si="7"/>
        <v>-2100</v>
      </c>
      <c r="F21" s="130">
        <f t="shared" si="7"/>
        <v>-140000</v>
      </c>
      <c r="G21" s="130">
        <f t="shared" si="7"/>
        <v>-120000</v>
      </c>
      <c r="H21" s="130">
        <f t="shared" si="7"/>
        <v>-127500</v>
      </c>
      <c r="I21" s="130">
        <f t="shared" si="7"/>
        <v>-217000</v>
      </c>
      <c r="J21" s="130">
        <f t="shared" si="7"/>
        <v>-142500</v>
      </c>
      <c r="K21" s="130">
        <f t="shared" si="7"/>
        <v>0</v>
      </c>
      <c r="L21" s="130">
        <f t="shared" si="7"/>
        <v>-183000</v>
      </c>
      <c r="M21" s="130">
        <f t="shared" si="7"/>
        <v>-78000</v>
      </c>
      <c r="N21" s="131">
        <f>SUM(B21:M21)</f>
        <v>-1305600</v>
      </c>
    </row>
    <row r="22" spans="1:15" ht="12.75" customHeight="1">
      <c r="A22" s="132" t="s">
        <v>81</v>
      </c>
      <c r="B22" s="133">
        <f>B23/(6*31)</f>
        <v>0.27956989247311825</v>
      </c>
      <c r="C22" s="133">
        <f>C23/(6*29)</f>
        <v>0.22988505747126436</v>
      </c>
      <c r="D22" s="133">
        <v>0.47</v>
      </c>
      <c r="E22" s="133">
        <f>E23/(6*30)</f>
        <v>0.2</v>
      </c>
      <c r="F22" s="133">
        <f>F23/(6*31)</f>
        <v>4.3010752688172046E-2</v>
      </c>
      <c r="G22" s="133">
        <f>G23/(6*30)</f>
        <v>0.1</v>
      </c>
      <c r="H22" s="133">
        <f>H23/(6*31)</f>
        <v>0</v>
      </c>
      <c r="I22" s="133">
        <f>I23/(6*31)</f>
        <v>0</v>
      </c>
      <c r="J22" s="133">
        <f>J23/(6*30)</f>
        <v>0</v>
      </c>
      <c r="K22" s="133">
        <f>K23/(6*31)</f>
        <v>0</v>
      </c>
      <c r="L22" s="133">
        <f>L23/(6*30)</f>
        <v>0</v>
      </c>
      <c r="M22" s="133">
        <f>M23/(6*31)</f>
        <v>0</v>
      </c>
      <c r="N22" s="134">
        <f>N23/(6*365)</f>
        <v>8.0365296803652966E-2</v>
      </c>
    </row>
    <row r="23" spans="1:15" ht="12.75" customHeight="1">
      <c r="A23" s="135" t="s">
        <v>77</v>
      </c>
      <c r="B23" s="136">
        <v>52</v>
      </c>
      <c r="C23" s="136">
        <v>40</v>
      </c>
      <c r="D23" s="136">
        <v>22</v>
      </c>
      <c r="E23" s="136">
        <v>36</v>
      </c>
      <c r="F23" s="136">
        <v>8</v>
      </c>
      <c r="G23" s="136">
        <v>18</v>
      </c>
      <c r="H23" s="136">
        <v>0</v>
      </c>
      <c r="I23" s="136">
        <v>0</v>
      </c>
      <c r="J23" s="136">
        <v>0</v>
      </c>
      <c r="K23" s="136">
        <v>0</v>
      </c>
      <c r="L23" s="136">
        <v>0</v>
      </c>
      <c r="M23" s="136">
        <v>0</v>
      </c>
      <c r="N23" s="137">
        <f>SUM(B23:M23)</f>
        <v>176</v>
      </c>
    </row>
    <row r="24" spans="1:15" ht="12.75" customHeight="1">
      <c r="A24" s="117" t="s">
        <v>78</v>
      </c>
      <c r="B24" s="138">
        <v>52</v>
      </c>
      <c r="C24" s="138">
        <v>43</v>
      </c>
      <c r="D24" s="138">
        <v>22</v>
      </c>
      <c r="E24" s="138">
        <v>36</v>
      </c>
      <c r="F24" s="138">
        <v>8</v>
      </c>
      <c r="G24" s="138">
        <v>18</v>
      </c>
      <c r="H24" s="138">
        <v>0</v>
      </c>
      <c r="I24" s="138">
        <v>0</v>
      </c>
      <c r="J24" s="138">
        <v>0</v>
      </c>
      <c r="K24" s="138">
        <v>0</v>
      </c>
      <c r="L24" s="138">
        <v>0</v>
      </c>
      <c r="M24" s="138">
        <v>0</v>
      </c>
      <c r="N24" s="131">
        <f>SUM(B24:M24)</f>
        <v>179</v>
      </c>
    </row>
    <row r="25" spans="1:15" ht="12.75" customHeight="1">
      <c r="A25" s="117" t="s">
        <v>79</v>
      </c>
      <c r="B25" s="130">
        <f>B19/B23</f>
        <v>2980.7692307692309</v>
      </c>
      <c r="C25" s="130">
        <v>52</v>
      </c>
      <c r="D25" s="130">
        <f t="shared" ref="D25:M25" si="8">D19/D23</f>
        <v>3000</v>
      </c>
      <c r="E25" s="130">
        <f t="shared" si="8"/>
        <v>2816.6666666666665</v>
      </c>
      <c r="F25" s="130">
        <f t="shared" si="8"/>
        <v>3000</v>
      </c>
      <c r="G25" s="130">
        <f t="shared" si="8"/>
        <v>2500</v>
      </c>
      <c r="H25" s="130" t="e">
        <f t="shared" si="8"/>
        <v>#DIV/0!</v>
      </c>
      <c r="I25" s="130" t="e">
        <f t="shared" si="8"/>
        <v>#DIV/0!</v>
      </c>
      <c r="J25" s="130" t="e">
        <f t="shared" si="8"/>
        <v>#DIV/0!</v>
      </c>
      <c r="K25" s="130" t="e">
        <f t="shared" si="8"/>
        <v>#DIV/0!</v>
      </c>
      <c r="L25" s="130" t="e">
        <f t="shared" si="8"/>
        <v>#DIV/0!</v>
      </c>
      <c r="M25" s="130" t="e">
        <f t="shared" si="8"/>
        <v>#DIV/0!</v>
      </c>
      <c r="N25" s="131" t="e">
        <f>AVERAGE(B25:M25)</f>
        <v>#DIV/0!</v>
      </c>
    </row>
    <row r="26" spans="1:15" ht="12.75" customHeight="1">
      <c r="A26" s="132" t="s">
        <v>80</v>
      </c>
      <c r="B26" s="130">
        <f t="shared" ref="B26:M26" si="9">B19/B24</f>
        <v>2980.7692307692309</v>
      </c>
      <c r="C26" s="130">
        <f t="shared" si="9"/>
        <v>2569.7674418604652</v>
      </c>
      <c r="D26" s="130">
        <f t="shared" si="9"/>
        <v>3000</v>
      </c>
      <c r="E26" s="130">
        <f t="shared" si="9"/>
        <v>2816.6666666666665</v>
      </c>
      <c r="F26" s="130">
        <f t="shared" si="9"/>
        <v>3000</v>
      </c>
      <c r="G26" s="130">
        <f t="shared" si="9"/>
        <v>2500</v>
      </c>
      <c r="H26" s="130" t="e">
        <f t="shared" si="9"/>
        <v>#DIV/0!</v>
      </c>
      <c r="I26" s="130" t="e">
        <f t="shared" si="9"/>
        <v>#DIV/0!</v>
      </c>
      <c r="J26" s="130" t="e">
        <f t="shared" si="9"/>
        <v>#DIV/0!</v>
      </c>
      <c r="K26" s="130" t="e">
        <f t="shared" si="9"/>
        <v>#DIV/0!</v>
      </c>
      <c r="L26" s="130" t="e">
        <f t="shared" si="9"/>
        <v>#DIV/0!</v>
      </c>
      <c r="M26" s="130" t="e">
        <f t="shared" si="9"/>
        <v>#DIV/0!</v>
      </c>
      <c r="N26" s="140" t="e">
        <f>AVERAGE(B26:M26)</f>
        <v>#DIV/0!</v>
      </c>
    </row>
    <row r="27" spans="1:15" ht="12.75" customHeight="1">
      <c r="A27" s="135" t="s">
        <v>114</v>
      </c>
      <c r="B27" s="168">
        <v>276000</v>
      </c>
      <c r="C27" s="168">
        <v>162000</v>
      </c>
      <c r="D27" s="168">
        <v>189000</v>
      </c>
      <c r="E27" s="168">
        <v>103500</v>
      </c>
      <c r="F27" s="168">
        <v>164000</v>
      </c>
      <c r="G27" s="168">
        <v>165000</v>
      </c>
      <c r="H27" s="168">
        <v>127500</v>
      </c>
      <c r="I27" s="168">
        <v>217000</v>
      </c>
      <c r="J27" s="168">
        <v>142500</v>
      </c>
      <c r="K27" s="168">
        <v>0</v>
      </c>
      <c r="L27" s="168">
        <v>183000</v>
      </c>
      <c r="M27" s="168">
        <v>78000</v>
      </c>
      <c r="N27" s="155">
        <v>1807500</v>
      </c>
      <c r="O27" s="75"/>
    </row>
    <row r="28" spans="1:15" ht="12.75" customHeight="1">
      <c r="A28" s="117" t="s">
        <v>115</v>
      </c>
      <c r="B28" s="128">
        <f t="shared" ref="B28:N28" si="10">B19/B27</f>
        <v>0.56159420289855078</v>
      </c>
      <c r="C28" s="128">
        <f t="shared" si="10"/>
        <v>0.6820987654320988</v>
      </c>
      <c r="D28" s="128">
        <f t="shared" si="10"/>
        <v>0.34920634920634919</v>
      </c>
      <c r="E28" s="128">
        <f t="shared" si="10"/>
        <v>0.97971014492753628</v>
      </c>
      <c r="F28" s="128">
        <f t="shared" si="10"/>
        <v>0.14634146341463414</v>
      </c>
      <c r="G28" s="128">
        <f t="shared" si="10"/>
        <v>0.27272727272727271</v>
      </c>
      <c r="H28" s="128">
        <f t="shared" si="10"/>
        <v>0</v>
      </c>
      <c r="I28" s="128">
        <f t="shared" si="10"/>
        <v>0</v>
      </c>
      <c r="J28" s="128">
        <f t="shared" si="10"/>
        <v>0</v>
      </c>
      <c r="K28" s="128" t="e">
        <f t="shared" si="10"/>
        <v>#DIV/0!</v>
      </c>
      <c r="L28" s="128">
        <f t="shared" si="10"/>
        <v>0</v>
      </c>
      <c r="M28" s="128">
        <f t="shared" si="10"/>
        <v>0</v>
      </c>
      <c r="N28" s="129">
        <f t="shared" si="10"/>
        <v>0.27767634854771783</v>
      </c>
      <c r="O28" s="75"/>
    </row>
    <row r="29" spans="1:15" ht="12" customHeight="1">
      <c r="A29" s="117" t="s">
        <v>118</v>
      </c>
      <c r="B29" s="118">
        <f t="shared" ref="B29:M29" si="11">C99</f>
        <v>-50293</v>
      </c>
      <c r="C29" s="118">
        <f t="shared" si="11"/>
        <v>-41060</v>
      </c>
      <c r="D29" s="118">
        <f t="shared" si="11"/>
        <v>-71751</v>
      </c>
      <c r="E29" s="118">
        <f t="shared" si="11"/>
        <v>0</v>
      </c>
      <c r="F29" s="118">
        <f t="shared" si="11"/>
        <v>0</v>
      </c>
      <c r="G29" s="118">
        <f t="shared" si="11"/>
        <v>0</v>
      </c>
      <c r="H29" s="118">
        <f t="shared" si="11"/>
        <v>0</v>
      </c>
      <c r="I29" s="118">
        <f t="shared" si="11"/>
        <v>0</v>
      </c>
      <c r="J29" s="118">
        <f t="shared" si="11"/>
        <v>0</v>
      </c>
      <c r="K29" s="118">
        <f t="shared" si="11"/>
        <v>0</v>
      </c>
      <c r="L29" s="118">
        <f t="shared" si="11"/>
        <v>0</v>
      </c>
      <c r="M29" s="118">
        <f t="shared" si="11"/>
        <v>0</v>
      </c>
      <c r="N29" s="119">
        <f>SUM(B29:M29)</f>
        <v>-163104</v>
      </c>
      <c r="O29" s="75"/>
    </row>
    <row r="30" spans="1:15" ht="12" customHeight="1">
      <c r="A30" s="132" t="s">
        <v>309</v>
      </c>
      <c r="B30" s="139">
        <f t="shared" ref="B30:M30" si="12">B19-B29</f>
        <v>205293</v>
      </c>
      <c r="C30" s="139">
        <f t="shared" si="12"/>
        <v>151560</v>
      </c>
      <c r="D30" s="139">
        <f t="shared" si="12"/>
        <v>137751</v>
      </c>
      <c r="E30" s="139">
        <f t="shared" si="12"/>
        <v>101400</v>
      </c>
      <c r="F30" s="139">
        <f t="shared" si="12"/>
        <v>24000</v>
      </c>
      <c r="G30" s="139">
        <f t="shared" si="12"/>
        <v>45000</v>
      </c>
      <c r="H30" s="139">
        <f t="shared" si="12"/>
        <v>0</v>
      </c>
      <c r="I30" s="139">
        <f t="shared" si="12"/>
        <v>0</v>
      </c>
      <c r="J30" s="139">
        <f t="shared" si="12"/>
        <v>0</v>
      </c>
      <c r="K30" s="139">
        <f t="shared" si="12"/>
        <v>0</v>
      </c>
      <c r="L30" s="139">
        <f t="shared" si="12"/>
        <v>0</v>
      </c>
      <c r="M30" s="139">
        <f t="shared" si="12"/>
        <v>0</v>
      </c>
      <c r="N30" s="140">
        <f>SUM(B30:M30)</f>
        <v>665004</v>
      </c>
      <c r="O30" s="75"/>
    </row>
    <row r="31" spans="1:15" ht="7.5" customHeight="1">
      <c r="O31" s="75"/>
    </row>
    <row r="32" spans="1:15" ht="12" customHeight="1">
      <c r="A32" s="284" t="s">
        <v>40</v>
      </c>
      <c r="B32" s="115" t="s">
        <v>98</v>
      </c>
      <c r="C32" s="115" t="s">
        <v>99</v>
      </c>
      <c r="D32" s="115" t="s">
        <v>100</v>
      </c>
      <c r="E32" s="115" t="s">
        <v>101</v>
      </c>
      <c r="F32" s="115" t="s">
        <v>102</v>
      </c>
      <c r="G32" s="115" t="s">
        <v>103</v>
      </c>
      <c r="H32" s="115" t="s">
        <v>104</v>
      </c>
      <c r="I32" s="115" t="s">
        <v>105</v>
      </c>
      <c r="J32" s="115" t="s">
        <v>106</v>
      </c>
      <c r="K32" s="115" t="s">
        <v>107</v>
      </c>
      <c r="L32" s="115" t="s">
        <v>108</v>
      </c>
      <c r="M32" s="115" t="s">
        <v>109</v>
      </c>
      <c r="N32" s="116" t="s">
        <v>42</v>
      </c>
    </row>
    <row r="33" spans="1:14" ht="12" customHeight="1">
      <c r="A33" s="117" t="s">
        <v>110</v>
      </c>
      <c r="B33" s="118">
        <v>60000</v>
      </c>
      <c r="C33" s="118">
        <v>121500</v>
      </c>
      <c r="D33" s="118">
        <v>69000</v>
      </c>
      <c r="E33" s="118">
        <v>58000</v>
      </c>
      <c r="F33" s="118">
        <v>9000</v>
      </c>
      <c r="G33" s="118">
        <v>108000</v>
      </c>
      <c r="H33" s="118">
        <v>63000</v>
      </c>
      <c r="I33" s="118">
        <v>56500</v>
      </c>
      <c r="J33" s="118">
        <v>44000</v>
      </c>
      <c r="K33" s="118">
        <v>57000</v>
      </c>
      <c r="L33" s="118">
        <v>48000</v>
      </c>
      <c r="M33" s="118">
        <v>54500</v>
      </c>
      <c r="N33" s="119">
        <v>748500</v>
      </c>
    </row>
    <row r="34" spans="1:14" ht="12" customHeight="1">
      <c r="A34" s="117" t="s">
        <v>111</v>
      </c>
      <c r="B34" s="126">
        <v>0</v>
      </c>
      <c r="C34" s="126">
        <v>42500</v>
      </c>
      <c r="D34" s="126">
        <v>0</v>
      </c>
      <c r="E34" s="126">
        <v>90000</v>
      </c>
      <c r="F34" s="126">
        <v>93000</v>
      </c>
      <c r="G34" s="126">
        <v>46000</v>
      </c>
      <c r="H34" s="126">
        <v>57000</v>
      </c>
      <c r="I34" s="126">
        <v>75000</v>
      </c>
      <c r="J34" s="126">
        <v>0</v>
      </c>
      <c r="K34" s="126">
        <v>0</v>
      </c>
      <c r="L34" s="126">
        <v>0</v>
      </c>
      <c r="M34" s="126">
        <v>0</v>
      </c>
      <c r="N34" s="119">
        <f>SUM(B34:M34)</f>
        <v>403500</v>
      </c>
    </row>
    <row r="35" spans="1:14" ht="12" customHeight="1">
      <c r="A35" s="117" t="s">
        <v>112</v>
      </c>
      <c r="B35" s="128">
        <f t="shared" ref="B35:N35" si="13">B34/B33</f>
        <v>0</v>
      </c>
      <c r="C35" s="128">
        <f t="shared" si="13"/>
        <v>0.34979423868312759</v>
      </c>
      <c r="D35" s="128">
        <f t="shared" si="13"/>
        <v>0</v>
      </c>
      <c r="E35" s="128">
        <f t="shared" si="13"/>
        <v>1.5517241379310345</v>
      </c>
      <c r="F35" s="128">
        <f t="shared" si="13"/>
        <v>10.333333333333334</v>
      </c>
      <c r="G35" s="128">
        <f t="shared" si="13"/>
        <v>0.42592592592592593</v>
      </c>
      <c r="H35" s="128">
        <f t="shared" si="13"/>
        <v>0.90476190476190477</v>
      </c>
      <c r="I35" s="128">
        <f t="shared" si="13"/>
        <v>1.3274336283185841</v>
      </c>
      <c r="J35" s="128">
        <f t="shared" si="13"/>
        <v>0</v>
      </c>
      <c r="K35" s="128">
        <f t="shared" si="13"/>
        <v>0</v>
      </c>
      <c r="L35" s="128">
        <f t="shared" si="13"/>
        <v>0</v>
      </c>
      <c r="M35" s="128">
        <f t="shared" si="13"/>
        <v>0</v>
      </c>
      <c r="N35" s="129">
        <f t="shared" si="13"/>
        <v>0.53907815631262523</v>
      </c>
    </row>
    <row r="36" spans="1:14" ht="12" customHeight="1">
      <c r="A36" s="117" t="s">
        <v>113</v>
      </c>
      <c r="B36" s="130">
        <f t="shared" ref="B36:M36" si="14">B34-B33</f>
        <v>-60000</v>
      </c>
      <c r="C36" s="130">
        <f t="shared" si="14"/>
        <v>-79000</v>
      </c>
      <c r="D36" s="130">
        <f t="shared" si="14"/>
        <v>-69000</v>
      </c>
      <c r="E36" s="130">
        <f t="shared" si="14"/>
        <v>32000</v>
      </c>
      <c r="F36" s="130">
        <f t="shared" si="14"/>
        <v>84000</v>
      </c>
      <c r="G36" s="130">
        <f t="shared" si="14"/>
        <v>-62000</v>
      </c>
      <c r="H36" s="130">
        <f t="shared" si="14"/>
        <v>-6000</v>
      </c>
      <c r="I36" s="130">
        <f t="shared" si="14"/>
        <v>18500</v>
      </c>
      <c r="J36" s="130">
        <f t="shared" si="14"/>
        <v>-44000</v>
      </c>
      <c r="K36" s="130">
        <f t="shared" si="14"/>
        <v>-57000</v>
      </c>
      <c r="L36" s="130">
        <f t="shared" si="14"/>
        <v>-48000</v>
      </c>
      <c r="M36" s="130">
        <f t="shared" si="14"/>
        <v>-54500</v>
      </c>
      <c r="N36" s="131">
        <f>SUM(B36:M36)</f>
        <v>-345000</v>
      </c>
    </row>
    <row r="37" spans="1:14" ht="12" customHeight="1">
      <c r="A37" s="132" t="s">
        <v>81</v>
      </c>
      <c r="B37" s="133">
        <f>B38/(2*31)</f>
        <v>0</v>
      </c>
      <c r="C37" s="133">
        <f>C38/(2*29)</f>
        <v>0.29310344827586204</v>
      </c>
      <c r="D37" s="133">
        <f>D38/(2*31)</f>
        <v>0</v>
      </c>
      <c r="E37" s="133">
        <f>E38/(2*30)</f>
        <v>0.5</v>
      </c>
      <c r="F37" s="133">
        <f>F38/(2*31)</f>
        <v>0.5</v>
      </c>
      <c r="G37" s="133">
        <f>G38/(2*30)</f>
        <v>0.2</v>
      </c>
      <c r="H37" s="133">
        <f>H38/(2*31)</f>
        <v>0.30645161290322581</v>
      </c>
      <c r="I37" s="133">
        <f>I38/(2*31)</f>
        <v>0.4838709677419355</v>
      </c>
      <c r="J37" s="133">
        <f>J38/(2*30)</f>
        <v>0</v>
      </c>
      <c r="K37" s="133">
        <f>K38/(2*31)</f>
        <v>0</v>
      </c>
      <c r="L37" s="133">
        <f>L38/(2*30)</f>
        <v>0</v>
      </c>
      <c r="M37" s="133">
        <f>M38/(2*31)</f>
        <v>0</v>
      </c>
      <c r="N37" s="134">
        <f>N38/(2*365)</f>
        <v>0.19041095890410958</v>
      </c>
    </row>
    <row r="38" spans="1:14" ht="12" customHeight="1">
      <c r="A38" s="135" t="s">
        <v>77</v>
      </c>
      <c r="B38" s="136">
        <v>0</v>
      </c>
      <c r="C38" s="136">
        <v>17</v>
      </c>
      <c r="D38" s="136">
        <v>0</v>
      </c>
      <c r="E38" s="136">
        <v>30</v>
      </c>
      <c r="F38" s="136">
        <v>31</v>
      </c>
      <c r="G38" s="136">
        <v>12</v>
      </c>
      <c r="H38" s="136">
        <v>19</v>
      </c>
      <c r="I38" s="136">
        <v>30</v>
      </c>
      <c r="J38" s="136">
        <v>0</v>
      </c>
      <c r="K38" s="136">
        <v>0</v>
      </c>
      <c r="L38" s="136">
        <v>0</v>
      </c>
      <c r="M38" s="136">
        <v>0</v>
      </c>
      <c r="N38" s="137">
        <f>SUM(B38:M38)</f>
        <v>139</v>
      </c>
    </row>
    <row r="39" spans="1:14" ht="12" customHeight="1">
      <c r="A39" s="117" t="s">
        <v>78</v>
      </c>
      <c r="B39" s="138">
        <v>0</v>
      </c>
      <c r="C39" s="138">
        <v>17</v>
      </c>
      <c r="D39" s="138">
        <v>0</v>
      </c>
      <c r="E39" s="138">
        <v>30</v>
      </c>
      <c r="F39" s="138">
        <v>31</v>
      </c>
      <c r="G39" s="138">
        <v>12</v>
      </c>
      <c r="H39" s="138">
        <v>19</v>
      </c>
      <c r="I39" s="138">
        <v>30</v>
      </c>
      <c r="J39" s="138">
        <v>0</v>
      </c>
      <c r="K39" s="138">
        <v>0</v>
      </c>
      <c r="L39" s="138">
        <v>0</v>
      </c>
      <c r="M39" s="138">
        <v>0</v>
      </c>
      <c r="N39" s="131">
        <f>SUM(B39:M39)</f>
        <v>139</v>
      </c>
    </row>
    <row r="40" spans="1:14" ht="12" customHeight="1">
      <c r="A40" s="117" t="s">
        <v>79</v>
      </c>
      <c r="B40" s="130" t="e">
        <f t="shared" ref="B40:M40" si="15">B34/B38</f>
        <v>#DIV/0!</v>
      </c>
      <c r="C40" s="130">
        <f t="shared" si="15"/>
        <v>2500</v>
      </c>
      <c r="D40" s="130" t="e">
        <f t="shared" si="15"/>
        <v>#DIV/0!</v>
      </c>
      <c r="E40" s="130">
        <f t="shared" si="15"/>
        <v>3000</v>
      </c>
      <c r="F40" s="130">
        <f t="shared" si="15"/>
        <v>3000</v>
      </c>
      <c r="G40" s="130">
        <f t="shared" si="15"/>
        <v>3833.3333333333335</v>
      </c>
      <c r="H40" s="130">
        <f t="shared" si="15"/>
        <v>3000</v>
      </c>
      <c r="I40" s="130">
        <f t="shared" si="15"/>
        <v>2500</v>
      </c>
      <c r="J40" s="130" t="e">
        <f t="shared" si="15"/>
        <v>#DIV/0!</v>
      </c>
      <c r="K40" s="130" t="e">
        <f t="shared" si="15"/>
        <v>#DIV/0!</v>
      </c>
      <c r="L40" s="130" t="e">
        <f t="shared" si="15"/>
        <v>#DIV/0!</v>
      </c>
      <c r="M40" s="130" t="e">
        <f t="shared" si="15"/>
        <v>#DIV/0!</v>
      </c>
      <c r="N40" s="131" t="e">
        <f>AVERAGE(B40:M40)</f>
        <v>#DIV/0!</v>
      </c>
    </row>
    <row r="41" spans="1:14" ht="12.75" customHeight="1">
      <c r="A41" s="132" t="s">
        <v>80</v>
      </c>
      <c r="B41" s="139" t="e">
        <f t="shared" ref="B41:M41" si="16">B34/B39</f>
        <v>#DIV/0!</v>
      </c>
      <c r="C41" s="139">
        <f t="shared" si="16"/>
        <v>2500</v>
      </c>
      <c r="D41" s="139" t="e">
        <f t="shared" si="16"/>
        <v>#DIV/0!</v>
      </c>
      <c r="E41" s="139">
        <f t="shared" si="16"/>
        <v>3000</v>
      </c>
      <c r="F41" s="139">
        <f t="shared" si="16"/>
        <v>3000</v>
      </c>
      <c r="G41" s="139">
        <f t="shared" si="16"/>
        <v>3833.3333333333335</v>
      </c>
      <c r="H41" s="139">
        <f t="shared" si="16"/>
        <v>3000</v>
      </c>
      <c r="I41" s="139">
        <f t="shared" si="16"/>
        <v>2500</v>
      </c>
      <c r="J41" s="139" t="e">
        <f t="shared" si="16"/>
        <v>#DIV/0!</v>
      </c>
      <c r="K41" s="139" t="e">
        <f t="shared" si="16"/>
        <v>#DIV/0!</v>
      </c>
      <c r="L41" s="139" t="e">
        <f t="shared" si="16"/>
        <v>#DIV/0!</v>
      </c>
      <c r="M41" s="139" t="e">
        <f t="shared" si="16"/>
        <v>#DIV/0!</v>
      </c>
      <c r="N41" s="140" t="e">
        <f>AVERAGE(B41:M41)</f>
        <v>#DIV/0!</v>
      </c>
    </row>
    <row r="42" spans="1:14" ht="12.75" customHeight="1">
      <c r="A42" s="135" t="s">
        <v>114</v>
      </c>
      <c r="B42" s="168">
        <v>60000</v>
      </c>
      <c r="C42" s="168">
        <v>121500</v>
      </c>
      <c r="D42" s="168">
        <v>69000</v>
      </c>
      <c r="E42" s="168">
        <v>58000</v>
      </c>
      <c r="F42" s="168">
        <v>9000</v>
      </c>
      <c r="G42" s="168">
        <v>108000</v>
      </c>
      <c r="H42" s="168">
        <v>63000</v>
      </c>
      <c r="I42" s="168">
        <v>56500</v>
      </c>
      <c r="J42" s="168">
        <v>44000</v>
      </c>
      <c r="K42" s="168">
        <v>57000</v>
      </c>
      <c r="L42" s="168">
        <v>48000</v>
      </c>
      <c r="M42" s="168">
        <v>54500</v>
      </c>
      <c r="N42" s="155">
        <v>748500</v>
      </c>
    </row>
    <row r="43" spans="1:14" ht="12.75" customHeight="1">
      <c r="A43" s="117" t="s">
        <v>115</v>
      </c>
      <c r="B43" s="128">
        <f t="shared" ref="B43:N43" si="17">B34/B42</f>
        <v>0</v>
      </c>
      <c r="C43" s="128">
        <f t="shared" si="17"/>
        <v>0.34979423868312759</v>
      </c>
      <c r="D43" s="128">
        <f t="shared" si="17"/>
        <v>0</v>
      </c>
      <c r="E43" s="128">
        <f t="shared" si="17"/>
        <v>1.5517241379310345</v>
      </c>
      <c r="F43" s="128">
        <f t="shared" si="17"/>
        <v>10.333333333333334</v>
      </c>
      <c r="G43" s="128">
        <f t="shared" si="17"/>
        <v>0.42592592592592593</v>
      </c>
      <c r="H43" s="128">
        <f t="shared" si="17"/>
        <v>0.90476190476190477</v>
      </c>
      <c r="I43" s="128">
        <f t="shared" si="17"/>
        <v>1.3274336283185841</v>
      </c>
      <c r="J43" s="128">
        <f t="shared" si="17"/>
        <v>0</v>
      </c>
      <c r="K43" s="128">
        <f t="shared" si="17"/>
        <v>0</v>
      </c>
      <c r="L43" s="128">
        <f t="shared" si="17"/>
        <v>0</v>
      </c>
      <c r="M43" s="128">
        <f t="shared" si="17"/>
        <v>0</v>
      </c>
      <c r="N43" s="129">
        <f t="shared" si="17"/>
        <v>0.53907815631262523</v>
      </c>
    </row>
    <row r="44" spans="1:14" ht="12.75" customHeight="1">
      <c r="A44" s="117" t="s">
        <v>118</v>
      </c>
      <c r="B44" s="118">
        <f t="shared" ref="B44:M44" si="18">C109</f>
        <v>-46423</v>
      </c>
      <c r="C44" s="118">
        <f t="shared" si="18"/>
        <v>-31962</v>
      </c>
      <c r="D44" s="118">
        <f t="shared" si="18"/>
        <v>-55726</v>
      </c>
      <c r="E44" s="118">
        <f t="shared" si="18"/>
        <v>0</v>
      </c>
      <c r="F44" s="118">
        <f t="shared" si="18"/>
        <v>0</v>
      </c>
      <c r="G44" s="118">
        <f t="shared" si="18"/>
        <v>0</v>
      </c>
      <c r="H44" s="118">
        <f t="shared" si="18"/>
        <v>0</v>
      </c>
      <c r="I44" s="118">
        <f t="shared" si="18"/>
        <v>0</v>
      </c>
      <c r="J44" s="118">
        <f t="shared" si="18"/>
        <v>0</v>
      </c>
      <c r="K44" s="118">
        <f t="shared" si="18"/>
        <v>0</v>
      </c>
      <c r="L44" s="118">
        <f t="shared" si="18"/>
        <v>0</v>
      </c>
      <c r="M44" s="118">
        <f t="shared" si="18"/>
        <v>0</v>
      </c>
      <c r="N44" s="119">
        <f>SUM(B44:M44)</f>
        <v>-134111</v>
      </c>
    </row>
    <row r="45" spans="1:14" ht="12.75" customHeight="1">
      <c r="A45" s="132" t="s">
        <v>309</v>
      </c>
      <c r="B45" s="139">
        <f t="shared" ref="B45:M45" si="19">B34-B44</f>
        <v>46423</v>
      </c>
      <c r="C45" s="139">
        <f t="shared" si="19"/>
        <v>74462</v>
      </c>
      <c r="D45" s="139">
        <f t="shared" si="19"/>
        <v>55726</v>
      </c>
      <c r="E45" s="139">
        <f t="shared" si="19"/>
        <v>90000</v>
      </c>
      <c r="F45" s="139">
        <f t="shared" si="19"/>
        <v>93000</v>
      </c>
      <c r="G45" s="139">
        <f t="shared" si="19"/>
        <v>46000</v>
      </c>
      <c r="H45" s="139">
        <f t="shared" si="19"/>
        <v>57000</v>
      </c>
      <c r="I45" s="139">
        <f t="shared" si="19"/>
        <v>75000</v>
      </c>
      <c r="J45" s="139">
        <f t="shared" si="19"/>
        <v>0</v>
      </c>
      <c r="K45" s="139">
        <f t="shared" si="19"/>
        <v>0</v>
      </c>
      <c r="L45" s="139">
        <f t="shared" si="19"/>
        <v>0</v>
      </c>
      <c r="M45" s="139">
        <f t="shared" si="19"/>
        <v>0</v>
      </c>
      <c r="N45" s="140">
        <f>SUM(B45:M45)</f>
        <v>537611</v>
      </c>
    </row>
    <row r="46" spans="1:14" ht="9.75" customHeight="1"/>
    <row r="47" spans="1:14" ht="12.75" customHeight="1">
      <c r="A47" s="285" t="s">
        <v>41</v>
      </c>
      <c r="B47" s="115" t="s">
        <v>98</v>
      </c>
      <c r="C47" s="115" t="s">
        <v>99</v>
      </c>
      <c r="D47" s="115" t="s">
        <v>100</v>
      </c>
      <c r="E47" s="115" t="s">
        <v>101</v>
      </c>
      <c r="F47" s="115" t="s">
        <v>102</v>
      </c>
      <c r="G47" s="115" t="s">
        <v>103</v>
      </c>
      <c r="H47" s="115" t="s">
        <v>104</v>
      </c>
      <c r="I47" s="115" t="s">
        <v>105</v>
      </c>
      <c r="J47" s="115" t="s">
        <v>106</v>
      </c>
      <c r="K47" s="115" t="s">
        <v>107</v>
      </c>
      <c r="L47" s="115" t="s">
        <v>108</v>
      </c>
      <c r="M47" s="115" t="s">
        <v>109</v>
      </c>
      <c r="N47" s="116" t="s">
        <v>42</v>
      </c>
    </row>
    <row r="48" spans="1:14" ht="12.75" customHeight="1">
      <c r="A48" s="117" t="s">
        <v>110</v>
      </c>
      <c r="B48" s="118">
        <v>0</v>
      </c>
      <c r="C48" s="118">
        <v>0</v>
      </c>
      <c r="D48" s="118">
        <v>0</v>
      </c>
      <c r="E48" s="118">
        <v>0</v>
      </c>
      <c r="F48" s="118">
        <v>15000</v>
      </c>
      <c r="G48" s="118">
        <v>0</v>
      </c>
      <c r="H48" s="118">
        <v>0</v>
      </c>
      <c r="I48" s="118">
        <v>77500</v>
      </c>
      <c r="J48" s="118">
        <v>132500</v>
      </c>
      <c r="K48" s="118">
        <v>75000</v>
      </c>
      <c r="L48" s="118">
        <v>35000</v>
      </c>
      <c r="M48" s="118">
        <v>77500</v>
      </c>
      <c r="N48" s="119">
        <f>SUM(B48:M48)</f>
        <v>412500</v>
      </c>
    </row>
    <row r="49" spans="1:14" ht="12.75" customHeight="1">
      <c r="A49" s="117" t="s">
        <v>111</v>
      </c>
      <c r="B49" s="126">
        <v>77500</v>
      </c>
      <c r="C49" s="126">
        <v>77500</v>
      </c>
      <c r="D49" s="126">
        <v>80000</v>
      </c>
      <c r="E49" s="126">
        <v>105000</v>
      </c>
      <c r="F49" s="126">
        <v>77500</v>
      </c>
      <c r="G49" s="126">
        <v>72500</v>
      </c>
      <c r="H49" s="126">
        <v>0</v>
      </c>
      <c r="I49" s="126">
        <v>0</v>
      </c>
      <c r="J49" s="126">
        <v>0</v>
      </c>
      <c r="K49" s="126">
        <v>0</v>
      </c>
      <c r="L49" s="126">
        <v>0</v>
      </c>
      <c r="M49" s="126">
        <v>0</v>
      </c>
      <c r="N49" s="119">
        <f>SUM(B49:M49)</f>
        <v>490000</v>
      </c>
    </row>
    <row r="50" spans="1:14" ht="12.75" customHeight="1">
      <c r="A50" s="117" t="s">
        <v>112</v>
      </c>
      <c r="B50" s="128" t="e">
        <f t="shared" ref="B50:N50" si="20">B49/B48</f>
        <v>#DIV/0!</v>
      </c>
      <c r="C50" s="128" t="e">
        <f t="shared" si="20"/>
        <v>#DIV/0!</v>
      </c>
      <c r="D50" s="128" t="e">
        <f t="shared" si="20"/>
        <v>#DIV/0!</v>
      </c>
      <c r="E50" s="128" t="e">
        <f t="shared" si="20"/>
        <v>#DIV/0!</v>
      </c>
      <c r="F50" s="128">
        <f t="shared" si="20"/>
        <v>5.166666666666667</v>
      </c>
      <c r="G50" s="128" t="e">
        <f t="shared" si="20"/>
        <v>#DIV/0!</v>
      </c>
      <c r="H50" s="128" t="e">
        <f t="shared" si="20"/>
        <v>#DIV/0!</v>
      </c>
      <c r="I50" s="128">
        <f t="shared" si="20"/>
        <v>0</v>
      </c>
      <c r="J50" s="128">
        <f t="shared" si="20"/>
        <v>0</v>
      </c>
      <c r="K50" s="128">
        <f t="shared" si="20"/>
        <v>0</v>
      </c>
      <c r="L50" s="128">
        <f t="shared" si="20"/>
        <v>0</v>
      </c>
      <c r="M50" s="128">
        <f t="shared" si="20"/>
        <v>0</v>
      </c>
      <c r="N50" s="129">
        <f t="shared" si="20"/>
        <v>1.187878787878788</v>
      </c>
    </row>
    <row r="51" spans="1:14" ht="12.75" customHeight="1">
      <c r="A51" s="117" t="s">
        <v>113</v>
      </c>
      <c r="B51" s="130">
        <f t="shared" ref="B51:M51" si="21">B49-B48</f>
        <v>77500</v>
      </c>
      <c r="C51" s="130">
        <f t="shared" si="21"/>
        <v>77500</v>
      </c>
      <c r="D51" s="130">
        <f t="shared" si="21"/>
        <v>80000</v>
      </c>
      <c r="E51" s="130">
        <f t="shared" si="21"/>
        <v>105000</v>
      </c>
      <c r="F51" s="130">
        <f t="shared" si="21"/>
        <v>62500</v>
      </c>
      <c r="G51" s="130">
        <f t="shared" si="21"/>
        <v>72500</v>
      </c>
      <c r="H51" s="130">
        <f t="shared" si="21"/>
        <v>0</v>
      </c>
      <c r="I51" s="130">
        <f t="shared" si="21"/>
        <v>-77500</v>
      </c>
      <c r="J51" s="130">
        <f t="shared" si="21"/>
        <v>-132500</v>
      </c>
      <c r="K51" s="130">
        <f t="shared" si="21"/>
        <v>-75000</v>
      </c>
      <c r="L51" s="130">
        <f t="shared" si="21"/>
        <v>-35000</v>
      </c>
      <c r="M51" s="130">
        <f t="shared" si="21"/>
        <v>-77500</v>
      </c>
      <c r="N51" s="131">
        <f>SUM(B51:M51)</f>
        <v>77500</v>
      </c>
    </row>
    <row r="52" spans="1:14" ht="12.75" customHeight="1">
      <c r="A52" s="132" t="s">
        <v>81</v>
      </c>
      <c r="B52" s="133">
        <f>B53/(2*31)</f>
        <v>0.5</v>
      </c>
      <c r="C52" s="133">
        <f>C53/(2*29)</f>
        <v>0.53448275862068961</v>
      </c>
      <c r="D52" s="133">
        <f>D53/(2*31)</f>
        <v>0.5</v>
      </c>
      <c r="E52" s="133">
        <f>E53/(2*30)</f>
        <v>0.7</v>
      </c>
      <c r="F52" s="133">
        <f>F53/(2*31)</f>
        <v>0.5</v>
      </c>
      <c r="G52" s="133">
        <f>G53/(2*30)</f>
        <v>0.48333333333333334</v>
      </c>
      <c r="H52" s="133">
        <f>H53/(2*31)</f>
        <v>0</v>
      </c>
      <c r="I52" s="133">
        <f>I53/(2*31)</f>
        <v>0</v>
      </c>
      <c r="J52" s="133">
        <f>J53/(2*30)</f>
        <v>0</v>
      </c>
      <c r="K52" s="133">
        <f>K53/(2*31)</f>
        <v>0</v>
      </c>
      <c r="L52" s="133">
        <f>L53/(2*30)</f>
        <v>0</v>
      </c>
      <c r="M52" s="133">
        <f>M53/(2*31)</f>
        <v>0</v>
      </c>
      <c r="N52" s="134">
        <f>N53/(2*365)</f>
        <v>0.26712328767123289</v>
      </c>
    </row>
    <row r="53" spans="1:14" ht="12.75" customHeight="1">
      <c r="A53" s="135" t="s">
        <v>77</v>
      </c>
      <c r="B53" s="136">
        <v>31</v>
      </c>
      <c r="C53" s="136">
        <v>31</v>
      </c>
      <c r="D53" s="136">
        <v>31</v>
      </c>
      <c r="E53" s="136">
        <v>42</v>
      </c>
      <c r="F53" s="136">
        <v>31</v>
      </c>
      <c r="G53" s="136">
        <v>29</v>
      </c>
      <c r="H53" s="136">
        <v>0</v>
      </c>
      <c r="I53" s="136">
        <v>0</v>
      </c>
      <c r="J53" s="136">
        <v>0</v>
      </c>
      <c r="K53" s="136">
        <v>0</v>
      </c>
      <c r="L53" s="136">
        <v>0</v>
      </c>
      <c r="M53" s="136">
        <v>0</v>
      </c>
      <c r="N53" s="137">
        <f>SUM(B53:M53)</f>
        <v>195</v>
      </c>
    </row>
    <row r="54" spans="1:14" ht="12.75" customHeight="1">
      <c r="A54" s="117" t="s">
        <v>78</v>
      </c>
      <c r="B54" s="138">
        <v>31</v>
      </c>
      <c r="C54" s="138">
        <v>31</v>
      </c>
      <c r="D54" s="138">
        <v>31</v>
      </c>
      <c r="E54" s="138">
        <v>42</v>
      </c>
      <c r="F54" s="138">
        <v>31</v>
      </c>
      <c r="G54" s="138">
        <v>29</v>
      </c>
      <c r="H54" s="138">
        <v>0</v>
      </c>
      <c r="I54" s="138">
        <v>0</v>
      </c>
      <c r="J54" s="138">
        <v>0</v>
      </c>
      <c r="K54" s="138">
        <v>0</v>
      </c>
      <c r="L54" s="138">
        <v>0</v>
      </c>
      <c r="M54" s="138">
        <v>0</v>
      </c>
      <c r="N54" s="131">
        <f>SUM(B54:M54)</f>
        <v>195</v>
      </c>
    </row>
    <row r="55" spans="1:14" ht="12.75" customHeight="1">
      <c r="A55" s="117" t="s">
        <v>79</v>
      </c>
      <c r="B55" s="130">
        <f t="shared" ref="B55:N55" si="22">B49/B53</f>
        <v>2500</v>
      </c>
      <c r="C55" s="130">
        <f t="shared" si="22"/>
        <v>2500</v>
      </c>
      <c r="D55" s="130">
        <f t="shared" si="22"/>
        <v>2580.6451612903224</v>
      </c>
      <c r="E55" s="130">
        <f t="shared" si="22"/>
        <v>2500</v>
      </c>
      <c r="F55" s="130">
        <f t="shared" si="22"/>
        <v>2500</v>
      </c>
      <c r="G55" s="130">
        <f t="shared" si="22"/>
        <v>2500</v>
      </c>
      <c r="H55" s="130" t="e">
        <f t="shared" si="22"/>
        <v>#DIV/0!</v>
      </c>
      <c r="I55" s="130" t="e">
        <f t="shared" si="22"/>
        <v>#DIV/0!</v>
      </c>
      <c r="J55" s="130" t="e">
        <f t="shared" si="22"/>
        <v>#DIV/0!</v>
      </c>
      <c r="K55" s="130" t="e">
        <f t="shared" si="22"/>
        <v>#DIV/0!</v>
      </c>
      <c r="L55" s="130" t="e">
        <f t="shared" si="22"/>
        <v>#DIV/0!</v>
      </c>
      <c r="M55" s="130" t="e">
        <f t="shared" si="22"/>
        <v>#DIV/0!</v>
      </c>
      <c r="N55" s="131">
        <f t="shared" si="22"/>
        <v>2512.8205128205127</v>
      </c>
    </row>
    <row r="56" spans="1:14" ht="12.75" customHeight="1">
      <c r="A56" s="132" t="s">
        <v>80</v>
      </c>
      <c r="B56" s="139">
        <f t="shared" ref="B56:N56" si="23">B49/B54</f>
        <v>2500</v>
      </c>
      <c r="C56" s="139">
        <f t="shared" si="23"/>
        <v>2500</v>
      </c>
      <c r="D56" s="139">
        <f t="shared" si="23"/>
        <v>2580.6451612903224</v>
      </c>
      <c r="E56" s="139">
        <f t="shared" si="23"/>
        <v>2500</v>
      </c>
      <c r="F56" s="139">
        <f t="shared" si="23"/>
        <v>2500</v>
      </c>
      <c r="G56" s="139">
        <f t="shared" si="23"/>
        <v>2500</v>
      </c>
      <c r="H56" s="139" t="e">
        <f t="shared" si="23"/>
        <v>#DIV/0!</v>
      </c>
      <c r="I56" s="139" t="e">
        <f t="shared" si="23"/>
        <v>#DIV/0!</v>
      </c>
      <c r="J56" s="139" t="e">
        <f t="shared" si="23"/>
        <v>#DIV/0!</v>
      </c>
      <c r="K56" s="139" t="e">
        <f t="shared" si="23"/>
        <v>#DIV/0!</v>
      </c>
      <c r="L56" s="139" t="e">
        <f t="shared" si="23"/>
        <v>#DIV/0!</v>
      </c>
      <c r="M56" s="139" t="e">
        <f t="shared" si="23"/>
        <v>#DIV/0!</v>
      </c>
      <c r="N56" s="140">
        <f t="shared" si="23"/>
        <v>2512.8205128205127</v>
      </c>
    </row>
    <row r="57" spans="1:14" ht="12.75" customHeight="1">
      <c r="A57" s="135" t="s">
        <v>114</v>
      </c>
      <c r="B57" s="168">
        <v>0</v>
      </c>
      <c r="C57" s="168">
        <v>0</v>
      </c>
      <c r="D57" s="168">
        <v>0</v>
      </c>
      <c r="E57" s="168">
        <v>0</v>
      </c>
      <c r="F57" s="168">
        <v>15000</v>
      </c>
      <c r="G57" s="168">
        <v>0</v>
      </c>
      <c r="H57" s="168">
        <v>0</v>
      </c>
      <c r="I57" s="168">
        <v>77500</v>
      </c>
      <c r="J57" s="168">
        <v>132500</v>
      </c>
      <c r="K57" s="168">
        <v>75000</v>
      </c>
      <c r="L57" s="168">
        <v>35000</v>
      </c>
      <c r="M57" s="168">
        <v>77500</v>
      </c>
      <c r="N57" s="155">
        <f>SUM(B57:M57)</f>
        <v>412500</v>
      </c>
    </row>
    <row r="58" spans="1:14" ht="12.75" customHeight="1">
      <c r="A58" s="117" t="s">
        <v>115</v>
      </c>
      <c r="B58" s="128" t="e">
        <f t="shared" ref="B58:N58" si="24">B49/B57</f>
        <v>#DIV/0!</v>
      </c>
      <c r="C58" s="128" t="e">
        <f t="shared" si="24"/>
        <v>#DIV/0!</v>
      </c>
      <c r="D58" s="128" t="e">
        <f t="shared" si="24"/>
        <v>#DIV/0!</v>
      </c>
      <c r="E58" s="128" t="e">
        <f t="shared" si="24"/>
        <v>#DIV/0!</v>
      </c>
      <c r="F58" s="128">
        <f t="shared" si="24"/>
        <v>5.166666666666667</v>
      </c>
      <c r="G58" s="128" t="e">
        <f t="shared" si="24"/>
        <v>#DIV/0!</v>
      </c>
      <c r="H58" s="128" t="e">
        <f t="shared" si="24"/>
        <v>#DIV/0!</v>
      </c>
      <c r="I58" s="128">
        <f t="shared" si="24"/>
        <v>0</v>
      </c>
      <c r="J58" s="128">
        <f t="shared" si="24"/>
        <v>0</v>
      </c>
      <c r="K58" s="128">
        <f t="shared" si="24"/>
        <v>0</v>
      </c>
      <c r="L58" s="128">
        <f t="shared" si="24"/>
        <v>0</v>
      </c>
      <c r="M58" s="128">
        <f t="shared" si="24"/>
        <v>0</v>
      </c>
      <c r="N58" s="129">
        <f t="shared" si="24"/>
        <v>1.187878787878788</v>
      </c>
    </row>
    <row r="59" spans="1:14" ht="12.75" customHeight="1">
      <c r="A59" s="117" t="s">
        <v>118</v>
      </c>
      <c r="B59" s="118">
        <f t="shared" ref="B59:M59" si="25">C119</f>
        <v>-19550</v>
      </c>
      <c r="C59" s="118">
        <f t="shared" si="25"/>
        <v>-16980</v>
      </c>
      <c r="D59" s="118">
        <f t="shared" si="25"/>
        <v>-19594</v>
      </c>
      <c r="E59" s="118">
        <f t="shared" si="25"/>
        <v>0</v>
      </c>
      <c r="F59" s="118">
        <f t="shared" si="25"/>
        <v>0</v>
      </c>
      <c r="G59" s="118">
        <f t="shared" si="25"/>
        <v>0</v>
      </c>
      <c r="H59" s="118">
        <f t="shared" si="25"/>
        <v>0</v>
      </c>
      <c r="I59" s="118">
        <f t="shared" si="25"/>
        <v>0</v>
      </c>
      <c r="J59" s="118">
        <f t="shared" si="25"/>
        <v>0</v>
      </c>
      <c r="K59" s="118">
        <f t="shared" si="25"/>
        <v>0</v>
      </c>
      <c r="L59" s="118">
        <f t="shared" si="25"/>
        <v>0</v>
      </c>
      <c r="M59" s="118">
        <f t="shared" si="25"/>
        <v>0</v>
      </c>
      <c r="N59" s="119"/>
    </row>
    <row r="60" spans="1:14" ht="12.75" customHeight="1">
      <c r="A60" s="132" t="s">
        <v>309</v>
      </c>
      <c r="B60" s="139">
        <f t="shared" ref="B60:M60" si="26">B49-B59</f>
        <v>97050</v>
      </c>
      <c r="C60" s="139">
        <f t="shared" si="26"/>
        <v>94480</v>
      </c>
      <c r="D60" s="139">
        <f t="shared" si="26"/>
        <v>99594</v>
      </c>
      <c r="E60" s="139">
        <f t="shared" si="26"/>
        <v>105000</v>
      </c>
      <c r="F60" s="139">
        <f t="shared" si="26"/>
        <v>77500</v>
      </c>
      <c r="G60" s="139">
        <f t="shared" si="26"/>
        <v>72500</v>
      </c>
      <c r="H60" s="139">
        <f t="shared" si="26"/>
        <v>0</v>
      </c>
      <c r="I60" s="139">
        <f t="shared" si="26"/>
        <v>0</v>
      </c>
      <c r="J60" s="139">
        <f t="shared" si="26"/>
        <v>0</v>
      </c>
      <c r="K60" s="139">
        <f t="shared" si="26"/>
        <v>0</v>
      </c>
      <c r="L60" s="139">
        <f t="shared" si="26"/>
        <v>0</v>
      </c>
      <c r="M60" s="139">
        <f t="shared" si="26"/>
        <v>0</v>
      </c>
      <c r="N60" s="140"/>
    </row>
    <row r="61" spans="1:14" ht="12.75" customHeight="1">
      <c r="A61" s="195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</row>
    <row r="62" spans="1:14" ht="12.75" customHeight="1">
      <c r="A62" s="285" t="s">
        <v>310</v>
      </c>
      <c r="B62" s="115" t="s">
        <v>98</v>
      </c>
      <c r="C62" s="115" t="s">
        <v>99</v>
      </c>
      <c r="D62" s="115" t="s">
        <v>100</v>
      </c>
      <c r="E62" s="115" t="s">
        <v>101</v>
      </c>
      <c r="F62" s="115" t="s">
        <v>102</v>
      </c>
      <c r="G62" s="115" t="s">
        <v>103</v>
      </c>
      <c r="H62" s="115" t="s">
        <v>104</v>
      </c>
      <c r="I62" s="115" t="s">
        <v>105</v>
      </c>
      <c r="J62" s="115" t="s">
        <v>106</v>
      </c>
      <c r="K62" s="115" t="s">
        <v>107</v>
      </c>
      <c r="L62" s="115" t="s">
        <v>108</v>
      </c>
      <c r="M62" s="115" t="s">
        <v>109</v>
      </c>
      <c r="N62" s="116" t="s">
        <v>42</v>
      </c>
    </row>
    <row r="63" spans="1:14" ht="12.75" customHeight="1">
      <c r="A63" s="117" t="s">
        <v>110</v>
      </c>
      <c r="B63" s="118">
        <v>10960</v>
      </c>
      <c r="C63" s="118">
        <v>1494</v>
      </c>
      <c r="D63" s="118">
        <v>293780</v>
      </c>
      <c r="E63" s="118">
        <v>117300</v>
      </c>
      <c r="F63" s="118">
        <v>42340</v>
      </c>
      <c r="G63" s="118">
        <v>24900</v>
      </c>
      <c r="H63" s="118">
        <v>105380</v>
      </c>
      <c r="I63" s="118">
        <v>77500</v>
      </c>
      <c r="J63" s="118">
        <v>45890</v>
      </c>
      <c r="K63" s="118">
        <v>76000</v>
      </c>
      <c r="L63" s="118">
        <v>39500</v>
      </c>
      <c r="M63" s="118">
        <v>32480</v>
      </c>
      <c r="N63" s="119">
        <v>867524</v>
      </c>
    </row>
    <row r="64" spans="1:14" ht="12.75" customHeight="1">
      <c r="A64" s="117" t="s">
        <v>111</v>
      </c>
      <c r="B64" s="126">
        <v>46000</v>
      </c>
      <c r="C64" s="126">
        <v>34500</v>
      </c>
      <c r="D64" s="126">
        <v>63000</v>
      </c>
      <c r="E64" s="126">
        <v>157500</v>
      </c>
      <c r="F64" s="126">
        <v>106000</v>
      </c>
      <c r="G64" s="126">
        <v>0</v>
      </c>
      <c r="H64" s="126">
        <v>0</v>
      </c>
      <c r="I64" s="126">
        <v>0</v>
      </c>
      <c r="J64" s="126">
        <v>0</v>
      </c>
      <c r="K64" s="126">
        <v>0</v>
      </c>
      <c r="L64" s="126">
        <v>0</v>
      </c>
      <c r="M64" s="126">
        <v>0</v>
      </c>
      <c r="N64" s="119">
        <f>SUM(B64:M64)</f>
        <v>407000</v>
      </c>
    </row>
    <row r="65" spans="1:15" ht="12.75" customHeight="1">
      <c r="A65" s="117" t="s">
        <v>112</v>
      </c>
      <c r="B65" s="128">
        <f t="shared" ref="B65:N65" si="27">B64/B63</f>
        <v>4.1970802919708028</v>
      </c>
      <c r="C65" s="128">
        <f t="shared" si="27"/>
        <v>23.092369477911646</v>
      </c>
      <c r="D65" s="128">
        <f t="shared" si="27"/>
        <v>0.21444618421948397</v>
      </c>
      <c r="E65" s="128">
        <f t="shared" si="27"/>
        <v>1.3427109974424551</v>
      </c>
      <c r="F65" s="128">
        <f t="shared" si="27"/>
        <v>2.5035427491733584</v>
      </c>
      <c r="G65" s="128">
        <f t="shared" si="27"/>
        <v>0</v>
      </c>
      <c r="H65" s="128">
        <f t="shared" si="27"/>
        <v>0</v>
      </c>
      <c r="I65" s="128">
        <f t="shared" si="27"/>
        <v>0</v>
      </c>
      <c r="J65" s="128">
        <f t="shared" si="27"/>
        <v>0</v>
      </c>
      <c r="K65" s="128">
        <f t="shared" si="27"/>
        <v>0</v>
      </c>
      <c r="L65" s="128">
        <f t="shared" si="27"/>
        <v>0</v>
      </c>
      <c r="M65" s="128">
        <f t="shared" si="27"/>
        <v>0</v>
      </c>
      <c r="N65" s="129">
        <f t="shared" si="27"/>
        <v>0.46915128572811821</v>
      </c>
    </row>
    <row r="66" spans="1:15" ht="12.75" customHeight="1">
      <c r="A66" s="117" t="s">
        <v>113</v>
      </c>
      <c r="B66" s="130">
        <f t="shared" ref="B66:M66" si="28">B64-B63</f>
        <v>35040</v>
      </c>
      <c r="C66" s="130">
        <f t="shared" si="28"/>
        <v>33006</v>
      </c>
      <c r="D66" s="130">
        <f t="shared" si="28"/>
        <v>-230780</v>
      </c>
      <c r="E66" s="130">
        <f t="shared" si="28"/>
        <v>40200</v>
      </c>
      <c r="F66" s="130">
        <f t="shared" si="28"/>
        <v>63660</v>
      </c>
      <c r="G66" s="130">
        <f t="shared" si="28"/>
        <v>-24900</v>
      </c>
      <c r="H66" s="130">
        <f t="shared" si="28"/>
        <v>-105380</v>
      </c>
      <c r="I66" s="130">
        <f t="shared" si="28"/>
        <v>-77500</v>
      </c>
      <c r="J66" s="130">
        <f t="shared" si="28"/>
        <v>-45890</v>
      </c>
      <c r="K66" s="130">
        <f t="shared" si="28"/>
        <v>-76000</v>
      </c>
      <c r="L66" s="130">
        <f t="shared" si="28"/>
        <v>-39500</v>
      </c>
      <c r="M66" s="130">
        <f t="shared" si="28"/>
        <v>-32480</v>
      </c>
      <c r="N66" s="131">
        <f>SUM(B66:M66)</f>
        <v>-460524</v>
      </c>
    </row>
    <row r="67" spans="1:15" ht="12.75" customHeight="1">
      <c r="A67" s="132" t="s">
        <v>81</v>
      </c>
      <c r="B67" s="133">
        <f>B68/(6*31)</f>
        <v>4.8387096774193547E-2</v>
      </c>
      <c r="C67" s="133">
        <f>C68/(6*29)</f>
        <v>4.5977011494252873E-2</v>
      </c>
      <c r="D67" s="133">
        <f>D68/(6*31)</f>
        <v>7.5268817204301078E-2</v>
      </c>
      <c r="E67" s="133">
        <f>E68/(6*30)</f>
        <v>0.19444444444444445</v>
      </c>
      <c r="F67" s="133">
        <f>F68/(6*31)</f>
        <v>0.12365591397849462</v>
      </c>
      <c r="G67" s="133">
        <f>G68/(6*30)</f>
        <v>0</v>
      </c>
      <c r="H67" s="133">
        <f>H68/(6*31)</f>
        <v>0</v>
      </c>
      <c r="I67" s="133">
        <f>I68/(4*31)</f>
        <v>0</v>
      </c>
      <c r="J67" s="133">
        <f>J68/(3*30)</f>
        <v>0</v>
      </c>
      <c r="K67" s="133">
        <f>K68/(3*31)</f>
        <v>0</v>
      </c>
      <c r="L67" s="133">
        <f>L68/(3*30)</f>
        <v>0</v>
      </c>
      <c r="M67" s="133">
        <f>M68/(3*31)</f>
        <v>0</v>
      </c>
      <c r="N67" s="134">
        <f>N68/(2*365)</f>
        <v>0.12191780821917808</v>
      </c>
    </row>
    <row r="68" spans="1:15" ht="12.75" customHeight="1">
      <c r="A68" s="135" t="s">
        <v>77</v>
      </c>
      <c r="B68" s="136">
        <v>9</v>
      </c>
      <c r="C68" s="136">
        <v>8</v>
      </c>
      <c r="D68" s="136">
        <v>14</v>
      </c>
      <c r="E68" s="136">
        <v>35</v>
      </c>
      <c r="F68" s="136">
        <v>23</v>
      </c>
      <c r="G68" s="136">
        <v>0</v>
      </c>
      <c r="H68" s="136">
        <v>0</v>
      </c>
      <c r="I68" s="136">
        <v>0</v>
      </c>
      <c r="J68" s="136">
        <v>0</v>
      </c>
      <c r="K68" s="136">
        <v>0</v>
      </c>
      <c r="L68" s="136">
        <v>0</v>
      </c>
      <c r="M68" s="136">
        <v>0</v>
      </c>
      <c r="N68" s="137">
        <f>SUM(B68:M68)</f>
        <v>89</v>
      </c>
    </row>
    <row r="69" spans="1:15" ht="12.75" customHeight="1">
      <c r="A69" s="117" t="s">
        <v>78</v>
      </c>
      <c r="B69" s="138">
        <v>12</v>
      </c>
      <c r="C69" s="138">
        <v>8</v>
      </c>
      <c r="D69" s="138">
        <v>14</v>
      </c>
      <c r="E69" s="138">
        <v>35</v>
      </c>
      <c r="F69" s="138">
        <v>24</v>
      </c>
      <c r="G69" s="138">
        <v>0</v>
      </c>
      <c r="H69" s="138">
        <v>0</v>
      </c>
      <c r="I69" s="138">
        <v>0</v>
      </c>
      <c r="J69" s="138">
        <v>0</v>
      </c>
      <c r="K69" s="138">
        <v>0</v>
      </c>
      <c r="L69" s="138">
        <v>0</v>
      </c>
      <c r="M69" s="138">
        <v>0</v>
      </c>
      <c r="N69" s="131">
        <f>SUM(B69:M69)</f>
        <v>93</v>
      </c>
    </row>
    <row r="70" spans="1:15" ht="12.75" customHeight="1">
      <c r="A70" s="117" t="s">
        <v>79</v>
      </c>
      <c r="B70" s="130">
        <f t="shared" ref="B70:N70" si="29">B64/B68</f>
        <v>5111.1111111111113</v>
      </c>
      <c r="C70" s="130">
        <f t="shared" si="29"/>
        <v>4312.5</v>
      </c>
      <c r="D70" s="130">
        <f t="shared" si="29"/>
        <v>4500</v>
      </c>
      <c r="E70" s="130">
        <f t="shared" si="29"/>
        <v>4500</v>
      </c>
      <c r="F70" s="130">
        <f t="shared" si="29"/>
        <v>4608.695652173913</v>
      </c>
      <c r="G70" s="130" t="e">
        <f t="shared" si="29"/>
        <v>#DIV/0!</v>
      </c>
      <c r="H70" s="130" t="e">
        <f t="shared" si="29"/>
        <v>#DIV/0!</v>
      </c>
      <c r="I70" s="130" t="e">
        <f t="shared" si="29"/>
        <v>#DIV/0!</v>
      </c>
      <c r="J70" s="130" t="e">
        <f t="shared" si="29"/>
        <v>#DIV/0!</v>
      </c>
      <c r="K70" s="130" t="e">
        <f t="shared" si="29"/>
        <v>#DIV/0!</v>
      </c>
      <c r="L70" s="130" t="e">
        <f t="shared" si="29"/>
        <v>#DIV/0!</v>
      </c>
      <c r="M70" s="130" t="e">
        <f t="shared" si="29"/>
        <v>#DIV/0!</v>
      </c>
      <c r="N70" s="131">
        <f t="shared" si="29"/>
        <v>4573.0337078651683</v>
      </c>
    </row>
    <row r="71" spans="1:15" ht="12.75" customHeight="1">
      <c r="A71" s="132" t="s">
        <v>80</v>
      </c>
      <c r="B71" s="139">
        <f t="shared" ref="B71:N71" si="30">B64/B69</f>
        <v>3833.3333333333335</v>
      </c>
      <c r="C71" s="139">
        <f t="shared" si="30"/>
        <v>4312.5</v>
      </c>
      <c r="D71" s="139">
        <f t="shared" si="30"/>
        <v>4500</v>
      </c>
      <c r="E71" s="139">
        <f t="shared" si="30"/>
        <v>4500</v>
      </c>
      <c r="F71" s="139">
        <f t="shared" si="30"/>
        <v>4416.666666666667</v>
      </c>
      <c r="G71" s="139" t="e">
        <f t="shared" si="30"/>
        <v>#DIV/0!</v>
      </c>
      <c r="H71" s="139" t="e">
        <f t="shared" si="30"/>
        <v>#DIV/0!</v>
      </c>
      <c r="I71" s="139" t="e">
        <f t="shared" si="30"/>
        <v>#DIV/0!</v>
      </c>
      <c r="J71" s="139" t="e">
        <f t="shared" si="30"/>
        <v>#DIV/0!</v>
      </c>
      <c r="K71" s="139" t="e">
        <f t="shared" si="30"/>
        <v>#DIV/0!</v>
      </c>
      <c r="L71" s="139" t="e">
        <f t="shared" si="30"/>
        <v>#DIV/0!</v>
      </c>
      <c r="M71" s="139" t="e">
        <f t="shared" si="30"/>
        <v>#DIV/0!</v>
      </c>
      <c r="N71" s="140">
        <f t="shared" si="30"/>
        <v>4376.3440860215051</v>
      </c>
    </row>
    <row r="72" spans="1:15" ht="12.75" customHeight="1">
      <c r="A72" s="135" t="s">
        <v>114</v>
      </c>
      <c r="B72" s="168">
        <v>10960</v>
      </c>
      <c r="C72" s="168">
        <v>1494</v>
      </c>
      <c r="D72" s="168">
        <v>293780</v>
      </c>
      <c r="E72" s="168">
        <v>117300</v>
      </c>
      <c r="F72" s="168">
        <v>42340</v>
      </c>
      <c r="G72" s="168">
        <v>24900</v>
      </c>
      <c r="H72" s="168">
        <v>105380</v>
      </c>
      <c r="I72" s="168">
        <v>77500</v>
      </c>
      <c r="J72" s="168">
        <v>45890</v>
      </c>
      <c r="K72" s="168">
        <v>76000</v>
      </c>
      <c r="L72" s="168">
        <v>39500</v>
      </c>
      <c r="M72" s="168">
        <v>32480</v>
      </c>
      <c r="N72" s="155">
        <v>867524</v>
      </c>
    </row>
    <row r="73" spans="1:15" ht="12.75" customHeight="1">
      <c r="A73" s="117" t="s">
        <v>115</v>
      </c>
      <c r="B73" s="128">
        <f t="shared" ref="B73:N73" si="31">B64/B72</f>
        <v>4.1970802919708028</v>
      </c>
      <c r="C73" s="128">
        <f t="shared" si="31"/>
        <v>23.092369477911646</v>
      </c>
      <c r="D73" s="128">
        <f t="shared" si="31"/>
        <v>0.21444618421948397</v>
      </c>
      <c r="E73" s="128">
        <f t="shared" si="31"/>
        <v>1.3427109974424551</v>
      </c>
      <c r="F73" s="128">
        <f t="shared" si="31"/>
        <v>2.5035427491733584</v>
      </c>
      <c r="G73" s="128">
        <f t="shared" si="31"/>
        <v>0</v>
      </c>
      <c r="H73" s="128">
        <f t="shared" si="31"/>
        <v>0</v>
      </c>
      <c r="I73" s="128">
        <f t="shared" si="31"/>
        <v>0</v>
      </c>
      <c r="J73" s="128">
        <f t="shared" si="31"/>
        <v>0</v>
      </c>
      <c r="K73" s="128">
        <f t="shared" si="31"/>
        <v>0</v>
      </c>
      <c r="L73" s="128">
        <f t="shared" si="31"/>
        <v>0</v>
      </c>
      <c r="M73" s="128">
        <f t="shared" si="31"/>
        <v>0</v>
      </c>
      <c r="N73" s="129">
        <f t="shared" si="31"/>
        <v>0.46915128572811821</v>
      </c>
    </row>
    <row r="74" spans="1:15" ht="12.75" customHeight="1">
      <c r="A74" s="117" t="s">
        <v>118</v>
      </c>
      <c r="B74" s="118">
        <f t="shared" ref="B74:M74" si="32">C133</f>
        <v>0</v>
      </c>
      <c r="C74" s="118">
        <f t="shared" si="32"/>
        <v>0</v>
      </c>
      <c r="D74" s="118">
        <f t="shared" si="32"/>
        <v>0</v>
      </c>
      <c r="E74" s="118">
        <f t="shared" si="32"/>
        <v>0</v>
      </c>
      <c r="F74" s="118">
        <f t="shared" si="32"/>
        <v>0</v>
      </c>
      <c r="G74" s="118">
        <f t="shared" si="32"/>
        <v>0</v>
      </c>
      <c r="H74" s="118">
        <f t="shared" si="32"/>
        <v>0</v>
      </c>
      <c r="I74" s="118">
        <f t="shared" si="32"/>
        <v>0</v>
      </c>
      <c r="J74" s="118">
        <f t="shared" si="32"/>
        <v>0</v>
      </c>
      <c r="K74" s="118">
        <f t="shared" si="32"/>
        <v>0</v>
      </c>
      <c r="L74" s="118">
        <f t="shared" si="32"/>
        <v>0</v>
      </c>
      <c r="M74" s="118">
        <f t="shared" si="32"/>
        <v>0</v>
      </c>
      <c r="N74" s="119"/>
    </row>
    <row r="75" spans="1:15" ht="12.75" customHeight="1">
      <c r="A75" s="132" t="s">
        <v>309</v>
      </c>
      <c r="B75" s="139">
        <f t="shared" ref="B75:M75" si="33">B64-B74</f>
        <v>46000</v>
      </c>
      <c r="C75" s="139">
        <f t="shared" si="33"/>
        <v>34500</v>
      </c>
      <c r="D75" s="139">
        <f t="shared" si="33"/>
        <v>63000</v>
      </c>
      <c r="E75" s="139">
        <f t="shared" si="33"/>
        <v>157500</v>
      </c>
      <c r="F75" s="139">
        <f t="shared" si="33"/>
        <v>106000</v>
      </c>
      <c r="G75" s="139">
        <f t="shared" si="33"/>
        <v>0</v>
      </c>
      <c r="H75" s="139">
        <f t="shared" si="33"/>
        <v>0</v>
      </c>
      <c r="I75" s="139">
        <f t="shared" si="33"/>
        <v>0</v>
      </c>
      <c r="J75" s="139">
        <f t="shared" si="33"/>
        <v>0</v>
      </c>
      <c r="K75" s="139">
        <f t="shared" si="33"/>
        <v>0</v>
      </c>
      <c r="L75" s="139">
        <f t="shared" si="33"/>
        <v>0</v>
      </c>
      <c r="M75" s="139">
        <f t="shared" si="33"/>
        <v>0</v>
      </c>
      <c r="N75" s="140"/>
    </row>
    <row r="76" spans="1:15" ht="12.75" customHeight="1">
      <c r="A76" s="195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</row>
    <row r="77" spans="1:15" ht="12" customHeight="1"/>
    <row r="78" spans="1:15" ht="12.75" customHeight="1">
      <c r="A78" s="195" t="s">
        <v>311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</row>
    <row r="79" spans="1:15" s="60" customFormat="1" ht="12.75" customHeight="1">
      <c r="A79" s="429" t="s">
        <v>3</v>
      </c>
      <c r="B79" s="429"/>
      <c r="C79" s="287" t="s">
        <v>98</v>
      </c>
      <c r="D79" s="287" t="s">
        <v>99</v>
      </c>
      <c r="E79" s="287" t="s">
        <v>100</v>
      </c>
      <c r="F79" s="287" t="s">
        <v>101</v>
      </c>
      <c r="G79" s="287" t="s">
        <v>102</v>
      </c>
      <c r="H79" s="287" t="s">
        <v>103</v>
      </c>
      <c r="I79" s="287" t="s">
        <v>104</v>
      </c>
      <c r="J79" s="287" t="s">
        <v>105</v>
      </c>
      <c r="K79" s="287" t="s">
        <v>106</v>
      </c>
      <c r="L79" s="287" t="s">
        <v>107</v>
      </c>
      <c r="M79" s="287" t="s">
        <v>108</v>
      </c>
      <c r="N79" s="287" t="s">
        <v>109</v>
      </c>
      <c r="O79" s="288" t="s">
        <v>42</v>
      </c>
    </row>
    <row r="80" spans="1:15" s="60" customFormat="1" ht="12.75" customHeight="1">
      <c r="A80" s="430" t="s">
        <v>38</v>
      </c>
      <c r="B80" s="342" t="s">
        <v>19</v>
      </c>
      <c r="C80" s="289">
        <f t="shared" ref="C80:N80" si="34">B4</f>
        <v>251000</v>
      </c>
      <c r="D80" s="289">
        <f t="shared" si="34"/>
        <v>308000</v>
      </c>
      <c r="E80" s="289">
        <f t="shared" si="34"/>
        <v>651000</v>
      </c>
      <c r="F80" s="289">
        <f t="shared" si="34"/>
        <v>455000</v>
      </c>
      <c r="G80" s="289">
        <f t="shared" si="34"/>
        <v>272000</v>
      </c>
      <c r="H80" s="289">
        <f t="shared" si="34"/>
        <v>195000</v>
      </c>
      <c r="I80" s="289">
        <f t="shared" si="34"/>
        <v>78000</v>
      </c>
      <c r="J80" s="289">
        <f t="shared" si="34"/>
        <v>120000</v>
      </c>
      <c r="K80" s="289">
        <f t="shared" si="34"/>
        <v>0</v>
      </c>
      <c r="L80" s="289">
        <f t="shared" si="34"/>
        <v>0</v>
      </c>
      <c r="M80" s="289">
        <f t="shared" si="34"/>
        <v>0</v>
      </c>
      <c r="N80" s="289">
        <f t="shared" si="34"/>
        <v>0</v>
      </c>
      <c r="O80" s="5"/>
    </row>
    <row r="81" spans="1:15" s="60" customFormat="1" ht="12.75" customHeight="1">
      <c r="A81" s="430"/>
      <c r="B81" s="290" t="s">
        <v>312</v>
      </c>
      <c r="C81" s="291">
        <v>33912</v>
      </c>
      <c r="D81" s="291">
        <v>121984</v>
      </c>
      <c r="E81" s="291">
        <v>93479</v>
      </c>
      <c r="F81" s="291"/>
      <c r="G81" s="291"/>
      <c r="H81" s="291"/>
      <c r="I81" s="291"/>
      <c r="J81" s="291"/>
      <c r="K81" s="291"/>
      <c r="L81" s="291"/>
      <c r="M81" s="291"/>
      <c r="N81" s="291"/>
      <c r="O81" s="292">
        <f t="shared" ref="O81:O87" si="35">SUM(C81:N81)</f>
        <v>249375</v>
      </c>
    </row>
    <row r="82" spans="1:15" s="60" customFormat="1" ht="12.75" customHeight="1">
      <c r="A82" s="430"/>
      <c r="B82" s="293" t="s">
        <v>313</v>
      </c>
      <c r="C82" s="294">
        <v>88260</v>
      </c>
      <c r="D82" s="294">
        <v>43697</v>
      </c>
      <c r="E82" s="294">
        <v>42829</v>
      </c>
      <c r="F82" s="294"/>
      <c r="G82" s="294"/>
      <c r="H82" s="294"/>
      <c r="I82" s="294"/>
      <c r="J82" s="294"/>
      <c r="K82" s="294"/>
      <c r="L82" s="294"/>
      <c r="M82" s="294"/>
      <c r="N82" s="294"/>
      <c r="O82" s="295">
        <f t="shared" si="35"/>
        <v>174786</v>
      </c>
    </row>
    <row r="83" spans="1:15" s="60" customFormat="1" ht="12.75" customHeight="1">
      <c r="A83" s="430"/>
      <c r="B83" s="293" t="s">
        <v>314</v>
      </c>
      <c r="C83" s="294">
        <v>84510</v>
      </c>
      <c r="D83" s="294">
        <v>67907</v>
      </c>
      <c r="E83" s="294">
        <v>41807</v>
      </c>
      <c r="F83" s="294"/>
      <c r="G83" s="294"/>
      <c r="H83" s="294"/>
      <c r="I83" s="294"/>
      <c r="J83" s="294"/>
      <c r="K83" s="294"/>
      <c r="L83" s="294"/>
      <c r="M83" s="294"/>
      <c r="N83" s="294"/>
      <c r="O83" s="295">
        <f t="shared" si="35"/>
        <v>194224</v>
      </c>
    </row>
    <row r="84" spans="1:15" s="60" customFormat="1" ht="12.75" customHeight="1">
      <c r="A84" s="430"/>
      <c r="B84" s="293" t="s">
        <v>315</v>
      </c>
      <c r="C84" s="294">
        <v>34760</v>
      </c>
      <c r="D84" s="294">
        <v>0</v>
      </c>
      <c r="E84" s="294">
        <v>34760</v>
      </c>
      <c r="F84" s="294"/>
      <c r="G84" s="294"/>
      <c r="H84" s="294"/>
      <c r="I84" s="294"/>
      <c r="J84" s="294"/>
      <c r="K84" s="294"/>
      <c r="L84" s="294"/>
      <c r="M84" s="294"/>
      <c r="N84" s="294"/>
      <c r="O84" s="295">
        <f t="shared" si="35"/>
        <v>69520</v>
      </c>
    </row>
    <row r="85" spans="1:15" s="60" customFormat="1" ht="12.75" customHeight="1">
      <c r="A85" s="430"/>
      <c r="B85" s="293" t="s">
        <v>316</v>
      </c>
      <c r="C85" s="294">
        <v>6000</v>
      </c>
      <c r="D85" s="294">
        <v>28000</v>
      </c>
      <c r="E85" s="294">
        <v>10000</v>
      </c>
      <c r="F85" s="294"/>
      <c r="G85" s="294"/>
      <c r="H85" s="294"/>
      <c r="I85" s="294"/>
      <c r="J85" s="294"/>
      <c r="K85" s="294"/>
      <c r="L85" s="294"/>
      <c r="M85" s="294"/>
      <c r="N85" s="294"/>
      <c r="O85" s="295">
        <f t="shared" si="35"/>
        <v>44000</v>
      </c>
    </row>
    <row r="86" spans="1:15" s="60" customFormat="1" ht="12.75" customHeight="1">
      <c r="A86" s="430"/>
      <c r="B86" s="293" t="s">
        <v>317</v>
      </c>
      <c r="C86" s="294">
        <v>0</v>
      </c>
      <c r="D86" s="294">
        <v>0</v>
      </c>
      <c r="E86" s="294">
        <v>0</v>
      </c>
      <c r="F86" s="294">
        <v>0</v>
      </c>
      <c r="G86" s="294">
        <v>0</v>
      </c>
      <c r="H86" s="294">
        <v>0</v>
      </c>
      <c r="I86" s="294">
        <v>0</v>
      </c>
      <c r="J86" s="294">
        <v>0</v>
      </c>
      <c r="K86" s="294">
        <v>0</v>
      </c>
      <c r="L86" s="294">
        <v>0</v>
      </c>
      <c r="M86" s="294">
        <v>0</v>
      </c>
      <c r="N86" s="294">
        <v>0</v>
      </c>
      <c r="O86" s="295">
        <f t="shared" si="35"/>
        <v>0</v>
      </c>
    </row>
    <row r="87" spans="1:15" s="60" customFormat="1" ht="12.75" customHeight="1">
      <c r="A87" s="430"/>
      <c r="B87" s="296" t="s">
        <v>318</v>
      </c>
      <c r="C87" s="297">
        <v>66000</v>
      </c>
      <c r="D87" s="298">
        <v>66000</v>
      </c>
      <c r="E87" s="297">
        <v>66000</v>
      </c>
      <c r="F87" s="297">
        <v>66000</v>
      </c>
      <c r="G87" s="297"/>
      <c r="H87" s="297"/>
      <c r="I87" s="297"/>
      <c r="J87" s="297"/>
      <c r="K87" s="297"/>
      <c r="L87" s="297"/>
      <c r="M87" s="297"/>
      <c r="N87" s="297"/>
      <c r="O87" s="299">
        <f t="shared" si="35"/>
        <v>264000</v>
      </c>
    </row>
    <row r="88" spans="1:15" s="60" customFormat="1" ht="12.75" customHeight="1">
      <c r="A88" s="430"/>
      <c r="B88" s="300" t="s">
        <v>28</v>
      </c>
      <c r="C88" s="301">
        <f t="shared" ref="C88:N88" si="36">SUM(C81:C87)</f>
        <v>313442</v>
      </c>
      <c r="D88" s="301">
        <f t="shared" si="36"/>
        <v>327588</v>
      </c>
      <c r="E88" s="301">
        <f t="shared" si="36"/>
        <v>288875</v>
      </c>
      <c r="F88" s="301">
        <f t="shared" si="36"/>
        <v>66000</v>
      </c>
      <c r="G88" s="301">
        <f t="shared" si="36"/>
        <v>0</v>
      </c>
      <c r="H88" s="301">
        <f t="shared" si="36"/>
        <v>0</v>
      </c>
      <c r="I88" s="301">
        <f t="shared" si="36"/>
        <v>0</v>
      </c>
      <c r="J88" s="301">
        <f t="shared" si="36"/>
        <v>0</v>
      </c>
      <c r="K88" s="301">
        <f t="shared" si="36"/>
        <v>0</v>
      </c>
      <c r="L88" s="301">
        <f t="shared" si="36"/>
        <v>0</v>
      </c>
      <c r="M88" s="301">
        <f t="shared" si="36"/>
        <v>0</v>
      </c>
      <c r="N88" s="301">
        <f t="shared" si="36"/>
        <v>0</v>
      </c>
      <c r="O88" s="302"/>
    </row>
    <row r="89" spans="1:15" s="60" customFormat="1" ht="12.75" customHeight="1">
      <c r="A89" s="430"/>
      <c r="B89" s="303" t="s">
        <v>319</v>
      </c>
      <c r="C89" s="304">
        <f>C80-C88</f>
        <v>-62442</v>
      </c>
      <c r="D89" s="304">
        <f>D80-D88</f>
        <v>-19588</v>
      </c>
      <c r="E89" s="304">
        <f>E80-E88</f>
        <v>362125</v>
      </c>
      <c r="F89" s="304">
        <f t="shared" ref="F89:N89" si="37">F81</f>
        <v>0</v>
      </c>
      <c r="G89" s="304">
        <f t="shared" si="37"/>
        <v>0</v>
      </c>
      <c r="H89" s="304">
        <f t="shared" si="37"/>
        <v>0</v>
      </c>
      <c r="I89" s="304">
        <f t="shared" si="37"/>
        <v>0</v>
      </c>
      <c r="J89" s="304">
        <f t="shared" si="37"/>
        <v>0</v>
      </c>
      <c r="K89" s="304">
        <f t="shared" si="37"/>
        <v>0</v>
      </c>
      <c r="L89" s="304">
        <f t="shared" si="37"/>
        <v>0</v>
      </c>
      <c r="M89" s="304">
        <f t="shared" si="37"/>
        <v>0</v>
      </c>
      <c r="N89" s="304">
        <f t="shared" si="37"/>
        <v>0</v>
      </c>
      <c r="O89" s="305">
        <f>SUM(O81:O87)</f>
        <v>995905</v>
      </c>
    </row>
    <row r="90" spans="1:15" s="60" customFormat="1" ht="12.75" customHeight="1">
      <c r="A90" s="431" t="s">
        <v>39</v>
      </c>
      <c r="B90" s="342" t="s">
        <v>19</v>
      </c>
      <c r="C90" s="306">
        <f t="shared" ref="C90:N90" si="38">B19</f>
        <v>155000</v>
      </c>
      <c r="D90" s="306">
        <f t="shared" si="38"/>
        <v>110500</v>
      </c>
      <c r="E90" s="306">
        <f t="shared" si="38"/>
        <v>66000</v>
      </c>
      <c r="F90" s="306">
        <f t="shared" si="38"/>
        <v>101400</v>
      </c>
      <c r="G90" s="306">
        <f t="shared" si="38"/>
        <v>24000</v>
      </c>
      <c r="H90" s="306">
        <f t="shared" si="38"/>
        <v>45000</v>
      </c>
      <c r="I90" s="306">
        <f t="shared" si="38"/>
        <v>0</v>
      </c>
      <c r="J90" s="306">
        <f t="shared" si="38"/>
        <v>0</v>
      </c>
      <c r="K90" s="306">
        <f t="shared" si="38"/>
        <v>0</v>
      </c>
      <c r="L90" s="306">
        <f t="shared" si="38"/>
        <v>0</v>
      </c>
      <c r="M90" s="306">
        <f t="shared" si="38"/>
        <v>0</v>
      </c>
      <c r="N90" s="306">
        <f t="shared" si="38"/>
        <v>0</v>
      </c>
      <c r="O90" s="307"/>
    </row>
    <row r="91" spans="1:15" s="60" customFormat="1" ht="12.75" customHeight="1">
      <c r="A91" s="431"/>
      <c r="B91" s="293" t="s">
        <v>312</v>
      </c>
      <c r="C91" s="294">
        <v>79372</v>
      </c>
      <c r="D91" s="294">
        <v>52920</v>
      </c>
      <c r="E91" s="294">
        <v>27596</v>
      </c>
      <c r="F91" s="294"/>
      <c r="G91" s="294"/>
      <c r="H91" s="294"/>
      <c r="I91" s="294"/>
      <c r="J91" s="294"/>
      <c r="K91" s="294"/>
      <c r="L91" s="294"/>
      <c r="M91" s="294"/>
      <c r="N91" s="294"/>
      <c r="O91" s="295">
        <f>SUM(C91:N91)</f>
        <v>159888</v>
      </c>
    </row>
    <row r="92" spans="1:15" s="60" customFormat="1" ht="12.75" customHeight="1">
      <c r="A92" s="431"/>
      <c r="B92" s="293" t="s">
        <v>313</v>
      </c>
      <c r="C92" s="294">
        <v>58265</v>
      </c>
      <c r="D92" s="294">
        <v>28735</v>
      </c>
      <c r="E92" s="294">
        <v>26372</v>
      </c>
      <c r="F92" s="294"/>
      <c r="G92" s="294"/>
      <c r="H92" s="294"/>
      <c r="I92" s="294"/>
      <c r="J92" s="294"/>
      <c r="K92" s="294"/>
      <c r="L92" s="294"/>
      <c r="M92" s="294"/>
      <c r="N92" s="294"/>
      <c r="O92" s="295"/>
    </row>
    <row r="93" spans="1:15" s="60" customFormat="1" ht="12.75" customHeight="1">
      <c r="A93" s="431"/>
      <c r="B93" s="293" t="s">
        <v>314</v>
      </c>
      <c r="C93" s="294" t="s">
        <v>320</v>
      </c>
      <c r="D93" s="294">
        <v>24369</v>
      </c>
      <c r="E93" s="294">
        <v>20927</v>
      </c>
      <c r="F93" s="294"/>
      <c r="G93" s="294"/>
      <c r="H93" s="294"/>
      <c r="I93" s="294"/>
      <c r="J93" s="294"/>
      <c r="K93" s="294"/>
      <c r="L93" s="294"/>
      <c r="M93" s="294"/>
      <c r="N93" s="294"/>
      <c r="O93" s="295"/>
    </row>
    <row r="94" spans="1:15" s="60" customFormat="1" ht="12.75" customHeight="1">
      <c r="A94" s="431"/>
      <c r="B94" s="293" t="s">
        <v>315</v>
      </c>
      <c r="C94" s="294">
        <v>22120</v>
      </c>
      <c r="D94" s="294">
        <v>0</v>
      </c>
      <c r="E94" s="294">
        <v>22120</v>
      </c>
      <c r="F94" s="294"/>
      <c r="G94" s="294"/>
      <c r="H94" s="294"/>
      <c r="I94" s="294"/>
      <c r="J94" s="294"/>
      <c r="K94" s="294"/>
      <c r="L94" s="294"/>
      <c r="M94" s="294"/>
      <c r="N94" s="294"/>
      <c r="O94" s="295"/>
    </row>
    <row r="95" spans="1:15" s="60" customFormat="1" ht="12.75" customHeight="1">
      <c r="A95" s="431"/>
      <c r="B95" s="293" t="s">
        <v>316</v>
      </c>
      <c r="C95" s="294">
        <v>10800</v>
      </c>
      <c r="D95" s="294">
        <v>10800</v>
      </c>
      <c r="E95" s="294">
        <v>6000</v>
      </c>
      <c r="F95" s="294"/>
      <c r="G95" s="294"/>
      <c r="H95" s="294"/>
      <c r="I95" s="294"/>
      <c r="J95" s="294"/>
      <c r="K95" s="294"/>
      <c r="L95" s="294"/>
      <c r="M95" s="294"/>
      <c r="N95" s="294"/>
      <c r="O95" s="295"/>
    </row>
    <row r="96" spans="1:15" s="60" customFormat="1" ht="12.75" customHeight="1">
      <c r="A96" s="431"/>
      <c r="B96" s="293" t="s">
        <v>317</v>
      </c>
      <c r="C96" s="294">
        <v>0</v>
      </c>
      <c r="D96" s="294">
        <v>0</v>
      </c>
      <c r="E96" s="294">
        <v>0</v>
      </c>
      <c r="F96" s="294"/>
      <c r="G96" s="294"/>
      <c r="H96" s="294"/>
      <c r="I96" s="294"/>
      <c r="J96" s="294"/>
      <c r="K96" s="294"/>
      <c r="L96" s="294"/>
      <c r="M96" s="294"/>
      <c r="N96" s="294"/>
      <c r="O96" s="295">
        <f>SUM(C96:N96)</f>
        <v>0</v>
      </c>
    </row>
    <row r="97" spans="1:15" s="60" customFormat="1" ht="12.75" customHeight="1">
      <c r="A97" s="431"/>
      <c r="B97" s="296" t="s">
        <v>318</v>
      </c>
      <c r="C97" s="297">
        <v>34736</v>
      </c>
      <c r="D97" s="298">
        <v>34736</v>
      </c>
      <c r="E97" s="297">
        <v>34736</v>
      </c>
      <c r="F97" s="297">
        <v>34736</v>
      </c>
      <c r="G97" s="297"/>
      <c r="H97" s="297"/>
      <c r="I97" s="297"/>
      <c r="J97" s="297"/>
      <c r="K97" s="297"/>
      <c r="L97" s="297"/>
      <c r="M97" s="297"/>
      <c r="N97" s="297"/>
      <c r="O97" s="299">
        <f>SUM(C97:N97)</f>
        <v>138944</v>
      </c>
    </row>
    <row r="98" spans="1:15" s="60" customFormat="1" ht="12.75" customHeight="1">
      <c r="A98" s="431"/>
      <c r="B98" s="308" t="s">
        <v>28</v>
      </c>
      <c r="C98" s="309">
        <f t="shared" ref="C98:N98" si="39">SUM(C91:C97)</f>
        <v>205293</v>
      </c>
      <c r="D98" s="309">
        <f t="shared" si="39"/>
        <v>151560</v>
      </c>
      <c r="E98" s="309">
        <f t="shared" si="39"/>
        <v>137751</v>
      </c>
      <c r="F98" s="309">
        <f t="shared" si="39"/>
        <v>34736</v>
      </c>
      <c r="G98" s="309">
        <f t="shared" si="39"/>
        <v>0</v>
      </c>
      <c r="H98" s="309">
        <f t="shared" si="39"/>
        <v>0</v>
      </c>
      <c r="I98" s="309">
        <f t="shared" si="39"/>
        <v>0</v>
      </c>
      <c r="J98" s="309">
        <f t="shared" si="39"/>
        <v>0</v>
      </c>
      <c r="K98" s="309">
        <f t="shared" si="39"/>
        <v>0</v>
      </c>
      <c r="L98" s="309">
        <f t="shared" si="39"/>
        <v>0</v>
      </c>
      <c r="M98" s="309">
        <f t="shared" si="39"/>
        <v>0</v>
      </c>
      <c r="N98" s="309">
        <f t="shared" si="39"/>
        <v>0</v>
      </c>
      <c r="O98" s="310"/>
    </row>
    <row r="99" spans="1:15" s="60" customFormat="1" ht="12.75" customHeight="1">
      <c r="A99" s="431"/>
      <c r="B99" s="303" t="s">
        <v>319</v>
      </c>
      <c r="C99" s="304">
        <f>C90-C98</f>
        <v>-50293</v>
      </c>
      <c r="D99" s="304">
        <f>D90-D98</f>
        <v>-41060</v>
      </c>
      <c r="E99" s="304">
        <f>E90-E98</f>
        <v>-71751</v>
      </c>
      <c r="F99" s="304">
        <f t="shared" ref="F99:N99" si="40">F91</f>
        <v>0</v>
      </c>
      <c r="G99" s="304">
        <f t="shared" si="40"/>
        <v>0</v>
      </c>
      <c r="H99" s="304">
        <f t="shared" si="40"/>
        <v>0</v>
      </c>
      <c r="I99" s="304">
        <f t="shared" si="40"/>
        <v>0</v>
      </c>
      <c r="J99" s="304">
        <f t="shared" si="40"/>
        <v>0</v>
      </c>
      <c r="K99" s="304">
        <f t="shared" si="40"/>
        <v>0</v>
      </c>
      <c r="L99" s="304">
        <f t="shared" si="40"/>
        <v>0</v>
      </c>
      <c r="M99" s="304">
        <f t="shared" si="40"/>
        <v>0</v>
      </c>
      <c r="N99" s="304">
        <f t="shared" si="40"/>
        <v>0</v>
      </c>
      <c r="O99" s="305">
        <f>SUM(O91:O97)</f>
        <v>298832</v>
      </c>
    </row>
    <row r="100" spans="1:15" s="60" customFormat="1" ht="12.75" customHeight="1">
      <c r="A100" s="432" t="s">
        <v>40</v>
      </c>
      <c r="B100" s="342" t="s">
        <v>19</v>
      </c>
      <c r="C100" s="306">
        <f t="shared" ref="C100:N100" si="41">B34</f>
        <v>0</v>
      </c>
      <c r="D100" s="306">
        <f t="shared" si="41"/>
        <v>42500</v>
      </c>
      <c r="E100" s="306">
        <f t="shared" si="41"/>
        <v>0</v>
      </c>
      <c r="F100" s="306">
        <f t="shared" si="41"/>
        <v>90000</v>
      </c>
      <c r="G100" s="306">
        <f t="shared" si="41"/>
        <v>93000</v>
      </c>
      <c r="H100" s="306">
        <f t="shared" si="41"/>
        <v>46000</v>
      </c>
      <c r="I100" s="306">
        <f t="shared" si="41"/>
        <v>57000</v>
      </c>
      <c r="J100" s="306">
        <f t="shared" si="41"/>
        <v>75000</v>
      </c>
      <c r="K100" s="306">
        <f t="shared" si="41"/>
        <v>0</v>
      </c>
      <c r="L100" s="306">
        <f t="shared" si="41"/>
        <v>0</v>
      </c>
      <c r="M100" s="306">
        <f t="shared" si="41"/>
        <v>0</v>
      </c>
      <c r="N100" s="306">
        <f t="shared" si="41"/>
        <v>0</v>
      </c>
      <c r="O100" s="307"/>
    </row>
    <row r="101" spans="1:15" s="60" customFormat="1" ht="12.75" customHeight="1">
      <c r="A101" s="432"/>
      <c r="B101" s="290" t="s">
        <v>312</v>
      </c>
      <c r="C101" s="291">
        <v>17300</v>
      </c>
      <c r="D101" s="291">
        <v>41685</v>
      </c>
      <c r="E101" s="291">
        <v>7148</v>
      </c>
      <c r="F101" s="291"/>
      <c r="G101" s="291"/>
      <c r="H101" s="291"/>
      <c r="I101" s="291"/>
      <c r="J101" s="291"/>
      <c r="K101" s="291"/>
      <c r="L101" s="291"/>
      <c r="M101" s="291"/>
      <c r="N101" s="291"/>
      <c r="O101" s="292">
        <f>SUM(C101:N101)</f>
        <v>66133</v>
      </c>
    </row>
    <row r="102" spans="1:15" s="60" customFormat="1" ht="12.75" customHeight="1">
      <c r="A102" s="432"/>
      <c r="B102" s="293" t="s">
        <v>313</v>
      </c>
      <c r="C102" s="294">
        <v>7714</v>
      </c>
      <c r="D102" s="294">
        <v>12218</v>
      </c>
      <c r="E102" s="294">
        <v>14159</v>
      </c>
      <c r="F102" s="294"/>
      <c r="G102" s="294"/>
      <c r="H102" s="294"/>
      <c r="I102" s="294"/>
      <c r="J102" s="294"/>
      <c r="K102" s="294"/>
      <c r="L102" s="294"/>
      <c r="M102" s="294"/>
      <c r="N102" s="294"/>
      <c r="O102" s="295"/>
    </row>
    <row r="103" spans="1:15" s="60" customFormat="1" ht="22.5" customHeight="1">
      <c r="A103" s="432"/>
      <c r="B103" s="293" t="s">
        <v>314</v>
      </c>
      <c r="C103" s="294" t="s">
        <v>320</v>
      </c>
      <c r="D103" s="294">
        <v>4270</v>
      </c>
      <c r="E103" s="294">
        <v>10610</v>
      </c>
      <c r="F103" s="294"/>
      <c r="G103" s="294"/>
      <c r="H103" s="294"/>
      <c r="I103" s="294"/>
      <c r="J103" s="294"/>
      <c r="K103" s="294"/>
      <c r="L103" s="294"/>
      <c r="M103" s="294"/>
      <c r="N103" s="294"/>
      <c r="O103" s="295"/>
    </row>
    <row r="104" spans="1:15" s="60" customFormat="1" ht="12.75" customHeight="1">
      <c r="A104" s="432"/>
      <c r="B104" s="293" t="s">
        <v>315</v>
      </c>
      <c r="C104" s="294">
        <v>6320</v>
      </c>
      <c r="D104" s="294">
        <v>0</v>
      </c>
      <c r="E104" s="294">
        <v>6320</v>
      </c>
      <c r="F104" s="294"/>
      <c r="G104" s="294"/>
      <c r="H104" s="294"/>
      <c r="I104" s="294"/>
      <c r="J104" s="294"/>
      <c r="K104" s="294"/>
      <c r="L104" s="294"/>
      <c r="M104" s="294"/>
      <c r="N104" s="294"/>
      <c r="O104" s="295"/>
    </row>
    <row r="105" spans="1:15" s="60" customFormat="1" ht="22.5" customHeight="1">
      <c r="A105" s="432"/>
      <c r="B105" s="293" t="s">
        <v>316</v>
      </c>
      <c r="C105" s="294">
        <v>1200</v>
      </c>
      <c r="D105" s="294">
        <v>2400</v>
      </c>
      <c r="E105" s="294">
        <v>3600</v>
      </c>
      <c r="F105" s="294"/>
      <c r="G105" s="294"/>
      <c r="H105" s="294"/>
      <c r="I105" s="294"/>
      <c r="J105" s="294"/>
      <c r="K105" s="294"/>
      <c r="L105" s="294"/>
      <c r="M105" s="294"/>
      <c r="N105" s="294"/>
      <c r="O105" s="295"/>
    </row>
    <row r="106" spans="1:15" s="60" customFormat="1" ht="12.75" customHeight="1">
      <c r="A106" s="432"/>
      <c r="B106" s="293" t="s">
        <v>317</v>
      </c>
      <c r="C106" s="294">
        <v>0</v>
      </c>
      <c r="D106" s="294">
        <v>0</v>
      </c>
      <c r="E106" s="294">
        <v>0</v>
      </c>
      <c r="F106" s="294"/>
      <c r="G106" s="294"/>
      <c r="H106" s="294"/>
      <c r="I106" s="294"/>
      <c r="J106" s="294"/>
      <c r="K106" s="294"/>
      <c r="L106" s="294"/>
      <c r="M106" s="294"/>
      <c r="N106" s="294"/>
      <c r="O106" s="295">
        <f>SUM(C106:N106)</f>
        <v>0</v>
      </c>
    </row>
    <row r="107" spans="1:15" s="60" customFormat="1" ht="26.25" customHeight="1">
      <c r="A107" s="432"/>
      <c r="B107" s="296" t="s">
        <v>318</v>
      </c>
      <c r="C107" s="297">
        <v>13889</v>
      </c>
      <c r="D107" s="298">
        <v>13889</v>
      </c>
      <c r="E107" s="297">
        <v>13889</v>
      </c>
      <c r="F107" s="297">
        <v>13889</v>
      </c>
      <c r="G107" s="297"/>
      <c r="H107" s="297"/>
      <c r="I107" s="297"/>
      <c r="J107" s="297"/>
      <c r="K107" s="297"/>
      <c r="L107" s="297"/>
      <c r="M107" s="297"/>
      <c r="N107" s="297"/>
      <c r="O107" s="299">
        <f>SUM(C107:N107)</f>
        <v>55556</v>
      </c>
    </row>
    <row r="108" spans="1:15" s="60" customFormat="1" ht="13.5" customHeight="1">
      <c r="A108" s="432"/>
      <c r="B108" s="300" t="s">
        <v>28</v>
      </c>
      <c r="C108" s="301">
        <f t="shared" ref="C108:N108" si="42">SUM(C101:C107)</f>
        <v>46423</v>
      </c>
      <c r="D108" s="301">
        <f t="shared" si="42"/>
        <v>74462</v>
      </c>
      <c r="E108" s="301">
        <f t="shared" si="42"/>
        <v>55726</v>
      </c>
      <c r="F108" s="301">
        <f t="shared" si="42"/>
        <v>13889</v>
      </c>
      <c r="G108" s="301">
        <f t="shared" si="42"/>
        <v>0</v>
      </c>
      <c r="H108" s="301">
        <f t="shared" si="42"/>
        <v>0</v>
      </c>
      <c r="I108" s="301">
        <f t="shared" si="42"/>
        <v>0</v>
      </c>
      <c r="J108" s="301">
        <f t="shared" si="42"/>
        <v>0</v>
      </c>
      <c r="K108" s="301">
        <f t="shared" si="42"/>
        <v>0</v>
      </c>
      <c r="L108" s="301">
        <f t="shared" si="42"/>
        <v>0</v>
      </c>
      <c r="M108" s="301">
        <f t="shared" si="42"/>
        <v>0</v>
      </c>
      <c r="N108" s="301">
        <f t="shared" si="42"/>
        <v>0</v>
      </c>
      <c r="O108" s="302"/>
    </row>
    <row r="109" spans="1:15" s="60" customFormat="1" ht="13.5" customHeight="1">
      <c r="A109" s="432"/>
      <c r="B109" s="303" t="s">
        <v>319</v>
      </c>
      <c r="C109" s="304">
        <f>C100-C108</f>
        <v>-46423</v>
      </c>
      <c r="D109" s="304">
        <f>D100-D108</f>
        <v>-31962</v>
      </c>
      <c r="E109" s="304">
        <f>E100-E108</f>
        <v>-55726</v>
      </c>
      <c r="F109" s="304"/>
      <c r="G109" s="304"/>
      <c r="H109" s="304"/>
      <c r="I109" s="304"/>
      <c r="J109" s="304"/>
      <c r="K109" s="304"/>
      <c r="L109" s="304"/>
      <c r="M109" s="304"/>
      <c r="N109" s="304"/>
      <c r="O109" s="305">
        <f>SUM(O101:O107)</f>
        <v>121689</v>
      </c>
    </row>
    <row r="110" spans="1:15" s="60" customFormat="1" ht="18" customHeight="1">
      <c r="A110" s="425" t="s">
        <v>41</v>
      </c>
      <c r="B110" s="342" t="s">
        <v>19</v>
      </c>
      <c r="C110" s="306">
        <f t="shared" ref="C110:N110" si="43">B49</f>
        <v>77500</v>
      </c>
      <c r="D110" s="306">
        <f t="shared" si="43"/>
        <v>77500</v>
      </c>
      <c r="E110" s="306">
        <f t="shared" si="43"/>
        <v>80000</v>
      </c>
      <c r="F110" s="306">
        <f t="shared" si="43"/>
        <v>105000</v>
      </c>
      <c r="G110" s="306">
        <f t="shared" si="43"/>
        <v>77500</v>
      </c>
      <c r="H110" s="306">
        <f t="shared" si="43"/>
        <v>72500</v>
      </c>
      <c r="I110" s="306">
        <f t="shared" si="43"/>
        <v>0</v>
      </c>
      <c r="J110" s="306">
        <f t="shared" si="43"/>
        <v>0</v>
      </c>
      <c r="K110" s="306">
        <f t="shared" si="43"/>
        <v>0</v>
      </c>
      <c r="L110" s="306">
        <f t="shared" si="43"/>
        <v>0</v>
      </c>
      <c r="M110" s="306">
        <f t="shared" si="43"/>
        <v>0</v>
      </c>
      <c r="N110" s="306">
        <f t="shared" si="43"/>
        <v>0</v>
      </c>
      <c r="O110" s="307"/>
    </row>
    <row r="111" spans="1:15" s="60" customFormat="1" ht="12.75" customHeight="1">
      <c r="A111" s="425"/>
      <c r="B111" s="290" t="s">
        <v>312</v>
      </c>
      <c r="C111" s="291">
        <v>0</v>
      </c>
      <c r="D111" s="291">
        <v>0</v>
      </c>
      <c r="E111" s="291">
        <v>0</v>
      </c>
      <c r="F111" s="291"/>
      <c r="G111" s="291"/>
      <c r="H111" s="291"/>
      <c r="I111" s="291"/>
      <c r="J111" s="291"/>
      <c r="K111" s="291"/>
      <c r="L111" s="291"/>
      <c r="M111" s="291"/>
      <c r="N111" s="291"/>
      <c r="O111" s="292">
        <f>SUM(C111:N111)</f>
        <v>0</v>
      </c>
    </row>
    <row r="112" spans="1:15" s="60" customFormat="1" ht="12.75" customHeight="1">
      <c r="A112" s="425"/>
      <c r="B112" s="293" t="s">
        <v>313</v>
      </c>
      <c r="C112" s="294">
        <v>1218</v>
      </c>
      <c r="D112" s="294">
        <v>1222</v>
      </c>
      <c r="E112" s="294">
        <v>1262</v>
      </c>
      <c r="F112" s="294"/>
      <c r="G112" s="294"/>
      <c r="H112" s="294"/>
      <c r="I112" s="294"/>
      <c r="J112" s="294"/>
      <c r="K112" s="294"/>
      <c r="L112" s="294"/>
      <c r="M112" s="294"/>
      <c r="N112" s="294"/>
      <c r="O112" s="295"/>
    </row>
    <row r="113" spans="1:15" s="60" customFormat="1" ht="12.75" customHeight="1">
      <c r="A113" s="425"/>
      <c r="B113" s="293" t="s">
        <v>314</v>
      </c>
      <c r="C113" s="294">
        <v>4400</v>
      </c>
      <c r="D113" s="294">
        <v>1826</v>
      </c>
      <c r="E113" s="294">
        <v>4400</v>
      </c>
      <c r="F113" s="294"/>
      <c r="G113" s="294"/>
      <c r="H113" s="294"/>
      <c r="I113" s="294"/>
      <c r="J113" s="294"/>
      <c r="K113" s="294"/>
      <c r="L113" s="294"/>
      <c r="M113" s="294"/>
      <c r="N113" s="294"/>
      <c r="O113" s="295"/>
    </row>
    <row r="114" spans="1:15" s="60" customFormat="1" ht="12.75" customHeight="1">
      <c r="A114" s="425"/>
      <c r="B114" s="293" t="s">
        <v>315</v>
      </c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295"/>
    </row>
    <row r="115" spans="1:15" s="60" customFormat="1" ht="12.75" customHeight="1">
      <c r="A115" s="425"/>
      <c r="B115" s="293" t="s">
        <v>316</v>
      </c>
      <c r="C115" s="294">
        <v>0</v>
      </c>
      <c r="D115" s="294">
        <v>0</v>
      </c>
      <c r="E115" s="294">
        <v>0</v>
      </c>
      <c r="F115" s="294"/>
      <c r="G115" s="294"/>
      <c r="H115" s="294"/>
      <c r="I115" s="294"/>
      <c r="J115" s="294"/>
      <c r="K115" s="294"/>
      <c r="L115" s="294"/>
      <c r="M115" s="294"/>
      <c r="N115" s="294"/>
      <c r="O115" s="295"/>
    </row>
    <row r="116" spans="1:15" s="60" customFormat="1" ht="12.75" customHeight="1">
      <c r="A116" s="425"/>
      <c r="B116" s="293" t="s">
        <v>317</v>
      </c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5">
        <f>SUM(C116:N116)</f>
        <v>0</v>
      </c>
    </row>
    <row r="117" spans="1:15" s="60" customFormat="1" ht="26.25" customHeight="1">
      <c r="A117" s="425"/>
      <c r="B117" s="296" t="s">
        <v>318</v>
      </c>
      <c r="C117" s="297">
        <v>13932</v>
      </c>
      <c r="D117" s="297">
        <v>13932</v>
      </c>
      <c r="E117" s="297">
        <v>13932</v>
      </c>
      <c r="F117" s="297"/>
      <c r="G117" s="297"/>
      <c r="H117" s="297"/>
      <c r="I117" s="297"/>
      <c r="J117" s="297"/>
      <c r="K117" s="297"/>
      <c r="L117" s="297"/>
      <c r="M117" s="297"/>
      <c r="N117" s="297"/>
      <c r="O117" s="299">
        <f>SUM(C117:N117)</f>
        <v>41796</v>
      </c>
    </row>
    <row r="118" spans="1:15" s="60" customFormat="1" ht="13.5" customHeight="1">
      <c r="A118" s="425"/>
      <c r="B118" s="308" t="s">
        <v>28</v>
      </c>
      <c r="C118" s="309">
        <f t="shared" ref="C118:N118" si="44">SUM(C111:C117)</f>
        <v>19550</v>
      </c>
      <c r="D118" s="309">
        <f t="shared" si="44"/>
        <v>16980</v>
      </c>
      <c r="E118" s="309">
        <f t="shared" si="44"/>
        <v>19594</v>
      </c>
      <c r="F118" s="309">
        <f t="shared" si="44"/>
        <v>0</v>
      </c>
      <c r="G118" s="309">
        <f t="shared" si="44"/>
        <v>0</v>
      </c>
      <c r="H118" s="309">
        <f t="shared" si="44"/>
        <v>0</v>
      </c>
      <c r="I118" s="309">
        <f t="shared" si="44"/>
        <v>0</v>
      </c>
      <c r="J118" s="309">
        <f t="shared" si="44"/>
        <v>0</v>
      </c>
      <c r="K118" s="309">
        <f t="shared" si="44"/>
        <v>0</v>
      </c>
      <c r="L118" s="309">
        <f t="shared" si="44"/>
        <v>0</v>
      </c>
      <c r="M118" s="309">
        <f t="shared" si="44"/>
        <v>0</v>
      </c>
      <c r="N118" s="309">
        <f t="shared" si="44"/>
        <v>0</v>
      </c>
      <c r="O118" s="310"/>
    </row>
    <row r="119" spans="1:15" s="60" customFormat="1" ht="13.5" customHeight="1">
      <c r="A119" s="425"/>
      <c r="B119" s="311" t="s">
        <v>319</v>
      </c>
      <c r="C119" s="312">
        <v>-19550</v>
      </c>
      <c r="D119" s="312">
        <v>-16980</v>
      </c>
      <c r="E119" s="312">
        <v>-19594</v>
      </c>
      <c r="F119" s="312">
        <f t="shared" ref="F119:O119" si="45">SUM(F111:F117)</f>
        <v>0</v>
      </c>
      <c r="G119" s="312">
        <f t="shared" si="45"/>
        <v>0</v>
      </c>
      <c r="H119" s="312">
        <f t="shared" si="45"/>
        <v>0</v>
      </c>
      <c r="I119" s="312">
        <f t="shared" si="45"/>
        <v>0</v>
      </c>
      <c r="J119" s="312">
        <f t="shared" si="45"/>
        <v>0</v>
      </c>
      <c r="K119" s="312">
        <f t="shared" si="45"/>
        <v>0</v>
      </c>
      <c r="L119" s="312">
        <f t="shared" si="45"/>
        <v>0</v>
      </c>
      <c r="M119" s="312">
        <f t="shared" si="45"/>
        <v>0</v>
      </c>
      <c r="N119" s="312">
        <f t="shared" si="45"/>
        <v>0</v>
      </c>
      <c r="O119" s="313">
        <f t="shared" si="45"/>
        <v>41796</v>
      </c>
    </row>
    <row r="120" spans="1:15" s="60" customFormat="1" ht="18.75" customHeight="1">
      <c r="A120" s="426" t="s">
        <v>321</v>
      </c>
      <c r="B120" s="426"/>
      <c r="C120" s="314">
        <f t="shared" ref="C120:N120" si="46">C88+C98+C108+C118</f>
        <v>584708</v>
      </c>
      <c r="D120" s="314">
        <f t="shared" si="46"/>
        <v>570590</v>
      </c>
      <c r="E120" s="314">
        <f t="shared" si="46"/>
        <v>501946</v>
      </c>
      <c r="F120" s="314">
        <f t="shared" si="46"/>
        <v>114625</v>
      </c>
      <c r="G120" s="314">
        <f t="shared" si="46"/>
        <v>0</v>
      </c>
      <c r="H120" s="314">
        <f t="shared" si="46"/>
        <v>0</v>
      </c>
      <c r="I120" s="314">
        <f t="shared" si="46"/>
        <v>0</v>
      </c>
      <c r="J120" s="314">
        <f t="shared" si="46"/>
        <v>0</v>
      </c>
      <c r="K120" s="314">
        <f t="shared" si="46"/>
        <v>0</v>
      </c>
      <c r="L120" s="314">
        <f t="shared" si="46"/>
        <v>0</v>
      </c>
      <c r="M120" s="314">
        <f t="shared" si="46"/>
        <v>0</v>
      </c>
      <c r="N120" s="314">
        <f t="shared" si="46"/>
        <v>0</v>
      </c>
      <c r="O120" s="315"/>
    </row>
    <row r="121" spans="1:15" s="60" customFormat="1" ht="20.25" customHeight="1">
      <c r="A121" s="427" t="s">
        <v>322</v>
      </c>
      <c r="B121" s="427"/>
      <c r="C121" s="316">
        <f t="shared" ref="C121:N121" si="47">C89+C99+C109+C119</f>
        <v>-178708</v>
      </c>
      <c r="D121" s="316">
        <f t="shared" si="47"/>
        <v>-109590</v>
      </c>
      <c r="E121" s="316">
        <f t="shared" si="47"/>
        <v>215054</v>
      </c>
      <c r="F121" s="316">
        <f t="shared" si="47"/>
        <v>0</v>
      </c>
      <c r="G121" s="316">
        <f t="shared" si="47"/>
        <v>0</v>
      </c>
      <c r="H121" s="316">
        <f t="shared" si="47"/>
        <v>0</v>
      </c>
      <c r="I121" s="316">
        <f t="shared" si="47"/>
        <v>0</v>
      </c>
      <c r="J121" s="316">
        <f t="shared" si="47"/>
        <v>0</v>
      </c>
      <c r="K121" s="316">
        <f t="shared" si="47"/>
        <v>0</v>
      </c>
      <c r="L121" s="316">
        <f t="shared" si="47"/>
        <v>0</v>
      </c>
      <c r="M121" s="316">
        <f t="shared" si="47"/>
        <v>0</v>
      </c>
      <c r="N121" s="316">
        <f t="shared" si="47"/>
        <v>0</v>
      </c>
      <c r="O121" s="317">
        <f>SUM(C121:N121)</f>
        <v>-73244</v>
      </c>
    </row>
  </sheetData>
  <mergeCells count="9">
    <mergeCell ref="A110:A119"/>
    <mergeCell ref="A120:B120"/>
    <mergeCell ref="A121:B121"/>
    <mergeCell ref="A1:L1"/>
    <mergeCell ref="M1:N1"/>
    <mergeCell ref="A79:B79"/>
    <mergeCell ref="A80:A89"/>
    <mergeCell ref="A90:A99"/>
    <mergeCell ref="A100:A109"/>
  </mergeCells>
  <phoneticPr fontId="36"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853"/>
  <sheetViews>
    <sheetView zoomScaleNormal="100" workbookViewId="0">
      <selection activeCell="G42" sqref="G42"/>
    </sheetView>
  </sheetViews>
  <sheetFormatPr defaultColWidth="16.25" defaultRowHeight="15"/>
  <cols>
    <col min="1" max="1" width="17.75" style="75" customWidth="1"/>
    <col min="2" max="2" width="16.08203125" style="75" customWidth="1"/>
    <col min="3" max="3" width="18.33203125" style="75" customWidth="1"/>
    <col min="4" max="4" width="8.33203125" style="75" bestFit="1" customWidth="1"/>
    <col min="5" max="5" width="9.08203125" style="75" customWidth="1"/>
    <col min="6" max="6" width="8.25" style="75" customWidth="1"/>
    <col min="7" max="7" width="8.58203125" style="75" customWidth="1"/>
    <col min="8" max="9" width="7.08203125" style="75" customWidth="1"/>
    <col min="10" max="11" width="7.58203125" style="75" customWidth="1"/>
    <col min="12" max="12" width="7.08203125" style="75" customWidth="1"/>
    <col min="13" max="14" width="8" style="75" customWidth="1"/>
    <col min="15" max="15" width="8.33203125" style="75" customWidth="1"/>
    <col min="16" max="16" width="7.83203125" style="75" customWidth="1"/>
    <col min="17" max="16384" width="16.25" style="75"/>
  </cols>
  <sheetData>
    <row r="1" spans="1:26" ht="15" customHeight="1">
      <c r="A1" s="222" t="s">
        <v>323</v>
      </c>
      <c r="B1" s="318"/>
      <c r="C1" s="318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8"/>
      <c r="R1" s="318"/>
      <c r="S1" s="318"/>
      <c r="T1" s="318"/>
      <c r="U1" s="318"/>
      <c r="V1" s="318"/>
      <c r="W1" s="318"/>
      <c r="X1" s="318"/>
      <c r="Y1" s="318"/>
      <c r="Z1" s="318"/>
    </row>
    <row r="2" spans="1:26" ht="15" customHeight="1">
      <c r="A2" s="222"/>
      <c r="B2" s="320"/>
      <c r="C2" s="320"/>
      <c r="D2" s="321" t="s">
        <v>324</v>
      </c>
      <c r="E2" s="321" t="s">
        <v>325</v>
      </c>
      <c r="F2" s="321" t="s">
        <v>326</v>
      </c>
      <c r="G2" s="321" t="s">
        <v>327</v>
      </c>
      <c r="H2" s="321" t="s">
        <v>328</v>
      </c>
      <c r="I2" s="321" t="s">
        <v>329</v>
      </c>
      <c r="J2" s="321" t="s">
        <v>330</v>
      </c>
      <c r="K2" s="321" t="s">
        <v>331</v>
      </c>
      <c r="L2" s="321" t="s">
        <v>332</v>
      </c>
      <c r="M2" s="321" t="s">
        <v>333</v>
      </c>
      <c r="N2" s="321" t="s">
        <v>334</v>
      </c>
      <c r="O2" s="321" t="s">
        <v>335</v>
      </c>
      <c r="P2" s="86" t="s">
        <v>42</v>
      </c>
      <c r="Q2" s="322"/>
      <c r="R2" s="318"/>
      <c r="S2" s="318"/>
      <c r="T2" s="318"/>
      <c r="U2" s="318"/>
      <c r="V2" s="318"/>
      <c r="W2" s="318"/>
      <c r="X2" s="318"/>
      <c r="Y2" s="318"/>
      <c r="Z2" s="318"/>
    </row>
    <row r="3" spans="1:26" ht="15" customHeight="1">
      <c r="A3" s="412" t="s">
        <v>190</v>
      </c>
      <c r="B3" s="412"/>
      <c r="C3" s="412"/>
      <c r="D3" s="323">
        <f>D4+D18+D28+D30+D34+D38</f>
        <v>1247037</v>
      </c>
      <c r="E3" s="323">
        <f t="shared" ref="E3:O3" si="0">E4+E18+E28+E30+E34+E38</f>
        <v>1238472</v>
      </c>
      <c r="F3" s="323">
        <f t="shared" si="0"/>
        <v>1370148</v>
      </c>
      <c r="G3" s="323">
        <f t="shared" si="0"/>
        <v>1202444</v>
      </c>
      <c r="H3" s="323">
        <f t="shared" si="0"/>
        <v>789000</v>
      </c>
      <c r="I3" s="323">
        <f t="shared" si="0"/>
        <v>683000</v>
      </c>
      <c r="J3" s="323">
        <f t="shared" si="0"/>
        <v>683000</v>
      </c>
      <c r="K3" s="323">
        <f t="shared" si="0"/>
        <v>683000</v>
      </c>
      <c r="L3" s="323">
        <f t="shared" si="0"/>
        <v>683000</v>
      </c>
      <c r="M3" s="323">
        <f t="shared" si="0"/>
        <v>683000</v>
      </c>
      <c r="N3" s="323">
        <f t="shared" si="0"/>
        <v>683000</v>
      </c>
      <c r="O3" s="323">
        <f t="shared" si="0"/>
        <v>683000</v>
      </c>
      <c r="P3" s="323">
        <f t="shared" ref="P3" si="1">P4+P18+P28+P30+P34+P38</f>
        <v>407000</v>
      </c>
      <c r="Q3" s="322"/>
      <c r="R3" s="318"/>
      <c r="S3" s="318"/>
      <c r="T3" s="318"/>
      <c r="U3" s="318"/>
      <c r="V3" s="318"/>
      <c r="W3" s="318"/>
      <c r="X3" s="318"/>
      <c r="Y3" s="318"/>
      <c r="Z3" s="318"/>
    </row>
    <row r="4" spans="1:26" ht="15" customHeight="1">
      <c r="A4" s="444" t="s">
        <v>336</v>
      </c>
      <c r="B4" s="444"/>
      <c r="C4" s="444"/>
      <c r="D4" s="324">
        <f>マンスリー部門!B64</f>
        <v>46000</v>
      </c>
      <c r="E4" s="324">
        <v>16500</v>
      </c>
      <c r="F4" s="324">
        <f>マンスリー部門!D64</f>
        <v>63000</v>
      </c>
      <c r="G4" s="324">
        <f>マンスリー部門!E64</f>
        <v>157500</v>
      </c>
      <c r="H4" s="324">
        <f>マンスリー部門!F64</f>
        <v>106000</v>
      </c>
      <c r="I4" s="324">
        <f>マンスリー部門!G64</f>
        <v>0</v>
      </c>
      <c r="J4" s="324">
        <f>マンスリー部門!H64</f>
        <v>0</v>
      </c>
      <c r="K4" s="324">
        <f>マンスリー部門!I64</f>
        <v>0</v>
      </c>
      <c r="L4" s="324">
        <f>マンスリー部門!J64</f>
        <v>0</v>
      </c>
      <c r="M4" s="324">
        <f>マンスリー部門!K64</f>
        <v>0</v>
      </c>
      <c r="N4" s="324">
        <f>マンスリー部門!L64</f>
        <v>0</v>
      </c>
      <c r="O4" s="324">
        <f>マンスリー部門!M64</f>
        <v>0</v>
      </c>
      <c r="P4" s="324">
        <f>マンスリー部門!N64</f>
        <v>407000</v>
      </c>
      <c r="Q4" s="322"/>
      <c r="R4" s="318"/>
      <c r="S4" s="318"/>
      <c r="T4" s="318"/>
      <c r="U4" s="318"/>
      <c r="V4" s="318"/>
      <c r="W4" s="318"/>
      <c r="X4" s="318"/>
      <c r="Y4" s="318"/>
      <c r="Z4" s="318"/>
    </row>
    <row r="5" spans="1:26" ht="15" customHeight="1">
      <c r="A5" s="439" t="s">
        <v>191</v>
      </c>
      <c r="B5" s="439"/>
      <c r="C5" s="439"/>
      <c r="D5" s="325">
        <f>マンスリー部門!B68</f>
        <v>9</v>
      </c>
      <c r="E5" s="325">
        <v>4</v>
      </c>
      <c r="F5" s="325">
        <f>マンスリー部門!D68</f>
        <v>14</v>
      </c>
      <c r="G5" s="325">
        <f>マンスリー部門!E68</f>
        <v>35</v>
      </c>
      <c r="H5" s="325">
        <f>マンスリー部門!F68</f>
        <v>23</v>
      </c>
      <c r="I5" s="325">
        <f>マンスリー部門!G68</f>
        <v>0</v>
      </c>
      <c r="J5" s="325">
        <f>マンスリー部門!H68</f>
        <v>0</v>
      </c>
      <c r="K5" s="325">
        <f>マンスリー部門!I68</f>
        <v>0</v>
      </c>
      <c r="L5" s="325">
        <f>マンスリー部門!J68</f>
        <v>0</v>
      </c>
      <c r="M5" s="325">
        <f>マンスリー部門!K68</f>
        <v>0</v>
      </c>
      <c r="N5" s="325">
        <f>マンスリー部門!L68</f>
        <v>0</v>
      </c>
      <c r="O5" s="325">
        <f>マンスリー部門!M68</f>
        <v>0</v>
      </c>
      <c r="P5" s="325">
        <f>マンスリー部門!N68</f>
        <v>89</v>
      </c>
      <c r="Q5" s="318"/>
      <c r="R5" s="318"/>
      <c r="S5" s="318"/>
      <c r="T5" s="318"/>
      <c r="U5" s="318"/>
      <c r="V5" s="318"/>
      <c r="W5" s="318"/>
      <c r="X5" s="318"/>
      <c r="Y5" s="318"/>
      <c r="Z5" s="318"/>
    </row>
    <row r="6" spans="1:26" ht="15" customHeight="1">
      <c r="A6" s="439" t="s">
        <v>192</v>
      </c>
      <c r="B6" s="439"/>
      <c r="C6" s="439"/>
      <c r="D6" s="325">
        <f>マンスリー部門!B69</f>
        <v>12</v>
      </c>
      <c r="E6" s="325">
        <v>4</v>
      </c>
      <c r="F6" s="325">
        <f>マンスリー部門!D69</f>
        <v>14</v>
      </c>
      <c r="G6" s="325">
        <f>マンスリー部門!E69</f>
        <v>35</v>
      </c>
      <c r="H6" s="325">
        <f>マンスリー部門!F69</f>
        <v>24</v>
      </c>
      <c r="I6" s="325">
        <f>マンスリー部門!G69</f>
        <v>0</v>
      </c>
      <c r="J6" s="325">
        <f>マンスリー部門!H69</f>
        <v>0</v>
      </c>
      <c r="K6" s="325">
        <f>マンスリー部門!I69</f>
        <v>0</v>
      </c>
      <c r="L6" s="325">
        <f>マンスリー部門!J69</f>
        <v>0</v>
      </c>
      <c r="M6" s="325">
        <f>マンスリー部門!K69</f>
        <v>0</v>
      </c>
      <c r="N6" s="325">
        <f>マンスリー部門!L69</f>
        <v>0</v>
      </c>
      <c r="O6" s="325">
        <f>マンスリー部門!M69</f>
        <v>0</v>
      </c>
      <c r="P6" s="325">
        <f>マンスリー部門!N69</f>
        <v>93</v>
      </c>
      <c r="Q6" s="318"/>
      <c r="R6" s="318"/>
      <c r="S6" s="318"/>
      <c r="T6" s="318"/>
      <c r="U6" s="318"/>
      <c r="V6" s="318"/>
      <c r="W6" s="318"/>
      <c r="X6" s="318"/>
      <c r="Y6" s="318"/>
      <c r="Z6" s="318"/>
    </row>
    <row r="7" spans="1:26" ht="15" customHeight="1">
      <c r="A7" s="443" t="s">
        <v>193</v>
      </c>
      <c r="B7" s="443"/>
      <c r="C7" s="443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18"/>
      <c r="R7" s="318"/>
      <c r="S7" s="318"/>
      <c r="T7" s="318"/>
      <c r="U7" s="318"/>
      <c r="V7" s="318"/>
      <c r="W7" s="318"/>
      <c r="X7" s="318"/>
      <c r="Y7" s="318"/>
      <c r="Z7" s="318"/>
    </row>
    <row r="8" spans="1:26" ht="15" customHeight="1">
      <c r="A8" s="443" t="s">
        <v>194</v>
      </c>
      <c r="B8" s="443"/>
      <c r="C8" s="443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18"/>
      <c r="R8" s="318"/>
      <c r="S8" s="318"/>
      <c r="T8" s="318"/>
      <c r="U8" s="318"/>
      <c r="V8" s="318"/>
      <c r="W8" s="318"/>
      <c r="X8" s="318"/>
      <c r="Y8" s="318"/>
      <c r="Z8" s="318"/>
    </row>
    <row r="9" spans="1:26" ht="15" customHeight="1">
      <c r="A9" s="443" t="s">
        <v>195</v>
      </c>
      <c r="B9" s="443"/>
      <c r="C9" s="443"/>
      <c r="D9" s="326"/>
      <c r="E9" s="326"/>
      <c r="F9" s="326"/>
      <c r="G9" s="326"/>
      <c r="H9" s="326"/>
      <c r="I9" s="326"/>
      <c r="J9" s="326"/>
      <c r="K9" s="326"/>
      <c r="L9" s="326"/>
      <c r="M9" s="326"/>
      <c r="N9" s="326"/>
      <c r="O9" s="326"/>
      <c r="P9" s="326"/>
      <c r="Q9" s="318"/>
      <c r="R9" s="318"/>
      <c r="S9" s="318"/>
      <c r="T9" s="318"/>
      <c r="U9" s="318"/>
      <c r="V9" s="318"/>
      <c r="W9" s="318"/>
      <c r="X9" s="318"/>
      <c r="Y9" s="318"/>
      <c r="Z9" s="318"/>
    </row>
    <row r="10" spans="1:26" ht="15" customHeight="1">
      <c r="A10" s="443" t="s">
        <v>196</v>
      </c>
      <c r="B10" s="443"/>
      <c r="C10" s="443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18"/>
      <c r="R10" s="318"/>
      <c r="S10" s="318"/>
      <c r="T10" s="318"/>
      <c r="U10" s="318"/>
      <c r="V10" s="318"/>
      <c r="W10" s="318"/>
      <c r="X10" s="318"/>
      <c r="Y10" s="318"/>
      <c r="Z10" s="318"/>
    </row>
    <row r="11" spans="1:26" ht="15" customHeight="1">
      <c r="A11" s="443" t="s">
        <v>197</v>
      </c>
      <c r="B11" s="443"/>
      <c r="C11" s="443"/>
      <c r="D11" s="327"/>
      <c r="E11" s="327"/>
      <c r="F11" s="327"/>
      <c r="G11" s="327"/>
      <c r="H11" s="327"/>
      <c r="I11" s="327"/>
      <c r="J11" s="327"/>
      <c r="K11" s="327"/>
      <c r="L11" s="327"/>
      <c r="M11" s="327"/>
      <c r="N11" s="327"/>
      <c r="O11" s="327"/>
      <c r="P11" s="327"/>
      <c r="Q11" s="318"/>
      <c r="R11" s="318"/>
      <c r="S11" s="318"/>
      <c r="T11" s="318"/>
      <c r="U11" s="318"/>
      <c r="V11" s="318"/>
      <c r="W11" s="318"/>
      <c r="X11" s="318"/>
      <c r="Y11" s="318"/>
      <c r="Z11" s="318"/>
    </row>
    <row r="12" spans="1:26" ht="15" customHeight="1">
      <c r="A12" s="443" t="s">
        <v>198</v>
      </c>
      <c r="B12" s="443"/>
      <c r="C12" s="443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  <c r="P12" s="327"/>
      <c r="Q12" s="318"/>
      <c r="R12" s="318"/>
      <c r="S12" s="318"/>
      <c r="T12" s="318"/>
      <c r="U12" s="318"/>
      <c r="V12" s="318"/>
      <c r="W12" s="318"/>
      <c r="X12" s="318"/>
      <c r="Y12" s="318"/>
      <c r="Z12" s="318"/>
    </row>
    <row r="13" spans="1:26" ht="15" customHeight="1">
      <c r="A13" s="441" t="s">
        <v>199</v>
      </c>
      <c r="B13" s="441"/>
      <c r="C13" s="441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18"/>
      <c r="R13" s="318"/>
      <c r="S13" s="318"/>
      <c r="T13" s="318"/>
      <c r="U13" s="318"/>
      <c r="V13" s="318"/>
      <c r="W13" s="318"/>
      <c r="X13" s="318"/>
      <c r="Y13" s="318"/>
      <c r="Z13" s="318"/>
    </row>
    <row r="14" spans="1:26" ht="15" customHeight="1">
      <c r="A14" s="441" t="s">
        <v>200</v>
      </c>
      <c r="B14" s="441"/>
      <c r="C14" s="441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18"/>
      <c r="R14" s="318"/>
      <c r="S14" s="318"/>
      <c r="T14" s="318"/>
      <c r="U14" s="318"/>
      <c r="V14" s="318"/>
      <c r="W14" s="318"/>
      <c r="X14" s="318"/>
      <c r="Y14" s="318"/>
      <c r="Z14" s="318"/>
    </row>
    <row r="15" spans="1:26" ht="15" customHeight="1">
      <c r="A15" s="441" t="s">
        <v>201</v>
      </c>
      <c r="B15" s="441"/>
      <c r="C15" s="441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/>
      <c r="P15" s="326"/>
      <c r="Q15" s="318"/>
      <c r="R15" s="318"/>
      <c r="S15" s="318"/>
      <c r="T15" s="318"/>
      <c r="U15" s="318"/>
      <c r="V15" s="318"/>
      <c r="W15" s="318"/>
      <c r="X15" s="318"/>
      <c r="Y15" s="318"/>
      <c r="Z15" s="318"/>
    </row>
    <row r="16" spans="1:26" ht="15" customHeight="1">
      <c r="A16" s="441" t="s">
        <v>202</v>
      </c>
      <c r="B16" s="441"/>
      <c r="C16" s="441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18"/>
      <c r="R16" s="318"/>
      <c r="S16" s="318"/>
      <c r="T16" s="318"/>
      <c r="U16" s="318"/>
      <c r="V16" s="318"/>
      <c r="W16" s="318"/>
      <c r="X16" s="318"/>
      <c r="Y16" s="318"/>
      <c r="Z16" s="318"/>
    </row>
    <row r="17" spans="1:26" ht="15" customHeight="1">
      <c r="A17" s="442"/>
      <c r="B17" s="442"/>
      <c r="C17" s="442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18"/>
      <c r="R17" s="318"/>
      <c r="S17" s="318"/>
      <c r="T17" s="318"/>
      <c r="U17" s="318"/>
      <c r="V17" s="318"/>
      <c r="W17" s="318"/>
      <c r="X17" s="318"/>
      <c r="Y17" s="318"/>
      <c r="Z17" s="318"/>
    </row>
    <row r="18" spans="1:26" ht="15" customHeight="1">
      <c r="A18" s="439" t="s">
        <v>221</v>
      </c>
      <c r="B18" s="439"/>
      <c r="C18" s="439"/>
      <c r="D18" s="325">
        <v>281140</v>
      </c>
      <c r="E18" s="325">
        <v>294620</v>
      </c>
      <c r="F18" s="325">
        <v>388608</v>
      </c>
      <c r="G18" s="325">
        <v>350644</v>
      </c>
      <c r="H18" s="325"/>
      <c r="I18" s="325"/>
      <c r="J18" s="325"/>
      <c r="K18" s="325"/>
      <c r="L18" s="325"/>
      <c r="M18" s="325"/>
      <c r="N18" s="325"/>
      <c r="O18" s="325"/>
      <c r="P18" s="325"/>
      <c r="Q18" s="318"/>
      <c r="R18" s="318"/>
      <c r="S18" s="318"/>
      <c r="T18" s="318"/>
      <c r="U18" s="318"/>
      <c r="V18" s="318"/>
      <c r="W18" s="318"/>
      <c r="X18" s="318"/>
      <c r="Y18" s="318"/>
      <c r="Z18" s="318"/>
    </row>
    <row r="19" spans="1:26" ht="15" customHeight="1">
      <c r="A19" s="440" t="s">
        <v>337</v>
      </c>
      <c r="B19" s="440"/>
      <c r="C19" s="440"/>
      <c r="D19" s="326">
        <v>128</v>
      </c>
      <c r="E19" s="326">
        <v>121</v>
      </c>
      <c r="F19" s="326">
        <v>180</v>
      </c>
      <c r="G19" s="326">
        <v>158</v>
      </c>
      <c r="H19" s="326"/>
      <c r="I19" s="326"/>
      <c r="J19" s="326"/>
      <c r="K19" s="326"/>
      <c r="L19" s="326"/>
      <c r="M19" s="326"/>
      <c r="N19" s="326"/>
      <c r="O19" s="326"/>
      <c r="P19" s="326"/>
      <c r="Q19" s="318"/>
      <c r="R19" s="318"/>
      <c r="S19" s="318"/>
      <c r="T19" s="318"/>
      <c r="U19" s="318"/>
      <c r="V19" s="318"/>
      <c r="W19" s="318"/>
      <c r="X19" s="318"/>
      <c r="Y19" s="318"/>
      <c r="Z19" s="318"/>
    </row>
    <row r="20" spans="1:26" ht="15" customHeight="1">
      <c r="A20" s="440" t="s">
        <v>338</v>
      </c>
      <c r="B20" s="440"/>
      <c r="C20" s="440"/>
      <c r="D20" s="326">
        <v>2196</v>
      </c>
      <c r="E20" s="326">
        <v>2435</v>
      </c>
      <c r="F20" s="326">
        <v>2159</v>
      </c>
      <c r="G20" s="326">
        <v>2219</v>
      </c>
      <c r="H20" s="326"/>
      <c r="I20" s="326"/>
      <c r="J20" s="326"/>
      <c r="K20" s="326"/>
      <c r="L20" s="326"/>
      <c r="M20" s="326"/>
      <c r="N20" s="326"/>
      <c r="O20" s="326"/>
      <c r="P20" s="326"/>
      <c r="Q20" s="318"/>
      <c r="R20" s="318"/>
      <c r="S20" s="318"/>
      <c r="T20" s="318"/>
      <c r="U20" s="318"/>
      <c r="V20" s="318"/>
      <c r="W20" s="318"/>
      <c r="X20" s="318"/>
      <c r="Y20" s="318"/>
      <c r="Z20" s="318"/>
    </row>
    <row r="21" spans="1:26" ht="15" customHeight="1">
      <c r="A21" s="440" t="s">
        <v>339</v>
      </c>
      <c r="B21" s="440"/>
      <c r="C21" s="440"/>
      <c r="D21" s="326">
        <v>188</v>
      </c>
      <c r="E21" s="326">
        <v>196</v>
      </c>
      <c r="F21" s="326">
        <v>329</v>
      </c>
      <c r="G21" s="326">
        <v>230</v>
      </c>
      <c r="H21" s="326"/>
      <c r="I21" s="326"/>
      <c r="J21" s="326"/>
      <c r="K21" s="326"/>
      <c r="L21" s="326"/>
      <c r="M21" s="326"/>
      <c r="N21" s="326"/>
      <c r="O21" s="326"/>
      <c r="P21" s="326"/>
      <c r="Q21" s="318"/>
      <c r="R21" s="318"/>
      <c r="S21" s="318"/>
      <c r="T21" s="318"/>
      <c r="U21" s="318"/>
      <c r="V21" s="318"/>
      <c r="W21" s="318"/>
      <c r="X21" s="318"/>
      <c r="Y21" s="318"/>
      <c r="Z21" s="318"/>
    </row>
    <row r="22" spans="1:26" ht="15" customHeight="1">
      <c r="A22" s="440" t="s">
        <v>80</v>
      </c>
      <c r="B22" s="440"/>
      <c r="C22" s="440"/>
      <c r="D22" s="326">
        <v>1495</v>
      </c>
      <c r="E22" s="326">
        <v>1503</v>
      </c>
      <c r="F22" s="326">
        <v>1181</v>
      </c>
      <c r="G22" s="326">
        <v>1525</v>
      </c>
      <c r="H22" s="326"/>
      <c r="I22" s="326"/>
      <c r="J22" s="326"/>
      <c r="K22" s="326"/>
      <c r="L22" s="326"/>
      <c r="M22" s="326"/>
      <c r="N22" s="326"/>
      <c r="O22" s="326"/>
      <c r="P22" s="326"/>
      <c r="Q22" s="318"/>
      <c r="R22" s="318"/>
      <c r="S22" s="318"/>
      <c r="T22" s="318"/>
      <c r="U22" s="318"/>
      <c r="V22" s="318"/>
      <c r="W22" s="318"/>
      <c r="X22" s="318"/>
      <c r="Y22" s="318"/>
      <c r="Z22" s="318"/>
    </row>
    <row r="23" spans="1:26" ht="15" customHeight="1">
      <c r="A23" s="440" t="s">
        <v>340</v>
      </c>
      <c r="B23" s="440"/>
      <c r="C23" s="440"/>
      <c r="D23" s="326">
        <v>311</v>
      </c>
      <c r="E23" s="326">
        <v>337</v>
      </c>
      <c r="F23" s="326">
        <v>453</v>
      </c>
      <c r="G23" s="326">
        <v>435</v>
      </c>
      <c r="H23" s="326"/>
      <c r="I23" s="326"/>
      <c r="J23" s="326"/>
      <c r="K23" s="326"/>
      <c r="L23" s="326"/>
      <c r="M23" s="326"/>
      <c r="N23" s="326"/>
      <c r="O23" s="326"/>
      <c r="P23" s="326"/>
      <c r="Q23" s="318"/>
      <c r="R23" s="318"/>
      <c r="S23" s="318"/>
      <c r="T23" s="318"/>
      <c r="U23" s="318"/>
      <c r="V23" s="318"/>
      <c r="W23" s="318"/>
      <c r="X23" s="318"/>
      <c r="Y23" s="318"/>
      <c r="Z23" s="318"/>
    </row>
    <row r="24" spans="1:26" ht="15" customHeight="1">
      <c r="A24" s="440" t="s">
        <v>341</v>
      </c>
      <c r="B24" s="440"/>
      <c r="C24" s="440"/>
      <c r="D24" s="326">
        <v>187940</v>
      </c>
      <c r="E24" s="326">
        <v>206410</v>
      </c>
      <c r="F24" s="326">
        <v>271730</v>
      </c>
      <c r="G24" s="326">
        <v>288744</v>
      </c>
      <c r="H24" s="326"/>
      <c r="I24" s="326"/>
      <c r="J24" s="326"/>
      <c r="K24" s="326"/>
      <c r="L24" s="326"/>
      <c r="M24" s="326"/>
      <c r="N24" s="326"/>
      <c r="O24" s="326"/>
      <c r="P24" s="326"/>
      <c r="Q24" s="318"/>
      <c r="R24" s="318"/>
      <c r="S24" s="318"/>
      <c r="T24" s="318"/>
      <c r="U24" s="318"/>
      <c r="V24" s="318"/>
      <c r="W24" s="318"/>
      <c r="X24" s="318"/>
      <c r="Y24" s="318"/>
      <c r="Z24" s="318"/>
    </row>
    <row r="25" spans="1:26" ht="15" customHeight="1">
      <c r="A25" s="440" t="s">
        <v>342</v>
      </c>
      <c r="B25" s="440"/>
      <c r="C25" s="440"/>
      <c r="D25" s="326">
        <v>93200</v>
      </c>
      <c r="E25" s="326">
        <v>88210</v>
      </c>
      <c r="F25" s="326">
        <v>116878</v>
      </c>
      <c r="G25" s="326">
        <v>61900</v>
      </c>
      <c r="H25" s="326"/>
      <c r="I25" s="326"/>
      <c r="J25" s="326"/>
      <c r="K25" s="326"/>
      <c r="L25" s="326"/>
      <c r="M25" s="326"/>
      <c r="N25" s="326"/>
      <c r="O25" s="326"/>
      <c r="P25" s="326"/>
      <c r="Q25" s="318"/>
      <c r="R25" s="318"/>
      <c r="S25" s="318"/>
      <c r="T25" s="318"/>
      <c r="U25" s="318"/>
      <c r="V25" s="318"/>
      <c r="W25" s="318"/>
      <c r="X25" s="318"/>
      <c r="Y25" s="318"/>
      <c r="Z25" s="318"/>
    </row>
    <row r="26" spans="1:26" ht="15" customHeight="1">
      <c r="A26" s="440" t="s">
        <v>343</v>
      </c>
      <c r="B26" s="440"/>
      <c r="C26" s="440"/>
      <c r="D26" s="326">
        <v>0</v>
      </c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18"/>
      <c r="R26" s="318"/>
      <c r="S26" s="318"/>
      <c r="T26" s="318"/>
      <c r="U26" s="318"/>
      <c r="V26" s="318"/>
      <c r="W26" s="318"/>
      <c r="X26" s="318"/>
      <c r="Y26" s="318"/>
      <c r="Z26" s="318"/>
    </row>
    <row r="27" spans="1:26" ht="8.25" customHeight="1">
      <c r="A27" s="409"/>
      <c r="B27" s="409"/>
      <c r="C27" s="409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318"/>
      <c r="R27" s="318"/>
      <c r="S27" s="318"/>
      <c r="T27" s="318"/>
      <c r="U27" s="318"/>
      <c r="V27" s="318"/>
      <c r="W27" s="318"/>
      <c r="X27" s="318"/>
      <c r="Y27" s="318"/>
      <c r="Z27" s="318"/>
    </row>
    <row r="28" spans="1:26" ht="15" customHeight="1">
      <c r="A28" s="439" t="s">
        <v>344</v>
      </c>
      <c r="B28" s="439"/>
      <c r="C28" s="439"/>
      <c r="D28" s="329"/>
      <c r="E28" s="325"/>
      <c r="F28" s="325"/>
      <c r="G28" s="325"/>
      <c r="H28" s="325"/>
      <c r="I28" s="325"/>
      <c r="J28" s="325"/>
      <c r="K28" s="325"/>
      <c r="L28" s="325"/>
      <c r="M28" s="325"/>
      <c r="N28" s="325"/>
      <c r="O28" s="325"/>
      <c r="P28" s="325"/>
      <c r="Q28" s="318"/>
      <c r="R28" s="318"/>
      <c r="S28" s="318"/>
      <c r="T28" s="318"/>
      <c r="U28" s="318"/>
      <c r="V28" s="318"/>
      <c r="W28" s="318"/>
      <c r="X28" s="318"/>
      <c r="Y28" s="318"/>
      <c r="Z28" s="318"/>
    </row>
    <row r="29" spans="1:26" ht="9" customHeight="1">
      <c r="A29" s="409"/>
      <c r="B29" s="409"/>
      <c r="C29" s="409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318"/>
      <c r="R29" s="318"/>
      <c r="S29" s="318"/>
      <c r="T29" s="318"/>
      <c r="U29" s="318"/>
      <c r="V29" s="318"/>
      <c r="W29" s="318"/>
      <c r="X29" s="318"/>
      <c r="Y29" s="318"/>
      <c r="Z29" s="318"/>
    </row>
    <row r="30" spans="1:26" ht="15" customHeight="1">
      <c r="A30" s="439" t="s">
        <v>345</v>
      </c>
      <c r="B30" s="439"/>
      <c r="C30" s="439"/>
      <c r="D30" s="325">
        <f t="shared" ref="D30:P30" si="2">SUM(D31:D32)</f>
        <v>683000</v>
      </c>
      <c r="E30" s="325">
        <f t="shared" si="2"/>
        <v>683000</v>
      </c>
      <c r="F30" s="325">
        <f t="shared" si="2"/>
        <v>683000</v>
      </c>
      <c r="G30" s="325">
        <f t="shared" si="2"/>
        <v>683000</v>
      </c>
      <c r="H30" s="325">
        <f t="shared" si="2"/>
        <v>683000</v>
      </c>
      <c r="I30" s="325">
        <f t="shared" si="2"/>
        <v>683000</v>
      </c>
      <c r="J30" s="325">
        <f t="shared" si="2"/>
        <v>683000</v>
      </c>
      <c r="K30" s="325">
        <f t="shared" si="2"/>
        <v>683000</v>
      </c>
      <c r="L30" s="325">
        <f t="shared" si="2"/>
        <v>683000</v>
      </c>
      <c r="M30" s="325">
        <f t="shared" si="2"/>
        <v>683000</v>
      </c>
      <c r="N30" s="325">
        <f t="shared" si="2"/>
        <v>683000</v>
      </c>
      <c r="O30" s="325">
        <f t="shared" si="2"/>
        <v>683000</v>
      </c>
      <c r="P30" s="325">
        <f t="shared" si="2"/>
        <v>0</v>
      </c>
      <c r="Q30" s="322"/>
      <c r="R30" s="318"/>
      <c r="S30" s="318"/>
      <c r="T30" s="318"/>
      <c r="U30" s="318"/>
      <c r="V30" s="318"/>
      <c r="W30" s="318"/>
      <c r="X30" s="318"/>
      <c r="Y30" s="318"/>
      <c r="Z30" s="318"/>
    </row>
    <row r="31" spans="1:26" ht="18" customHeight="1">
      <c r="A31" s="436" t="s">
        <v>3</v>
      </c>
      <c r="B31" s="440" t="s">
        <v>346</v>
      </c>
      <c r="C31" s="440"/>
      <c r="D31" s="326">
        <v>650000</v>
      </c>
      <c r="E31" s="326">
        <v>650000</v>
      </c>
      <c r="F31" s="326">
        <v>650000</v>
      </c>
      <c r="G31" s="326">
        <v>650000</v>
      </c>
      <c r="H31" s="326">
        <v>650000</v>
      </c>
      <c r="I31" s="326">
        <v>650000</v>
      </c>
      <c r="J31" s="326">
        <v>650000</v>
      </c>
      <c r="K31" s="326">
        <v>650000</v>
      </c>
      <c r="L31" s="326">
        <v>650000</v>
      </c>
      <c r="M31" s="326">
        <v>650000</v>
      </c>
      <c r="N31" s="326">
        <v>650000</v>
      </c>
      <c r="O31" s="326">
        <v>650000</v>
      </c>
      <c r="P31" s="325"/>
      <c r="Q31" s="322"/>
      <c r="R31" s="318"/>
      <c r="S31" s="318"/>
      <c r="T31" s="318"/>
      <c r="U31" s="318"/>
      <c r="V31" s="318"/>
      <c r="W31" s="318"/>
      <c r="X31" s="318"/>
      <c r="Y31" s="318"/>
      <c r="Z31" s="318"/>
    </row>
    <row r="32" spans="1:26" ht="15" customHeight="1">
      <c r="A32" s="436"/>
      <c r="B32" s="440" t="s">
        <v>347</v>
      </c>
      <c r="C32" s="440"/>
      <c r="D32" s="326">
        <v>33000</v>
      </c>
      <c r="E32" s="326">
        <v>33000</v>
      </c>
      <c r="F32" s="326">
        <v>33000</v>
      </c>
      <c r="G32" s="326">
        <v>33000</v>
      </c>
      <c r="H32" s="326">
        <v>33000</v>
      </c>
      <c r="I32" s="326">
        <v>33000</v>
      </c>
      <c r="J32" s="326">
        <v>33000</v>
      </c>
      <c r="K32" s="326">
        <v>33000</v>
      </c>
      <c r="L32" s="326">
        <v>33000</v>
      </c>
      <c r="M32" s="326">
        <v>33000</v>
      </c>
      <c r="N32" s="326">
        <v>33000</v>
      </c>
      <c r="O32" s="326">
        <v>33000</v>
      </c>
      <c r="P32" s="326"/>
      <c r="Q32" s="322"/>
      <c r="R32" s="318"/>
      <c r="S32" s="318"/>
      <c r="T32" s="318"/>
      <c r="U32" s="318"/>
      <c r="V32" s="318"/>
      <c r="W32" s="318"/>
      <c r="X32" s="318"/>
      <c r="Y32" s="318"/>
      <c r="Z32" s="318"/>
    </row>
    <row r="33" spans="1:26" ht="9" customHeight="1"/>
    <row r="34" spans="1:26" ht="15" customHeight="1">
      <c r="A34" s="439" t="s">
        <v>348</v>
      </c>
      <c r="B34" s="439"/>
      <c r="C34" s="439"/>
      <c r="D34" s="325">
        <f t="shared" ref="D34:P34" si="3">D35+D36</f>
        <v>20700</v>
      </c>
      <c r="E34" s="325">
        <f t="shared" si="3"/>
        <v>16850</v>
      </c>
      <c r="F34" s="325">
        <f t="shared" si="3"/>
        <v>27700</v>
      </c>
      <c r="G34" s="325">
        <f t="shared" si="3"/>
        <v>11300</v>
      </c>
      <c r="H34" s="325">
        <f t="shared" si="3"/>
        <v>0</v>
      </c>
      <c r="I34" s="325">
        <f t="shared" si="3"/>
        <v>0</v>
      </c>
      <c r="J34" s="325">
        <f t="shared" si="3"/>
        <v>0</v>
      </c>
      <c r="K34" s="325">
        <f t="shared" si="3"/>
        <v>0</v>
      </c>
      <c r="L34" s="325">
        <f t="shared" si="3"/>
        <v>0</v>
      </c>
      <c r="M34" s="325">
        <f t="shared" si="3"/>
        <v>0</v>
      </c>
      <c r="N34" s="325">
        <f t="shared" si="3"/>
        <v>0</v>
      </c>
      <c r="O34" s="325">
        <f t="shared" si="3"/>
        <v>0</v>
      </c>
      <c r="P34" s="325">
        <f t="shared" si="3"/>
        <v>0</v>
      </c>
      <c r="Q34" s="322"/>
      <c r="R34" s="318"/>
      <c r="S34" s="318"/>
      <c r="T34" s="318"/>
      <c r="U34" s="318"/>
      <c r="V34" s="318"/>
      <c r="W34" s="318"/>
      <c r="X34" s="318"/>
      <c r="Y34" s="318"/>
      <c r="Z34" s="318"/>
    </row>
    <row r="35" spans="1:26" ht="18" customHeight="1">
      <c r="A35" s="436" t="s">
        <v>3</v>
      </c>
      <c r="B35" s="440" t="s">
        <v>349</v>
      </c>
      <c r="C35" s="440"/>
      <c r="D35" s="325">
        <v>20300</v>
      </c>
      <c r="E35" s="325">
        <v>16850</v>
      </c>
      <c r="F35" s="325">
        <v>27300</v>
      </c>
      <c r="G35" s="325">
        <v>10700</v>
      </c>
      <c r="H35" s="325"/>
      <c r="I35" s="325"/>
      <c r="J35" s="325"/>
      <c r="K35" s="325"/>
      <c r="L35" s="325"/>
      <c r="M35" s="325"/>
      <c r="N35" s="325"/>
      <c r="O35" s="325"/>
      <c r="P35" s="325"/>
      <c r="Q35" s="322"/>
      <c r="R35" s="318"/>
      <c r="S35" s="318"/>
      <c r="T35" s="318"/>
      <c r="U35" s="318"/>
      <c r="V35" s="318"/>
      <c r="W35" s="318"/>
      <c r="X35" s="318"/>
      <c r="Y35" s="318"/>
      <c r="Z35" s="318"/>
    </row>
    <row r="36" spans="1:26" ht="15" customHeight="1">
      <c r="A36" s="436"/>
      <c r="B36" s="440" t="s">
        <v>350</v>
      </c>
      <c r="C36" s="440"/>
      <c r="D36" s="326">
        <v>400</v>
      </c>
      <c r="E36" s="326">
        <v>0</v>
      </c>
      <c r="F36" s="326">
        <v>400</v>
      </c>
      <c r="G36" s="326">
        <v>600</v>
      </c>
      <c r="H36" s="326"/>
      <c r="I36" s="326"/>
      <c r="J36" s="326"/>
      <c r="K36" s="326"/>
      <c r="L36" s="326"/>
      <c r="M36" s="326"/>
      <c r="N36" s="326"/>
      <c r="O36" s="326"/>
      <c r="P36" s="326"/>
      <c r="Q36" s="322"/>
      <c r="R36" s="318"/>
      <c r="S36" s="318"/>
      <c r="T36" s="318"/>
      <c r="U36" s="318"/>
      <c r="V36" s="318"/>
      <c r="W36" s="318"/>
      <c r="X36" s="318"/>
      <c r="Y36" s="318"/>
      <c r="Z36" s="318"/>
    </row>
    <row r="37" spans="1:26" ht="9" customHeight="1"/>
    <row r="38" spans="1:26" ht="24.75" customHeight="1">
      <c r="A38" s="439" t="s">
        <v>351</v>
      </c>
      <c r="B38" s="439"/>
      <c r="C38" s="439"/>
      <c r="D38" s="330">
        <f>SUM(D39:D44)</f>
        <v>216197</v>
      </c>
      <c r="E38" s="330">
        <f t="shared" ref="E38:P38" si="4">SUM(E39:E44)</f>
        <v>227502</v>
      </c>
      <c r="F38" s="330">
        <f t="shared" si="4"/>
        <v>207840</v>
      </c>
      <c r="G38" s="330">
        <f t="shared" si="4"/>
        <v>0</v>
      </c>
      <c r="H38" s="330">
        <f t="shared" si="4"/>
        <v>0</v>
      </c>
      <c r="I38" s="330">
        <f t="shared" si="4"/>
        <v>0</v>
      </c>
      <c r="J38" s="330">
        <f t="shared" si="4"/>
        <v>0</v>
      </c>
      <c r="K38" s="330">
        <f t="shared" si="4"/>
        <v>0</v>
      </c>
      <c r="L38" s="330">
        <f t="shared" si="4"/>
        <v>0</v>
      </c>
      <c r="M38" s="330">
        <f t="shared" si="4"/>
        <v>0</v>
      </c>
      <c r="N38" s="330">
        <f t="shared" si="4"/>
        <v>0</v>
      </c>
      <c r="O38" s="330">
        <f t="shared" si="4"/>
        <v>0</v>
      </c>
      <c r="P38" s="330">
        <f t="shared" si="4"/>
        <v>0</v>
      </c>
    </row>
    <row r="39" spans="1:26" ht="18" customHeight="1">
      <c r="A39" s="436" t="s">
        <v>3</v>
      </c>
      <c r="B39" s="437" t="s">
        <v>352</v>
      </c>
      <c r="C39" s="437"/>
      <c r="D39" s="326">
        <v>18542</v>
      </c>
      <c r="E39" s="325">
        <v>19484</v>
      </c>
      <c r="F39" s="325">
        <v>17846</v>
      </c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2"/>
      <c r="R39" s="318"/>
      <c r="S39" s="318"/>
      <c r="T39" s="318"/>
      <c r="U39" s="318"/>
      <c r="V39" s="318"/>
      <c r="W39" s="318"/>
      <c r="X39" s="318"/>
      <c r="Y39" s="318"/>
      <c r="Z39" s="318"/>
    </row>
    <row r="40" spans="1:26" ht="15" customHeight="1">
      <c r="A40" s="436"/>
      <c r="B40" s="437" t="s">
        <v>353</v>
      </c>
      <c r="C40" s="437"/>
      <c r="D40" s="326">
        <v>35555</v>
      </c>
      <c r="E40" s="326">
        <v>37363</v>
      </c>
      <c r="F40" s="326">
        <v>34219</v>
      </c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2"/>
      <c r="R40" s="318"/>
      <c r="S40" s="318"/>
      <c r="T40" s="318"/>
      <c r="U40" s="318"/>
      <c r="V40" s="318"/>
      <c r="W40" s="318"/>
      <c r="X40" s="318"/>
      <c r="Y40" s="318"/>
      <c r="Z40" s="318"/>
    </row>
    <row r="41" spans="1:26" ht="15" customHeight="1">
      <c r="A41" s="436"/>
      <c r="B41" s="438" t="s">
        <v>354</v>
      </c>
      <c r="C41" s="438"/>
      <c r="D41" s="331">
        <v>72821</v>
      </c>
      <c r="E41" s="332">
        <v>75961</v>
      </c>
      <c r="F41" s="332">
        <v>70499</v>
      </c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22"/>
      <c r="R41" s="318"/>
      <c r="S41" s="318"/>
      <c r="T41" s="318"/>
      <c r="U41" s="318"/>
      <c r="V41" s="318"/>
      <c r="W41" s="318"/>
      <c r="X41" s="318"/>
      <c r="Y41" s="318"/>
      <c r="Z41" s="318"/>
    </row>
    <row r="42" spans="1:26">
      <c r="A42" s="436"/>
      <c r="B42" s="437" t="s">
        <v>355</v>
      </c>
      <c r="C42" s="437"/>
      <c r="D42" s="252">
        <v>10594</v>
      </c>
      <c r="E42" s="210">
        <v>10909</v>
      </c>
      <c r="F42" s="210">
        <v>10360</v>
      </c>
      <c r="G42" s="210"/>
      <c r="H42" s="210"/>
      <c r="I42" s="210"/>
      <c r="J42" s="210"/>
      <c r="K42" s="210"/>
      <c r="L42" s="210"/>
      <c r="M42" s="210"/>
      <c r="N42" s="210"/>
      <c r="O42" s="210"/>
      <c r="P42" s="210"/>
    </row>
    <row r="43" spans="1:26">
      <c r="A43" s="436"/>
      <c r="B43" s="437" t="s">
        <v>356</v>
      </c>
      <c r="C43" s="437"/>
      <c r="D43" s="252">
        <v>78685</v>
      </c>
      <c r="E43" s="210">
        <v>83785</v>
      </c>
      <c r="F43" s="210">
        <v>74916</v>
      </c>
      <c r="G43" s="210"/>
      <c r="H43" s="210"/>
      <c r="I43" s="210"/>
      <c r="J43" s="210"/>
      <c r="K43" s="210"/>
      <c r="L43" s="210"/>
      <c r="M43" s="210"/>
      <c r="N43" s="210"/>
      <c r="O43" s="210"/>
      <c r="P43" s="210"/>
    </row>
    <row r="44" spans="1:26">
      <c r="A44" s="436"/>
      <c r="B44" s="437" t="s">
        <v>357</v>
      </c>
      <c r="C44" s="437"/>
      <c r="D44" s="210">
        <v>0</v>
      </c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</row>
    <row r="45" spans="1:26" ht="9" customHeight="1"/>
    <row r="46" spans="1:26" ht="15" customHeight="1">
      <c r="D46" s="333" t="s">
        <v>324</v>
      </c>
      <c r="E46" s="333" t="s">
        <v>325</v>
      </c>
      <c r="F46" s="333" t="s">
        <v>326</v>
      </c>
      <c r="G46" s="333" t="s">
        <v>327</v>
      </c>
      <c r="H46" s="333" t="s">
        <v>328</v>
      </c>
      <c r="I46" s="333" t="s">
        <v>329</v>
      </c>
      <c r="J46" s="333" t="s">
        <v>330</v>
      </c>
      <c r="K46" s="333" t="s">
        <v>331</v>
      </c>
      <c r="L46" s="333" t="s">
        <v>332</v>
      </c>
      <c r="M46" s="333" t="s">
        <v>333</v>
      </c>
      <c r="N46" s="333" t="s">
        <v>334</v>
      </c>
      <c r="O46" s="333" t="s">
        <v>335</v>
      </c>
      <c r="P46" s="334" t="s">
        <v>42</v>
      </c>
    </row>
    <row r="47" spans="1:26" ht="15" customHeight="1">
      <c r="A47" s="433" t="s">
        <v>358</v>
      </c>
      <c r="B47" s="433"/>
      <c r="C47" s="433"/>
      <c r="D47" s="324">
        <f>D3</f>
        <v>1247037</v>
      </c>
      <c r="E47" s="324">
        <f t="shared" ref="E47:P47" si="5">E3</f>
        <v>1238472</v>
      </c>
      <c r="F47" s="324">
        <f t="shared" si="5"/>
        <v>1370148</v>
      </c>
      <c r="G47" s="324">
        <f t="shared" si="5"/>
        <v>1202444</v>
      </c>
      <c r="H47" s="324">
        <f t="shared" si="5"/>
        <v>789000</v>
      </c>
      <c r="I47" s="324">
        <f t="shared" si="5"/>
        <v>683000</v>
      </c>
      <c r="J47" s="324">
        <f t="shared" si="5"/>
        <v>683000</v>
      </c>
      <c r="K47" s="324">
        <f t="shared" si="5"/>
        <v>683000</v>
      </c>
      <c r="L47" s="324">
        <f t="shared" si="5"/>
        <v>683000</v>
      </c>
      <c r="M47" s="324">
        <f t="shared" si="5"/>
        <v>683000</v>
      </c>
      <c r="N47" s="324">
        <f t="shared" si="5"/>
        <v>683000</v>
      </c>
      <c r="O47" s="324">
        <f t="shared" si="5"/>
        <v>683000</v>
      </c>
      <c r="P47" s="324">
        <f t="shared" si="5"/>
        <v>407000</v>
      </c>
      <c r="Q47" s="322"/>
      <c r="R47" s="318"/>
      <c r="S47" s="318"/>
      <c r="T47" s="318"/>
      <c r="U47" s="318"/>
      <c r="V47" s="318"/>
      <c r="W47" s="318"/>
      <c r="X47" s="318"/>
      <c r="Y47" s="318"/>
      <c r="Z47" s="318"/>
    </row>
    <row r="48" spans="1:26" ht="31.5" customHeight="1">
      <c r="A48" s="434" t="s">
        <v>26</v>
      </c>
      <c r="B48" s="434"/>
      <c r="C48" s="434"/>
      <c r="D48" s="335">
        <v>1603560</v>
      </c>
      <c r="E48" s="335">
        <v>1713674</v>
      </c>
      <c r="F48" s="335"/>
      <c r="G48" s="335"/>
      <c r="H48" s="335"/>
      <c r="I48" s="335"/>
      <c r="J48" s="335"/>
      <c r="K48" s="335"/>
      <c r="L48" s="335"/>
      <c r="M48" s="335"/>
      <c r="N48" s="335"/>
      <c r="O48" s="335"/>
      <c r="P48" s="335"/>
      <c r="Q48" s="322"/>
      <c r="R48" s="318"/>
      <c r="S48" s="318"/>
      <c r="T48" s="318"/>
      <c r="U48" s="318"/>
      <c r="V48" s="318"/>
      <c r="W48" s="318"/>
      <c r="X48" s="318"/>
      <c r="Y48" s="318"/>
      <c r="Z48" s="318"/>
    </row>
    <row r="49" spans="1:26" s="339" customFormat="1" ht="15" customHeight="1">
      <c r="A49" s="435" t="s">
        <v>73</v>
      </c>
      <c r="B49" s="435"/>
      <c r="C49" s="435"/>
      <c r="D49" s="336">
        <f t="shared" ref="D49:P49" si="6">D47-D48</f>
        <v>-356523</v>
      </c>
      <c r="E49" s="336">
        <f t="shared" si="6"/>
        <v>-475202</v>
      </c>
      <c r="F49" s="336">
        <f t="shared" si="6"/>
        <v>1370148</v>
      </c>
      <c r="G49" s="336">
        <f t="shared" si="6"/>
        <v>1202444</v>
      </c>
      <c r="H49" s="336">
        <f t="shared" si="6"/>
        <v>789000</v>
      </c>
      <c r="I49" s="336">
        <f t="shared" si="6"/>
        <v>683000</v>
      </c>
      <c r="J49" s="336">
        <f t="shared" si="6"/>
        <v>683000</v>
      </c>
      <c r="K49" s="336">
        <f t="shared" si="6"/>
        <v>683000</v>
      </c>
      <c r="L49" s="336">
        <f t="shared" si="6"/>
        <v>683000</v>
      </c>
      <c r="M49" s="336">
        <f t="shared" si="6"/>
        <v>683000</v>
      </c>
      <c r="N49" s="336">
        <f t="shared" si="6"/>
        <v>683000</v>
      </c>
      <c r="O49" s="336">
        <f t="shared" si="6"/>
        <v>683000</v>
      </c>
      <c r="P49" s="336">
        <f t="shared" si="6"/>
        <v>407000</v>
      </c>
      <c r="Q49" s="337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ht="15" customHeight="1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</row>
    <row r="51" spans="1:26" ht="15" customHeight="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</row>
    <row r="52" spans="1:26" ht="15" customHeight="1">
      <c r="A52" s="318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</row>
    <row r="53" spans="1:26" ht="15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</row>
    <row r="54" spans="1:26" ht="15" customHeight="1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</row>
    <row r="55" spans="1:26" ht="15" customHeight="1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</row>
    <row r="56" spans="1:26" ht="15" customHeight="1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</row>
    <row r="57" spans="1:26" ht="15" customHeight="1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</row>
    <row r="58" spans="1:26" ht="15" customHeight="1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</row>
    <row r="59" spans="1:26" ht="15" customHeight="1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</row>
    <row r="60" spans="1:26" ht="15" customHeight="1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</row>
    <row r="61" spans="1:26" ht="15" customHeight="1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</row>
    <row r="62" spans="1:26" ht="15" customHeight="1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</row>
    <row r="63" spans="1:26" ht="15" customHeight="1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</row>
    <row r="64" spans="1:26" ht="15" customHeight="1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</row>
    <row r="65" spans="1:26" ht="15" customHeight="1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</row>
    <row r="66" spans="1:26" ht="15" customHeight="1">
      <c r="A66" s="318"/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</row>
    <row r="67" spans="1:26" ht="15" customHeight="1">
      <c r="A67" s="318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</row>
    <row r="68" spans="1:26" ht="15" customHeight="1">
      <c r="A68" s="318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</row>
    <row r="69" spans="1:26" ht="15" customHeight="1">
      <c r="A69" s="318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</row>
    <row r="70" spans="1:26" ht="15" customHeight="1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</row>
    <row r="71" spans="1:26" ht="15" customHeight="1">
      <c r="A71" s="318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</row>
    <row r="72" spans="1:26" ht="15" customHeight="1">
      <c r="A72" s="318"/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</row>
    <row r="73" spans="1:26" ht="15" customHeight="1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</row>
    <row r="74" spans="1:26" ht="15" customHeight="1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</row>
    <row r="75" spans="1:26" ht="15" customHeight="1">
      <c r="A75" s="318"/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</row>
    <row r="76" spans="1:26" ht="15" customHeight="1">
      <c r="A76" s="318"/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</row>
    <row r="77" spans="1:26" ht="15" customHeight="1">
      <c r="A77" s="318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</row>
    <row r="78" spans="1:26" ht="15" customHeight="1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</row>
    <row r="79" spans="1:26" ht="15" customHeight="1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</row>
    <row r="80" spans="1:26" ht="15" customHeight="1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</row>
    <row r="81" spans="1:26" ht="15" customHeight="1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</row>
    <row r="82" spans="1:26" ht="15" customHeight="1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</row>
    <row r="83" spans="1:26" ht="15" customHeight="1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</row>
    <row r="84" spans="1:26" ht="15" customHeight="1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</row>
    <row r="85" spans="1:26" ht="15" customHeight="1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</row>
    <row r="86" spans="1:26" ht="15" customHeight="1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</row>
    <row r="87" spans="1:26" ht="15" customHeight="1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</row>
    <row r="88" spans="1:26" ht="15" customHeight="1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</row>
    <row r="89" spans="1:26" ht="15" customHeight="1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</row>
    <row r="90" spans="1:26" ht="15" customHeight="1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</row>
    <row r="91" spans="1:26" ht="15" customHeight="1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</row>
    <row r="92" spans="1:26" ht="15" customHeight="1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</row>
    <row r="93" spans="1:26" ht="15" customHeight="1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</row>
    <row r="94" spans="1:26" ht="15" customHeight="1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</row>
    <row r="95" spans="1:26" ht="15" customHeight="1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</row>
    <row r="96" spans="1:26" ht="15" customHeight="1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</row>
    <row r="97" spans="1:26" ht="15" customHeight="1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</row>
    <row r="98" spans="1:26" ht="15" customHeight="1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</row>
    <row r="99" spans="1:26" ht="15" customHeight="1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</row>
    <row r="100" spans="1:26" ht="15" customHeight="1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</row>
    <row r="101" spans="1:26" ht="15" customHeight="1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</row>
    <row r="102" spans="1:26" ht="15" customHeight="1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</row>
    <row r="103" spans="1:26" ht="15" customHeight="1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</row>
    <row r="104" spans="1:26" ht="15" customHeight="1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</row>
    <row r="105" spans="1:26" ht="15" customHeight="1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</row>
    <row r="106" spans="1:26" ht="15" customHeight="1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</row>
    <row r="107" spans="1:26" ht="15" customHeight="1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</row>
    <row r="108" spans="1:26" ht="15" customHeight="1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</row>
    <row r="109" spans="1:26" ht="15" customHeight="1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</row>
    <row r="110" spans="1:26" ht="15" customHeight="1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</row>
    <row r="111" spans="1:26" ht="15" customHeight="1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</row>
    <row r="112" spans="1:26" ht="15" customHeight="1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</row>
    <row r="113" spans="1:26" ht="15" customHeight="1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</row>
    <row r="114" spans="1:26" ht="15" customHeight="1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</row>
    <row r="115" spans="1:26" ht="15" customHeight="1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</row>
    <row r="116" spans="1:26" ht="15" customHeight="1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</row>
    <row r="117" spans="1:26" ht="15" customHeight="1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</row>
    <row r="118" spans="1:26" ht="15" customHeight="1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</row>
    <row r="119" spans="1:26" ht="15" customHeight="1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</row>
    <row r="120" spans="1:26" ht="15" customHeight="1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</row>
    <row r="121" spans="1:26" ht="15" customHeight="1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</row>
    <row r="122" spans="1:26" ht="15" customHeight="1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</row>
    <row r="123" spans="1:26" ht="15" customHeight="1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</row>
    <row r="124" spans="1:26" ht="15" customHeight="1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</row>
    <row r="125" spans="1:26" ht="15" customHeight="1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</row>
    <row r="126" spans="1:26" ht="15" customHeight="1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</row>
    <row r="127" spans="1:26" ht="15" customHeight="1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</row>
    <row r="128" spans="1:26" ht="15" customHeight="1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</row>
    <row r="129" spans="1:26" ht="15" customHeight="1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</row>
    <row r="130" spans="1:26" ht="15" customHeight="1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</row>
    <row r="131" spans="1:26" ht="15" customHeight="1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</row>
    <row r="132" spans="1:26" ht="15" customHeight="1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</row>
    <row r="133" spans="1:26" ht="15" customHeight="1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</row>
    <row r="134" spans="1:26" ht="15" customHeight="1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</row>
    <row r="135" spans="1:26" ht="15" customHeight="1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</row>
    <row r="136" spans="1:26" ht="15" customHeight="1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</row>
    <row r="137" spans="1:26" ht="15" customHeight="1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</row>
    <row r="138" spans="1:26" ht="15" customHeight="1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</row>
    <row r="139" spans="1:26" ht="15" customHeight="1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</row>
    <row r="140" spans="1:26" ht="15" customHeight="1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</row>
    <row r="141" spans="1:26" ht="15" customHeight="1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</row>
    <row r="142" spans="1:26" ht="15" customHeight="1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</row>
    <row r="143" spans="1:26" ht="15" customHeight="1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</row>
    <row r="144" spans="1:26" ht="15" customHeight="1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</row>
    <row r="145" spans="1:26" ht="15" customHeight="1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</row>
    <row r="146" spans="1:26" ht="15" customHeight="1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</row>
    <row r="147" spans="1:26" ht="15" customHeight="1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</row>
    <row r="148" spans="1:26" ht="15" customHeight="1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</row>
    <row r="149" spans="1:26" ht="15" customHeight="1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</row>
    <row r="150" spans="1:26" ht="15" customHeight="1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</row>
    <row r="151" spans="1:26" ht="15" customHeight="1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</row>
    <row r="152" spans="1:26" ht="15" customHeight="1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</row>
    <row r="153" spans="1:26" ht="15" customHeight="1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</row>
    <row r="154" spans="1:26" ht="15" customHeight="1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</row>
    <row r="155" spans="1:26" ht="15" customHeight="1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</row>
    <row r="156" spans="1:26" ht="15" customHeight="1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</row>
    <row r="157" spans="1:26" ht="15" customHeight="1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</row>
    <row r="158" spans="1:26" ht="15" customHeight="1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</row>
    <row r="159" spans="1:26" ht="15" customHeight="1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</row>
    <row r="160" spans="1:26" ht="15" customHeight="1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</row>
    <row r="161" spans="1:26" ht="15" customHeight="1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</row>
    <row r="162" spans="1:26" ht="15" customHeight="1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</row>
    <row r="163" spans="1:26" ht="15" customHeight="1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</row>
    <row r="164" spans="1:26" ht="15" customHeight="1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</row>
    <row r="165" spans="1:26" ht="15" customHeight="1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</row>
    <row r="166" spans="1:26" ht="15" customHeight="1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</row>
    <row r="167" spans="1:26" ht="15" customHeight="1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</row>
    <row r="168" spans="1:26" ht="15" customHeight="1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</row>
    <row r="169" spans="1:26" ht="15" customHeight="1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</row>
    <row r="170" spans="1:26" ht="15" customHeight="1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</row>
    <row r="171" spans="1:26" ht="15" customHeight="1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</row>
    <row r="172" spans="1:26" ht="15" customHeight="1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</row>
    <row r="173" spans="1:26" ht="15" customHeight="1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</row>
    <row r="174" spans="1:26" ht="15" customHeight="1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</row>
    <row r="175" spans="1:26" ht="15" customHeight="1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</row>
    <row r="176" spans="1:26" ht="15" customHeight="1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</row>
    <row r="177" spans="1:26" ht="15" customHeight="1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</row>
    <row r="178" spans="1:26" ht="15" customHeight="1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</row>
    <row r="179" spans="1:26" ht="15" customHeight="1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</row>
    <row r="180" spans="1:26" ht="15" customHeight="1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</row>
    <row r="181" spans="1:26" ht="15" customHeight="1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</row>
    <row r="182" spans="1:26" ht="15" customHeight="1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</row>
    <row r="183" spans="1:26" ht="15" customHeight="1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</row>
    <row r="184" spans="1:26" ht="15" customHeight="1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</row>
    <row r="185" spans="1:26" ht="15" customHeight="1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</row>
    <row r="186" spans="1:26" ht="15" customHeight="1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</row>
    <row r="187" spans="1:26" ht="15" customHeight="1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</row>
    <row r="188" spans="1:26" ht="15" customHeight="1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</row>
    <row r="189" spans="1:26" ht="15" customHeight="1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</row>
    <row r="190" spans="1:26" ht="15" customHeight="1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</row>
    <row r="191" spans="1:26" ht="15" customHeight="1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</row>
    <row r="192" spans="1:26" ht="15" customHeight="1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</row>
    <row r="193" spans="1:26" ht="15" customHeight="1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</row>
    <row r="194" spans="1:26" ht="15" customHeight="1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</row>
    <row r="195" spans="1:26" ht="15" customHeight="1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</row>
    <row r="196" spans="1:26" ht="15" customHeight="1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</row>
    <row r="197" spans="1:26" ht="15" customHeight="1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</row>
    <row r="198" spans="1:26" ht="15" customHeight="1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</row>
    <row r="199" spans="1:26" ht="15" customHeight="1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</row>
    <row r="200" spans="1:26" ht="15" customHeight="1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</row>
    <row r="201" spans="1:26" ht="15" customHeight="1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</row>
    <row r="202" spans="1:26" ht="15" customHeight="1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</row>
    <row r="203" spans="1:26" ht="15" customHeight="1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</row>
    <row r="204" spans="1:26" ht="15" customHeight="1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</row>
    <row r="205" spans="1:26" ht="15" customHeight="1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</row>
    <row r="206" spans="1:26" ht="15" customHeight="1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</row>
    <row r="207" spans="1:26" ht="15" customHeight="1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</row>
    <row r="208" spans="1:26" ht="15" customHeight="1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</row>
    <row r="209" spans="1:26" ht="15" customHeight="1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</row>
    <row r="210" spans="1:26" ht="15" customHeight="1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</row>
    <row r="211" spans="1:26" ht="15" customHeight="1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</row>
    <row r="212" spans="1:26" ht="15" customHeight="1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</row>
    <row r="213" spans="1:26" ht="15" customHeight="1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</row>
    <row r="214" spans="1:26" ht="15" customHeight="1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</row>
    <row r="215" spans="1:26" ht="15" customHeight="1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</row>
    <row r="216" spans="1:26" ht="15" customHeight="1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</row>
    <row r="217" spans="1:26" ht="15" customHeight="1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</row>
    <row r="218" spans="1:26" ht="15" customHeight="1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</row>
    <row r="219" spans="1:26" ht="15" customHeight="1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</row>
    <row r="220" spans="1:26" ht="15" customHeight="1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</row>
    <row r="221" spans="1:26" ht="15" customHeight="1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</row>
    <row r="222" spans="1:26" ht="15" customHeight="1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</row>
    <row r="223" spans="1:26" ht="15" customHeight="1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</row>
    <row r="224" spans="1:26" ht="15" customHeight="1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</row>
    <row r="225" spans="1:26" ht="15" customHeight="1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</row>
    <row r="226" spans="1:26" ht="15" customHeight="1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</row>
    <row r="227" spans="1:26" ht="15" customHeight="1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</row>
    <row r="228" spans="1:26" ht="15" customHeight="1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</row>
    <row r="229" spans="1:26" ht="15" customHeight="1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</row>
    <row r="230" spans="1:26" ht="15" customHeight="1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</row>
    <row r="231" spans="1:26" ht="15" customHeight="1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</row>
    <row r="232" spans="1:26" ht="15" customHeight="1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</row>
    <row r="233" spans="1:26" ht="15" customHeight="1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</row>
    <row r="234" spans="1:26" ht="15" customHeight="1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</row>
    <row r="235" spans="1:26" ht="15" customHeight="1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</row>
    <row r="236" spans="1:26" ht="15" customHeight="1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</row>
    <row r="237" spans="1:26" ht="15" customHeight="1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</row>
    <row r="238" spans="1:26" ht="15" customHeight="1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</row>
    <row r="239" spans="1:26" ht="15" customHeight="1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</row>
    <row r="240" spans="1:26" ht="15" customHeight="1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</row>
    <row r="241" spans="1:26" ht="15" customHeight="1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</row>
    <row r="242" spans="1:26" ht="15" customHeight="1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</row>
    <row r="243" spans="1:26" ht="15" customHeight="1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</row>
    <row r="244" spans="1:26" ht="15" customHeight="1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</row>
    <row r="245" spans="1:26" ht="15" customHeight="1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</row>
    <row r="246" spans="1:26" ht="15" customHeight="1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</row>
    <row r="247" spans="1:26" ht="15" customHeight="1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</row>
    <row r="248" spans="1:26" ht="15" customHeight="1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</row>
    <row r="249" spans="1:26" ht="15" customHeight="1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</row>
    <row r="250" spans="1:26" ht="15" customHeight="1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</row>
    <row r="251" spans="1:26" ht="15" customHeight="1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</row>
    <row r="252" spans="1:26" ht="15" customHeight="1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</row>
    <row r="253" spans="1:26" ht="15" customHeight="1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</row>
    <row r="254" spans="1:26" ht="15" customHeight="1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</row>
    <row r="255" spans="1:26" ht="15" customHeight="1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</row>
    <row r="256" spans="1:26" ht="15" customHeight="1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</row>
    <row r="257" spans="1:26" ht="15" customHeight="1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</row>
    <row r="258" spans="1:26" ht="15" customHeight="1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</row>
    <row r="259" spans="1:26" ht="15" customHeight="1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</row>
    <row r="260" spans="1:26" ht="15" customHeight="1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</row>
    <row r="261" spans="1:26" ht="15" customHeight="1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</row>
    <row r="262" spans="1:26" ht="15" customHeight="1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</row>
    <row r="263" spans="1:26" ht="15" customHeight="1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</row>
    <row r="264" spans="1:26" ht="15" customHeight="1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</row>
    <row r="265" spans="1:26" ht="15" customHeight="1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</row>
    <row r="266" spans="1:26" ht="15" customHeight="1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</row>
    <row r="267" spans="1:26" ht="15" customHeight="1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</row>
    <row r="268" spans="1:26" ht="15" customHeight="1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</row>
    <row r="269" spans="1:26" ht="15" customHeight="1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</row>
    <row r="270" spans="1:26" ht="15" customHeight="1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</row>
    <row r="271" spans="1:26" ht="15" customHeight="1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</row>
    <row r="272" spans="1:26" ht="15" customHeight="1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</row>
    <row r="273" spans="1:26" ht="15" customHeight="1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</row>
    <row r="274" spans="1:26" ht="15" customHeight="1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</row>
    <row r="275" spans="1:26" ht="15" customHeight="1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</row>
    <row r="276" spans="1:26" ht="15" customHeight="1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</row>
    <row r="277" spans="1:26" ht="15" customHeight="1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</row>
    <row r="278" spans="1:26" ht="15" customHeight="1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</row>
    <row r="279" spans="1:26" ht="15" customHeight="1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</row>
    <row r="280" spans="1:26" ht="15" customHeight="1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</row>
    <row r="281" spans="1:26" ht="15" customHeight="1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</row>
    <row r="282" spans="1:26" ht="15" customHeight="1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</row>
    <row r="283" spans="1:26" ht="15" customHeight="1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</row>
    <row r="284" spans="1:26" ht="15" customHeight="1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</row>
    <row r="285" spans="1:26" ht="15" customHeight="1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</row>
    <row r="286" spans="1:26" ht="15" customHeight="1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</row>
    <row r="287" spans="1:26" ht="15" customHeight="1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</row>
    <row r="288" spans="1:26" ht="15" customHeight="1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</row>
    <row r="289" spans="1:26" ht="15" customHeight="1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</row>
    <row r="290" spans="1:26" ht="15" customHeight="1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</row>
    <row r="291" spans="1:26" ht="15" customHeight="1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</row>
    <row r="292" spans="1:26" ht="15" customHeight="1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</row>
    <row r="293" spans="1:26" ht="15" customHeight="1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</row>
    <row r="294" spans="1:26" ht="15" customHeight="1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</row>
    <row r="295" spans="1:26" ht="15" customHeight="1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</row>
    <row r="296" spans="1:26" ht="15" customHeight="1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</row>
    <row r="297" spans="1:26" ht="15" customHeight="1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</row>
    <row r="298" spans="1:26" ht="15" customHeight="1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</row>
    <row r="299" spans="1:26" ht="15" customHeight="1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</row>
    <row r="300" spans="1:26" ht="15" customHeight="1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</row>
    <row r="301" spans="1:26" ht="15" customHeight="1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</row>
    <row r="302" spans="1:26" ht="15" customHeight="1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</row>
    <row r="303" spans="1:26" ht="15" customHeight="1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</row>
    <row r="304" spans="1:26" ht="15" customHeight="1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</row>
    <row r="305" spans="1:26" ht="15" customHeight="1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</row>
    <row r="306" spans="1:26" ht="15" customHeight="1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</row>
    <row r="307" spans="1:26" ht="15" customHeight="1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</row>
    <row r="308" spans="1:26" ht="15" customHeight="1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</row>
    <row r="309" spans="1:26" ht="15" customHeight="1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</row>
    <row r="310" spans="1:26" ht="15" customHeight="1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</row>
    <row r="311" spans="1:26" ht="15" customHeight="1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</row>
    <row r="312" spans="1:26" ht="15" customHeight="1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</row>
    <row r="313" spans="1:26" ht="15" customHeight="1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</row>
    <row r="314" spans="1:26" ht="15" customHeight="1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</row>
    <row r="315" spans="1:26" ht="15" customHeight="1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</row>
    <row r="316" spans="1:26" ht="15" customHeight="1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</row>
    <row r="317" spans="1:26" ht="15" customHeight="1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</row>
    <row r="318" spans="1:26" ht="15" customHeight="1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</row>
    <row r="319" spans="1:26" ht="15" customHeight="1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</row>
    <row r="320" spans="1:26" ht="15" customHeight="1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</row>
    <row r="321" spans="1:26" ht="15" customHeight="1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</row>
    <row r="322" spans="1:26" ht="15" customHeight="1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</row>
    <row r="323" spans="1:26" ht="15" customHeight="1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</row>
    <row r="324" spans="1:26" ht="15" customHeight="1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</row>
    <row r="325" spans="1:26" ht="15" customHeight="1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</row>
    <row r="326" spans="1:26" ht="15" customHeight="1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</row>
    <row r="327" spans="1:26" ht="15" customHeight="1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</row>
    <row r="328" spans="1:26" ht="15" customHeight="1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</row>
    <row r="329" spans="1:26" ht="15" customHeight="1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</row>
    <row r="330" spans="1:26" ht="15" customHeight="1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</row>
    <row r="331" spans="1:26" ht="15" customHeight="1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</row>
    <row r="332" spans="1:26" ht="15" customHeight="1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</row>
    <row r="333" spans="1:26" ht="15" customHeight="1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</row>
    <row r="334" spans="1:26" ht="15" customHeight="1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</row>
    <row r="335" spans="1:26" ht="15" customHeight="1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</row>
    <row r="336" spans="1:26" ht="15" customHeight="1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</row>
    <row r="337" spans="1:26" ht="15" customHeight="1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</row>
    <row r="338" spans="1:26" ht="15" customHeight="1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</row>
    <row r="339" spans="1:26" ht="15" customHeight="1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</row>
    <row r="340" spans="1:26" ht="15" customHeight="1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</row>
    <row r="341" spans="1:26" ht="15" customHeight="1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</row>
    <row r="342" spans="1:26" ht="15" customHeight="1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</row>
    <row r="343" spans="1:26" ht="15" customHeight="1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</row>
    <row r="344" spans="1:26" ht="15" customHeight="1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</row>
    <row r="345" spans="1:26" ht="15" customHeight="1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</row>
    <row r="346" spans="1:26" ht="15" customHeight="1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</row>
    <row r="347" spans="1:26" ht="15" customHeight="1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</row>
    <row r="348" spans="1:26" ht="15" customHeight="1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</row>
    <row r="349" spans="1:26" ht="15" customHeight="1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</row>
    <row r="350" spans="1:26" ht="15" customHeight="1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</row>
    <row r="351" spans="1:26" ht="15" customHeight="1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</row>
    <row r="352" spans="1:26" ht="15" customHeight="1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</row>
    <row r="353" spans="1:26" ht="15" customHeight="1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</row>
    <row r="354" spans="1:26" ht="15" customHeight="1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</row>
    <row r="355" spans="1:26" ht="15" customHeight="1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</row>
    <row r="356" spans="1:26" ht="15" customHeight="1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</row>
    <row r="357" spans="1:26" ht="15" customHeight="1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</row>
    <row r="358" spans="1:26" ht="15" customHeight="1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</row>
    <row r="359" spans="1:26" ht="15" customHeight="1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</row>
    <row r="360" spans="1:26" ht="15" customHeight="1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</row>
    <row r="361" spans="1:26" ht="15" customHeight="1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</row>
    <row r="362" spans="1:26" ht="15" customHeight="1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</row>
    <row r="363" spans="1:26" ht="15" customHeight="1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</row>
    <row r="364" spans="1:26" ht="15" customHeight="1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</row>
    <row r="365" spans="1:26" ht="15" customHeight="1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</row>
    <row r="366" spans="1:26" ht="15" customHeight="1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</row>
    <row r="367" spans="1:26" ht="15" customHeight="1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</row>
    <row r="368" spans="1:26" ht="15" customHeight="1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</row>
    <row r="369" spans="1:26" ht="15" customHeight="1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</row>
    <row r="370" spans="1:26" ht="15" customHeight="1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</row>
    <row r="371" spans="1:26" ht="15" customHeight="1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</row>
    <row r="372" spans="1:26" ht="15" customHeight="1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</row>
    <row r="373" spans="1:26" ht="15" customHeight="1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</row>
    <row r="374" spans="1:26" ht="15" customHeight="1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</row>
    <row r="375" spans="1:26" ht="15" customHeight="1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</row>
    <row r="376" spans="1:26" ht="15" customHeight="1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</row>
    <row r="377" spans="1:26" ht="15" customHeight="1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</row>
    <row r="378" spans="1:26" ht="15" customHeight="1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</row>
    <row r="379" spans="1:26" ht="15" customHeight="1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</row>
    <row r="380" spans="1:26" ht="15" customHeight="1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</row>
    <row r="381" spans="1:26" ht="15" customHeight="1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</row>
    <row r="382" spans="1:26" ht="15" customHeight="1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</row>
    <row r="383" spans="1:26" ht="15" customHeight="1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</row>
    <row r="384" spans="1:26" ht="15" customHeight="1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</row>
    <row r="385" spans="1:26" ht="15" customHeight="1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</row>
    <row r="386" spans="1:26" ht="15" customHeight="1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</row>
    <row r="387" spans="1:26" ht="15" customHeight="1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</row>
    <row r="388" spans="1:26" ht="15" customHeight="1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</row>
    <row r="389" spans="1:26" ht="15" customHeight="1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</row>
    <row r="390" spans="1:26" ht="15" customHeight="1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</row>
    <row r="391" spans="1:26" ht="15" customHeight="1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</row>
    <row r="392" spans="1:26" ht="15" customHeight="1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</row>
    <row r="393" spans="1:26" ht="15" customHeight="1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</row>
    <row r="394" spans="1:26" ht="15" customHeight="1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</row>
    <row r="395" spans="1:26" ht="15" customHeight="1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</row>
    <row r="396" spans="1:26" ht="15" customHeight="1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</row>
    <row r="397" spans="1:26" ht="15" customHeight="1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</row>
    <row r="398" spans="1:26" ht="15" customHeight="1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</row>
    <row r="399" spans="1:26" ht="15" customHeight="1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</row>
    <row r="400" spans="1:26" ht="15" customHeight="1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</row>
    <row r="401" spans="1:26" ht="15" customHeight="1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</row>
    <row r="402" spans="1:26" ht="15" customHeight="1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</row>
    <row r="403" spans="1:26" ht="15" customHeight="1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</row>
    <row r="404" spans="1:26" ht="15" customHeight="1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</row>
    <row r="405" spans="1:26" ht="15" customHeight="1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</row>
    <row r="406" spans="1:26" ht="15" customHeight="1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</row>
    <row r="407" spans="1:26" ht="15" customHeight="1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</row>
    <row r="408" spans="1:26" ht="15" customHeight="1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</row>
    <row r="409" spans="1:26" ht="15" customHeight="1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</row>
    <row r="410" spans="1:26" ht="15" customHeight="1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</row>
    <row r="411" spans="1:26" ht="15" customHeight="1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</row>
    <row r="412" spans="1:26" ht="15" customHeight="1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</row>
    <row r="413" spans="1:26" ht="15" customHeight="1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</row>
    <row r="414" spans="1:26" ht="15" customHeight="1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</row>
    <row r="415" spans="1:26" ht="15" customHeight="1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</row>
    <row r="416" spans="1:26" ht="15" customHeight="1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</row>
    <row r="417" spans="1:26" ht="15" customHeight="1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</row>
    <row r="418" spans="1:26" ht="15" customHeight="1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</row>
    <row r="419" spans="1:26" ht="15" customHeight="1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</row>
    <row r="420" spans="1:26" ht="15" customHeight="1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</row>
    <row r="421" spans="1:26" ht="15" customHeight="1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</row>
    <row r="422" spans="1:26" ht="15" customHeight="1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</row>
    <row r="423" spans="1:26" ht="15" customHeight="1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</row>
    <row r="424" spans="1:26" ht="15" customHeight="1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</row>
    <row r="425" spans="1:26" ht="15" customHeight="1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</row>
    <row r="426" spans="1:26" ht="15" customHeight="1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</row>
    <row r="427" spans="1:26" ht="15" customHeight="1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</row>
    <row r="428" spans="1:26" ht="15" customHeight="1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</row>
    <row r="429" spans="1:26" ht="15" customHeight="1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</row>
    <row r="430" spans="1:26" ht="15" customHeight="1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</row>
    <row r="431" spans="1:26" ht="15" customHeight="1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</row>
    <row r="432" spans="1:26" ht="15" customHeight="1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</row>
    <row r="433" spans="1:26" ht="15" customHeight="1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</row>
    <row r="434" spans="1:26" ht="15" customHeight="1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</row>
    <row r="435" spans="1:26" ht="15" customHeight="1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</row>
    <row r="436" spans="1:26" ht="15" customHeight="1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</row>
    <row r="437" spans="1:26" ht="15" customHeight="1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</row>
    <row r="438" spans="1:26" ht="15" customHeight="1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</row>
    <row r="439" spans="1:26" ht="15" customHeight="1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</row>
    <row r="440" spans="1:26" ht="15" customHeight="1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</row>
    <row r="441" spans="1:26" ht="15" customHeight="1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</row>
    <row r="442" spans="1:26" ht="15" customHeight="1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</row>
    <row r="443" spans="1:26" ht="15" customHeight="1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</row>
    <row r="444" spans="1:26" ht="15" customHeight="1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</row>
    <row r="445" spans="1:26" ht="15" customHeight="1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</row>
    <row r="446" spans="1:26" ht="15" customHeight="1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</row>
    <row r="447" spans="1:26" ht="15" customHeight="1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</row>
    <row r="448" spans="1:26" ht="15" customHeight="1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</row>
    <row r="449" spans="1:26" ht="15" customHeight="1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</row>
    <row r="450" spans="1:26" ht="15" customHeight="1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</row>
    <row r="451" spans="1:26" ht="15" customHeight="1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</row>
    <row r="452" spans="1:26" ht="15" customHeight="1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</row>
    <row r="453" spans="1:26" ht="15" customHeight="1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</row>
    <row r="454" spans="1:26" ht="15" customHeight="1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</row>
    <row r="455" spans="1:26" ht="15" customHeight="1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</row>
    <row r="456" spans="1:26" ht="15" customHeight="1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</row>
    <row r="457" spans="1:26" ht="15" customHeight="1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</row>
    <row r="458" spans="1:26" ht="15" customHeight="1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</row>
    <row r="459" spans="1:26" ht="15" customHeight="1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</row>
    <row r="460" spans="1:26" ht="15" customHeight="1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</row>
    <row r="461" spans="1:26" ht="15" customHeight="1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</row>
    <row r="462" spans="1:26" ht="15" customHeight="1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</row>
    <row r="463" spans="1:26" ht="15" customHeight="1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</row>
    <row r="464" spans="1:26" ht="15" customHeight="1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</row>
    <row r="465" spans="1:26" ht="15" customHeight="1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</row>
    <row r="466" spans="1:26" ht="15" customHeight="1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</row>
    <row r="467" spans="1:26" ht="15" customHeight="1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</row>
    <row r="468" spans="1:26" ht="15" customHeight="1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</row>
    <row r="469" spans="1:26" ht="15" customHeight="1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</row>
    <row r="470" spans="1:26" ht="15" customHeight="1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</row>
    <row r="471" spans="1:26" ht="15" customHeight="1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</row>
    <row r="472" spans="1:26" ht="15" customHeight="1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</row>
    <row r="473" spans="1:26" ht="15" customHeight="1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</row>
    <row r="474" spans="1:26" ht="15" customHeight="1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</row>
    <row r="475" spans="1:26" ht="15" customHeight="1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</row>
    <row r="476" spans="1:26" ht="15" customHeight="1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</row>
    <row r="477" spans="1:26" ht="15" customHeight="1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</row>
    <row r="478" spans="1:26" ht="15" customHeight="1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</row>
    <row r="479" spans="1:26" ht="15" customHeight="1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</row>
    <row r="480" spans="1:26" ht="15" customHeight="1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</row>
    <row r="481" spans="1:26" ht="15" customHeight="1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</row>
    <row r="482" spans="1:26" ht="15" customHeight="1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</row>
    <row r="483" spans="1:26" ht="15" customHeight="1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</row>
    <row r="484" spans="1:26" ht="15" customHeight="1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</row>
    <row r="485" spans="1:26" ht="15" customHeight="1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</row>
    <row r="486" spans="1:26" ht="15" customHeight="1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</row>
    <row r="487" spans="1:26" ht="15" customHeight="1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</row>
    <row r="488" spans="1:26" ht="15" customHeight="1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</row>
    <row r="489" spans="1:26" ht="15" customHeight="1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</row>
    <row r="490" spans="1:26" ht="15" customHeight="1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</row>
    <row r="491" spans="1:26" ht="15" customHeight="1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</row>
    <row r="492" spans="1:26" ht="15" customHeight="1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</row>
    <row r="493" spans="1:26" ht="15" customHeight="1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</row>
    <row r="494" spans="1:26" ht="15" customHeight="1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</row>
    <row r="495" spans="1:26" ht="15" customHeight="1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</row>
    <row r="496" spans="1:26" ht="15" customHeight="1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</row>
    <row r="497" spans="1:26" ht="15" customHeight="1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</row>
    <row r="498" spans="1:26" ht="15" customHeight="1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</row>
    <row r="499" spans="1:26" ht="15" customHeight="1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</row>
    <row r="500" spans="1:26" ht="15" customHeight="1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</row>
    <row r="501" spans="1:26" ht="15" customHeight="1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</row>
    <row r="502" spans="1:26" ht="15" customHeight="1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</row>
    <row r="503" spans="1:26" ht="15" customHeight="1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</row>
    <row r="504" spans="1:26" ht="15" customHeight="1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</row>
    <row r="505" spans="1:26" ht="15" customHeight="1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</row>
    <row r="506" spans="1:26" ht="15" customHeight="1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</row>
    <row r="507" spans="1:26" ht="15" customHeight="1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</row>
    <row r="508" spans="1:26" ht="15" customHeight="1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</row>
    <row r="509" spans="1:26" ht="15" customHeight="1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</row>
    <row r="510" spans="1:26" ht="15" customHeight="1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</row>
    <row r="511" spans="1:26" ht="15" customHeight="1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</row>
    <row r="512" spans="1:26" ht="15" customHeight="1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</row>
    <row r="513" spans="1:26" ht="15" customHeight="1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</row>
    <row r="514" spans="1:26" ht="15" customHeight="1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</row>
    <row r="515" spans="1:26" ht="15" customHeight="1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</row>
    <row r="516" spans="1:26" ht="15" customHeight="1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</row>
    <row r="517" spans="1:26" ht="15" customHeight="1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</row>
    <row r="518" spans="1:26" ht="15" customHeight="1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</row>
    <row r="519" spans="1:26" ht="15" customHeight="1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</row>
    <row r="520" spans="1:26" ht="15" customHeight="1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</row>
    <row r="521" spans="1:26" ht="15" customHeight="1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</row>
    <row r="522" spans="1:26" ht="15" customHeight="1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</row>
    <row r="523" spans="1:26" ht="15" customHeight="1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</row>
    <row r="524" spans="1:26" ht="15" customHeight="1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</row>
    <row r="525" spans="1:26" ht="15" customHeight="1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</row>
    <row r="526" spans="1:26" ht="15" customHeight="1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</row>
    <row r="527" spans="1:26" ht="15" customHeight="1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</row>
    <row r="528" spans="1:26" ht="15" customHeight="1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</row>
    <row r="529" spans="1:26" ht="15" customHeight="1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</row>
    <row r="530" spans="1:26" ht="15" customHeight="1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</row>
    <row r="531" spans="1:26" ht="15" customHeight="1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</row>
    <row r="532" spans="1:26" ht="15" customHeight="1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</row>
    <row r="533" spans="1:26" ht="15" customHeight="1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</row>
    <row r="534" spans="1:26" ht="15" customHeight="1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</row>
    <row r="535" spans="1:26" ht="15" customHeight="1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</row>
    <row r="536" spans="1:26" ht="15" customHeight="1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</row>
    <row r="537" spans="1:26" ht="15" customHeight="1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</row>
    <row r="538" spans="1:26" ht="15" customHeight="1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</row>
    <row r="539" spans="1:26" ht="15" customHeight="1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</row>
    <row r="540" spans="1:26" ht="15" customHeight="1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</row>
    <row r="541" spans="1:26" ht="15" customHeight="1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</row>
    <row r="542" spans="1:26" ht="15" customHeight="1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</row>
    <row r="543" spans="1:26" ht="15" customHeight="1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</row>
    <row r="544" spans="1:26" ht="15" customHeight="1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</row>
    <row r="545" spans="1:26" ht="15" customHeight="1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</row>
    <row r="546" spans="1:26" ht="15" customHeight="1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</row>
    <row r="547" spans="1:26" ht="15" customHeight="1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</row>
    <row r="548" spans="1:26" ht="15" customHeight="1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</row>
    <row r="549" spans="1:26" ht="15" customHeight="1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</row>
    <row r="550" spans="1:26" ht="15" customHeight="1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</row>
    <row r="551" spans="1:26" ht="15" customHeight="1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</row>
    <row r="552" spans="1:26" ht="15" customHeight="1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</row>
    <row r="553" spans="1:26" ht="15" customHeight="1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</row>
    <row r="554" spans="1:26" ht="15" customHeight="1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</row>
    <row r="555" spans="1:26" ht="15" customHeight="1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</row>
    <row r="556" spans="1:26" ht="15" customHeight="1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</row>
    <row r="557" spans="1:26" ht="15" customHeight="1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</row>
    <row r="558" spans="1:26" ht="15" customHeight="1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</row>
    <row r="559" spans="1:26" ht="15" customHeight="1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</row>
    <row r="560" spans="1:26" ht="15" customHeight="1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</row>
    <row r="561" spans="1:26" ht="15" customHeight="1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</row>
    <row r="562" spans="1:26" ht="15" customHeight="1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</row>
    <row r="563" spans="1:26" ht="15" customHeight="1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</row>
    <row r="564" spans="1:26" ht="15" customHeight="1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</row>
    <row r="565" spans="1:26" ht="15" customHeight="1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</row>
    <row r="566" spans="1:26" ht="15" customHeight="1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</row>
    <row r="567" spans="1:26" ht="15" customHeight="1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</row>
    <row r="568" spans="1:26" ht="15" customHeight="1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</row>
    <row r="569" spans="1:26" ht="15" customHeight="1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</row>
    <row r="570" spans="1:26" ht="15" customHeight="1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</row>
    <row r="571" spans="1:26" ht="15" customHeight="1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</row>
    <row r="572" spans="1:26" ht="15" customHeight="1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</row>
    <row r="573" spans="1:26" ht="15" customHeight="1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</row>
    <row r="574" spans="1:26" ht="15" customHeight="1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</row>
    <row r="575" spans="1:26" ht="15" customHeight="1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</row>
    <row r="576" spans="1:26" ht="15" customHeight="1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</row>
    <row r="577" spans="1:26" ht="15" customHeight="1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</row>
    <row r="578" spans="1:26" ht="15" customHeight="1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</row>
    <row r="579" spans="1:26" ht="15" customHeight="1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</row>
    <row r="580" spans="1:26" ht="15" customHeight="1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</row>
    <row r="581" spans="1:26" ht="15" customHeight="1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</row>
    <row r="582" spans="1:26" ht="15" customHeight="1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</row>
    <row r="583" spans="1:26" ht="15" customHeight="1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</row>
    <row r="584" spans="1:26" ht="15" customHeight="1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</row>
    <row r="585" spans="1:26" ht="15" customHeight="1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</row>
    <row r="586" spans="1:26" ht="15" customHeight="1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</row>
    <row r="587" spans="1:26" ht="15" customHeight="1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</row>
    <row r="588" spans="1:26" ht="15" customHeight="1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</row>
    <row r="589" spans="1:26" ht="15" customHeight="1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</row>
    <row r="590" spans="1:26" ht="15" customHeight="1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</row>
    <row r="591" spans="1:26" ht="15" customHeight="1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</row>
    <row r="592" spans="1:26" ht="15" customHeight="1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</row>
    <row r="593" spans="1:26" ht="15" customHeight="1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</row>
    <row r="594" spans="1:26" ht="15" customHeight="1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</row>
    <row r="595" spans="1:26" ht="15" customHeight="1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</row>
    <row r="596" spans="1:26" ht="15" customHeight="1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</row>
    <row r="597" spans="1:26" ht="15" customHeight="1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</row>
    <row r="598" spans="1:26" ht="15" customHeight="1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</row>
    <row r="599" spans="1:26" ht="15" customHeight="1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</row>
    <row r="600" spans="1:26" ht="15" customHeight="1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</row>
    <row r="601" spans="1:26" ht="15" customHeight="1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</row>
    <row r="602" spans="1:26" ht="15" customHeight="1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</row>
    <row r="603" spans="1:26" ht="15" customHeight="1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</row>
    <row r="604" spans="1:26" ht="15" customHeight="1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</row>
    <row r="605" spans="1:26" ht="15" customHeight="1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</row>
    <row r="606" spans="1:26" ht="15" customHeight="1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</row>
    <row r="607" spans="1:26" ht="15" customHeight="1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</row>
    <row r="608" spans="1:26" ht="15" customHeight="1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</row>
    <row r="609" spans="1:26" ht="15" customHeight="1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</row>
    <row r="610" spans="1:26" ht="15" customHeight="1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</row>
    <row r="611" spans="1:26" ht="15" customHeight="1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</row>
    <row r="612" spans="1:26" ht="15" customHeight="1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</row>
    <row r="613" spans="1:26" ht="15" customHeight="1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</row>
    <row r="614" spans="1:26" ht="15" customHeight="1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</row>
    <row r="615" spans="1:26" ht="15" customHeight="1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</row>
    <row r="616" spans="1:26" ht="15" customHeight="1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</row>
    <row r="617" spans="1:26" ht="15" customHeight="1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</row>
    <row r="618" spans="1:26" ht="15" customHeight="1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</row>
    <row r="619" spans="1:26" ht="15" customHeight="1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</row>
    <row r="620" spans="1:26" ht="15" customHeight="1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</row>
    <row r="621" spans="1:26" ht="15" customHeight="1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</row>
    <row r="622" spans="1:26" ht="15" customHeight="1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</row>
    <row r="623" spans="1:26" ht="15" customHeight="1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</row>
    <row r="624" spans="1:26" ht="15" customHeight="1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</row>
    <row r="625" spans="1:26" ht="15" customHeight="1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</row>
    <row r="626" spans="1:26" ht="15" customHeight="1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</row>
    <row r="627" spans="1:26" ht="15" customHeight="1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</row>
    <row r="628" spans="1:26" ht="15" customHeight="1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</row>
    <row r="629" spans="1:26" ht="15" customHeight="1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</row>
    <row r="630" spans="1:26" ht="15" customHeight="1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</row>
    <row r="631" spans="1:26" ht="15" customHeight="1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</row>
    <row r="632" spans="1:26" ht="15" customHeight="1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</row>
    <row r="633" spans="1:26" ht="15" customHeight="1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</row>
    <row r="634" spans="1:26" ht="15" customHeight="1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</row>
    <row r="635" spans="1:26" ht="15" customHeight="1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</row>
    <row r="636" spans="1:26" ht="15" customHeight="1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</row>
    <row r="637" spans="1:26" ht="15" customHeight="1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</row>
    <row r="638" spans="1:26" ht="15" customHeight="1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</row>
    <row r="639" spans="1:26" ht="15" customHeight="1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</row>
    <row r="640" spans="1:26" ht="15" customHeight="1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</row>
    <row r="641" spans="1:26" ht="15" customHeight="1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</row>
    <row r="642" spans="1:26" ht="15" customHeight="1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</row>
    <row r="643" spans="1:26" ht="15" customHeight="1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</row>
    <row r="644" spans="1:26" ht="15" customHeight="1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</row>
    <row r="645" spans="1:26" ht="15" customHeight="1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</row>
    <row r="646" spans="1:26" ht="15" customHeight="1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</row>
    <row r="647" spans="1:26" ht="15" customHeight="1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</row>
    <row r="648" spans="1:26" ht="15" customHeight="1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</row>
    <row r="649" spans="1:26" ht="15" customHeight="1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</row>
    <row r="650" spans="1:26" ht="15" customHeight="1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</row>
    <row r="651" spans="1:26" ht="15" customHeight="1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</row>
    <row r="652" spans="1:26" ht="15" customHeight="1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</row>
    <row r="653" spans="1:26" ht="15" customHeight="1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</row>
    <row r="654" spans="1:26" ht="15" customHeight="1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</row>
    <row r="655" spans="1:26" ht="15" customHeight="1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</row>
    <row r="656" spans="1:26" ht="15" customHeight="1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</row>
    <row r="657" spans="1:26" ht="15" customHeight="1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</row>
    <row r="658" spans="1:26" ht="15" customHeight="1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</row>
    <row r="659" spans="1:26" ht="15" customHeight="1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</row>
    <row r="660" spans="1:26" ht="15" customHeight="1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</row>
    <row r="661" spans="1:26" ht="15" customHeight="1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</row>
    <row r="662" spans="1:26" ht="15" customHeight="1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</row>
    <row r="663" spans="1:26" ht="15" customHeight="1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</row>
    <row r="664" spans="1:26" ht="15" customHeight="1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</row>
    <row r="665" spans="1:26" ht="15" customHeight="1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</row>
    <row r="666" spans="1:26" ht="15" customHeight="1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</row>
    <row r="667" spans="1:26" ht="15" customHeight="1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</row>
    <row r="668" spans="1:26" ht="15" customHeight="1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</row>
    <row r="669" spans="1:26" ht="15" customHeight="1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</row>
    <row r="670" spans="1:26" ht="15" customHeight="1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</row>
    <row r="671" spans="1:26" ht="15" customHeight="1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</row>
    <row r="672" spans="1:26" ht="15" customHeight="1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</row>
    <row r="673" spans="1:26" ht="15" customHeight="1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</row>
    <row r="674" spans="1:26" ht="15" customHeight="1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</row>
    <row r="675" spans="1:26" ht="15" customHeight="1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</row>
    <row r="676" spans="1:26" ht="15" customHeight="1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</row>
    <row r="677" spans="1:26" ht="15" customHeight="1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</row>
    <row r="678" spans="1:26" ht="15" customHeight="1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</row>
    <row r="679" spans="1:26" ht="15" customHeight="1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</row>
    <row r="680" spans="1:26" ht="15" customHeight="1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</row>
    <row r="681" spans="1:26" ht="15" customHeight="1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</row>
    <row r="682" spans="1:26" ht="15" customHeight="1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</row>
    <row r="683" spans="1:26" ht="15" customHeight="1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</row>
    <row r="684" spans="1:26" ht="15" customHeight="1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</row>
    <row r="685" spans="1:26" ht="15" customHeight="1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</row>
    <row r="686" spans="1:26" ht="15" customHeight="1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</row>
    <row r="687" spans="1:26" ht="15" customHeight="1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</row>
    <row r="688" spans="1:26" ht="15" customHeight="1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</row>
    <row r="689" spans="1:26" ht="15" customHeight="1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</row>
    <row r="690" spans="1:26" ht="15" customHeight="1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</row>
    <row r="691" spans="1:26" ht="15" customHeight="1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</row>
    <row r="692" spans="1:26" ht="15" customHeight="1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</row>
    <row r="693" spans="1:26" ht="15" customHeight="1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</row>
    <row r="694" spans="1:26" ht="15" customHeight="1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</row>
    <row r="695" spans="1:26" ht="15" customHeight="1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</row>
    <row r="696" spans="1:26" ht="15" customHeight="1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</row>
    <row r="697" spans="1:26" ht="15" customHeight="1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</row>
    <row r="698" spans="1:26" ht="15" customHeight="1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</row>
    <row r="699" spans="1:26" ht="15" customHeight="1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</row>
    <row r="700" spans="1:26" ht="15" customHeight="1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</row>
    <row r="701" spans="1:26" ht="15" customHeight="1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</row>
    <row r="702" spans="1:26" ht="15" customHeight="1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</row>
    <row r="703" spans="1:26" ht="15" customHeight="1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</row>
    <row r="704" spans="1:26" ht="15" customHeight="1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</row>
    <row r="705" spans="1:26" ht="15" customHeight="1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</row>
    <row r="706" spans="1:26" ht="15" customHeight="1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</row>
    <row r="707" spans="1:26" ht="15" customHeight="1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</row>
    <row r="708" spans="1:26" ht="15" customHeight="1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</row>
    <row r="709" spans="1:26" ht="15" customHeight="1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</row>
    <row r="710" spans="1:26" ht="15" customHeight="1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</row>
    <row r="711" spans="1:26" ht="15" customHeight="1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</row>
    <row r="712" spans="1:26" ht="15" customHeight="1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</row>
    <row r="713" spans="1:26" ht="15" customHeight="1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</row>
    <row r="714" spans="1:26" ht="15" customHeight="1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</row>
    <row r="715" spans="1:26" ht="15" customHeight="1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</row>
    <row r="716" spans="1:26" ht="15" customHeight="1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</row>
    <row r="717" spans="1:26" ht="15" customHeight="1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</row>
    <row r="718" spans="1:26" ht="15" customHeight="1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</row>
    <row r="719" spans="1:26" ht="15" customHeight="1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</row>
    <row r="720" spans="1:26" ht="15" customHeight="1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</row>
    <row r="721" spans="1:26" ht="15" customHeight="1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</row>
    <row r="722" spans="1:26" ht="15" customHeight="1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</row>
    <row r="723" spans="1:26" ht="15" customHeight="1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</row>
    <row r="724" spans="1:26" ht="15" customHeight="1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</row>
    <row r="725" spans="1:26" ht="15" customHeight="1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</row>
    <row r="726" spans="1:26" ht="15" customHeight="1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</row>
    <row r="727" spans="1:26" ht="15" customHeight="1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</row>
    <row r="728" spans="1:26" ht="15" customHeight="1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</row>
    <row r="729" spans="1:26" ht="15" customHeight="1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</row>
    <row r="730" spans="1:26" ht="15" customHeight="1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</row>
    <row r="731" spans="1:26" ht="15" customHeight="1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</row>
    <row r="732" spans="1:26" ht="15" customHeight="1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</row>
    <row r="733" spans="1:26" ht="15" customHeight="1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</row>
    <row r="734" spans="1:26" ht="15" customHeight="1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</row>
    <row r="735" spans="1:26" ht="15" customHeight="1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</row>
    <row r="736" spans="1:26" ht="15" customHeight="1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</row>
    <row r="737" spans="1:26" ht="15" customHeight="1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</row>
    <row r="738" spans="1:26" ht="15" customHeight="1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</row>
    <row r="739" spans="1:26" ht="15" customHeight="1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</row>
    <row r="740" spans="1:26" ht="15" customHeight="1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</row>
    <row r="741" spans="1:26" ht="15" customHeight="1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</row>
    <row r="742" spans="1:26" ht="15" customHeight="1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</row>
    <row r="743" spans="1:26" ht="15" customHeight="1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</row>
    <row r="744" spans="1:26" ht="15" customHeight="1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</row>
    <row r="745" spans="1:26" ht="15" customHeight="1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</row>
    <row r="746" spans="1:26" ht="15" customHeight="1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</row>
    <row r="747" spans="1:26" ht="15" customHeight="1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</row>
    <row r="748" spans="1:26" ht="15" customHeight="1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</row>
    <row r="749" spans="1:26" ht="15" customHeight="1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</row>
    <row r="750" spans="1:26" ht="15" customHeight="1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</row>
    <row r="751" spans="1:26" ht="15" customHeight="1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</row>
    <row r="752" spans="1:26" ht="15" customHeight="1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</row>
    <row r="753" spans="1:26" ht="15" customHeight="1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</row>
    <row r="754" spans="1:26" ht="15" customHeight="1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</row>
    <row r="755" spans="1:26" ht="15" customHeight="1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</row>
    <row r="756" spans="1:26" ht="15" customHeight="1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</row>
    <row r="757" spans="1:26" ht="15" customHeight="1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</row>
    <row r="758" spans="1:26" ht="15" customHeight="1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</row>
    <row r="759" spans="1:26" ht="15" customHeight="1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</row>
    <row r="760" spans="1:26" ht="15" customHeight="1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</row>
    <row r="761" spans="1:26" ht="15" customHeight="1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</row>
    <row r="762" spans="1:26" ht="15" customHeight="1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</row>
    <row r="763" spans="1:26" ht="15" customHeight="1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</row>
    <row r="764" spans="1:26" ht="15" customHeight="1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</row>
    <row r="765" spans="1:26" ht="15" customHeight="1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</row>
    <row r="766" spans="1:26" ht="15" customHeight="1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</row>
    <row r="767" spans="1:26" ht="15" customHeight="1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</row>
    <row r="768" spans="1:26" ht="15" customHeight="1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</row>
    <row r="769" spans="1:26" ht="15" customHeight="1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</row>
    <row r="770" spans="1:26" ht="15" customHeight="1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</row>
    <row r="771" spans="1:26" ht="15" customHeight="1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</row>
    <row r="772" spans="1:26" ht="15" customHeight="1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</row>
    <row r="773" spans="1:26" ht="15" customHeight="1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</row>
    <row r="774" spans="1:26" ht="15" customHeight="1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</row>
    <row r="775" spans="1:26" ht="15" customHeight="1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</row>
    <row r="776" spans="1:26" ht="15" customHeight="1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</row>
    <row r="777" spans="1:26" ht="15" customHeight="1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</row>
    <row r="778" spans="1:26" ht="15" customHeight="1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</row>
    <row r="779" spans="1:26" ht="15" customHeight="1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</row>
    <row r="780" spans="1:26" ht="15" customHeight="1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</row>
    <row r="781" spans="1:26" ht="15" customHeight="1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</row>
    <row r="782" spans="1:26" ht="15" customHeight="1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</row>
    <row r="783" spans="1:26" ht="15" customHeight="1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</row>
    <row r="784" spans="1:26" ht="15" customHeight="1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</row>
    <row r="785" spans="1:26" ht="15" customHeight="1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</row>
    <row r="786" spans="1:26" ht="15" customHeight="1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</row>
    <row r="787" spans="1:26" ht="15" customHeight="1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</row>
    <row r="788" spans="1:26" ht="15" customHeight="1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</row>
    <row r="789" spans="1:26" ht="15" customHeight="1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</row>
    <row r="790" spans="1:26" ht="15" customHeight="1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</row>
    <row r="791" spans="1:26" ht="15" customHeight="1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</row>
    <row r="792" spans="1:26" ht="15" customHeight="1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</row>
    <row r="793" spans="1:26" ht="15" customHeight="1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</row>
    <row r="794" spans="1:26" ht="15" customHeight="1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</row>
    <row r="795" spans="1:26" ht="15" customHeight="1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</row>
    <row r="796" spans="1:26" ht="15" customHeight="1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</row>
    <row r="797" spans="1:26" ht="15" customHeight="1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</row>
    <row r="798" spans="1:26" ht="15" customHeight="1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</row>
    <row r="799" spans="1:26" ht="15" customHeight="1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</row>
    <row r="800" spans="1:26" ht="15" customHeight="1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</row>
    <row r="801" spans="1:26" ht="15" customHeight="1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</row>
    <row r="802" spans="1:26" ht="15" customHeight="1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</row>
    <row r="803" spans="1:26" ht="15" customHeight="1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</row>
    <row r="804" spans="1:26" ht="15" customHeight="1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</row>
    <row r="805" spans="1:26" ht="15" customHeight="1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</row>
    <row r="806" spans="1:26" ht="15" customHeight="1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</row>
    <row r="807" spans="1:26" ht="15" customHeight="1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</row>
    <row r="808" spans="1:26" ht="15" customHeight="1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</row>
    <row r="809" spans="1:26" ht="15" customHeight="1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</row>
    <row r="810" spans="1:26" ht="15" customHeight="1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</row>
    <row r="811" spans="1:26" ht="15" customHeight="1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</row>
    <row r="812" spans="1:26" ht="15" customHeight="1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</row>
    <row r="813" spans="1:26" ht="15" customHeight="1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</row>
    <row r="814" spans="1:26" ht="15" customHeight="1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</row>
    <row r="815" spans="1:26" ht="15" customHeight="1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</row>
    <row r="816" spans="1:26" ht="15" customHeight="1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</row>
    <row r="817" spans="1:26" ht="15" customHeight="1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</row>
    <row r="818" spans="1:26" ht="15" customHeight="1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</row>
    <row r="819" spans="1:26" ht="15" customHeight="1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</row>
    <row r="820" spans="1:26" ht="15" customHeight="1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</row>
    <row r="821" spans="1:26" ht="15" customHeight="1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</row>
    <row r="822" spans="1:26" ht="15" customHeight="1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</row>
    <row r="823" spans="1:26" ht="15" customHeight="1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</row>
    <row r="824" spans="1:26" ht="15" customHeight="1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</row>
    <row r="825" spans="1:26" ht="15" customHeight="1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</row>
    <row r="826" spans="1:26" ht="15" customHeight="1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</row>
    <row r="827" spans="1:26" ht="15" customHeight="1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</row>
    <row r="828" spans="1:26" ht="15" customHeight="1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</row>
    <row r="829" spans="1:26" ht="15" customHeight="1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</row>
    <row r="830" spans="1:26" ht="15" customHeight="1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</row>
    <row r="831" spans="1:26" ht="15" customHeight="1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</row>
    <row r="832" spans="1:26" ht="15" customHeight="1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</row>
    <row r="833" spans="1:26" ht="15" customHeight="1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</row>
    <row r="834" spans="1:26" ht="15" customHeight="1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</row>
    <row r="835" spans="1:26" ht="15" customHeight="1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</row>
    <row r="836" spans="1:26" ht="15" customHeight="1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</row>
    <row r="837" spans="1:26" ht="15" customHeight="1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</row>
    <row r="838" spans="1:26" ht="15" customHeight="1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</row>
    <row r="839" spans="1:26" ht="15" customHeight="1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</row>
    <row r="840" spans="1:26" ht="15" customHeight="1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</row>
    <row r="841" spans="1:26" ht="15" customHeight="1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</row>
    <row r="842" spans="1:26" ht="15" customHeight="1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</row>
    <row r="843" spans="1:26" ht="15" customHeight="1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</row>
    <row r="844" spans="1:26" ht="15" customHeight="1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</row>
    <row r="845" spans="1:26" ht="15" customHeight="1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</row>
    <row r="846" spans="1:26" ht="15" customHeight="1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</row>
    <row r="847" spans="1:26" ht="15" customHeight="1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</row>
    <row r="848" spans="1:26" ht="15" customHeight="1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</row>
    <row r="849" spans="1:26" ht="15" customHeight="1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</row>
    <row r="850" spans="1:26" ht="15" customHeight="1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</row>
    <row r="851" spans="1:26" ht="15" customHeight="1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</row>
    <row r="852" spans="1:26" ht="15" customHeight="1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</row>
    <row r="853" spans="1:26" ht="15" customHeight="1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</row>
  </sheetData>
  <mergeCells count="46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A32"/>
    <mergeCell ref="B31:C31"/>
    <mergeCell ref="B32:C32"/>
    <mergeCell ref="A34:C34"/>
    <mergeCell ref="A35:A36"/>
    <mergeCell ref="B35:C35"/>
    <mergeCell ref="B36:C36"/>
    <mergeCell ref="A38:C38"/>
    <mergeCell ref="A47:C47"/>
    <mergeCell ref="A48:C48"/>
    <mergeCell ref="A49:C49"/>
    <mergeCell ref="A39:A44"/>
    <mergeCell ref="B39:C39"/>
    <mergeCell ref="B40:C40"/>
    <mergeCell ref="B41:C41"/>
    <mergeCell ref="B42:C42"/>
    <mergeCell ref="B43:C43"/>
    <mergeCell ref="B44:C44"/>
  </mergeCells>
  <phoneticPr fontId="36"/>
  <conditionalFormatting sqref="D3:P4">
    <cfRule type="cellIs" dxfId="2" priority="4" operator="equal">
      <formula>0</formula>
    </cfRule>
  </conditionalFormatting>
  <conditionalFormatting sqref="D3:P32 D39:P40 D47:P49">
    <cfRule type="cellIs" dxfId="1" priority="3" operator="equal">
      <formula>0</formula>
    </cfRule>
  </conditionalFormatting>
  <conditionalFormatting sqref="D34:P36">
    <cfRule type="cellIs" dxfId="0" priority="2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zoomScaleNormal="100" workbookViewId="0">
      <selection activeCell="G8" sqref="G8"/>
    </sheetView>
  </sheetViews>
  <sheetFormatPr defaultColWidth="8.5" defaultRowHeight="18"/>
  <sheetData>
    <row r="1" spans="1:14">
      <c r="A1" s="197" t="s">
        <v>50</v>
      </c>
      <c r="B1" s="293" t="s">
        <v>98</v>
      </c>
      <c r="C1" s="293" t="s">
        <v>99</v>
      </c>
      <c r="D1" s="293" t="s">
        <v>100</v>
      </c>
      <c r="E1" s="293" t="s">
        <v>101</v>
      </c>
      <c r="F1" s="293" t="s">
        <v>102</v>
      </c>
      <c r="G1" s="293" t="s">
        <v>103</v>
      </c>
      <c r="H1" s="293" t="s">
        <v>104</v>
      </c>
      <c r="I1" s="293" t="s">
        <v>105</v>
      </c>
      <c r="J1" s="293" t="s">
        <v>106</v>
      </c>
      <c r="K1" s="293" t="s">
        <v>107</v>
      </c>
      <c r="L1" s="293" t="s">
        <v>108</v>
      </c>
      <c r="M1" s="293" t="s">
        <v>109</v>
      </c>
      <c r="N1" s="293" t="s">
        <v>42</v>
      </c>
    </row>
    <row r="2" spans="1:14">
      <c r="A2" s="293" t="s">
        <v>110</v>
      </c>
      <c r="B2" s="100">
        <v>0</v>
      </c>
      <c r="C2" s="100">
        <v>134014</v>
      </c>
      <c r="D2" s="100">
        <v>118994</v>
      </c>
      <c r="E2" s="100">
        <v>83911</v>
      </c>
      <c r="F2" s="100">
        <v>90367</v>
      </c>
      <c r="G2" s="100">
        <v>116684</v>
      </c>
      <c r="H2" s="100">
        <v>101322</v>
      </c>
      <c r="I2" s="100">
        <v>186370</v>
      </c>
      <c r="J2" s="100">
        <v>56609</v>
      </c>
      <c r="K2" s="100">
        <v>156028</v>
      </c>
      <c r="L2" s="100">
        <v>71628</v>
      </c>
      <c r="M2" s="100">
        <v>153076</v>
      </c>
      <c r="N2" s="100">
        <v>1269003</v>
      </c>
    </row>
    <row r="3" spans="1:14">
      <c r="A3" s="293" t="s">
        <v>111</v>
      </c>
      <c r="B3" s="109">
        <v>0</v>
      </c>
      <c r="C3" s="109">
        <v>113218</v>
      </c>
      <c r="D3" s="109">
        <v>134706</v>
      </c>
      <c r="E3" s="109">
        <v>121831</v>
      </c>
      <c r="F3" s="109">
        <v>36276</v>
      </c>
      <c r="G3" s="109">
        <v>0</v>
      </c>
      <c r="H3" s="109">
        <v>0</v>
      </c>
      <c r="I3" s="109">
        <v>0</v>
      </c>
      <c r="J3" s="109">
        <v>0</v>
      </c>
      <c r="K3" s="109">
        <v>0</v>
      </c>
      <c r="L3" s="109">
        <v>0</v>
      </c>
      <c r="M3" s="109">
        <v>0</v>
      </c>
      <c r="N3" s="109">
        <f>SUM(B3:M3)</f>
        <v>406031</v>
      </c>
    </row>
    <row r="4" spans="1:14">
      <c r="A4" s="293" t="s">
        <v>112</v>
      </c>
      <c r="B4" s="102" t="e">
        <f t="shared" ref="B4:N4" si="0">B3/B2</f>
        <v>#DIV/0!</v>
      </c>
      <c r="C4" s="102">
        <f t="shared" si="0"/>
        <v>0.84482218275702536</v>
      </c>
      <c r="D4" s="102">
        <f t="shared" si="0"/>
        <v>1.1320402709380304</v>
      </c>
      <c r="E4" s="102">
        <f t="shared" si="0"/>
        <v>1.4519073780553204</v>
      </c>
      <c r="F4" s="102">
        <f t="shared" si="0"/>
        <v>0.40142972545287547</v>
      </c>
      <c r="G4" s="102">
        <f t="shared" si="0"/>
        <v>0</v>
      </c>
      <c r="H4" s="102">
        <f t="shared" si="0"/>
        <v>0</v>
      </c>
      <c r="I4" s="102">
        <f t="shared" si="0"/>
        <v>0</v>
      </c>
      <c r="J4" s="102">
        <f t="shared" si="0"/>
        <v>0</v>
      </c>
      <c r="K4" s="102">
        <f t="shared" si="0"/>
        <v>0</v>
      </c>
      <c r="L4" s="102">
        <f t="shared" si="0"/>
        <v>0</v>
      </c>
      <c r="M4" s="102">
        <f t="shared" si="0"/>
        <v>0</v>
      </c>
      <c r="N4" s="102">
        <f t="shared" si="0"/>
        <v>0.31996063051072376</v>
      </c>
    </row>
    <row r="5" spans="1:14">
      <c r="A5" s="293" t="s">
        <v>359</v>
      </c>
      <c r="B5" s="109">
        <v>0</v>
      </c>
      <c r="C5" s="109">
        <v>4</v>
      </c>
      <c r="D5" s="109">
        <v>5</v>
      </c>
      <c r="E5" s="109">
        <v>4</v>
      </c>
      <c r="F5" s="109">
        <v>1</v>
      </c>
      <c r="G5" s="109">
        <v>0</v>
      </c>
      <c r="H5" s="109">
        <v>0</v>
      </c>
      <c r="I5" s="109">
        <v>0</v>
      </c>
      <c r="J5" s="109">
        <v>0</v>
      </c>
      <c r="K5" s="109">
        <v>0</v>
      </c>
      <c r="L5" s="109">
        <v>0</v>
      </c>
      <c r="M5" s="109">
        <v>0</v>
      </c>
      <c r="N5" s="109">
        <f>SUM(B5:M5)</f>
        <v>14</v>
      </c>
    </row>
    <row r="6" spans="1:14">
      <c r="A6" s="293" t="s">
        <v>78</v>
      </c>
      <c r="B6" s="109">
        <v>0</v>
      </c>
      <c r="C6" s="109">
        <v>8</v>
      </c>
      <c r="D6" s="109">
        <v>10</v>
      </c>
      <c r="E6" s="109">
        <v>9</v>
      </c>
      <c r="F6" s="109">
        <v>2</v>
      </c>
      <c r="G6" s="109">
        <v>0</v>
      </c>
      <c r="H6" s="109">
        <v>0</v>
      </c>
      <c r="I6" s="109">
        <v>0</v>
      </c>
      <c r="J6" s="109">
        <v>0</v>
      </c>
      <c r="K6" s="109">
        <v>0</v>
      </c>
      <c r="L6" s="109">
        <v>0</v>
      </c>
      <c r="M6" s="109">
        <v>0</v>
      </c>
      <c r="N6" s="109">
        <f>SUM(B6:M6)</f>
        <v>29</v>
      </c>
    </row>
    <row r="7" spans="1:14">
      <c r="A7" s="293" t="s">
        <v>80</v>
      </c>
      <c r="B7" s="109" t="e">
        <f t="shared" ref="B7:M7" si="1">B3/B6</f>
        <v>#DIV/0!</v>
      </c>
      <c r="C7" s="109">
        <f t="shared" si="1"/>
        <v>14152.25</v>
      </c>
      <c r="D7" s="109">
        <f t="shared" si="1"/>
        <v>13470.6</v>
      </c>
      <c r="E7" s="109">
        <f t="shared" si="1"/>
        <v>13536.777777777777</v>
      </c>
      <c r="F7" s="109">
        <f t="shared" si="1"/>
        <v>18138</v>
      </c>
      <c r="G7" s="109" t="e">
        <f t="shared" si="1"/>
        <v>#DIV/0!</v>
      </c>
      <c r="H7" s="109" t="e">
        <f t="shared" si="1"/>
        <v>#DIV/0!</v>
      </c>
      <c r="I7" s="109" t="e">
        <f t="shared" si="1"/>
        <v>#DIV/0!</v>
      </c>
      <c r="J7" s="109" t="e">
        <f t="shared" si="1"/>
        <v>#DIV/0!</v>
      </c>
      <c r="K7" s="109" t="e">
        <f t="shared" si="1"/>
        <v>#DIV/0!</v>
      </c>
      <c r="L7" s="109" t="e">
        <f t="shared" si="1"/>
        <v>#DIV/0!</v>
      </c>
      <c r="M7" s="109" t="e">
        <f t="shared" si="1"/>
        <v>#DIV/0!</v>
      </c>
      <c r="N7" s="109" t="e">
        <f>AVERAGE(B7:M7)</f>
        <v>#DIV/0!</v>
      </c>
    </row>
    <row r="8" spans="1:14" s="60" customFormat="1" ht="12.75" customHeight="1">
      <c r="A8" s="293" t="s">
        <v>81</v>
      </c>
      <c r="B8" s="219">
        <f>B5/(1*31)</f>
        <v>0</v>
      </c>
      <c r="C8" s="219">
        <f>C5/(1*28)</f>
        <v>0.14285714285714285</v>
      </c>
      <c r="D8" s="219">
        <f>D5/(1*31)</f>
        <v>0.16129032258064516</v>
      </c>
      <c r="E8" s="219">
        <f>E5/(1*30)</f>
        <v>0.13333333333333333</v>
      </c>
      <c r="F8" s="219">
        <f>F5/(1*31)</f>
        <v>3.2258064516129031E-2</v>
      </c>
      <c r="G8" s="219">
        <f>G5/(1*30)</f>
        <v>0</v>
      </c>
      <c r="H8" s="219">
        <f>H5/(1*30)</f>
        <v>0</v>
      </c>
      <c r="I8" s="219">
        <f>I5/(1*31)</f>
        <v>0</v>
      </c>
      <c r="J8" s="219">
        <f>J5/(1*30)</f>
        <v>0</v>
      </c>
      <c r="K8" s="219">
        <f>K5/(1*31)</f>
        <v>0</v>
      </c>
      <c r="L8" s="219">
        <f>L5/(1*30)</f>
        <v>0</v>
      </c>
      <c r="M8" s="219">
        <f>M5/(1*31)</f>
        <v>0</v>
      </c>
      <c r="N8" s="219">
        <f>N5/(1*365)</f>
        <v>3.8356164383561646E-2</v>
      </c>
    </row>
    <row r="9" spans="1:14">
      <c r="A9" s="293" t="s">
        <v>113</v>
      </c>
      <c r="B9" s="105">
        <f t="shared" ref="B9:M9" si="2">B3-B2</f>
        <v>0</v>
      </c>
      <c r="C9" s="105">
        <f t="shared" si="2"/>
        <v>-20796</v>
      </c>
      <c r="D9" s="105">
        <f t="shared" si="2"/>
        <v>15712</v>
      </c>
      <c r="E9" s="105">
        <f t="shared" si="2"/>
        <v>37920</v>
      </c>
      <c r="F9" s="105">
        <f t="shared" si="2"/>
        <v>-54091</v>
      </c>
      <c r="G9" s="105">
        <f t="shared" si="2"/>
        <v>-116684</v>
      </c>
      <c r="H9" s="105">
        <f t="shared" si="2"/>
        <v>-101322</v>
      </c>
      <c r="I9" s="105">
        <f t="shared" si="2"/>
        <v>-186370</v>
      </c>
      <c r="J9" s="105">
        <f t="shared" si="2"/>
        <v>-56609</v>
      </c>
      <c r="K9" s="105">
        <f t="shared" si="2"/>
        <v>-156028</v>
      </c>
      <c r="L9" s="105">
        <f t="shared" si="2"/>
        <v>-71628</v>
      </c>
      <c r="M9" s="105">
        <f t="shared" si="2"/>
        <v>-153076</v>
      </c>
      <c r="N9" s="105">
        <f>SUM(B9:M9)</f>
        <v>-862972</v>
      </c>
    </row>
    <row r="10" spans="1:14">
      <c r="A10" s="293" t="s">
        <v>114</v>
      </c>
      <c r="B10" s="100">
        <v>0</v>
      </c>
      <c r="C10" s="100">
        <v>134014</v>
      </c>
      <c r="D10" s="100">
        <v>118994</v>
      </c>
      <c r="E10" s="100">
        <v>83911</v>
      </c>
      <c r="F10" s="100">
        <v>90367</v>
      </c>
      <c r="G10" s="100">
        <v>116684</v>
      </c>
      <c r="H10" s="100">
        <v>101322</v>
      </c>
      <c r="I10" s="100">
        <v>186370</v>
      </c>
      <c r="J10" s="100">
        <v>56609</v>
      </c>
      <c r="K10" s="100">
        <v>156028</v>
      </c>
      <c r="L10" s="100">
        <v>71628</v>
      </c>
      <c r="M10" s="100">
        <v>153076</v>
      </c>
      <c r="N10" s="100">
        <v>1269003</v>
      </c>
    </row>
    <row r="11" spans="1:14">
      <c r="A11" s="293" t="s">
        <v>115</v>
      </c>
      <c r="B11" s="102" t="e">
        <f t="shared" ref="B11:N11" si="3">B3/B10</f>
        <v>#DIV/0!</v>
      </c>
      <c r="C11" s="102">
        <f t="shared" si="3"/>
        <v>0.84482218275702536</v>
      </c>
      <c r="D11" s="102">
        <f t="shared" si="3"/>
        <v>1.1320402709380304</v>
      </c>
      <c r="E11" s="102">
        <f t="shared" si="3"/>
        <v>1.4519073780553204</v>
      </c>
      <c r="F11" s="102">
        <f t="shared" si="3"/>
        <v>0.40142972545287547</v>
      </c>
      <c r="G11" s="102">
        <f t="shared" si="3"/>
        <v>0</v>
      </c>
      <c r="H11" s="102">
        <f t="shared" si="3"/>
        <v>0</v>
      </c>
      <c r="I11" s="102">
        <f t="shared" si="3"/>
        <v>0</v>
      </c>
      <c r="J11" s="102">
        <f t="shared" si="3"/>
        <v>0</v>
      </c>
      <c r="K11" s="102">
        <f t="shared" si="3"/>
        <v>0</v>
      </c>
      <c r="L11" s="102">
        <f t="shared" si="3"/>
        <v>0</v>
      </c>
      <c r="M11" s="102">
        <f t="shared" si="3"/>
        <v>0</v>
      </c>
      <c r="N11" s="102">
        <f t="shared" si="3"/>
        <v>0.31996063051072376</v>
      </c>
    </row>
    <row r="12" spans="1:14">
      <c r="A12" s="293" t="s">
        <v>116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>
        <f>SUM(B12:M12)</f>
        <v>0</v>
      </c>
    </row>
    <row r="13" spans="1:14">
      <c r="A13" s="293" t="s">
        <v>117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>
        <f>SUM(B13:M13)</f>
        <v>0</v>
      </c>
    </row>
    <row r="14" spans="1:14">
      <c r="A14" s="293" t="s">
        <v>118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0">
        <f>SUM(B14:M14)</f>
        <v>0</v>
      </c>
    </row>
    <row r="15" spans="1:14">
      <c r="A15" s="293" t="s">
        <v>119</v>
      </c>
      <c r="B15" s="105">
        <f>B12-B14</f>
        <v>0</v>
      </c>
      <c r="C15" s="105">
        <f>C12-C13</f>
        <v>0</v>
      </c>
      <c r="D15" s="105">
        <f>D12-D13</f>
        <v>0</v>
      </c>
      <c r="E15" s="105">
        <f>E12-E13</f>
        <v>0</v>
      </c>
      <c r="F15" s="105">
        <f>F12-F13</f>
        <v>0</v>
      </c>
      <c r="G15" s="105">
        <f t="shared" ref="G15:L15" si="4">G12-G14</f>
        <v>0</v>
      </c>
      <c r="H15" s="105">
        <f t="shared" si="4"/>
        <v>0</v>
      </c>
      <c r="I15" s="105">
        <f t="shared" si="4"/>
        <v>0</v>
      </c>
      <c r="J15" s="105">
        <f t="shared" si="4"/>
        <v>0</v>
      </c>
      <c r="K15" s="105">
        <f t="shared" si="4"/>
        <v>0</v>
      </c>
      <c r="L15" s="105">
        <f t="shared" si="4"/>
        <v>0</v>
      </c>
      <c r="M15" s="105">
        <v>18000000</v>
      </c>
      <c r="N15" s="105">
        <f>SUM(B15:M15)</f>
        <v>18000000</v>
      </c>
    </row>
    <row r="16" spans="1:14">
      <c r="A16" s="293" t="s">
        <v>73</v>
      </c>
      <c r="B16" s="105">
        <f>B3-B14</f>
        <v>0</v>
      </c>
      <c r="C16" s="105">
        <f>C3-C13</f>
        <v>113218</v>
      </c>
      <c r="D16" s="105">
        <f>D3-D13</f>
        <v>134706</v>
      </c>
      <c r="E16" s="105">
        <f>E3-E13</f>
        <v>121831</v>
      </c>
      <c r="F16" s="105">
        <f>F3-F13</f>
        <v>36276</v>
      </c>
      <c r="G16" s="105">
        <f t="shared" ref="G16:M16" si="5">G3-G12</f>
        <v>0</v>
      </c>
      <c r="H16" s="105">
        <f t="shared" si="5"/>
        <v>0</v>
      </c>
      <c r="I16" s="105">
        <f t="shared" si="5"/>
        <v>0</v>
      </c>
      <c r="J16" s="105">
        <f t="shared" si="5"/>
        <v>0</v>
      </c>
      <c r="K16" s="105">
        <f t="shared" si="5"/>
        <v>0</v>
      </c>
      <c r="L16" s="105">
        <f t="shared" si="5"/>
        <v>0</v>
      </c>
      <c r="M16" s="105">
        <f t="shared" si="5"/>
        <v>0</v>
      </c>
      <c r="N16" s="105">
        <f>SUM(B16:M16)</f>
        <v>406031</v>
      </c>
    </row>
  </sheetData>
  <phoneticPr fontId="36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グローバルリゾート全体収支</vt:lpstr>
      <vt:lpstr>年間　全施設（客室単価・稼働率）</vt:lpstr>
      <vt:lpstr>ホテル部門→</vt:lpstr>
      <vt:lpstr>弥山</vt:lpstr>
      <vt:lpstr>温井</vt:lpstr>
      <vt:lpstr>いこいの村</vt:lpstr>
      <vt:lpstr>深入山GS</vt:lpstr>
      <vt:lpstr>フォレストヒルズガーデン</vt:lpstr>
      <vt:lpstr>マンスリー部門</vt:lpstr>
      <vt:lpstr>竹原</vt:lpstr>
      <vt:lpstr>サウナ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俊惠 白井</dc:creator>
  <cp:keywords/>
  <dc:description/>
  <cp:lastModifiedBy>俊惠 白井</cp:lastModifiedBy>
  <cp:revision>0</cp:revision>
  <dcterms:created xsi:type="dcterms:W3CDTF">2024-06-25T07:27:44Z</dcterms:created>
  <dcterms:modified xsi:type="dcterms:W3CDTF">2026-05-25T01:37:53Z</dcterms:modified>
  <cp:category/>
  <cp:contentStatus/>
</cp:coreProperties>
</file>