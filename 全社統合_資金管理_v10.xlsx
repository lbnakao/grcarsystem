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3ffc5a7a7031a4a/ドキュメント/"/>
    </mc:Choice>
  </mc:AlternateContent>
  <xr:revisionPtr revIDLastSave="3" documentId="11_541B0BE28048F98698EB1C730A3A7F3E1BFB1F5A" xr6:coauthVersionLast="47" xr6:coauthVersionMax="47" xr10:uidLastSave="{21588BAD-CB14-40F3-A82B-846C45E8F934}"/>
  <bookViews>
    <workbookView xWindow="-120" yWindow="-120" windowWidth="29040" windowHeight="15720" tabRatio="1000" activeTab="11" xr2:uid="{00000000-000D-0000-FFFF-FFFF00000000}"/>
  </bookViews>
  <sheets>
    <sheet name="トップ" sheetId="1" r:id="rId1"/>
    <sheet name="全社合算サマリー" sheetId="2" r:id="rId2"/>
    <sheet name="全社月次サマリー" sheetId="3" r:id="rId3"/>
    <sheet name="支払可能性分析" sheetId="4" r:id="rId4"/>
    <sheet name="2025-2026比較" sheetId="5" r:id="rId5"/>
    <sheet name="マスター_物件" sheetId="6" r:id="rId6"/>
    <sheet name="マスター_勘定科目" sheetId="7" r:id="rId7"/>
    <sheet name="マスター_OTA" sheetId="8" r:id="rId8"/>
    <sheet name="入金入力" sheetId="9" r:id="rId9"/>
    <sheet name="売上入力" sheetId="10" r:id="rId10"/>
    <sheet name="入金予測" sheetId="11" r:id="rId11"/>
    <sheet name="未払予定一覧" sheetId="12" r:id="rId12"/>
    <sheet name="日次_レジデンス" sheetId="13" r:id="rId13"/>
    <sheet name="日次_リゾート" sheetId="14" r:id="rId14"/>
    <sheet name="日次_モーテル" sheetId="15" r:id="rId15"/>
    <sheet name="日次_ザック" sheetId="16" r:id="rId16"/>
    <sheet name="日次_ワールド・レイ" sheetId="17" r:id="rId17"/>
    <sheet name="日次_ココ・ユニバース" sheetId="18" r:id="rId18"/>
    <sheet name="資金繰り_全社合計" sheetId="19" r:id="rId19"/>
    <sheet name="資金繰り_レジデンス" sheetId="20" r:id="rId20"/>
    <sheet name="資金繰り_リゾート・モーテル" sheetId="21" r:id="rId21"/>
    <sheet name="資金繰り_ザック" sheetId="22" r:id="rId22"/>
  </sheets>
  <definedNames>
    <definedName name="_xlnm._FilterDatabase" localSheetId="8" hidden="1">入金入力!$A$3:$G$503</definedName>
    <definedName name="_xlnm._FilterDatabase" localSheetId="10" hidden="1">入金予測!$A$3:$G$603</definedName>
    <definedName name="_xlnm._FilterDatabase" localSheetId="9" hidden="1">売上入力!$A$3:$F$203</definedName>
    <definedName name="_xlnm._FilterDatabase" localSheetId="11" hidden="1">未払予定一覧!$A$3:$Q$803</definedName>
  </definedNames>
  <calcPr calcId="191029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9" i="22" l="1"/>
  <c r="Z29" i="22"/>
  <c r="X29" i="22"/>
  <c r="V29" i="22"/>
  <c r="T29" i="22"/>
  <c r="R29" i="22"/>
  <c r="P29" i="22"/>
  <c r="N29" i="22"/>
  <c r="L28" i="22"/>
  <c r="J28" i="22"/>
  <c r="H28" i="22"/>
  <c r="F28" i="22"/>
  <c r="L27" i="22"/>
  <c r="L29" i="22" s="1"/>
  <c r="J27" i="22"/>
  <c r="H27" i="22"/>
  <c r="H29" i="22" s="1"/>
  <c r="F27" i="22"/>
  <c r="F29" i="22" s="1"/>
  <c r="AB26" i="22"/>
  <c r="AB30" i="22" s="1"/>
  <c r="Z26" i="22"/>
  <c r="Z30" i="22" s="1"/>
  <c r="X26" i="22"/>
  <c r="X30" i="22" s="1"/>
  <c r="V26" i="22"/>
  <c r="V30" i="22" s="1"/>
  <c r="T26" i="22"/>
  <c r="T30" i="22" s="1"/>
  <c r="R26" i="22"/>
  <c r="R30" i="22" s="1"/>
  <c r="P26" i="22"/>
  <c r="P30" i="22" s="1"/>
  <c r="N26" i="22"/>
  <c r="N30" i="22" s="1"/>
  <c r="L25" i="22"/>
  <c r="J25" i="22"/>
  <c r="H25" i="22"/>
  <c r="F25" i="22"/>
  <c r="L24" i="22"/>
  <c r="L26" i="22" s="1"/>
  <c r="J24" i="22"/>
  <c r="J26" i="22" s="1"/>
  <c r="H24" i="22"/>
  <c r="H26" i="22" s="1"/>
  <c r="F24" i="22"/>
  <c r="F26" i="22" s="1"/>
  <c r="AB23" i="22"/>
  <c r="AB22" i="22"/>
  <c r="Z22" i="22"/>
  <c r="X22" i="22"/>
  <c r="V22" i="22"/>
  <c r="T22" i="22"/>
  <c r="R22" i="22"/>
  <c r="P22" i="22"/>
  <c r="N22" i="22"/>
  <c r="L21" i="22"/>
  <c r="J21" i="22"/>
  <c r="H21" i="22"/>
  <c r="F21" i="22"/>
  <c r="L20" i="22"/>
  <c r="J20" i="22"/>
  <c r="H20" i="22"/>
  <c r="F20" i="22"/>
  <c r="L19" i="22"/>
  <c r="J19" i="22"/>
  <c r="H19" i="22"/>
  <c r="F19" i="22"/>
  <c r="L18" i="22"/>
  <c r="J18" i="22"/>
  <c r="H18" i="22"/>
  <c r="F18" i="22"/>
  <c r="L17" i="22"/>
  <c r="J17" i="22"/>
  <c r="H17" i="22"/>
  <c r="F17" i="22"/>
  <c r="L16" i="22"/>
  <c r="J16" i="22"/>
  <c r="H16" i="22"/>
  <c r="F16" i="22"/>
  <c r="L15" i="22"/>
  <c r="J15" i="22"/>
  <c r="H15" i="22"/>
  <c r="F15" i="22"/>
  <c r="L14" i="22"/>
  <c r="J14" i="22"/>
  <c r="H14" i="22"/>
  <c r="F14" i="22"/>
  <c r="AB12" i="22"/>
  <c r="Z12" i="22"/>
  <c r="Z23" i="22" s="1"/>
  <c r="X12" i="22"/>
  <c r="X23" i="22" s="1"/>
  <c r="V12" i="22"/>
  <c r="V23" i="22" s="1"/>
  <c r="T12" i="22"/>
  <c r="T23" i="22" s="1"/>
  <c r="R12" i="22"/>
  <c r="R23" i="22" s="1"/>
  <c r="P12" i="22"/>
  <c r="P23" i="22" s="1"/>
  <c r="N12" i="22"/>
  <c r="N23" i="22" s="1"/>
  <c r="L11" i="22"/>
  <c r="J11" i="22"/>
  <c r="H11" i="22"/>
  <c r="F11" i="22"/>
  <c r="L10" i="22"/>
  <c r="J10" i="22"/>
  <c r="H10" i="22"/>
  <c r="F10" i="22"/>
  <c r="L9" i="22"/>
  <c r="J9" i="22"/>
  <c r="H9" i="22"/>
  <c r="F9" i="22"/>
  <c r="AB5" i="22"/>
  <c r="Z5" i="22"/>
  <c r="X5" i="22"/>
  <c r="V5" i="22"/>
  <c r="T5" i="22"/>
  <c r="R5" i="22"/>
  <c r="P5" i="22"/>
  <c r="N5" i="22"/>
  <c r="X30" i="21"/>
  <c r="AB29" i="21"/>
  <c r="Z29" i="21"/>
  <c r="Z30" i="21" s="1"/>
  <c r="X29" i="21"/>
  <c r="V29" i="21"/>
  <c r="T29" i="21"/>
  <c r="R29" i="21"/>
  <c r="P29" i="21"/>
  <c r="N29" i="21"/>
  <c r="L28" i="21"/>
  <c r="J28" i="21"/>
  <c r="H28" i="21"/>
  <c r="F28" i="21"/>
  <c r="L27" i="21"/>
  <c r="J27" i="21"/>
  <c r="J29" i="21" s="1"/>
  <c r="H27" i="21"/>
  <c r="F27" i="21"/>
  <c r="AB26" i="21"/>
  <c r="Z26" i="21"/>
  <c r="X26" i="21"/>
  <c r="V26" i="21"/>
  <c r="V30" i="21" s="1"/>
  <c r="T26" i="21"/>
  <c r="T30" i="21" s="1"/>
  <c r="R26" i="21"/>
  <c r="R30" i="21" s="1"/>
  <c r="P26" i="21"/>
  <c r="P30" i="21" s="1"/>
  <c r="N26" i="21"/>
  <c r="N30" i="21" s="1"/>
  <c r="J26" i="21"/>
  <c r="F26" i="21"/>
  <c r="L25" i="21"/>
  <c r="J25" i="21"/>
  <c r="H25" i="21"/>
  <c r="F25" i="21"/>
  <c r="L24" i="21"/>
  <c r="L26" i="21" s="1"/>
  <c r="J24" i="21"/>
  <c r="H24" i="21"/>
  <c r="H24" i="19" s="1"/>
  <c r="F24" i="21"/>
  <c r="AB23" i="21"/>
  <c r="R23" i="21"/>
  <c r="AB22" i="21"/>
  <c r="Z22" i="21"/>
  <c r="X22" i="21"/>
  <c r="V22" i="21"/>
  <c r="T22" i="21"/>
  <c r="R22" i="21"/>
  <c r="P22" i="21"/>
  <c r="N22" i="21"/>
  <c r="L21" i="21"/>
  <c r="J21" i="21"/>
  <c r="H21" i="21"/>
  <c r="H21" i="19" s="1"/>
  <c r="F21" i="21"/>
  <c r="L20" i="21"/>
  <c r="J20" i="21"/>
  <c r="H20" i="21"/>
  <c r="F20" i="21"/>
  <c r="L19" i="21"/>
  <c r="J19" i="21"/>
  <c r="H19" i="21"/>
  <c r="F19" i="21"/>
  <c r="L18" i="21"/>
  <c r="J18" i="21"/>
  <c r="H18" i="21"/>
  <c r="F18" i="21"/>
  <c r="L17" i="21"/>
  <c r="J17" i="21"/>
  <c r="H17" i="21"/>
  <c r="F17" i="21"/>
  <c r="L16" i="21"/>
  <c r="J16" i="21"/>
  <c r="H16" i="21"/>
  <c r="F16" i="21"/>
  <c r="L15" i="21"/>
  <c r="J15" i="21"/>
  <c r="H15" i="21"/>
  <c r="F15" i="21"/>
  <c r="L14" i="21"/>
  <c r="J14" i="21"/>
  <c r="H14" i="21"/>
  <c r="F14" i="21"/>
  <c r="AB12" i="21"/>
  <c r="Z12" i="21"/>
  <c r="X12" i="21"/>
  <c r="X23" i="21" s="1"/>
  <c r="V12" i="21"/>
  <c r="V23" i="21" s="1"/>
  <c r="T12" i="21"/>
  <c r="R12" i="21"/>
  <c r="P12" i="21"/>
  <c r="P23" i="21" s="1"/>
  <c r="N12" i="21"/>
  <c r="N23" i="21" s="1"/>
  <c r="L11" i="21"/>
  <c r="J11" i="21"/>
  <c r="H11" i="21"/>
  <c r="F11" i="21"/>
  <c r="L10" i="21"/>
  <c r="J10" i="21"/>
  <c r="H10" i="21"/>
  <c r="F10" i="21"/>
  <c r="L9" i="21"/>
  <c r="J9" i="21"/>
  <c r="H9" i="21"/>
  <c r="F9" i="21"/>
  <c r="AB5" i="21"/>
  <c r="Z5" i="21"/>
  <c r="Z5" i="19" s="1"/>
  <c r="X5" i="21"/>
  <c r="V5" i="21"/>
  <c r="T5" i="21"/>
  <c r="R5" i="21"/>
  <c r="P5" i="21"/>
  <c r="N5" i="21"/>
  <c r="AB30" i="20"/>
  <c r="X30" i="20"/>
  <c r="T30" i="20"/>
  <c r="AB29" i="20"/>
  <c r="Z29" i="20"/>
  <c r="X29" i="20"/>
  <c r="V29" i="20"/>
  <c r="T29" i="20"/>
  <c r="R29" i="20"/>
  <c r="P29" i="20"/>
  <c r="N29" i="20"/>
  <c r="J29" i="20"/>
  <c r="L28" i="20"/>
  <c r="J28" i="20"/>
  <c r="H28" i="20"/>
  <c r="F28" i="20"/>
  <c r="L27" i="20"/>
  <c r="J27" i="20"/>
  <c r="J27" i="19" s="1"/>
  <c r="H27" i="20"/>
  <c r="H29" i="20" s="1"/>
  <c r="F27" i="20"/>
  <c r="AB26" i="20"/>
  <c r="Z26" i="20"/>
  <c r="X26" i="20"/>
  <c r="V26" i="20"/>
  <c r="V30" i="20" s="1"/>
  <c r="T26" i="20"/>
  <c r="R26" i="20"/>
  <c r="P26" i="20"/>
  <c r="N26" i="20"/>
  <c r="N30" i="20" s="1"/>
  <c r="L25" i="20"/>
  <c r="L26" i="20" s="1"/>
  <c r="J25" i="20"/>
  <c r="J26" i="20" s="1"/>
  <c r="H25" i="20"/>
  <c r="F25" i="20"/>
  <c r="F25" i="19" s="1"/>
  <c r="L24" i="20"/>
  <c r="J24" i="20"/>
  <c r="H24" i="20"/>
  <c r="F24" i="20"/>
  <c r="F26" i="20" s="1"/>
  <c r="V23" i="20"/>
  <c r="R23" i="20"/>
  <c r="N23" i="20"/>
  <c r="AB22" i="20"/>
  <c r="Z22" i="20"/>
  <c r="X22" i="20"/>
  <c r="V22" i="20"/>
  <c r="T22" i="20"/>
  <c r="R22" i="20"/>
  <c r="P22" i="20"/>
  <c r="N22" i="20"/>
  <c r="L21" i="20"/>
  <c r="J21" i="20"/>
  <c r="H21" i="20"/>
  <c r="F21" i="20"/>
  <c r="L20" i="20"/>
  <c r="J20" i="20"/>
  <c r="H20" i="20"/>
  <c r="F20" i="20"/>
  <c r="L19" i="20"/>
  <c r="J19" i="20"/>
  <c r="H19" i="20"/>
  <c r="F19" i="20"/>
  <c r="L18" i="20"/>
  <c r="J18" i="20"/>
  <c r="H18" i="20"/>
  <c r="F18" i="20"/>
  <c r="L17" i="20"/>
  <c r="L17" i="19" s="1"/>
  <c r="J17" i="20"/>
  <c r="H17" i="20"/>
  <c r="F17" i="20"/>
  <c r="L16" i="20"/>
  <c r="J16" i="20"/>
  <c r="H16" i="20"/>
  <c r="F16" i="20"/>
  <c r="L15" i="20"/>
  <c r="J15" i="20"/>
  <c r="H15" i="20"/>
  <c r="F15" i="20"/>
  <c r="L14" i="20"/>
  <c r="J14" i="20"/>
  <c r="H14" i="20"/>
  <c r="H14" i="19" s="1"/>
  <c r="F14" i="20"/>
  <c r="AB12" i="20"/>
  <c r="AB23" i="20" s="1"/>
  <c r="Z12" i="20"/>
  <c r="Z23" i="20" s="1"/>
  <c r="X12" i="20"/>
  <c r="X23" i="20" s="1"/>
  <c r="V12" i="20"/>
  <c r="T12" i="20"/>
  <c r="T23" i="20" s="1"/>
  <c r="R12" i="20"/>
  <c r="P12" i="20"/>
  <c r="N12" i="20"/>
  <c r="L11" i="20"/>
  <c r="L11" i="19" s="1"/>
  <c r="J11" i="20"/>
  <c r="J11" i="19" s="1"/>
  <c r="H11" i="20"/>
  <c r="F11" i="20"/>
  <c r="F11" i="19" s="1"/>
  <c r="L10" i="20"/>
  <c r="L10" i="19" s="1"/>
  <c r="J10" i="20"/>
  <c r="J10" i="19" s="1"/>
  <c r="H10" i="20"/>
  <c r="F10" i="20"/>
  <c r="L9" i="20"/>
  <c r="J9" i="20"/>
  <c r="H9" i="20"/>
  <c r="F9" i="20"/>
  <c r="F9" i="19" s="1"/>
  <c r="AB5" i="20"/>
  <c r="AB5" i="19" s="1"/>
  <c r="Z5" i="20"/>
  <c r="X5" i="20"/>
  <c r="V5" i="20"/>
  <c r="V5" i="19" s="1"/>
  <c r="T5" i="20"/>
  <c r="T5" i="19" s="1"/>
  <c r="R5" i="20"/>
  <c r="P5" i="20"/>
  <c r="P5" i="19" s="1"/>
  <c r="N5" i="20"/>
  <c r="N5" i="19" s="1"/>
  <c r="AB30" i="19"/>
  <c r="Z30" i="19"/>
  <c r="AB29" i="19"/>
  <c r="Z29" i="19"/>
  <c r="X29" i="19"/>
  <c r="V29" i="19"/>
  <c r="V30" i="19" s="1"/>
  <c r="T29" i="19"/>
  <c r="T30" i="19" s="1"/>
  <c r="R29" i="19"/>
  <c r="R30" i="19" s="1"/>
  <c r="P29" i="19"/>
  <c r="N29" i="19"/>
  <c r="H28" i="19"/>
  <c r="F28" i="19"/>
  <c r="AB26" i="19"/>
  <c r="Z26" i="19"/>
  <c r="X26" i="19"/>
  <c r="X30" i="19" s="1"/>
  <c r="V26" i="19"/>
  <c r="T26" i="19"/>
  <c r="R26" i="19"/>
  <c r="P26" i="19"/>
  <c r="N26" i="19"/>
  <c r="N30" i="19" s="1"/>
  <c r="J25" i="19"/>
  <c r="L24" i="19"/>
  <c r="J24" i="19"/>
  <c r="J26" i="19" s="1"/>
  <c r="F24" i="19"/>
  <c r="F26" i="19" s="1"/>
  <c r="Z23" i="19"/>
  <c r="T23" i="19"/>
  <c r="AB22" i="19"/>
  <c r="Z22" i="19"/>
  <c r="X22" i="19"/>
  <c r="V22" i="19"/>
  <c r="T22" i="19"/>
  <c r="R22" i="19"/>
  <c r="P22" i="19"/>
  <c r="N22" i="19"/>
  <c r="AB12" i="19"/>
  <c r="Z12" i="19"/>
  <c r="X12" i="19"/>
  <c r="V12" i="19"/>
  <c r="T12" i="19"/>
  <c r="R12" i="19"/>
  <c r="R23" i="19" s="1"/>
  <c r="P12" i="19"/>
  <c r="P23" i="19" s="1"/>
  <c r="N12" i="19"/>
  <c r="H11" i="19"/>
  <c r="H10" i="19"/>
  <c r="F10" i="19"/>
  <c r="L9" i="19"/>
  <c r="H9" i="19"/>
  <c r="X5" i="19"/>
  <c r="R5" i="19"/>
  <c r="F137" i="18"/>
  <c r="C137" i="18"/>
  <c r="F136" i="18"/>
  <c r="C136" i="18"/>
  <c r="F135" i="18"/>
  <c r="C135" i="18"/>
  <c r="F134" i="18"/>
  <c r="C134" i="18"/>
  <c r="F133" i="18"/>
  <c r="C133" i="18"/>
  <c r="F132" i="18"/>
  <c r="C132" i="18"/>
  <c r="F131" i="18"/>
  <c r="C131" i="18"/>
  <c r="F130" i="18"/>
  <c r="C130" i="18"/>
  <c r="F129" i="18"/>
  <c r="C129" i="18"/>
  <c r="F128" i="18"/>
  <c r="C128" i="18"/>
  <c r="F127" i="18"/>
  <c r="C127" i="18"/>
  <c r="F126" i="18"/>
  <c r="C126" i="18"/>
  <c r="F125" i="18"/>
  <c r="C125" i="18"/>
  <c r="F124" i="18"/>
  <c r="C124" i="18"/>
  <c r="F123" i="18"/>
  <c r="C123" i="18"/>
  <c r="F122" i="18"/>
  <c r="C122" i="18"/>
  <c r="F121" i="18"/>
  <c r="C121" i="18"/>
  <c r="F120" i="18"/>
  <c r="C120" i="18"/>
  <c r="F119" i="18"/>
  <c r="C119" i="18"/>
  <c r="F118" i="18"/>
  <c r="C118" i="18"/>
  <c r="F117" i="18"/>
  <c r="C117" i="18"/>
  <c r="F116" i="18"/>
  <c r="C116" i="18"/>
  <c r="F115" i="18"/>
  <c r="C115" i="18"/>
  <c r="F114" i="18"/>
  <c r="C114" i="18"/>
  <c r="F113" i="18"/>
  <c r="C113" i="18"/>
  <c r="F112" i="18"/>
  <c r="C112" i="18"/>
  <c r="F111" i="18"/>
  <c r="C111" i="18"/>
  <c r="F110" i="18"/>
  <c r="C110" i="18"/>
  <c r="F109" i="18"/>
  <c r="C109" i="18"/>
  <c r="F108" i="18"/>
  <c r="C108" i="18"/>
  <c r="F107" i="18"/>
  <c r="C107" i="18"/>
  <c r="F103" i="18"/>
  <c r="C103" i="18"/>
  <c r="F102" i="18"/>
  <c r="C102" i="18"/>
  <c r="F101" i="18"/>
  <c r="C101" i="18"/>
  <c r="F100" i="18"/>
  <c r="C100" i="18"/>
  <c r="F99" i="18"/>
  <c r="C99" i="18"/>
  <c r="F98" i="18"/>
  <c r="C98" i="18"/>
  <c r="F97" i="18"/>
  <c r="C97" i="18"/>
  <c r="F96" i="18"/>
  <c r="C96" i="18"/>
  <c r="F95" i="18"/>
  <c r="C95" i="18"/>
  <c r="F94" i="18"/>
  <c r="C94" i="18"/>
  <c r="F93" i="18"/>
  <c r="C93" i="18"/>
  <c r="F92" i="18"/>
  <c r="C92" i="18"/>
  <c r="F91" i="18"/>
  <c r="C91" i="18"/>
  <c r="F90" i="18"/>
  <c r="C90" i="18"/>
  <c r="F89" i="18"/>
  <c r="C89" i="18"/>
  <c r="F88" i="18"/>
  <c r="C88" i="18"/>
  <c r="F87" i="18"/>
  <c r="C87" i="18"/>
  <c r="F86" i="18"/>
  <c r="C86" i="18"/>
  <c r="F85" i="18"/>
  <c r="C85" i="18"/>
  <c r="F84" i="18"/>
  <c r="C84" i="18"/>
  <c r="F83" i="18"/>
  <c r="C83" i="18"/>
  <c r="F82" i="18"/>
  <c r="C82" i="18"/>
  <c r="F81" i="18"/>
  <c r="C81" i="18"/>
  <c r="F80" i="18"/>
  <c r="C80" i="18"/>
  <c r="F79" i="18"/>
  <c r="C79" i="18"/>
  <c r="F78" i="18"/>
  <c r="C78" i="18"/>
  <c r="F77" i="18"/>
  <c r="C77" i="18"/>
  <c r="F76" i="18"/>
  <c r="C76" i="18"/>
  <c r="F75" i="18"/>
  <c r="C75" i="18"/>
  <c r="F74" i="18"/>
  <c r="C74" i="18"/>
  <c r="F73" i="18"/>
  <c r="C73" i="18"/>
  <c r="F69" i="18"/>
  <c r="C69" i="18"/>
  <c r="F68" i="18"/>
  <c r="C68" i="18"/>
  <c r="F67" i="18"/>
  <c r="C67" i="18"/>
  <c r="F66" i="18"/>
  <c r="C66" i="18"/>
  <c r="F65" i="18"/>
  <c r="C65" i="18"/>
  <c r="F64" i="18"/>
  <c r="C64" i="18"/>
  <c r="F63" i="18"/>
  <c r="C63" i="18"/>
  <c r="F62" i="18"/>
  <c r="C62" i="18"/>
  <c r="F61" i="18"/>
  <c r="C61" i="18"/>
  <c r="F60" i="18"/>
  <c r="C60" i="18"/>
  <c r="F59" i="18"/>
  <c r="C59" i="18"/>
  <c r="F58" i="18"/>
  <c r="C58" i="18"/>
  <c r="F57" i="18"/>
  <c r="C57" i="18"/>
  <c r="F56" i="18"/>
  <c r="C56" i="18"/>
  <c r="F55" i="18"/>
  <c r="C55" i="18"/>
  <c r="F54" i="18"/>
  <c r="C54" i="18"/>
  <c r="F53" i="18"/>
  <c r="C53" i="18"/>
  <c r="F52" i="18"/>
  <c r="C52" i="18"/>
  <c r="F51" i="18"/>
  <c r="C51" i="18"/>
  <c r="F50" i="18"/>
  <c r="C50" i="18"/>
  <c r="F49" i="18"/>
  <c r="C49" i="18"/>
  <c r="F48" i="18"/>
  <c r="C48" i="18"/>
  <c r="F47" i="18"/>
  <c r="C47" i="18"/>
  <c r="F46" i="18"/>
  <c r="C46" i="18"/>
  <c r="F45" i="18"/>
  <c r="C45" i="18"/>
  <c r="F44" i="18"/>
  <c r="C44" i="18"/>
  <c r="F43" i="18"/>
  <c r="C43" i="18"/>
  <c r="F42" i="18"/>
  <c r="C42" i="18"/>
  <c r="F41" i="18"/>
  <c r="C41" i="18"/>
  <c r="F40" i="18"/>
  <c r="C40" i="18"/>
  <c r="F36" i="18"/>
  <c r="C36" i="18"/>
  <c r="F35" i="18"/>
  <c r="C35" i="18"/>
  <c r="F34" i="18"/>
  <c r="C34" i="18"/>
  <c r="F33" i="18"/>
  <c r="C33" i="18"/>
  <c r="F32" i="18"/>
  <c r="C32" i="18"/>
  <c r="F31" i="18"/>
  <c r="C31" i="18"/>
  <c r="F30" i="18"/>
  <c r="C30" i="18"/>
  <c r="F29" i="18"/>
  <c r="C29" i="18"/>
  <c r="F28" i="18"/>
  <c r="C28" i="18"/>
  <c r="F27" i="18"/>
  <c r="C27" i="18"/>
  <c r="F26" i="18"/>
  <c r="C26" i="18"/>
  <c r="F25" i="18"/>
  <c r="C25" i="18"/>
  <c r="F24" i="18"/>
  <c r="C24" i="18"/>
  <c r="F23" i="18"/>
  <c r="C23" i="18"/>
  <c r="F22" i="18"/>
  <c r="C22" i="18"/>
  <c r="F21" i="18"/>
  <c r="C21" i="18"/>
  <c r="F20" i="18"/>
  <c r="C20" i="18"/>
  <c r="F19" i="18"/>
  <c r="C19" i="18"/>
  <c r="F18" i="18"/>
  <c r="C18" i="18"/>
  <c r="F17" i="18"/>
  <c r="C17" i="18"/>
  <c r="F16" i="18"/>
  <c r="C16" i="18"/>
  <c r="F15" i="18"/>
  <c r="C15" i="18"/>
  <c r="F14" i="18"/>
  <c r="C14" i="18"/>
  <c r="F13" i="18"/>
  <c r="C13" i="18"/>
  <c r="F12" i="18"/>
  <c r="C12" i="18"/>
  <c r="F11" i="18"/>
  <c r="C11" i="18"/>
  <c r="F10" i="18"/>
  <c r="C10" i="18"/>
  <c r="F9" i="18"/>
  <c r="C9" i="18"/>
  <c r="F8" i="18"/>
  <c r="C8" i="18"/>
  <c r="F7" i="18"/>
  <c r="C7" i="18"/>
  <c r="F6" i="18"/>
  <c r="C6" i="18"/>
  <c r="F5" i="18"/>
  <c r="C5" i="18"/>
  <c r="F137" i="17"/>
  <c r="C137" i="17"/>
  <c r="F136" i="17"/>
  <c r="C136" i="17"/>
  <c r="F135" i="17"/>
  <c r="C135" i="17"/>
  <c r="F134" i="17"/>
  <c r="C134" i="17"/>
  <c r="F133" i="17"/>
  <c r="C133" i="17"/>
  <c r="F132" i="17"/>
  <c r="C132" i="17"/>
  <c r="F131" i="17"/>
  <c r="C131" i="17"/>
  <c r="F130" i="17"/>
  <c r="C130" i="17"/>
  <c r="F129" i="17"/>
  <c r="C129" i="17"/>
  <c r="F128" i="17"/>
  <c r="C128" i="17"/>
  <c r="F127" i="17"/>
  <c r="C127" i="17"/>
  <c r="F126" i="17"/>
  <c r="C126" i="17"/>
  <c r="F125" i="17"/>
  <c r="C125" i="17"/>
  <c r="F124" i="17"/>
  <c r="C124" i="17"/>
  <c r="F123" i="17"/>
  <c r="C123" i="17"/>
  <c r="F122" i="17"/>
  <c r="C122" i="17"/>
  <c r="F121" i="17"/>
  <c r="C121" i="17"/>
  <c r="F120" i="17"/>
  <c r="C120" i="17"/>
  <c r="F119" i="17"/>
  <c r="C119" i="17"/>
  <c r="F118" i="17"/>
  <c r="C118" i="17"/>
  <c r="F117" i="17"/>
  <c r="C117" i="17"/>
  <c r="F116" i="17"/>
  <c r="C116" i="17"/>
  <c r="F115" i="17"/>
  <c r="C115" i="17"/>
  <c r="F114" i="17"/>
  <c r="C114" i="17"/>
  <c r="F113" i="17"/>
  <c r="C113" i="17"/>
  <c r="F112" i="17"/>
  <c r="C112" i="17"/>
  <c r="F111" i="17"/>
  <c r="C111" i="17"/>
  <c r="F110" i="17"/>
  <c r="C110" i="17"/>
  <c r="F109" i="17"/>
  <c r="C109" i="17"/>
  <c r="F108" i="17"/>
  <c r="C108" i="17"/>
  <c r="F107" i="17"/>
  <c r="C107" i="17"/>
  <c r="F103" i="17"/>
  <c r="C103" i="17"/>
  <c r="F102" i="17"/>
  <c r="C102" i="17"/>
  <c r="F101" i="17"/>
  <c r="C101" i="17"/>
  <c r="F100" i="17"/>
  <c r="C100" i="17"/>
  <c r="F99" i="17"/>
  <c r="C99" i="17"/>
  <c r="F98" i="17"/>
  <c r="C98" i="17"/>
  <c r="F97" i="17"/>
  <c r="C97" i="17"/>
  <c r="F96" i="17"/>
  <c r="C96" i="17"/>
  <c r="F95" i="17"/>
  <c r="C95" i="17"/>
  <c r="F94" i="17"/>
  <c r="C94" i="17"/>
  <c r="F93" i="17"/>
  <c r="C93" i="17"/>
  <c r="F92" i="17"/>
  <c r="C92" i="17"/>
  <c r="F91" i="17"/>
  <c r="C91" i="17"/>
  <c r="F90" i="17"/>
  <c r="C90" i="17"/>
  <c r="F89" i="17"/>
  <c r="C89" i="17"/>
  <c r="F88" i="17"/>
  <c r="C88" i="17"/>
  <c r="F87" i="17"/>
  <c r="C87" i="17"/>
  <c r="F86" i="17"/>
  <c r="C86" i="17"/>
  <c r="F85" i="17"/>
  <c r="C85" i="17"/>
  <c r="F84" i="17"/>
  <c r="C84" i="17"/>
  <c r="F83" i="17"/>
  <c r="C83" i="17"/>
  <c r="F82" i="17"/>
  <c r="C82" i="17"/>
  <c r="F81" i="17"/>
  <c r="C81" i="17"/>
  <c r="F80" i="17"/>
  <c r="C80" i="17"/>
  <c r="F79" i="17"/>
  <c r="C79" i="17"/>
  <c r="F78" i="17"/>
  <c r="C78" i="17"/>
  <c r="F77" i="17"/>
  <c r="C77" i="17"/>
  <c r="F76" i="17"/>
  <c r="C76" i="17"/>
  <c r="F75" i="17"/>
  <c r="C75" i="17"/>
  <c r="F74" i="17"/>
  <c r="C74" i="17"/>
  <c r="F73" i="17"/>
  <c r="C73" i="17"/>
  <c r="F69" i="17"/>
  <c r="C69" i="17"/>
  <c r="F68" i="17"/>
  <c r="C68" i="17"/>
  <c r="F67" i="17"/>
  <c r="C67" i="17"/>
  <c r="F66" i="17"/>
  <c r="C66" i="17"/>
  <c r="F65" i="17"/>
  <c r="C65" i="17"/>
  <c r="F64" i="17"/>
  <c r="C64" i="17"/>
  <c r="F63" i="17"/>
  <c r="C63" i="17"/>
  <c r="F62" i="17"/>
  <c r="C62" i="17"/>
  <c r="F61" i="17"/>
  <c r="C61" i="17"/>
  <c r="F60" i="17"/>
  <c r="C60" i="17"/>
  <c r="F59" i="17"/>
  <c r="C59" i="17"/>
  <c r="F58" i="17"/>
  <c r="C58" i="17"/>
  <c r="F57" i="17"/>
  <c r="C57" i="17"/>
  <c r="F56" i="17"/>
  <c r="C56" i="17"/>
  <c r="F55" i="17"/>
  <c r="C55" i="17"/>
  <c r="F54" i="17"/>
  <c r="C54" i="17"/>
  <c r="F53" i="17"/>
  <c r="C53" i="17"/>
  <c r="F52" i="17"/>
  <c r="C52" i="17"/>
  <c r="F51" i="17"/>
  <c r="C51" i="17"/>
  <c r="F50" i="17"/>
  <c r="C50" i="17"/>
  <c r="F49" i="17"/>
  <c r="C49" i="17"/>
  <c r="F48" i="17"/>
  <c r="C48" i="17"/>
  <c r="F47" i="17"/>
  <c r="C47" i="17"/>
  <c r="F46" i="17"/>
  <c r="C46" i="17"/>
  <c r="F45" i="17"/>
  <c r="C45" i="17"/>
  <c r="F44" i="17"/>
  <c r="C44" i="17"/>
  <c r="F43" i="17"/>
  <c r="C43" i="17"/>
  <c r="F42" i="17"/>
  <c r="C42" i="17"/>
  <c r="F41" i="17"/>
  <c r="C41" i="17"/>
  <c r="F40" i="17"/>
  <c r="C40" i="17"/>
  <c r="F36" i="17"/>
  <c r="C36" i="17"/>
  <c r="F35" i="17"/>
  <c r="C35" i="17"/>
  <c r="F34" i="17"/>
  <c r="C34" i="17"/>
  <c r="F33" i="17"/>
  <c r="C33" i="17"/>
  <c r="F32" i="17"/>
  <c r="C32" i="17"/>
  <c r="F31" i="17"/>
  <c r="C31" i="17"/>
  <c r="F30" i="17"/>
  <c r="C30" i="17"/>
  <c r="F29" i="17"/>
  <c r="C29" i="17"/>
  <c r="F28" i="17"/>
  <c r="C28" i="17"/>
  <c r="F27" i="17"/>
  <c r="C27" i="17"/>
  <c r="F26" i="17"/>
  <c r="C26" i="17"/>
  <c r="F25" i="17"/>
  <c r="C25" i="17"/>
  <c r="F24" i="17"/>
  <c r="C24" i="17"/>
  <c r="F23" i="17"/>
  <c r="C23" i="17"/>
  <c r="F22" i="17"/>
  <c r="C22" i="17"/>
  <c r="F21" i="17"/>
  <c r="C21" i="17"/>
  <c r="F20" i="17"/>
  <c r="C20" i="17"/>
  <c r="F19" i="17"/>
  <c r="C19" i="17"/>
  <c r="F18" i="17"/>
  <c r="C18" i="17"/>
  <c r="F17" i="17"/>
  <c r="C17" i="17"/>
  <c r="F16" i="17"/>
  <c r="C16" i="17"/>
  <c r="F15" i="17"/>
  <c r="C15" i="17"/>
  <c r="F14" i="17"/>
  <c r="C14" i="17"/>
  <c r="F13" i="17"/>
  <c r="C13" i="17"/>
  <c r="F12" i="17"/>
  <c r="C12" i="17"/>
  <c r="F11" i="17"/>
  <c r="C11" i="17"/>
  <c r="F10" i="17"/>
  <c r="C10" i="17"/>
  <c r="F9" i="17"/>
  <c r="C9" i="17"/>
  <c r="F8" i="17"/>
  <c r="C8" i="17"/>
  <c r="F7" i="17"/>
  <c r="C7" i="17"/>
  <c r="F6" i="17"/>
  <c r="C6" i="17"/>
  <c r="F5" i="17"/>
  <c r="C5" i="17"/>
  <c r="F137" i="16"/>
  <c r="C137" i="16"/>
  <c r="F136" i="16"/>
  <c r="C136" i="16"/>
  <c r="F135" i="16"/>
  <c r="C135" i="16"/>
  <c r="F134" i="16"/>
  <c r="C134" i="16"/>
  <c r="F133" i="16"/>
  <c r="C133" i="16"/>
  <c r="F132" i="16"/>
  <c r="C132" i="16"/>
  <c r="F131" i="16"/>
  <c r="C131" i="16"/>
  <c r="F130" i="16"/>
  <c r="C130" i="16"/>
  <c r="F129" i="16"/>
  <c r="C129" i="16"/>
  <c r="F128" i="16"/>
  <c r="C128" i="16"/>
  <c r="F127" i="16"/>
  <c r="C127" i="16"/>
  <c r="F126" i="16"/>
  <c r="C126" i="16"/>
  <c r="F125" i="16"/>
  <c r="C125" i="16"/>
  <c r="F124" i="16"/>
  <c r="C124" i="16"/>
  <c r="F123" i="16"/>
  <c r="C123" i="16"/>
  <c r="F122" i="16"/>
  <c r="C122" i="16"/>
  <c r="F121" i="16"/>
  <c r="C121" i="16"/>
  <c r="F120" i="16"/>
  <c r="C120" i="16"/>
  <c r="F119" i="16"/>
  <c r="C119" i="16"/>
  <c r="F118" i="16"/>
  <c r="C118" i="16"/>
  <c r="F117" i="16"/>
  <c r="C117" i="16"/>
  <c r="F116" i="16"/>
  <c r="C116" i="16"/>
  <c r="F115" i="16"/>
  <c r="C115" i="16"/>
  <c r="F114" i="16"/>
  <c r="C114" i="16"/>
  <c r="F113" i="16"/>
  <c r="C113" i="16"/>
  <c r="F112" i="16"/>
  <c r="C112" i="16"/>
  <c r="F111" i="16"/>
  <c r="C111" i="16"/>
  <c r="F110" i="16"/>
  <c r="C110" i="16"/>
  <c r="F109" i="16"/>
  <c r="C109" i="16"/>
  <c r="F108" i="16"/>
  <c r="C108" i="16"/>
  <c r="F107" i="16"/>
  <c r="C107" i="16"/>
  <c r="F103" i="16"/>
  <c r="C103" i="16"/>
  <c r="F102" i="16"/>
  <c r="C102" i="16"/>
  <c r="F101" i="16"/>
  <c r="C101" i="16"/>
  <c r="F100" i="16"/>
  <c r="C100" i="16"/>
  <c r="F99" i="16"/>
  <c r="C99" i="16"/>
  <c r="F98" i="16"/>
  <c r="C98" i="16"/>
  <c r="F97" i="16"/>
  <c r="C97" i="16"/>
  <c r="F96" i="16"/>
  <c r="C96" i="16"/>
  <c r="F95" i="16"/>
  <c r="C95" i="16"/>
  <c r="F94" i="16"/>
  <c r="C94" i="16"/>
  <c r="F93" i="16"/>
  <c r="C93" i="16"/>
  <c r="F92" i="16"/>
  <c r="C92" i="16"/>
  <c r="F91" i="16"/>
  <c r="C91" i="16"/>
  <c r="F90" i="16"/>
  <c r="C90" i="16"/>
  <c r="F89" i="16"/>
  <c r="C89" i="16"/>
  <c r="F88" i="16"/>
  <c r="C88" i="16"/>
  <c r="F87" i="16"/>
  <c r="C87" i="16"/>
  <c r="F86" i="16"/>
  <c r="C86" i="16"/>
  <c r="F85" i="16"/>
  <c r="C85" i="16"/>
  <c r="F84" i="16"/>
  <c r="C84" i="16"/>
  <c r="F83" i="16"/>
  <c r="C83" i="16"/>
  <c r="F82" i="16"/>
  <c r="C82" i="16"/>
  <c r="F81" i="16"/>
  <c r="C81" i="16"/>
  <c r="F80" i="16"/>
  <c r="C80" i="16"/>
  <c r="F79" i="16"/>
  <c r="C79" i="16"/>
  <c r="F78" i="16"/>
  <c r="C78" i="16"/>
  <c r="F77" i="16"/>
  <c r="C77" i="16"/>
  <c r="F76" i="16"/>
  <c r="C76" i="16"/>
  <c r="F75" i="16"/>
  <c r="C75" i="16"/>
  <c r="F74" i="16"/>
  <c r="C74" i="16"/>
  <c r="F73" i="16"/>
  <c r="C73" i="16"/>
  <c r="F69" i="16"/>
  <c r="C69" i="16"/>
  <c r="F68" i="16"/>
  <c r="C68" i="16"/>
  <c r="F67" i="16"/>
  <c r="C67" i="16"/>
  <c r="F66" i="16"/>
  <c r="C66" i="16"/>
  <c r="F65" i="16"/>
  <c r="C65" i="16"/>
  <c r="F64" i="16"/>
  <c r="C64" i="16"/>
  <c r="F63" i="16"/>
  <c r="C63" i="16"/>
  <c r="F62" i="16"/>
  <c r="C62" i="16"/>
  <c r="F61" i="16"/>
  <c r="C61" i="16"/>
  <c r="F60" i="16"/>
  <c r="C60" i="16"/>
  <c r="F59" i="16"/>
  <c r="C59" i="16"/>
  <c r="F58" i="16"/>
  <c r="C58" i="16"/>
  <c r="F57" i="16"/>
  <c r="C57" i="16"/>
  <c r="F56" i="16"/>
  <c r="C56" i="16"/>
  <c r="F55" i="16"/>
  <c r="C55" i="16"/>
  <c r="F54" i="16"/>
  <c r="C54" i="16"/>
  <c r="F53" i="16"/>
  <c r="C53" i="16"/>
  <c r="B53" i="16"/>
  <c r="F52" i="16"/>
  <c r="C52" i="16"/>
  <c r="F51" i="16"/>
  <c r="C51" i="16"/>
  <c r="F50" i="16"/>
  <c r="C50" i="16"/>
  <c r="F49" i="16"/>
  <c r="C49" i="16"/>
  <c r="F48" i="16"/>
  <c r="C48" i="16"/>
  <c r="F47" i="16"/>
  <c r="C47" i="16"/>
  <c r="F46" i="16"/>
  <c r="C46" i="16"/>
  <c r="F45" i="16"/>
  <c r="C45" i="16"/>
  <c r="F44" i="16"/>
  <c r="C44" i="16"/>
  <c r="F43" i="16"/>
  <c r="C43" i="16"/>
  <c r="F42" i="16"/>
  <c r="C42" i="16"/>
  <c r="F41" i="16"/>
  <c r="C41" i="16"/>
  <c r="F40" i="16"/>
  <c r="C40" i="16"/>
  <c r="F36" i="16"/>
  <c r="C36" i="16"/>
  <c r="F35" i="16"/>
  <c r="C35" i="16"/>
  <c r="F34" i="16"/>
  <c r="C34" i="16"/>
  <c r="F33" i="16"/>
  <c r="C33" i="16"/>
  <c r="F32" i="16"/>
  <c r="C32" i="16"/>
  <c r="F31" i="16"/>
  <c r="C31" i="16"/>
  <c r="F30" i="16"/>
  <c r="C30" i="16"/>
  <c r="F29" i="16"/>
  <c r="C29" i="16"/>
  <c r="F28" i="16"/>
  <c r="C28" i="16"/>
  <c r="F27" i="16"/>
  <c r="C27" i="16"/>
  <c r="F26" i="16"/>
  <c r="C26" i="16"/>
  <c r="F25" i="16"/>
  <c r="C25" i="16"/>
  <c r="F24" i="16"/>
  <c r="C24" i="16"/>
  <c r="F23" i="16"/>
  <c r="C23" i="16"/>
  <c r="F22" i="16"/>
  <c r="C22" i="16"/>
  <c r="F21" i="16"/>
  <c r="C21" i="16"/>
  <c r="F20" i="16"/>
  <c r="C20" i="16"/>
  <c r="F19" i="16"/>
  <c r="C19" i="16"/>
  <c r="F18" i="16"/>
  <c r="C18" i="16"/>
  <c r="F17" i="16"/>
  <c r="C17" i="16"/>
  <c r="F16" i="16"/>
  <c r="C16" i="16"/>
  <c r="F15" i="16"/>
  <c r="C15" i="16"/>
  <c r="F14" i="16"/>
  <c r="C14" i="16"/>
  <c r="F13" i="16"/>
  <c r="C13" i="16"/>
  <c r="F12" i="16"/>
  <c r="C12" i="16"/>
  <c r="F11" i="16"/>
  <c r="C11" i="16"/>
  <c r="F10" i="16"/>
  <c r="C10" i="16"/>
  <c r="F9" i="16"/>
  <c r="C9" i="16"/>
  <c r="F8" i="16"/>
  <c r="C8" i="16"/>
  <c r="F7" i="16"/>
  <c r="C7" i="16"/>
  <c r="F6" i="16"/>
  <c r="C6" i="16"/>
  <c r="F5" i="16"/>
  <c r="C5" i="16"/>
  <c r="F137" i="15"/>
  <c r="C137" i="15"/>
  <c r="F136" i="15"/>
  <c r="C136" i="15"/>
  <c r="F135" i="15"/>
  <c r="C135" i="15"/>
  <c r="F134" i="15"/>
  <c r="C134" i="15"/>
  <c r="F133" i="15"/>
  <c r="C133" i="15"/>
  <c r="F132" i="15"/>
  <c r="C132" i="15"/>
  <c r="F131" i="15"/>
  <c r="C131" i="15"/>
  <c r="F130" i="15"/>
  <c r="C130" i="15"/>
  <c r="F129" i="15"/>
  <c r="C129" i="15"/>
  <c r="F128" i="15"/>
  <c r="C128" i="15"/>
  <c r="F127" i="15"/>
  <c r="C127" i="15"/>
  <c r="F126" i="15"/>
  <c r="C126" i="15"/>
  <c r="F125" i="15"/>
  <c r="C125" i="15"/>
  <c r="F124" i="15"/>
  <c r="C124" i="15"/>
  <c r="F123" i="15"/>
  <c r="C123" i="15"/>
  <c r="F122" i="15"/>
  <c r="C122" i="15"/>
  <c r="F121" i="15"/>
  <c r="C121" i="15"/>
  <c r="F120" i="15"/>
  <c r="C120" i="15"/>
  <c r="F119" i="15"/>
  <c r="C119" i="15"/>
  <c r="F118" i="15"/>
  <c r="C118" i="15"/>
  <c r="F117" i="15"/>
  <c r="C117" i="15"/>
  <c r="F116" i="15"/>
  <c r="C116" i="15"/>
  <c r="F115" i="15"/>
  <c r="C115" i="15"/>
  <c r="F114" i="15"/>
  <c r="C114" i="15"/>
  <c r="F113" i="15"/>
  <c r="C113" i="15"/>
  <c r="F112" i="15"/>
  <c r="C112" i="15"/>
  <c r="F111" i="15"/>
  <c r="C111" i="15"/>
  <c r="F110" i="15"/>
  <c r="C110" i="15"/>
  <c r="F109" i="15"/>
  <c r="C109" i="15"/>
  <c r="F108" i="15"/>
  <c r="C108" i="15"/>
  <c r="F107" i="15"/>
  <c r="C107" i="15"/>
  <c r="F103" i="15"/>
  <c r="C103" i="15"/>
  <c r="F102" i="15"/>
  <c r="C102" i="15"/>
  <c r="F101" i="15"/>
  <c r="C101" i="15"/>
  <c r="F100" i="15"/>
  <c r="C100" i="15"/>
  <c r="F99" i="15"/>
  <c r="C99" i="15"/>
  <c r="F98" i="15"/>
  <c r="C98" i="15"/>
  <c r="F97" i="15"/>
  <c r="C97" i="15"/>
  <c r="F96" i="15"/>
  <c r="C96" i="15"/>
  <c r="F95" i="15"/>
  <c r="C95" i="15"/>
  <c r="F94" i="15"/>
  <c r="C94" i="15"/>
  <c r="F93" i="15"/>
  <c r="C93" i="15"/>
  <c r="F92" i="15"/>
  <c r="C92" i="15"/>
  <c r="F91" i="15"/>
  <c r="C91" i="15"/>
  <c r="F90" i="15"/>
  <c r="C90" i="15"/>
  <c r="F89" i="15"/>
  <c r="C89" i="15"/>
  <c r="F88" i="15"/>
  <c r="C88" i="15"/>
  <c r="F87" i="15"/>
  <c r="C87" i="15"/>
  <c r="F86" i="15"/>
  <c r="C86" i="15"/>
  <c r="F85" i="15"/>
  <c r="C85" i="15"/>
  <c r="F84" i="15"/>
  <c r="C84" i="15"/>
  <c r="F83" i="15"/>
  <c r="C83" i="15"/>
  <c r="F82" i="15"/>
  <c r="C82" i="15"/>
  <c r="F81" i="15"/>
  <c r="C81" i="15"/>
  <c r="F80" i="15"/>
  <c r="C80" i="15"/>
  <c r="F79" i="15"/>
  <c r="C79" i="15"/>
  <c r="F78" i="15"/>
  <c r="C78" i="15"/>
  <c r="F77" i="15"/>
  <c r="C77" i="15"/>
  <c r="F76" i="15"/>
  <c r="C76" i="15"/>
  <c r="F75" i="15"/>
  <c r="C75" i="15"/>
  <c r="F74" i="15"/>
  <c r="C74" i="15"/>
  <c r="F73" i="15"/>
  <c r="C73" i="15"/>
  <c r="F69" i="15"/>
  <c r="C69" i="15"/>
  <c r="F68" i="15"/>
  <c r="C68" i="15"/>
  <c r="F67" i="15"/>
  <c r="C67" i="15"/>
  <c r="F66" i="15"/>
  <c r="C66" i="15"/>
  <c r="F65" i="15"/>
  <c r="C65" i="15"/>
  <c r="F64" i="15"/>
  <c r="C64" i="15"/>
  <c r="F63" i="15"/>
  <c r="C63" i="15"/>
  <c r="F62" i="15"/>
  <c r="C62" i="15"/>
  <c r="F61" i="15"/>
  <c r="C61" i="15"/>
  <c r="F60" i="15"/>
  <c r="C60" i="15"/>
  <c r="F59" i="15"/>
  <c r="C59" i="15"/>
  <c r="F58" i="15"/>
  <c r="C58" i="15"/>
  <c r="F57" i="15"/>
  <c r="C57" i="15"/>
  <c r="F56" i="15"/>
  <c r="C56" i="15"/>
  <c r="F55" i="15"/>
  <c r="C55" i="15"/>
  <c r="F54" i="15"/>
  <c r="C54" i="15"/>
  <c r="F53" i="15"/>
  <c r="C53" i="15"/>
  <c r="F52" i="15"/>
  <c r="C52" i="15"/>
  <c r="F51" i="15"/>
  <c r="C51" i="15"/>
  <c r="F50" i="15"/>
  <c r="C50" i="15"/>
  <c r="F49" i="15"/>
  <c r="C49" i="15"/>
  <c r="F48" i="15"/>
  <c r="C48" i="15"/>
  <c r="F47" i="15"/>
  <c r="C47" i="15"/>
  <c r="F46" i="15"/>
  <c r="C46" i="15"/>
  <c r="F45" i="15"/>
  <c r="C45" i="15"/>
  <c r="F44" i="15"/>
  <c r="C44" i="15"/>
  <c r="F43" i="15"/>
  <c r="C43" i="15"/>
  <c r="F42" i="15"/>
  <c r="C42" i="15"/>
  <c r="F41" i="15"/>
  <c r="C41" i="15"/>
  <c r="F40" i="15"/>
  <c r="C40" i="15"/>
  <c r="F36" i="15"/>
  <c r="C36" i="15"/>
  <c r="F35" i="15"/>
  <c r="C35" i="15"/>
  <c r="F34" i="15"/>
  <c r="C34" i="15"/>
  <c r="F33" i="15"/>
  <c r="C33" i="15"/>
  <c r="F32" i="15"/>
  <c r="C32" i="15"/>
  <c r="F31" i="15"/>
  <c r="C31" i="15"/>
  <c r="F30" i="15"/>
  <c r="C30" i="15"/>
  <c r="F29" i="15"/>
  <c r="C29" i="15"/>
  <c r="F28" i="15"/>
  <c r="C28" i="15"/>
  <c r="F27" i="15"/>
  <c r="C27" i="15"/>
  <c r="F26" i="15"/>
  <c r="C26" i="15"/>
  <c r="F25" i="15"/>
  <c r="C25" i="15"/>
  <c r="F24" i="15"/>
  <c r="C24" i="15"/>
  <c r="F23" i="15"/>
  <c r="C23" i="15"/>
  <c r="F22" i="15"/>
  <c r="C22" i="15"/>
  <c r="F21" i="15"/>
  <c r="C21" i="15"/>
  <c r="F20" i="15"/>
  <c r="C20" i="15"/>
  <c r="F19" i="15"/>
  <c r="C19" i="15"/>
  <c r="F18" i="15"/>
  <c r="C18" i="15"/>
  <c r="F17" i="15"/>
  <c r="C17" i="15"/>
  <c r="F16" i="15"/>
  <c r="C16" i="15"/>
  <c r="F15" i="15"/>
  <c r="C15" i="15"/>
  <c r="F14" i="15"/>
  <c r="C14" i="15"/>
  <c r="F13" i="15"/>
  <c r="C13" i="15"/>
  <c r="F12" i="15"/>
  <c r="C12" i="15"/>
  <c r="F11" i="15"/>
  <c r="C11" i="15"/>
  <c r="F10" i="15"/>
  <c r="C10" i="15"/>
  <c r="F9" i="15"/>
  <c r="C9" i="15"/>
  <c r="F8" i="15"/>
  <c r="C8" i="15"/>
  <c r="F7" i="15"/>
  <c r="C7" i="15"/>
  <c r="F6" i="15"/>
  <c r="C6" i="15"/>
  <c r="F5" i="15"/>
  <c r="C5" i="15"/>
  <c r="F137" i="14"/>
  <c r="C137" i="14"/>
  <c r="F136" i="14"/>
  <c r="C136" i="14"/>
  <c r="F135" i="14"/>
  <c r="C135" i="14"/>
  <c r="F134" i="14"/>
  <c r="C134" i="14"/>
  <c r="F133" i="14"/>
  <c r="C133" i="14"/>
  <c r="F132" i="14"/>
  <c r="C132" i="14"/>
  <c r="F131" i="14"/>
  <c r="C131" i="14"/>
  <c r="F130" i="14"/>
  <c r="C130" i="14"/>
  <c r="F129" i="14"/>
  <c r="C129" i="14"/>
  <c r="F128" i="14"/>
  <c r="C128" i="14"/>
  <c r="F127" i="14"/>
  <c r="C127" i="14"/>
  <c r="F126" i="14"/>
  <c r="C126" i="14"/>
  <c r="F125" i="14"/>
  <c r="C125" i="14"/>
  <c r="F124" i="14"/>
  <c r="C124" i="14"/>
  <c r="F123" i="14"/>
  <c r="C123" i="14"/>
  <c r="F122" i="14"/>
  <c r="C122" i="14"/>
  <c r="F121" i="14"/>
  <c r="C121" i="14"/>
  <c r="F120" i="14"/>
  <c r="C120" i="14"/>
  <c r="F119" i="14"/>
  <c r="C119" i="14"/>
  <c r="F118" i="14"/>
  <c r="C118" i="14"/>
  <c r="F117" i="14"/>
  <c r="C117" i="14"/>
  <c r="F116" i="14"/>
  <c r="C116" i="14"/>
  <c r="F115" i="14"/>
  <c r="C115" i="14"/>
  <c r="F114" i="14"/>
  <c r="C114" i="14"/>
  <c r="F113" i="14"/>
  <c r="C113" i="14"/>
  <c r="F112" i="14"/>
  <c r="C112" i="14"/>
  <c r="F111" i="14"/>
  <c r="C111" i="14"/>
  <c r="F110" i="14"/>
  <c r="C110" i="14"/>
  <c r="F109" i="14"/>
  <c r="C109" i="14"/>
  <c r="F108" i="14"/>
  <c r="C108" i="14"/>
  <c r="F107" i="14"/>
  <c r="C107" i="14"/>
  <c r="F103" i="14"/>
  <c r="C103" i="14"/>
  <c r="F102" i="14"/>
  <c r="C102" i="14"/>
  <c r="F101" i="14"/>
  <c r="C101" i="14"/>
  <c r="F100" i="14"/>
  <c r="C100" i="14"/>
  <c r="F99" i="14"/>
  <c r="C99" i="14"/>
  <c r="F98" i="14"/>
  <c r="C98" i="14"/>
  <c r="F97" i="14"/>
  <c r="C97" i="14"/>
  <c r="F96" i="14"/>
  <c r="C96" i="14"/>
  <c r="F95" i="14"/>
  <c r="C95" i="14"/>
  <c r="F94" i="14"/>
  <c r="C94" i="14"/>
  <c r="F93" i="14"/>
  <c r="C93" i="14"/>
  <c r="F92" i="14"/>
  <c r="C92" i="14"/>
  <c r="F91" i="14"/>
  <c r="C91" i="14"/>
  <c r="F90" i="14"/>
  <c r="C90" i="14"/>
  <c r="F89" i="14"/>
  <c r="C89" i="14"/>
  <c r="F88" i="14"/>
  <c r="C88" i="14"/>
  <c r="F87" i="14"/>
  <c r="C87" i="14"/>
  <c r="F86" i="14"/>
  <c r="C86" i="14"/>
  <c r="F85" i="14"/>
  <c r="C85" i="14"/>
  <c r="F84" i="14"/>
  <c r="C84" i="14"/>
  <c r="F83" i="14"/>
  <c r="C83" i="14"/>
  <c r="F82" i="14"/>
  <c r="C82" i="14"/>
  <c r="F81" i="14"/>
  <c r="C81" i="14"/>
  <c r="F80" i="14"/>
  <c r="C80" i="14"/>
  <c r="F79" i="14"/>
  <c r="C79" i="14"/>
  <c r="F78" i="14"/>
  <c r="C78" i="14"/>
  <c r="F77" i="14"/>
  <c r="C77" i="14"/>
  <c r="F76" i="14"/>
  <c r="C76" i="14"/>
  <c r="F75" i="14"/>
  <c r="C75" i="14"/>
  <c r="F74" i="14"/>
  <c r="C74" i="14"/>
  <c r="F73" i="14"/>
  <c r="C73" i="14"/>
  <c r="F69" i="14"/>
  <c r="C69" i="14"/>
  <c r="F68" i="14"/>
  <c r="C68" i="14"/>
  <c r="F67" i="14"/>
  <c r="C67" i="14"/>
  <c r="F66" i="14"/>
  <c r="C66" i="14"/>
  <c r="F65" i="14"/>
  <c r="C65" i="14"/>
  <c r="F64" i="14"/>
  <c r="C64" i="14"/>
  <c r="F63" i="14"/>
  <c r="C63" i="14"/>
  <c r="F62" i="14"/>
  <c r="C62" i="14"/>
  <c r="F61" i="14"/>
  <c r="C61" i="14"/>
  <c r="F60" i="14"/>
  <c r="C60" i="14"/>
  <c r="F59" i="14"/>
  <c r="C59" i="14"/>
  <c r="F58" i="14"/>
  <c r="C58" i="14"/>
  <c r="F57" i="14"/>
  <c r="C57" i="14"/>
  <c r="F56" i="14"/>
  <c r="C56" i="14"/>
  <c r="F55" i="14"/>
  <c r="C55" i="14"/>
  <c r="F54" i="14"/>
  <c r="C54" i="14"/>
  <c r="F53" i="14"/>
  <c r="C53" i="14"/>
  <c r="F52" i="14"/>
  <c r="C52" i="14"/>
  <c r="F51" i="14"/>
  <c r="C51" i="14"/>
  <c r="F50" i="14"/>
  <c r="C50" i="14"/>
  <c r="F49" i="14"/>
  <c r="C49" i="14"/>
  <c r="F48" i="14"/>
  <c r="C48" i="14"/>
  <c r="F47" i="14"/>
  <c r="C47" i="14"/>
  <c r="F46" i="14"/>
  <c r="C46" i="14"/>
  <c r="F45" i="14"/>
  <c r="C45" i="14"/>
  <c r="F44" i="14"/>
  <c r="C44" i="14"/>
  <c r="F43" i="14"/>
  <c r="C43" i="14"/>
  <c r="F42" i="14"/>
  <c r="C42" i="14"/>
  <c r="F41" i="14"/>
  <c r="C41" i="14"/>
  <c r="F40" i="14"/>
  <c r="C40" i="14"/>
  <c r="F36" i="14"/>
  <c r="C36" i="14"/>
  <c r="F35" i="14"/>
  <c r="C35" i="14"/>
  <c r="F34" i="14"/>
  <c r="C34" i="14"/>
  <c r="F33" i="14"/>
  <c r="F32" i="14"/>
  <c r="C32" i="14"/>
  <c r="F31" i="14"/>
  <c r="C31" i="14"/>
  <c r="F30" i="14"/>
  <c r="C30" i="14"/>
  <c r="F29" i="14"/>
  <c r="C29" i="14"/>
  <c r="F28" i="14"/>
  <c r="C28" i="14"/>
  <c r="F27" i="14"/>
  <c r="C27" i="14"/>
  <c r="F26" i="14"/>
  <c r="C26" i="14"/>
  <c r="F25" i="14"/>
  <c r="C25" i="14"/>
  <c r="F24" i="14"/>
  <c r="C24" i="14"/>
  <c r="F23" i="14"/>
  <c r="C23" i="14"/>
  <c r="F22" i="14"/>
  <c r="C22" i="14"/>
  <c r="F21" i="14"/>
  <c r="C21" i="14"/>
  <c r="F20" i="14"/>
  <c r="C20" i="14"/>
  <c r="F19" i="14"/>
  <c r="C19" i="14"/>
  <c r="F18" i="14"/>
  <c r="C18" i="14"/>
  <c r="F17" i="14"/>
  <c r="C17" i="14"/>
  <c r="F16" i="14"/>
  <c r="C16" i="14"/>
  <c r="F15" i="14"/>
  <c r="C15" i="14"/>
  <c r="F14" i="14"/>
  <c r="C14" i="14"/>
  <c r="F13" i="14"/>
  <c r="C13" i="14"/>
  <c r="F12" i="14"/>
  <c r="C12" i="14"/>
  <c r="F11" i="14"/>
  <c r="C11" i="14"/>
  <c r="F10" i="14"/>
  <c r="C10" i="14"/>
  <c r="F9" i="14"/>
  <c r="C9" i="14"/>
  <c r="F8" i="14"/>
  <c r="C8" i="14"/>
  <c r="F7" i="14"/>
  <c r="C7" i="14"/>
  <c r="F6" i="14"/>
  <c r="C6" i="14"/>
  <c r="F5" i="14"/>
  <c r="C5" i="14"/>
  <c r="F137" i="13"/>
  <c r="C137" i="13"/>
  <c r="F136" i="13"/>
  <c r="C136" i="13"/>
  <c r="F135" i="13"/>
  <c r="C135" i="13"/>
  <c r="F134" i="13"/>
  <c r="C134" i="13"/>
  <c r="F133" i="13"/>
  <c r="C133" i="13"/>
  <c r="F132" i="13"/>
  <c r="C132" i="13"/>
  <c r="F131" i="13"/>
  <c r="C131" i="13"/>
  <c r="F130" i="13"/>
  <c r="C130" i="13"/>
  <c r="F129" i="13"/>
  <c r="C129" i="13"/>
  <c r="F128" i="13"/>
  <c r="C128" i="13"/>
  <c r="F127" i="13"/>
  <c r="C127" i="13"/>
  <c r="F126" i="13"/>
  <c r="C126" i="13"/>
  <c r="F125" i="13"/>
  <c r="C125" i="13"/>
  <c r="F124" i="13"/>
  <c r="C124" i="13"/>
  <c r="F123" i="13"/>
  <c r="C123" i="13"/>
  <c r="F122" i="13"/>
  <c r="C122" i="13"/>
  <c r="F121" i="13"/>
  <c r="C121" i="13"/>
  <c r="F120" i="13"/>
  <c r="C120" i="13"/>
  <c r="F119" i="13"/>
  <c r="C119" i="13"/>
  <c r="F118" i="13"/>
  <c r="C118" i="13"/>
  <c r="F117" i="13"/>
  <c r="C117" i="13"/>
  <c r="F116" i="13"/>
  <c r="C116" i="13"/>
  <c r="F115" i="13"/>
  <c r="C115" i="13"/>
  <c r="F114" i="13"/>
  <c r="C114" i="13"/>
  <c r="F113" i="13"/>
  <c r="C113" i="13"/>
  <c r="F112" i="13"/>
  <c r="C112" i="13"/>
  <c r="F111" i="13"/>
  <c r="C111" i="13"/>
  <c r="F110" i="13"/>
  <c r="C110" i="13"/>
  <c r="F109" i="13"/>
  <c r="C109" i="13"/>
  <c r="F108" i="13"/>
  <c r="C108" i="13"/>
  <c r="F107" i="13"/>
  <c r="C107" i="13"/>
  <c r="F103" i="13"/>
  <c r="C103" i="13"/>
  <c r="F102" i="13"/>
  <c r="C102" i="13"/>
  <c r="F101" i="13"/>
  <c r="C101" i="13"/>
  <c r="F100" i="13"/>
  <c r="C100" i="13"/>
  <c r="F99" i="13"/>
  <c r="C99" i="13"/>
  <c r="F98" i="13"/>
  <c r="C98" i="13"/>
  <c r="F97" i="13"/>
  <c r="C97" i="13"/>
  <c r="F96" i="13"/>
  <c r="C96" i="13"/>
  <c r="F95" i="13"/>
  <c r="C95" i="13"/>
  <c r="F94" i="13"/>
  <c r="C94" i="13"/>
  <c r="F93" i="13"/>
  <c r="C93" i="13"/>
  <c r="F92" i="13"/>
  <c r="C92" i="13"/>
  <c r="F91" i="13"/>
  <c r="C91" i="13"/>
  <c r="F90" i="13"/>
  <c r="C90" i="13"/>
  <c r="F89" i="13"/>
  <c r="C89" i="13"/>
  <c r="F88" i="13"/>
  <c r="C88" i="13"/>
  <c r="F87" i="13"/>
  <c r="C87" i="13"/>
  <c r="F86" i="13"/>
  <c r="C86" i="13"/>
  <c r="F85" i="13"/>
  <c r="C85" i="13"/>
  <c r="F84" i="13"/>
  <c r="C84" i="13"/>
  <c r="F83" i="13"/>
  <c r="C83" i="13"/>
  <c r="F82" i="13"/>
  <c r="C82" i="13"/>
  <c r="F81" i="13"/>
  <c r="C81" i="13"/>
  <c r="F80" i="13"/>
  <c r="C80" i="13"/>
  <c r="F79" i="13"/>
  <c r="C79" i="13"/>
  <c r="F78" i="13"/>
  <c r="C78" i="13"/>
  <c r="F77" i="13"/>
  <c r="C77" i="13"/>
  <c r="F76" i="13"/>
  <c r="C76" i="13"/>
  <c r="B76" i="13"/>
  <c r="F75" i="13"/>
  <c r="C75" i="13"/>
  <c r="F74" i="13"/>
  <c r="C74" i="13"/>
  <c r="F73" i="13"/>
  <c r="C73" i="13"/>
  <c r="F69" i="13"/>
  <c r="C69" i="13"/>
  <c r="F68" i="13"/>
  <c r="C68" i="13"/>
  <c r="F67" i="13"/>
  <c r="C67" i="13"/>
  <c r="F66" i="13"/>
  <c r="C66" i="13"/>
  <c r="F65" i="13"/>
  <c r="C65" i="13"/>
  <c r="F64" i="13"/>
  <c r="C64" i="13"/>
  <c r="F63" i="13"/>
  <c r="C63" i="13"/>
  <c r="F62" i="13"/>
  <c r="C62" i="13"/>
  <c r="F61" i="13"/>
  <c r="C61" i="13"/>
  <c r="F60" i="13"/>
  <c r="C60" i="13"/>
  <c r="F59" i="13"/>
  <c r="C59" i="13"/>
  <c r="F58" i="13"/>
  <c r="C58" i="13"/>
  <c r="F57" i="13"/>
  <c r="C57" i="13"/>
  <c r="F56" i="13"/>
  <c r="C56" i="13"/>
  <c r="F55" i="13"/>
  <c r="C55" i="13"/>
  <c r="F54" i="13"/>
  <c r="C54" i="13"/>
  <c r="F53" i="13"/>
  <c r="C53" i="13"/>
  <c r="F52" i="13"/>
  <c r="C52" i="13"/>
  <c r="F51" i="13"/>
  <c r="C51" i="13"/>
  <c r="F50" i="13"/>
  <c r="C50" i="13"/>
  <c r="F49" i="13"/>
  <c r="C49" i="13"/>
  <c r="F48" i="13"/>
  <c r="C48" i="13"/>
  <c r="F47" i="13"/>
  <c r="C47" i="13"/>
  <c r="F46" i="13"/>
  <c r="C46" i="13"/>
  <c r="F45" i="13"/>
  <c r="C45" i="13"/>
  <c r="F44" i="13"/>
  <c r="C44" i="13"/>
  <c r="F43" i="13"/>
  <c r="C43" i="13"/>
  <c r="F42" i="13"/>
  <c r="C42" i="13"/>
  <c r="F41" i="13"/>
  <c r="C41" i="13"/>
  <c r="F40" i="13"/>
  <c r="C40" i="13"/>
  <c r="F36" i="13"/>
  <c r="C36" i="13"/>
  <c r="F35" i="13"/>
  <c r="C35" i="13"/>
  <c r="F34" i="13"/>
  <c r="C34" i="13"/>
  <c r="F33" i="13"/>
  <c r="C33" i="13"/>
  <c r="F32" i="13"/>
  <c r="C32" i="13"/>
  <c r="F31" i="13"/>
  <c r="C31" i="13"/>
  <c r="F30" i="13"/>
  <c r="C30" i="13"/>
  <c r="F29" i="13"/>
  <c r="C29" i="13"/>
  <c r="F28" i="13"/>
  <c r="C28" i="13"/>
  <c r="F27" i="13"/>
  <c r="C27" i="13"/>
  <c r="F26" i="13"/>
  <c r="C26" i="13"/>
  <c r="F25" i="13"/>
  <c r="C25" i="13"/>
  <c r="F24" i="13"/>
  <c r="C24" i="13"/>
  <c r="F23" i="13"/>
  <c r="C23" i="13"/>
  <c r="F22" i="13"/>
  <c r="C22" i="13"/>
  <c r="F21" i="13"/>
  <c r="C21" i="13"/>
  <c r="F20" i="13"/>
  <c r="C20" i="13"/>
  <c r="F19" i="13"/>
  <c r="C19" i="13"/>
  <c r="F18" i="13"/>
  <c r="C18" i="13"/>
  <c r="F17" i="13"/>
  <c r="F16" i="13"/>
  <c r="C16" i="13"/>
  <c r="F15" i="13"/>
  <c r="C15" i="13"/>
  <c r="F14" i="13"/>
  <c r="F13" i="13"/>
  <c r="C13" i="13"/>
  <c r="F12" i="13"/>
  <c r="C12" i="13"/>
  <c r="F11" i="13"/>
  <c r="C11" i="13"/>
  <c r="F10" i="13"/>
  <c r="C10" i="13"/>
  <c r="F9" i="13"/>
  <c r="C9" i="13"/>
  <c r="F8" i="13"/>
  <c r="C8" i="13"/>
  <c r="F7" i="13"/>
  <c r="C7" i="13"/>
  <c r="F6" i="13"/>
  <c r="C6" i="13"/>
  <c r="F5" i="13"/>
  <c r="C5" i="13"/>
  <c r="O826" i="12"/>
  <c r="N826" i="12"/>
  <c r="M826" i="12"/>
  <c r="L826" i="12"/>
  <c r="K826" i="12"/>
  <c r="J826" i="12"/>
  <c r="I826" i="12"/>
  <c r="H826" i="12"/>
  <c r="F603" i="11"/>
  <c r="E603" i="11"/>
  <c r="D603" i="11"/>
  <c r="C603" i="11"/>
  <c r="B603" i="11"/>
  <c r="A603" i="11"/>
  <c r="F602" i="11"/>
  <c r="E602" i="11"/>
  <c r="D602" i="11"/>
  <c r="C602" i="11"/>
  <c r="B602" i="11"/>
  <c r="A602" i="11"/>
  <c r="F601" i="11"/>
  <c r="E601" i="11"/>
  <c r="D601" i="11"/>
  <c r="C601" i="11"/>
  <c r="B601" i="11"/>
  <c r="A601" i="11"/>
  <c r="F600" i="11"/>
  <c r="E600" i="11"/>
  <c r="D600" i="11"/>
  <c r="C600" i="11"/>
  <c r="B600" i="11"/>
  <c r="A600" i="11"/>
  <c r="F599" i="11"/>
  <c r="E599" i="11"/>
  <c r="D599" i="11"/>
  <c r="C599" i="11"/>
  <c r="B599" i="11"/>
  <c r="A599" i="11"/>
  <c r="F598" i="11"/>
  <c r="E598" i="11"/>
  <c r="D598" i="11"/>
  <c r="C598" i="11"/>
  <c r="B598" i="11"/>
  <c r="A598" i="11"/>
  <c r="F597" i="11"/>
  <c r="E597" i="11"/>
  <c r="D597" i="11"/>
  <c r="C597" i="11"/>
  <c r="B597" i="11"/>
  <c r="A597" i="11"/>
  <c r="F596" i="11"/>
  <c r="E596" i="11"/>
  <c r="D596" i="11"/>
  <c r="C596" i="11"/>
  <c r="B596" i="11"/>
  <c r="A596" i="11"/>
  <c r="F595" i="11"/>
  <c r="E595" i="11"/>
  <c r="D595" i="11"/>
  <c r="C595" i="11"/>
  <c r="B595" i="11"/>
  <c r="A595" i="11"/>
  <c r="F594" i="11"/>
  <c r="E594" i="11"/>
  <c r="D594" i="11"/>
  <c r="C594" i="11"/>
  <c r="B594" i="11"/>
  <c r="A594" i="11"/>
  <c r="F593" i="11"/>
  <c r="E593" i="11"/>
  <c r="D593" i="11"/>
  <c r="C593" i="11"/>
  <c r="B593" i="11"/>
  <c r="A593" i="11"/>
  <c r="F592" i="11"/>
  <c r="E592" i="11"/>
  <c r="D592" i="11"/>
  <c r="C592" i="11"/>
  <c r="B592" i="11"/>
  <c r="A592" i="11"/>
  <c r="F591" i="11"/>
  <c r="E591" i="11"/>
  <c r="D591" i="11"/>
  <c r="C591" i="11"/>
  <c r="B591" i="11"/>
  <c r="A591" i="11"/>
  <c r="F590" i="11"/>
  <c r="E590" i="11"/>
  <c r="D590" i="11"/>
  <c r="C590" i="11"/>
  <c r="B590" i="11"/>
  <c r="A590" i="11"/>
  <c r="F589" i="11"/>
  <c r="E589" i="11"/>
  <c r="D589" i="11"/>
  <c r="C589" i="11"/>
  <c r="B589" i="11"/>
  <c r="A589" i="11"/>
  <c r="F588" i="11"/>
  <c r="E588" i="11"/>
  <c r="D588" i="11"/>
  <c r="C588" i="11"/>
  <c r="B588" i="11"/>
  <c r="A588" i="11"/>
  <c r="F587" i="11"/>
  <c r="E587" i="11"/>
  <c r="D587" i="11"/>
  <c r="C587" i="11"/>
  <c r="B587" i="11"/>
  <c r="A587" i="11"/>
  <c r="F586" i="11"/>
  <c r="E586" i="11"/>
  <c r="D586" i="11"/>
  <c r="C586" i="11"/>
  <c r="B586" i="11"/>
  <c r="A586" i="11"/>
  <c r="F585" i="11"/>
  <c r="E585" i="11"/>
  <c r="D585" i="11"/>
  <c r="C585" i="11"/>
  <c r="B585" i="11"/>
  <c r="A585" i="11"/>
  <c r="F584" i="11"/>
  <c r="E584" i="11"/>
  <c r="D584" i="11"/>
  <c r="C584" i="11"/>
  <c r="B584" i="11"/>
  <c r="A584" i="11"/>
  <c r="F583" i="11"/>
  <c r="E583" i="11"/>
  <c r="D583" i="11"/>
  <c r="C583" i="11"/>
  <c r="B583" i="11"/>
  <c r="A583" i="11"/>
  <c r="F582" i="11"/>
  <c r="E582" i="11"/>
  <c r="D582" i="11"/>
  <c r="C582" i="11"/>
  <c r="B582" i="11"/>
  <c r="A582" i="11"/>
  <c r="F581" i="11"/>
  <c r="E581" i="11"/>
  <c r="D581" i="11"/>
  <c r="C581" i="11"/>
  <c r="B581" i="11"/>
  <c r="A581" i="11"/>
  <c r="F580" i="11"/>
  <c r="E580" i="11"/>
  <c r="D580" i="11"/>
  <c r="C580" i="11"/>
  <c r="B580" i="11"/>
  <c r="A580" i="11"/>
  <c r="F579" i="11"/>
  <c r="E579" i="11"/>
  <c r="D579" i="11"/>
  <c r="C579" i="11"/>
  <c r="B579" i="11"/>
  <c r="A579" i="11"/>
  <c r="F578" i="11"/>
  <c r="E578" i="11"/>
  <c r="D578" i="11"/>
  <c r="C578" i="11"/>
  <c r="B578" i="11"/>
  <c r="A578" i="11"/>
  <c r="F577" i="11"/>
  <c r="E577" i="11"/>
  <c r="D577" i="11"/>
  <c r="C577" i="11"/>
  <c r="B577" i="11"/>
  <c r="A577" i="11"/>
  <c r="F576" i="11"/>
  <c r="E576" i="11"/>
  <c r="D576" i="11"/>
  <c r="C576" i="11"/>
  <c r="B576" i="11"/>
  <c r="A576" i="11"/>
  <c r="F575" i="11"/>
  <c r="E575" i="11"/>
  <c r="D575" i="11"/>
  <c r="C575" i="11"/>
  <c r="B575" i="11"/>
  <c r="A575" i="11"/>
  <c r="F574" i="11"/>
  <c r="E574" i="11"/>
  <c r="D574" i="11"/>
  <c r="C574" i="11"/>
  <c r="B574" i="11"/>
  <c r="A574" i="11"/>
  <c r="F573" i="11"/>
  <c r="E573" i="11"/>
  <c r="D573" i="11"/>
  <c r="C573" i="11"/>
  <c r="B573" i="11"/>
  <c r="A573" i="11"/>
  <c r="F572" i="11"/>
  <c r="E572" i="11"/>
  <c r="D572" i="11"/>
  <c r="C572" i="11"/>
  <c r="B572" i="11"/>
  <c r="A572" i="11"/>
  <c r="F571" i="11"/>
  <c r="E571" i="11"/>
  <c r="D571" i="11"/>
  <c r="C571" i="11"/>
  <c r="B571" i="11"/>
  <c r="A571" i="11"/>
  <c r="F570" i="11"/>
  <c r="E570" i="11"/>
  <c r="D570" i="11"/>
  <c r="C570" i="11"/>
  <c r="B570" i="11"/>
  <c r="A570" i="11"/>
  <c r="F569" i="11"/>
  <c r="E569" i="11"/>
  <c r="D569" i="11"/>
  <c r="C569" i="11"/>
  <c r="B569" i="11"/>
  <c r="A569" i="11"/>
  <c r="F568" i="11"/>
  <c r="E568" i="11"/>
  <c r="D568" i="11"/>
  <c r="C568" i="11"/>
  <c r="B568" i="11"/>
  <c r="A568" i="11"/>
  <c r="F567" i="11"/>
  <c r="E567" i="11"/>
  <c r="D567" i="11"/>
  <c r="C567" i="11"/>
  <c r="B567" i="11"/>
  <c r="A567" i="11"/>
  <c r="F566" i="11"/>
  <c r="E566" i="11"/>
  <c r="D566" i="11"/>
  <c r="C566" i="11"/>
  <c r="B566" i="11"/>
  <c r="A566" i="11"/>
  <c r="F565" i="11"/>
  <c r="E565" i="11"/>
  <c r="D565" i="11"/>
  <c r="C565" i="11"/>
  <c r="B565" i="11"/>
  <c r="A565" i="11"/>
  <c r="F564" i="11"/>
  <c r="E564" i="11"/>
  <c r="D564" i="11"/>
  <c r="C564" i="11"/>
  <c r="B564" i="11"/>
  <c r="A564" i="11"/>
  <c r="F563" i="11"/>
  <c r="E563" i="11"/>
  <c r="D563" i="11"/>
  <c r="C563" i="11"/>
  <c r="B563" i="11"/>
  <c r="A563" i="11"/>
  <c r="F562" i="11"/>
  <c r="E562" i="11"/>
  <c r="D562" i="11"/>
  <c r="C562" i="11"/>
  <c r="B562" i="11"/>
  <c r="A562" i="11"/>
  <c r="F561" i="11"/>
  <c r="E561" i="11"/>
  <c r="D561" i="11"/>
  <c r="C561" i="11"/>
  <c r="B561" i="11"/>
  <c r="A561" i="11"/>
  <c r="F560" i="11"/>
  <c r="E560" i="11"/>
  <c r="D560" i="11"/>
  <c r="C560" i="11"/>
  <c r="B560" i="11"/>
  <c r="A560" i="11"/>
  <c r="F559" i="11"/>
  <c r="E559" i="11"/>
  <c r="D559" i="11"/>
  <c r="C559" i="11"/>
  <c r="B559" i="11"/>
  <c r="A559" i="11"/>
  <c r="F558" i="11"/>
  <c r="E558" i="11"/>
  <c r="D558" i="11"/>
  <c r="C558" i="11"/>
  <c r="B558" i="11"/>
  <c r="A558" i="11"/>
  <c r="F557" i="11"/>
  <c r="E557" i="11"/>
  <c r="D557" i="11"/>
  <c r="C557" i="11"/>
  <c r="B557" i="11"/>
  <c r="A557" i="11"/>
  <c r="F556" i="11"/>
  <c r="E556" i="11"/>
  <c r="D556" i="11"/>
  <c r="C556" i="11"/>
  <c r="B556" i="11"/>
  <c r="A556" i="11"/>
  <c r="F555" i="11"/>
  <c r="E555" i="11"/>
  <c r="D555" i="11"/>
  <c r="C555" i="11"/>
  <c r="B555" i="11"/>
  <c r="A555" i="11"/>
  <c r="F554" i="11"/>
  <c r="E554" i="11"/>
  <c r="D554" i="11"/>
  <c r="C554" i="11"/>
  <c r="B554" i="11"/>
  <c r="A554" i="11"/>
  <c r="F553" i="11"/>
  <c r="E553" i="11"/>
  <c r="D553" i="11"/>
  <c r="C553" i="11"/>
  <c r="B553" i="11"/>
  <c r="A553" i="11"/>
  <c r="F552" i="11"/>
  <c r="E552" i="11"/>
  <c r="D552" i="11"/>
  <c r="C552" i="11"/>
  <c r="B552" i="11"/>
  <c r="A552" i="11"/>
  <c r="F551" i="11"/>
  <c r="E551" i="11"/>
  <c r="D551" i="11"/>
  <c r="C551" i="11"/>
  <c r="B551" i="11"/>
  <c r="A551" i="11"/>
  <c r="F550" i="11"/>
  <c r="E550" i="11"/>
  <c r="D550" i="11"/>
  <c r="C550" i="11"/>
  <c r="B550" i="11"/>
  <c r="A550" i="11"/>
  <c r="F549" i="11"/>
  <c r="E549" i="11"/>
  <c r="D549" i="11"/>
  <c r="C549" i="11"/>
  <c r="B549" i="11"/>
  <c r="A549" i="11"/>
  <c r="F548" i="11"/>
  <c r="E548" i="11"/>
  <c r="D548" i="11"/>
  <c r="C548" i="11"/>
  <c r="B548" i="11"/>
  <c r="A548" i="11"/>
  <c r="F547" i="11"/>
  <c r="E547" i="11"/>
  <c r="D547" i="11"/>
  <c r="C547" i="11"/>
  <c r="B547" i="11"/>
  <c r="A547" i="11"/>
  <c r="F546" i="11"/>
  <c r="E546" i="11"/>
  <c r="D546" i="11"/>
  <c r="C546" i="11"/>
  <c r="B546" i="11"/>
  <c r="A546" i="11"/>
  <c r="F545" i="11"/>
  <c r="E545" i="11"/>
  <c r="D545" i="11"/>
  <c r="C545" i="11"/>
  <c r="B545" i="11"/>
  <c r="A545" i="11"/>
  <c r="F544" i="11"/>
  <c r="E544" i="11"/>
  <c r="D544" i="11"/>
  <c r="C544" i="11"/>
  <c r="B544" i="11"/>
  <c r="A544" i="11"/>
  <c r="F543" i="11"/>
  <c r="E543" i="11"/>
  <c r="D543" i="11"/>
  <c r="C543" i="11"/>
  <c r="B543" i="11"/>
  <c r="A543" i="11"/>
  <c r="F542" i="11"/>
  <c r="E542" i="11"/>
  <c r="D542" i="11"/>
  <c r="C542" i="11"/>
  <c r="B542" i="11"/>
  <c r="A542" i="11"/>
  <c r="F541" i="11"/>
  <c r="E541" i="11"/>
  <c r="D541" i="11"/>
  <c r="C541" i="11"/>
  <c r="B541" i="11"/>
  <c r="A541" i="11"/>
  <c r="F540" i="11"/>
  <c r="E540" i="11"/>
  <c r="D540" i="11"/>
  <c r="C540" i="11"/>
  <c r="B540" i="11"/>
  <c r="A540" i="11"/>
  <c r="F539" i="11"/>
  <c r="E539" i="11"/>
  <c r="D539" i="11"/>
  <c r="C539" i="11"/>
  <c r="B539" i="11"/>
  <c r="A539" i="11"/>
  <c r="F538" i="11"/>
  <c r="E538" i="11"/>
  <c r="D538" i="11"/>
  <c r="C538" i="11"/>
  <c r="B538" i="11"/>
  <c r="A538" i="11"/>
  <c r="F537" i="11"/>
  <c r="E537" i="11"/>
  <c r="D537" i="11"/>
  <c r="C537" i="11"/>
  <c r="B537" i="11"/>
  <c r="A537" i="11"/>
  <c r="F536" i="11"/>
  <c r="E536" i="11"/>
  <c r="D536" i="11"/>
  <c r="C536" i="11"/>
  <c r="B536" i="11"/>
  <c r="A536" i="11"/>
  <c r="F535" i="11"/>
  <c r="E535" i="11"/>
  <c r="D535" i="11"/>
  <c r="C535" i="11"/>
  <c r="B535" i="11"/>
  <c r="A535" i="11"/>
  <c r="F534" i="11"/>
  <c r="E534" i="11"/>
  <c r="D534" i="11"/>
  <c r="C534" i="11"/>
  <c r="B534" i="11"/>
  <c r="A534" i="11"/>
  <c r="F533" i="11"/>
  <c r="E533" i="11"/>
  <c r="D533" i="11"/>
  <c r="C533" i="11"/>
  <c r="B533" i="11"/>
  <c r="A533" i="11"/>
  <c r="F532" i="11"/>
  <c r="E532" i="11"/>
  <c r="D532" i="11"/>
  <c r="C532" i="11"/>
  <c r="B532" i="11"/>
  <c r="A532" i="11"/>
  <c r="F531" i="11"/>
  <c r="E531" i="11"/>
  <c r="D531" i="11"/>
  <c r="C531" i="11"/>
  <c r="B531" i="11"/>
  <c r="A531" i="11"/>
  <c r="F530" i="11"/>
  <c r="E530" i="11"/>
  <c r="D530" i="11"/>
  <c r="C530" i="11"/>
  <c r="B530" i="11"/>
  <c r="A530" i="11"/>
  <c r="F529" i="11"/>
  <c r="E529" i="11"/>
  <c r="D529" i="11"/>
  <c r="C529" i="11"/>
  <c r="B529" i="11"/>
  <c r="A529" i="11"/>
  <c r="F528" i="11"/>
  <c r="E528" i="11"/>
  <c r="D528" i="11"/>
  <c r="C528" i="11"/>
  <c r="B528" i="11"/>
  <c r="A528" i="11"/>
  <c r="F527" i="11"/>
  <c r="E527" i="11"/>
  <c r="D527" i="11"/>
  <c r="C527" i="11"/>
  <c r="B527" i="11"/>
  <c r="A527" i="11"/>
  <c r="F526" i="11"/>
  <c r="E526" i="11"/>
  <c r="D526" i="11"/>
  <c r="C526" i="11"/>
  <c r="B526" i="11"/>
  <c r="A526" i="11"/>
  <c r="F525" i="11"/>
  <c r="E525" i="11"/>
  <c r="D525" i="11"/>
  <c r="C525" i="11"/>
  <c r="B525" i="11"/>
  <c r="A525" i="11"/>
  <c r="F524" i="11"/>
  <c r="E524" i="11"/>
  <c r="D524" i="11"/>
  <c r="C524" i="11"/>
  <c r="B524" i="11"/>
  <c r="A524" i="11"/>
  <c r="F523" i="11"/>
  <c r="E523" i="11"/>
  <c r="D523" i="11"/>
  <c r="C523" i="11"/>
  <c r="B523" i="11"/>
  <c r="A523" i="11"/>
  <c r="F522" i="11"/>
  <c r="E522" i="11"/>
  <c r="D522" i="11"/>
  <c r="C522" i="11"/>
  <c r="B522" i="11"/>
  <c r="A522" i="11"/>
  <c r="F521" i="11"/>
  <c r="E521" i="11"/>
  <c r="D521" i="11"/>
  <c r="C521" i="11"/>
  <c r="B521" i="11"/>
  <c r="A521" i="11"/>
  <c r="F520" i="11"/>
  <c r="E520" i="11"/>
  <c r="D520" i="11"/>
  <c r="C520" i="11"/>
  <c r="B520" i="11"/>
  <c r="A520" i="11"/>
  <c r="F519" i="11"/>
  <c r="E519" i="11"/>
  <c r="D519" i="11"/>
  <c r="C519" i="11"/>
  <c r="B519" i="11"/>
  <c r="A519" i="11"/>
  <c r="F518" i="11"/>
  <c r="E518" i="11"/>
  <c r="D518" i="11"/>
  <c r="C518" i="11"/>
  <c r="B518" i="11"/>
  <c r="A518" i="11"/>
  <c r="F517" i="11"/>
  <c r="E517" i="11"/>
  <c r="D517" i="11"/>
  <c r="C517" i="11"/>
  <c r="B517" i="11"/>
  <c r="A517" i="11"/>
  <c r="F516" i="11"/>
  <c r="E516" i="11"/>
  <c r="D516" i="11"/>
  <c r="C516" i="11"/>
  <c r="B516" i="11"/>
  <c r="A516" i="11"/>
  <c r="F515" i="11"/>
  <c r="E515" i="11"/>
  <c r="D515" i="11"/>
  <c r="C515" i="11"/>
  <c r="B515" i="11"/>
  <c r="A515" i="11"/>
  <c r="F514" i="11"/>
  <c r="E514" i="11"/>
  <c r="D514" i="11"/>
  <c r="C514" i="11"/>
  <c r="B514" i="11"/>
  <c r="A514" i="11"/>
  <c r="F513" i="11"/>
  <c r="E513" i="11"/>
  <c r="D513" i="11"/>
  <c r="C513" i="11"/>
  <c r="B513" i="11"/>
  <c r="A513" i="11"/>
  <c r="F512" i="11"/>
  <c r="E512" i="11"/>
  <c r="D512" i="11"/>
  <c r="C512" i="11"/>
  <c r="B512" i="11"/>
  <c r="A512" i="11"/>
  <c r="F511" i="11"/>
  <c r="E511" i="11"/>
  <c r="D511" i="11"/>
  <c r="C511" i="11"/>
  <c r="B511" i="11"/>
  <c r="A511" i="11"/>
  <c r="F510" i="11"/>
  <c r="E510" i="11"/>
  <c r="D510" i="11"/>
  <c r="C510" i="11"/>
  <c r="B510" i="11"/>
  <c r="A510" i="11"/>
  <c r="F509" i="11"/>
  <c r="E509" i="11"/>
  <c r="D509" i="11"/>
  <c r="C509" i="11"/>
  <c r="B509" i="11"/>
  <c r="A509" i="11"/>
  <c r="F508" i="11"/>
  <c r="E508" i="11"/>
  <c r="D508" i="11"/>
  <c r="C508" i="11"/>
  <c r="B508" i="11"/>
  <c r="A508" i="11"/>
  <c r="F507" i="11"/>
  <c r="E507" i="11"/>
  <c r="D507" i="11"/>
  <c r="C507" i="11"/>
  <c r="B507" i="11"/>
  <c r="A507" i="11"/>
  <c r="F506" i="11"/>
  <c r="E506" i="11"/>
  <c r="D506" i="11"/>
  <c r="C506" i="11"/>
  <c r="B506" i="11"/>
  <c r="A506" i="11"/>
  <c r="F505" i="11"/>
  <c r="E505" i="11"/>
  <c r="D505" i="11"/>
  <c r="C505" i="11"/>
  <c r="B505" i="11"/>
  <c r="A505" i="11"/>
  <c r="F504" i="11"/>
  <c r="E504" i="11"/>
  <c r="D504" i="11"/>
  <c r="C504" i="11"/>
  <c r="B504" i="11"/>
  <c r="A504" i="11"/>
  <c r="F503" i="11"/>
  <c r="E503" i="11"/>
  <c r="D503" i="11"/>
  <c r="C503" i="11"/>
  <c r="B503" i="11"/>
  <c r="A503" i="11"/>
  <c r="F502" i="11"/>
  <c r="E502" i="11"/>
  <c r="D502" i="11"/>
  <c r="C502" i="11"/>
  <c r="B502" i="11"/>
  <c r="A502" i="11"/>
  <c r="F501" i="11"/>
  <c r="E501" i="11"/>
  <c r="D501" i="11"/>
  <c r="C501" i="11"/>
  <c r="B501" i="11"/>
  <c r="A501" i="11"/>
  <c r="F500" i="11"/>
  <c r="E500" i="11"/>
  <c r="D500" i="11"/>
  <c r="C500" i="11"/>
  <c r="B500" i="11"/>
  <c r="A500" i="11"/>
  <c r="F499" i="11"/>
  <c r="E499" i="11"/>
  <c r="D499" i="11"/>
  <c r="C499" i="11"/>
  <c r="B499" i="11"/>
  <c r="A499" i="11"/>
  <c r="F498" i="11"/>
  <c r="E498" i="11"/>
  <c r="D498" i="11"/>
  <c r="C498" i="11"/>
  <c r="B498" i="11"/>
  <c r="A498" i="11"/>
  <c r="F497" i="11"/>
  <c r="E497" i="11"/>
  <c r="D497" i="11"/>
  <c r="C497" i="11"/>
  <c r="B497" i="11"/>
  <c r="A497" i="11"/>
  <c r="F496" i="11"/>
  <c r="E496" i="11"/>
  <c r="D496" i="11"/>
  <c r="C496" i="11"/>
  <c r="B496" i="11"/>
  <c r="A496" i="11"/>
  <c r="F495" i="11"/>
  <c r="E495" i="11"/>
  <c r="D495" i="11"/>
  <c r="C495" i="11"/>
  <c r="B495" i="11"/>
  <c r="A495" i="11"/>
  <c r="F494" i="11"/>
  <c r="E494" i="11"/>
  <c r="D494" i="11"/>
  <c r="C494" i="11"/>
  <c r="B494" i="11"/>
  <c r="A494" i="11"/>
  <c r="F493" i="11"/>
  <c r="E493" i="11"/>
  <c r="D493" i="11"/>
  <c r="C493" i="11"/>
  <c r="B493" i="11"/>
  <c r="A493" i="11"/>
  <c r="F492" i="11"/>
  <c r="E492" i="11"/>
  <c r="D492" i="11"/>
  <c r="C492" i="11"/>
  <c r="B492" i="11"/>
  <c r="A492" i="11"/>
  <c r="F491" i="11"/>
  <c r="E491" i="11"/>
  <c r="D491" i="11"/>
  <c r="C491" i="11"/>
  <c r="B491" i="11"/>
  <c r="A491" i="11"/>
  <c r="F490" i="11"/>
  <c r="E490" i="11"/>
  <c r="D490" i="11"/>
  <c r="C490" i="11"/>
  <c r="B490" i="11"/>
  <c r="A490" i="11"/>
  <c r="F489" i="11"/>
  <c r="E489" i="11"/>
  <c r="D489" i="11"/>
  <c r="C489" i="11"/>
  <c r="B489" i="11"/>
  <c r="A489" i="11"/>
  <c r="F488" i="11"/>
  <c r="E488" i="11"/>
  <c r="D488" i="11"/>
  <c r="C488" i="11"/>
  <c r="B488" i="11"/>
  <c r="A488" i="11"/>
  <c r="F487" i="11"/>
  <c r="E487" i="11"/>
  <c r="D487" i="11"/>
  <c r="C487" i="11"/>
  <c r="B487" i="11"/>
  <c r="A487" i="11"/>
  <c r="F486" i="11"/>
  <c r="E486" i="11"/>
  <c r="D486" i="11"/>
  <c r="C486" i="11"/>
  <c r="B486" i="11"/>
  <c r="A486" i="11"/>
  <c r="F485" i="11"/>
  <c r="E485" i="11"/>
  <c r="D485" i="11"/>
  <c r="C485" i="11"/>
  <c r="B485" i="11"/>
  <c r="A485" i="11"/>
  <c r="F484" i="11"/>
  <c r="E484" i="11"/>
  <c r="D484" i="11"/>
  <c r="C484" i="11"/>
  <c r="B484" i="11"/>
  <c r="A484" i="11"/>
  <c r="F483" i="11"/>
  <c r="E483" i="11"/>
  <c r="D483" i="11"/>
  <c r="C483" i="11"/>
  <c r="B483" i="11"/>
  <c r="A483" i="11"/>
  <c r="F482" i="11"/>
  <c r="E482" i="11"/>
  <c r="D482" i="11"/>
  <c r="C482" i="11"/>
  <c r="B482" i="11"/>
  <c r="A482" i="11"/>
  <c r="F481" i="11"/>
  <c r="E481" i="11"/>
  <c r="D481" i="11"/>
  <c r="C481" i="11"/>
  <c r="B481" i="11"/>
  <c r="A481" i="11"/>
  <c r="F480" i="11"/>
  <c r="E480" i="11"/>
  <c r="D480" i="11"/>
  <c r="C480" i="11"/>
  <c r="B480" i="11"/>
  <c r="A480" i="11"/>
  <c r="F479" i="11"/>
  <c r="E479" i="11"/>
  <c r="D479" i="11"/>
  <c r="C479" i="11"/>
  <c r="B479" i="11"/>
  <c r="A479" i="11"/>
  <c r="F478" i="11"/>
  <c r="E478" i="11"/>
  <c r="D478" i="11"/>
  <c r="C478" i="11"/>
  <c r="B478" i="11"/>
  <c r="A478" i="11"/>
  <c r="F477" i="11"/>
  <c r="E477" i="11"/>
  <c r="D477" i="11"/>
  <c r="C477" i="11"/>
  <c r="B477" i="11"/>
  <c r="A477" i="11"/>
  <c r="F476" i="11"/>
  <c r="E476" i="11"/>
  <c r="D476" i="11"/>
  <c r="C476" i="11"/>
  <c r="B476" i="11"/>
  <c r="A476" i="11"/>
  <c r="F475" i="11"/>
  <c r="E475" i="11"/>
  <c r="D475" i="11"/>
  <c r="C475" i="11"/>
  <c r="B475" i="11"/>
  <c r="A475" i="11"/>
  <c r="F474" i="11"/>
  <c r="E474" i="11"/>
  <c r="D474" i="11"/>
  <c r="C474" i="11"/>
  <c r="B474" i="11"/>
  <c r="A474" i="11"/>
  <c r="F473" i="11"/>
  <c r="E473" i="11"/>
  <c r="D473" i="11"/>
  <c r="C473" i="11"/>
  <c r="B473" i="11"/>
  <c r="A473" i="11"/>
  <c r="F472" i="11"/>
  <c r="E472" i="11"/>
  <c r="D472" i="11"/>
  <c r="C472" i="11"/>
  <c r="B472" i="11"/>
  <c r="A472" i="11"/>
  <c r="F471" i="11"/>
  <c r="E471" i="11"/>
  <c r="D471" i="11"/>
  <c r="C471" i="11"/>
  <c r="B471" i="11"/>
  <c r="A471" i="11"/>
  <c r="F470" i="11"/>
  <c r="E470" i="11"/>
  <c r="D470" i="11"/>
  <c r="C470" i="11"/>
  <c r="B470" i="11"/>
  <c r="A470" i="11"/>
  <c r="F469" i="11"/>
  <c r="E469" i="11"/>
  <c r="D469" i="11"/>
  <c r="C469" i="11"/>
  <c r="B469" i="11"/>
  <c r="A469" i="11"/>
  <c r="F468" i="11"/>
  <c r="E468" i="11"/>
  <c r="D468" i="11"/>
  <c r="C468" i="11"/>
  <c r="B468" i="11"/>
  <c r="A468" i="11"/>
  <c r="F467" i="11"/>
  <c r="E467" i="11"/>
  <c r="D467" i="11"/>
  <c r="C467" i="11"/>
  <c r="B467" i="11"/>
  <c r="A467" i="11"/>
  <c r="F466" i="11"/>
  <c r="E466" i="11"/>
  <c r="D466" i="11"/>
  <c r="C466" i="11"/>
  <c r="B466" i="11"/>
  <c r="A466" i="11"/>
  <c r="F465" i="11"/>
  <c r="E465" i="11"/>
  <c r="D465" i="11"/>
  <c r="C465" i="11"/>
  <c r="B465" i="11"/>
  <c r="A465" i="11"/>
  <c r="F464" i="11"/>
  <c r="E464" i="11"/>
  <c r="D464" i="11"/>
  <c r="C464" i="11"/>
  <c r="B464" i="11"/>
  <c r="A464" i="11"/>
  <c r="F463" i="11"/>
  <c r="E463" i="11"/>
  <c r="D463" i="11"/>
  <c r="C463" i="11"/>
  <c r="B463" i="11"/>
  <c r="A463" i="11"/>
  <c r="F462" i="11"/>
  <c r="E462" i="11"/>
  <c r="D462" i="11"/>
  <c r="C462" i="11"/>
  <c r="B462" i="11"/>
  <c r="A462" i="11"/>
  <c r="F461" i="11"/>
  <c r="E461" i="11"/>
  <c r="D461" i="11"/>
  <c r="C461" i="11"/>
  <c r="B461" i="11"/>
  <c r="A461" i="11"/>
  <c r="F460" i="11"/>
  <c r="E460" i="11"/>
  <c r="D460" i="11"/>
  <c r="C460" i="11"/>
  <c r="B460" i="11"/>
  <c r="A460" i="11"/>
  <c r="F459" i="11"/>
  <c r="E459" i="11"/>
  <c r="D459" i="11"/>
  <c r="C459" i="11"/>
  <c r="B459" i="11"/>
  <c r="A459" i="11"/>
  <c r="F458" i="11"/>
  <c r="E458" i="11"/>
  <c r="D458" i="11"/>
  <c r="C458" i="11"/>
  <c r="B458" i="11"/>
  <c r="A458" i="11"/>
  <c r="F457" i="11"/>
  <c r="E457" i="11"/>
  <c r="D457" i="11"/>
  <c r="C457" i="11"/>
  <c r="B457" i="11"/>
  <c r="A457" i="11"/>
  <c r="F456" i="11"/>
  <c r="E456" i="11"/>
  <c r="D456" i="11"/>
  <c r="C456" i="11"/>
  <c r="B456" i="11"/>
  <c r="A456" i="11"/>
  <c r="F455" i="11"/>
  <c r="E455" i="11"/>
  <c r="D455" i="11"/>
  <c r="C455" i="11"/>
  <c r="B455" i="11"/>
  <c r="A455" i="11"/>
  <c r="F454" i="11"/>
  <c r="E454" i="11"/>
  <c r="D454" i="11"/>
  <c r="C454" i="11"/>
  <c r="B454" i="11"/>
  <c r="A454" i="11"/>
  <c r="F453" i="11"/>
  <c r="E453" i="11"/>
  <c r="D453" i="11"/>
  <c r="C453" i="11"/>
  <c r="B453" i="11"/>
  <c r="A453" i="11"/>
  <c r="F452" i="11"/>
  <c r="E452" i="11"/>
  <c r="D452" i="11"/>
  <c r="C452" i="11"/>
  <c r="B452" i="11"/>
  <c r="A452" i="11"/>
  <c r="F451" i="11"/>
  <c r="E451" i="11"/>
  <c r="D451" i="11"/>
  <c r="C451" i="11"/>
  <c r="B451" i="11"/>
  <c r="A451" i="11"/>
  <c r="F450" i="11"/>
  <c r="E450" i="11"/>
  <c r="D450" i="11"/>
  <c r="C450" i="11"/>
  <c r="B450" i="11"/>
  <c r="A450" i="11"/>
  <c r="F449" i="11"/>
  <c r="E449" i="11"/>
  <c r="D449" i="11"/>
  <c r="C449" i="11"/>
  <c r="B449" i="11"/>
  <c r="A449" i="11"/>
  <c r="F448" i="11"/>
  <c r="E448" i="11"/>
  <c r="D448" i="11"/>
  <c r="C448" i="11"/>
  <c r="B448" i="11"/>
  <c r="A448" i="11"/>
  <c r="F447" i="11"/>
  <c r="E447" i="11"/>
  <c r="D447" i="11"/>
  <c r="C447" i="11"/>
  <c r="B447" i="11"/>
  <c r="A447" i="11"/>
  <c r="F446" i="11"/>
  <c r="E446" i="11"/>
  <c r="D446" i="11"/>
  <c r="C446" i="11"/>
  <c r="B446" i="11"/>
  <c r="A446" i="11"/>
  <c r="F445" i="11"/>
  <c r="E445" i="11"/>
  <c r="D445" i="11"/>
  <c r="C445" i="11"/>
  <c r="B445" i="11"/>
  <c r="A445" i="11"/>
  <c r="F444" i="11"/>
  <c r="E444" i="11"/>
  <c r="D444" i="11"/>
  <c r="C444" i="11"/>
  <c r="B444" i="11"/>
  <c r="A444" i="11"/>
  <c r="F443" i="11"/>
  <c r="E443" i="11"/>
  <c r="D443" i="11"/>
  <c r="C443" i="11"/>
  <c r="B443" i="11"/>
  <c r="A443" i="11"/>
  <c r="F442" i="11"/>
  <c r="E442" i="11"/>
  <c r="D442" i="11"/>
  <c r="C442" i="11"/>
  <c r="B442" i="11"/>
  <c r="A442" i="11"/>
  <c r="F441" i="11"/>
  <c r="E441" i="11"/>
  <c r="D441" i="11"/>
  <c r="C441" i="11"/>
  <c r="B441" i="11"/>
  <c r="A441" i="11"/>
  <c r="F440" i="11"/>
  <c r="E440" i="11"/>
  <c r="D440" i="11"/>
  <c r="C440" i="11"/>
  <c r="B440" i="11"/>
  <c r="A440" i="11"/>
  <c r="F439" i="11"/>
  <c r="E439" i="11"/>
  <c r="D439" i="11"/>
  <c r="C439" i="11"/>
  <c r="B439" i="11"/>
  <c r="A439" i="11"/>
  <c r="F438" i="11"/>
  <c r="E438" i="11"/>
  <c r="D438" i="11"/>
  <c r="C438" i="11"/>
  <c r="B438" i="11"/>
  <c r="A438" i="11"/>
  <c r="F437" i="11"/>
  <c r="E437" i="11"/>
  <c r="D437" i="11"/>
  <c r="C437" i="11"/>
  <c r="B437" i="11"/>
  <c r="A437" i="11"/>
  <c r="F436" i="11"/>
  <c r="E436" i="11"/>
  <c r="D436" i="11"/>
  <c r="C436" i="11"/>
  <c r="B436" i="11"/>
  <c r="A436" i="11"/>
  <c r="F435" i="11"/>
  <c r="E435" i="11"/>
  <c r="D435" i="11"/>
  <c r="C435" i="11"/>
  <c r="B435" i="11"/>
  <c r="A435" i="11"/>
  <c r="F434" i="11"/>
  <c r="E434" i="11"/>
  <c r="D434" i="11"/>
  <c r="C434" i="11"/>
  <c r="B434" i="11"/>
  <c r="A434" i="11"/>
  <c r="F433" i="11"/>
  <c r="E433" i="11"/>
  <c r="D433" i="11"/>
  <c r="C433" i="11"/>
  <c r="B433" i="11"/>
  <c r="A433" i="11"/>
  <c r="F432" i="11"/>
  <c r="E432" i="11"/>
  <c r="D432" i="11"/>
  <c r="C432" i="11"/>
  <c r="B432" i="11"/>
  <c r="A432" i="11"/>
  <c r="F431" i="11"/>
  <c r="E431" i="11"/>
  <c r="D431" i="11"/>
  <c r="C431" i="11"/>
  <c r="B431" i="11"/>
  <c r="A431" i="11"/>
  <c r="F430" i="11"/>
  <c r="E430" i="11"/>
  <c r="D430" i="11"/>
  <c r="C430" i="11"/>
  <c r="B430" i="11"/>
  <c r="A430" i="11"/>
  <c r="F429" i="11"/>
  <c r="E429" i="11"/>
  <c r="D429" i="11"/>
  <c r="C429" i="11"/>
  <c r="B429" i="11"/>
  <c r="A429" i="11"/>
  <c r="F428" i="11"/>
  <c r="E428" i="11"/>
  <c r="D428" i="11"/>
  <c r="C428" i="11"/>
  <c r="B428" i="11"/>
  <c r="A428" i="11"/>
  <c r="F427" i="11"/>
  <c r="E427" i="11"/>
  <c r="D427" i="11"/>
  <c r="C427" i="11"/>
  <c r="B427" i="11"/>
  <c r="A427" i="11"/>
  <c r="F426" i="11"/>
  <c r="E426" i="11"/>
  <c r="D426" i="11"/>
  <c r="C426" i="11"/>
  <c r="B426" i="11"/>
  <c r="A426" i="11"/>
  <c r="F425" i="11"/>
  <c r="E425" i="11"/>
  <c r="D425" i="11"/>
  <c r="C425" i="11"/>
  <c r="B425" i="11"/>
  <c r="A425" i="11"/>
  <c r="F424" i="11"/>
  <c r="E424" i="11"/>
  <c r="D424" i="11"/>
  <c r="C424" i="11"/>
  <c r="B424" i="11"/>
  <c r="A424" i="11"/>
  <c r="F423" i="11"/>
  <c r="E423" i="11"/>
  <c r="D423" i="11"/>
  <c r="C423" i="11"/>
  <c r="B423" i="11"/>
  <c r="A423" i="11"/>
  <c r="F422" i="11"/>
  <c r="E422" i="11"/>
  <c r="D422" i="11"/>
  <c r="C422" i="11"/>
  <c r="B422" i="11"/>
  <c r="A422" i="11"/>
  <c r="F421" i="11"/>
  <c r="E421" i="11"/>
  <c r="D421" i="11"/>
  <c r="C421" i="11"/>
  <c r="B421" i="11"/>
  <c r="A421" i="11"/>
  <c r="F420" i="11"/>
  <c r="E420" i="11"/>
  <c r="D420" i="11"/>
  <c r="C420" i="11"/>
  <c r="B420" i="11"/>
  <c r="A420" i="11"/>
  <c r="F419" i="11"/>
  <c r="E419" i="11"/>
  <c r="D419" i="11"/>
  <c r="C419" i="11"/>
  <c r="B419" i="11"/>
  <c r="A419" i="11"/>
  <c r="F418" i="11"/>
  <c r="E418" i="11"/>
  <c r="D418" i="11"/>
  <c r="C418" i="11"/>
  <c r="B418" i="11"/>
  <c r="A418" i="11"/>
  <c r="F417" i="11"/>
  <c r="E417" i="11"/>
  <c r="D417" i="11"/>
  <c r="C417" i="11"/>
  <c r="B417" i="11"/>
  <c r="A417" i="11"/>
  <c r="F416" i="11"/>
  <c r="E416" i="11"/>
  <c r="D416" i="11"/>
  <c r="C416" i="11"/>
  <c r="B416" i="11"/>
  <c r="A416" i="11"/>
  <c r="F415" i="11"/>
  <c r="E415" i="11"/>
  <c r="D415" i="11"/>
  <c r="C415" i="11"/>
  <c r="B415" i="11"/>
  <c r="A415" i="11"/>
  <c r="F414" i="11"/>
  <c r="E414" i="11"/>
  <c r="D414" i="11"/>
  <c r="C414" i="11"/>
  <c r="B414" i="11"/>
  <c r="A414" i="11"/>
  <c r="F413" i="11"/>
  <c r="E413" i="11"/>
  <c r="D413" i="11"/>
  <c r="C413" i="11"/>
  <c r="B413" i="11"/>
  <c r="A413" i="11"/>
  <c r="F412" i="11"/>
  <c r="E412" i="11"/>
  <c r="D412" i="11"/>
  <c r="C412" i="11"/>
  <c r="B412" i="11"/>
  <c r="A412" i="11"/>
  <c r="F411" i="11"/>
  <c r="E411" i="11"/>
  <c r="D411" i="11"/>
  <c r="C411" i="11"/>
  <c r="B411" i="11"/>
  <c r="A411" i="11"/>
  <c r="F410" i="11"/>
  <c r="E410" i="11"/>
  <c r="D410" i="11"/>
  <c r="C410" i="11"/>
  <c r="B410" i="11"/>
  <c r="A410" i="11"/>
  <c r="F409" i="11"/>
  <c r="E409" i="11"/>
  <c r="D409" i="11"/>
  <c r="C409" i="11"/>
  <c r="B409" i="11"/>
  <c r="A409" i="11"/>
  <c r="F408" i="11"/>
  <c r="E408" i="11"/>
  <c r="D408" i="11"/>
  <c r="C408" i="11"/>
  <c r="B408" i="11"/>
  <c r="A408" i="11"/>
  <c r="F407" i="11"/>
  <c r="E407" i="11"/>
  <c r="D407" i="11"/>
  <c r="C407" i="11"/>
  <c r="B407" i="11"/>
  <c r="A407" i="11"/>
  <c r="F406" i="11"/>
  <c r="E406" i="11"/>
  <c r="D406" i="11"/>
  <c r="C406" i="11"/>
  <c r="B406" i="11"/>
  <c r="A406" i="11"/>
  <c r="F405" i="11"/>
  <c r="E405" i="11"/>
  <c r="D405" i="11"/>
  <c r="C405" i="11"/>
  <c r="B405" i="11"/>
  <c r="A405" i="11"/>
  <c r="F404" i="11"/>
  <c r="E404" i="11"/>
  <c r="D404" i="11"/>
  <c r="C404" i="11"/>
  <c r="B404" i="11"/>
  <c r="A404" i="11"/>
  <c r="F403" i="11"/>
  <c r="E403" i="11"/>
  <c r="D403" i="11"/>
  <c r="C403" i="11"/>
  <c r="B403" i="11"/>
  <c r="A403" i="11"/>
  <c r="F402" i="11"/>
  <c r="E402" i="11"/>
  <c r="D402" i="11"/>
  <c r="C402" i="11"/>
  <c r="B402" i="11"/>
  <c r="A402" i="11"/>
  <c r="F401" i="11"/>
  <c r="E401" i="11"/>
  <c r="D401" i="11"/>
  <c r="C401" i="11"/>
  <c r="B401" i="11"/>
  <c r="A401" i="11"/>
  <c r="F400" i="11"/>
  <c r="E400" i="11"/>
  <c r="D400" i="11"/>
  <c r="C400" i="11"/>
  <c r="B400" i="11"/>
  <c r="A400" i="11"/>
  <c r="F399" i="11"/>
  <c r="E399" i="11"/>
  <c r="D399" i="11"/>
  <c r="C399" i="11"/>
  <c r="B399" i="11"/>
  <c r="A399" i="11"/>
  <c r="F398" i="11"/>
  <c r="E398" i="11"/>
  <c r="D398" i="11"/>
  <c r="C398" i="11"/>
  <c r="B398" i="11"/>
  <c r="A398" i="11"/>
  <c r="F397" i="11"/>
  <c r="E397" i="11"/>
  <c r="D397" i="11"/>
  <c r="C397" i="11"/>
  <c r="B397" i="11"/>
  <c r="A397" i="11"/>
  <c r="F396" i="11"/>
  <c r="E396" i="11"/>
  <c r="D396" i="11"/>
  <c r="C396" i="11"/>
  <c r="B396" i="11"/>
  <c r="A396" i="11"/>
  <c r="F395" i="11"/>
  <c r="E395" i="11"/>
  <c r="D395" i="11"/>
  <c r="C395" i="11"/>
  <c r="B395" i="11"/>
  <c r="A395" i="11"/>
  <c r="F394" i="11"/>
  <c r="E394" i="11"/>
  <c r="D394" i="11"/>
  <c r="C394" i="11"/>
  <c r="B394" i="11"/>
  <c r="A394" i="11"/>
  <c r="F393" i="11"/>
  <c r="E393" i="11"/>
  <c r="D393" i="11"/>
  <c r="C393" i="11"/>
  <c r="B393" i="11"/>
  <c r="A393" i="11"/>
  <c r="F392" i="11"/>
  <c r="E392" i="11"/>
  <c r="D392" i="11"/>
  <c r="C392" i="11"/>
  <c r="B392" i="11"/>
  <c r="A392" i="11"/>
  <c r="F391" i="11"/>
  <c r="E391" i="11"/>
  <c r="D391" i="11"/>
  <c r="C391" i="11"/>
  <c r="B391" i="11"/>
  <c r="A391" i="11"/>
  <c r="F390" i="11"/>
  <c r="E390" i="11"/>
  <c r="D390" i="11"/>
  <c r="C390" i="11"/>
  <c r="B390" i="11"/>
  <c r="A390" i="11"/>
  <c r="F389" i="11"/>
  <c r="E389" i="11"/>
  <c r="D389" i="11"/>
  <c r="C389" i="11"/>
  <c r="B389" i="11"/>
  <c r="A389" i="11"/>
  <c r="F388" i="11"/>
  <c r="E388" i="11"/>
  <c r="D388" i="11"/>
  <c r="C388" i="11"/>
  <c r="B388" i="11"/>
  <c r="A388" i="11"/>
  <c r="F387" i="11"/>
  <c r="E387" i="11"/>
  <c r="D387" i="11"/>
  <c r="C387" i="11"/>
  <c r="B387" i="11"/>
  <c r="A387" i="11"/>
  <c r="F386" i="11"/>
  <c r="E386" i="11"/>
  <c r="D386" i="11"/>
  <c r="C386" i="11"/>
  <c r="B386" i="11"/>
  <c r="A386" i="11"/>
  <c r="F385" i="11"/>
  <c r="E385" i="11"/>
  <c r="D385" i="11"/>
  <c r="C385" i="11"/>
  <c r="B385" i="11"/>
  <c r="A385" i="11"/>
  <c r="F384" i="11"/>
  <c r="E384" i="11"/>
  <c r="D384" i="11"/>
  <c r="C384" i="11"/>
  <c r="B384" i="11"/>
  <c r="A384" i="11"/>
  <c r="F383" i="11"/>
  <c r="E383" i="11"/>
  <c r="D383" i="11"/>
  <c r="C383" i="11"/>
  <c r="B383" i="11"/>
  <c r="A383" i="11"/>
  <c r="F382" i="11"/>
  <c r="E382" i="11"/>
  <c r="D382" i="11"/>
  <c r="C382" i="11"/>
  <c r="B382" i="11"/>
  <c r="A382" i="11"/>
  <c r="F381" i="11"/>
  <c r="E381" i="11"/>
  <c r="D381" i="11"/>
  <c r="C381" i="11"/>
  <c r="B381" i="11"/>
  <c r="A381" i="11"/>
  <c r="F380" i="11"/>
  <c r="E380" i="11"/>
  <c r="D380" i="11"/>
  <c r="C380" i="11"/>
  <c r="B380" i="11"/>
  <c r="A380" i="11"/>
  <c r="F379" i="11"/>
  <c r="E379" i="11"/>
  <c r="D379" i="11"/>
  <c r="C379" i="11"/>
  <c r="B379" i="11"/>
  <c r="A379" i="11"/>
  <c r="F378" i="11"/>
  <c r="E378" i="11"/>
  <c r="D378" i="11"/>
  <c r="C378" i="11"/>
  <c r="B378" i="11"/>
  <c r="A378" i="11"/>
  <c r="F377" i="11"/>
  <c r="E377" i="11"/>
  <c r="D377" i="11"/>
  <c r="C377" i="11"/>
  <c r="B377" i="11"/>
  <c r="A377" i="11"/>
  <c r="F376" i="11"/>
  <c r="E376" i="11"/>
  <c r="D376" i="11"/>
  <c r="C376" i="11"/>
  <c r="B376" i="11"/>
  <c r="A376" i="11"/>
  <c r="F375" i="11"/>
  <c r="E375" i="11"/>
  <c r="D375" i="11"/>
  <c r="C375" i="11"/>
  <c r="B375" i="11"/>
  <c r="A375" i="11"/>
  <c r="F374" i="11"/>
  <c r="E374" i="11"/>
  <c r="D374" i="11"/>
  <c r="C374" i="11"/>
  <c r="B374" i="11"/>
  <c r="A374" i="11"/>
  <c r="F373" i="11"/>
  <c r="E373" i="11"/>
  <c r="D373" i="11"/>
  <c r="C373" i="11"/>
  <c r="B373" i="11"/>
  <c r="A373" i="11"/>
  <c r="F372" i="11"/>
  <c r="E372" i="11"/>
  <c r="D372" i="11"/>
  <c r="C372" i="11"/>
  <c r="B372" i="11"/>
  <c r="A372" i="11"/>
  <c r="F371" i="11"/>
  <c r="E371" i="11"/>
  <c r="D371" i="11"/>
  <c r="C371" i="11"/>
  <c r="B371" i="11"/>
  <c r="A371" i="11"/>
  <c r="F370" i="11"/>
  <c r="E370" i="11"/>
  <c r="D370" i="11"/>
  <c r="C370" i="11"/>
  <c r="B370" i="11"/>
  <c r="A370" i="11"/>
  <c r="F369" i="11"/>
  <c r="E369" i="11"/>
  <c r="D369" i="11"/>
  <c r="C369" i="11"/>
  <c r="B369" i="11"/>
  <c r="A369" i="11"/>
  <c r="F368" i="11"/>
  <c r="E368" i="11"/>
  <c r="D368" i="11"/>
  <c r="C368" i="11"/>
  <c r="B368" i="11"/>
  <c r="A368" i="11"/>
  <c r="F367" i="11"/>
  <c r="E367" i="11"/>
  <c r="D367" i="11"/>
  <c r="C367" i="11"/>
  <c r="B367" i="11"/>
  <c r="A367" i="11"/>
  <c r="F366" i="11"/>
  <c r="E366" i="11"/>
  <c r="D366" i="11"/>
  <c r="C366" i="11"/>
  <c r="B366" i="11"/>
  <c r="A366" i="11"/>
  <c r="F365" i="11"/>
  <c r="E365" i="11"/>
  <c r="D365" i="11"/>
  <c r="C365" i="11"/>
  <c r="B365" i="11"/>
  <c r="A365" i="11"/>
  <c r="F364" i="11"/>
  <c r="E364" i="11"/>
  <c r="D364" i="11"/>
  <c r="C364" i="11"/>
  <c r="B364" i="11"/>
  <c r="A364" i="11"/>
  <c r="F363" i="11"/>
  <c r="E363" i="11"/>
  <c r="D363" i="11"/>
  <c r="C363" i="11"/>
  <c r="B363" i="11"/>
  <c r="A363" i="11"/>
  <c r="F362" i="11"/>
  <c r="E362" i="11"/>
  <c r="D362" i="11"/>
  <c r="C362" i="11"/>
  <c r="B362" i="11"/>
  <c r="A362" i="11"/>
  <c r="F361" i="11"/>
  <c r="E361" i="11"/>
  <c r="D361" i="11"/>
  <c r="C361" i="11"/>
  <c r="B361" i="11"/>
  <c r="A361" i="11"/>
  <c r="F360" i="11"/>
  <c r="E360" i="11"/>
  <c r="D360" i="11"/>
  <c r="C360" i="11"/>
  <c r="B360" i="11"/>
  <c r="A360" i="11"/>
  <c r="F359" i="11"/>
  <c r="E359" i="11"/>
  <c r="D359" i="11"/>
  <c r="C359" i="11"/>
  <c r="B359" i="11"/>
  <c r="A359" i="11"/>
  <c r="F358" i="11"/>
  <c r="E358" i="11"/>
  <c r="D358" i="11"/>
  <c r="C358" i="11"/>
  <c r="B358" i="11"/>
  <c r="A358" i="11"/>
  <c r="F357" i="11"/>
  <c r="E357" i="11"/>
  <c r="D357" i="11"/>
  <c r="C357" i="11"/>
  <c r="B357" i="11"/>
  <c r="A357" i="11"/>
  <c r="F356" i="11"/>
  <c r="E356" i="11"/>
  <c r="D356" i="11"/>
  <c r="C356" i="11"/>
  <c r="B356" i="11"/>
  <c r="A356" i="11"/>
  <c r="F355" i="11"/>
  <c r="E355" i="11"/>
  <c r="D355" i="11"/>
  <c r="C355" i="11"/>
  <c r="B355" i="11"/>
  <c r="A355" i="11"/>
  <c r="F354" i="11"/>
  <c r="E354" i="11"/>
  <c r="D354" i="11"/>
  <c r="C354" i="11"/>
  <c r="B354" i="11"/>
  <c r="A354" i="11"/>
  <c r="F353" i="11"/>
  <c r="E353" i="11"/>
  <c r="D353" i="11"/>
  <c r="C353" i="11"/>
  <c r="B353" i="11"/>
  <c r="A353" i="11"/>
  <c r="F352" i="11"/>
  <c r="E352" i="11"/>
  <c r="D352" i="11"/>
  <c r="C352" i="11"/>
  <c r="B352" i="11"/>
  <c r="A352" i="11"/>
  <c r="F351" i="11"/>
  <c r="E351" i="11"/>
  <c r="D351" i="11"/>
  <c r="C351" i="11"/>
  <c r="B351" i="11"/>
  <c r="A351" i="11"/>
  <c r="F350" i="11"/>
  <c r="E350" i="11"/>
  <c r="D350" i="11"/>
  <c r="C350" i="11"/>
  <c r="B350" i="11"/>
  <c r="A350" i="11"/>
  <c r="F349" i="11"/>
  <c r="E349" i="11"/>
  <c r="D349" i="11"/>
  <c r="C349" i="11"/>
  <c r="B349" i="11"/>
  <c r="A349" i="11"/>
  <c r="F348" i="11"/>
  <c r="E348" i="11"/>
  <c r="D348" i="11"/>
  <c r="C348" i="11"/>
  <c r="B348" i="11"/>
  <c r="A348" i="11"/>
  <c r="F347" i="11"/>
  <c r="E347" i="11"/>
  <c r="D347" i="11"/>
  <c r="C347" i="11"/>
  <c r="B347" i="11"/>
  <c r="A347" i="11"/>
  <c r="F346" i="11"/>
  <c r="E346" i="11"/>
  <c r="D346" i="11"/>
  <c r="C346" i="11"/>
  <c r="B346" i="11"/>
  <c r="A346" i="11"/>
  <c r="F345" i="11"/>
  <c r="E345" i="11"/>
  <c r="D345" i="11"/>
  <c r="C345" i="11"/>
  <c r="B345" i="11"/>
  <c r="A345" i="11"/>
  <c r="F344" i="11"/>
  <c r="E344" i="11"/>
  <c r="D344" i="11"/>
  <c r="C344" i="11"/>
  <c r="B344" i="11"/>
  <c r="A344" i="11"/>
  <c r="F343" i="11"/>
  <c r="E343" i="11"/>
  <c r="D343" i="11"/>
  <c r="C343" i="11"/>
  <c r="B343" i="11"/>
  <c r="A343" i="11"/>
  <c r="F342" i="11"/>
  <c r="E342" i="11"/>
  <c r="D342" i="11"/>
  <c r="C342" i="11"/>
  <c r="B342" i="11"/>
  <c r="A342" i="11"/>
  <c r="F341" i="11"/>
  <c r="E341" i="11"/>
  <c r="D341" i="11"/>
  <c r="C341" i="11"/>
  <c r="B341" i="11"/>
  <c r="A341" i="11"/>
  <c r="F340" i="11"/>
  <c r="E340" i="11"/>
  <c r="D340" i="11"/>
  <c r="C340" i="11"/>
  <c r="B340" i="11"/>
  <c r="A340" i="11"/>
  <c r="F339" i="11"/>
  <c r="E339" i="11"/>
  <c r="D339" i="11"/>
  <c r="C339" i="11"/>
  <c r="B339" i="11"/>
  <c r="A339" i="11"/>
  <c r="F338" i="11"/>
  <c r="E338" i="11"/>
  <c r="D338" i="11"/>
  <c r="C338" i="11"/>
  <c r="B338" i="11"/>
  <c r="A338" i="11"/>
  <c r="F337" i="11"/>
  <c r="E337" i="11"/>
  <c r="D337" i="11"/>
  <c r="C337" i="11"/>
  <c r="B337" i="11"/>
  <c r="A337" i="11"/>
  <c r="F336" i="11"/>
  <c r="E336" i="11"/>
  <c r="D336" i="11"/>
  <c r="C336" i="11"/>
  <c r="B336" i="11"/>
  <c r="A336" i="11"/>
  <c r="F335" i="11"/>
  <c r="E335" i="11"/>
  <c r="D335" i="11"/>
  <c r="C335" i="11"/>
  <c r="B335" i="11"/>
  <c r="A335" i="11"/>
  <c r="F334" i="11"/>
  <c r="E334" i="11"/>
  <c r="D334" i="11"/>
  <c r="C334" i="11"/>
  <c r="B334" i="11"/>
  <c r="A334" i="11"/>
  <c r="F333" i="11"/>
  <c r="E333" i="11"/>
  <c r="D333" i="11"/>
  <c r="C333" i="11"/>
  <c r="B333" i="11"/>
  <c r="A333" i="11"/>
  <c r="F332" i="11"/>
  <c r="E332" i="11"/>
  <c r="D332" i="11"/>
  <c r="C332" i="11"/>
  <c r="B332" i="11"/>
  <c r="A332" i="11"/>
  <c r="F331" i="11"/>
  <c r="E331" i="11"/>
  <c r="D331" i="11"/>
  <c r="C331" i="11"/>
  <c r="B331" i="11"/>
  <c r="A331" i="11"/>
  <c r="F330" i="11"/>
  <c r="E330" i="11"/>
  <c r="D330" i="11"/>
  <c r="C330" i="11"/>
  <c r="B330" i="11"/>
  <c r="A330" i="11"/>
  <c r="F329" i="11"/>
  <c r="E329" i="11"/>
  <c r="D329" i="11"/>
  <c r="C329" i="11"/>
  <c r="B329" i="11"/>
  <c r="A329" i="11"/>
  <c r="F328" i="11"/>
  <c r="E328" i="11"/>
  <c r="D328" i="11"/>
  <c r="C328" i="11"/>
  <c r="B328" i="11"/>
  <c r="A328" i="11"/>
  <c r="F327" i="11"/>
  <c r="E327" i="11"/>
  <c r="D327" i="11"/>
  <c r="C327" i="11"/>
  <c r="B327" i="11"/>
  <c r="A327" i="11"/>
  <c r="F326" i="11"/>
  <c r="E326" i="11"/>
  <c r="D326" i="11"/>
  <c r="C326" i="11"/>
  <c r="B326" i="11"/>
  <c r="A326" i="11"/>
  <c r="F325" i="11"/>
  <c r="E325" i="11"/>
  <c r="D325" i="11"/>
  <c r="C325" i="11"/>
  <c r="B325" i="11"/>
  <c r="A325" i="11"/>
  <c r="F324" i="11"/>
  <c r="E324" i="11"/>
  <c r="D324" i="11"/>
  <c r="C324" i="11"/>
  <c r="B324" i="11"/>
  <c r="A324" i="11"/>
  <c r="F323" i="11"/>
  <c r="E323" i="11"/>
  <c r="D323" i="11"/>
  <c r="C323" i="11"/>
  <c r="B323" i="11"/>
  <c r="A323" i="11"/>
  <c r="F322" i="11"/>
  <c r="E322" i="11"/>
  <c r="D322" i="11"/>
  <c r="C322" i="11"/>
  <c r="B322" i="11"/>
  <c r="A322" i="11"/>
  <c r="F321" i="11"/>
  <c r="E321" i="11"/>
  <c r="D321" i="11"/>
  <c r="C321" i="11"/>
  <c r="B321" i="11"/>
  <c r="A321" i="11"/>
  <c r="F320" i="11"/>
  <c r="E320" i="11"/>
  <c r="D320" i="11"/>
  <c r="C320" i="11"/>
  <c r="B320" i="11"/>
  <c r="A320" i="11"/>
  <c r="F319" i="11"/>
  <c r="E319" i="11"/>
  <c r="D319" i="11"/>
  <c r="C319" i="11"/>
  <c r="B319" i="11"/>
  <c r="A319" i="11"/>
  <c r="F318" i="11"/>
  <c r="E318" i="11"/>
  <c r="D318" i="11"/>
  <c r="C318" i="11"/>
  <c r="B318" i="11"/>
  <c r="A318" i="11"/>
  <c r="F317" i="11"/>
  <c r="E317" i="11"/>
  <c r="D317" i="11"/>
  <c r="C317" i="11"/>
  <c r="B317" i="11"/>
  <c r="A317" i="11"/>
  <c r="F316" i="11"/>
  <c r="E316" i="11"/>
  <c r="D316" i="11"/>
  <c r="C316" i="11"/>
  <c r="B316" i="11"/>
  <c r="A316" i="11"/>
  <c r="F315" i="11"/>
  <c r="E315" i="11"/>
  <c r="D315" i="11"/>
  <c r="C315" i="11"/>
  <c r="B315" i="11"/>
  <c r="A315" i="11"/>
  <c r="F314" i="11"/>
  <c r="E314" i="11"/>
  <c r="D314" i="11"/>
  <c r="C314" i="11"/>
  <c r="B314" i="11"/>
  <c r="A314" i="11"/>
  <c r="F313" i="11"/>
  <c r="E313" i="11"/>
  <c r="D313" i="11"/>
  <c r="C313" i="11"/>
  <c r="B313" i="11"/>
  <c r="A313" i="11"/>
  <c r="F312" i="11"/>
  <c r="E312" i="11"/>
  <c r="D312" i="11"/>
  <c r="C312" i="11"/>
  <c r="B312" i="11"/>
  <c r="A312" i="11"/>
  <c r="F311" i="11"/>
  <c r="E311" i="11"/>
  <c r="D311" i="11"/>
  <c r="C311" i="11"/>
  <c r="B311" i="11"/>
  <c r="A311" i="11"/>
  <c r="F310" i="11"/>
  <c r="E310" i="11"/>
  <c r="D310" i="11"/>
  <c r="C310" i="11"/>
  <c r="B310" i="11"/>
  <c r="A310" i="11"/>
  <c r="F309" i="11"/>
  <c r="E309" i="11"/>
  <c r="D309" i="11"/>
  <c r="C309" i="11"/>
  <c r="B309" i="11"/>
  <c r="A309" i="11"/>
  <c r="F308" i="11"/>
  <c r="E308" i="11"/>
  <c r="D308" i="11"/>
  <c r="C308" i="11"/>
  <c r="B308" i="11"/>
  <c r="A308" i="11"/>
  <c r="F307" i="11"/>
  <c r="E307" i="11"/>
  <c r="D307" i="11"/>
  <c r="C307" i="11"/>
  <c r="B307" i="11"/>
  <c r="A307" i="11"/>
  <c r="F306" i="11"/>
  <c r="E306" i="11"/>
  <c r="D306" i="11"/>
  <c r="C306" i="11"/>
  <c r="B306" i="11"/>
  <c r="A306" i="11"/>
  <c r="F305" i="11"/>
  <c r="E305" i="11"/>
  <c r="D305" i="11"/>
  <c r="C305" i="11"/>
  <c r="B305" i="11"/>
  <c r="A305" i="11"/>
  <c r="F304" i="11"/>
  <c r="E304" i="11"/>
  <c r="D304" i="11"/>
  <c r="C304" i="11"/>
  <c r="B304" i="11"/>
  <c r="A304" i="11"/>
  <c r="F303" i="11"/>
  <c r="E303" i="11"/>
  <c r="D303" i="11"/>
  <c r="C303" i="11"/>
  <c r="B303" i="11"/>
  <c r="A303" i="11"/>
  <c r="F302" i="11"/>
  <c r="E302" i="11"/>
  <c r="D302" i="11"/>
  <c r="C302" i="11"/>
  <c r="B302" i="11"/>
  <c r="A302" i="11"/>
  <c r="F301" i="11"/>
  <c r="E301" i="11"/>
  <c r="D301" i="11"/>
  <c r="C301" i="11"/>
  <c r="B301" i="11"/>
  <c r="A301" i="11"/>
  <c r="F300" i="11"/>
  <c r="E300" i="11"/>
  <c r="D300" i="11"/>
  <c r="C300" i="11"/>
  <c r="B300" i="11"/>
  <c r="A300" i="11"/>
  <c r="F299" i="11"/>
  <c r="E299" i="11"/>
  <c r="D299" i="11"/>
  <c r="C299" i="11"/>
  <c r="B299" i="11"/>
  <c r="A299" i="11"/>
  <c r="F298" i="11"/>
  <c r="E298" i="11"/>
  <c r="D298" i="11"/>
  <c r="C298" i="11"/>
  <c r="B298" i="11"/>
  <c r="A298" i="11"/>
  <c r="F297" i="11"/>
  <c r="E297" i="11"/>
  <c r="D297" i="11"/>
  <c r="C297" i="11"/>
  <c r="B297" i="11"/>
  <c r="A297" i="11"/>
  <c r="F296" i="11"/>
  <c r="E296" i="11"/>
  <c r="D296" i="11"/>
  <c r="C296" i="11"/>
  <c r="B296" i="11"/>
  <c r="A296" i="11"/>
  <c r="F295" i="11"/>
  <c r="E295" i="11"/>
  <c r="D295" i="11"/>
  <c r="C295" i="11"/>
  <c r="B295" i="11"/>
  <c r="A295" i="11"/>
  <c r="F294" i="11"/>
  <c r="E294" i="11"/>
  <c r="D294" i="11"/>
  <c r="C294" i="11"/>
  <c r="B294" i="11"/>
  <c r="A294" i="11"/>
  <c r="F293" i="11"/>
  <c r="E293" i="11"/>
  <c r="D293" i="11"/>
  <c r="C293" i="11"/>
  <c r="B293" i="11"/>
  <c r="A293" i="11"/>
  <c r="F292" i="11"/>
  <c r="E292" i="11"/>
  <c r="D292" i="11"/>
  <c r="C292" i="11"/>
  <c r="B292" i="11"/>
  <c r="A292" i="11"/>
  <c r="F291" i="11"/>
  <c r="E291" i="11"/>
  <c r="D291" i="11"/>
  <c r="C291" i="11"/>
  <c r="B291" i="11"/>
  <c r="A291" i="11"/>
  <c r="F290" i="11"/>
  <c r="E290" i="11"/>
  <c r="D290" i="11"/>
  <c r="C290" i="11"/>
  <c r="B290" i="11"/>
  <c r="A290" i="11"/>
  <c r="F289" i="11"/>
  <c r="E289" i="11"/>
  <c r="D289" i="11"/>
  <c r="C289" i="11"/>
  <c r="B289" i="11"/>
  <c r="A289" i="11"/>
  <c r="F288" i="11"/>
  <c r="E288" i="11"/>
  <c r="D288" i="11"/>
  <c r="C288" i="11"/>
  <c r="B288" i="11"/>
  <c r="A288" i="11"/>
  <c r="F287" i="11"/>
  <c r="E287" i="11"/>
  <c r="D287" i="11"/>
  <c r="C287" i="11"/>
  <c r="B287" i="11"/>
  <c r="A287" i="11"/>
  <c r="F286" i="11"/>
  <c r="E286" i="11"/>
  <c r="D286" i="11"/>
  <c r="C286" i="11"/>
  <c r="B286" i="11"/>
  <c r="A286" i="11"/>
  <c r="F285" i="11"/>
  <c r="E285" i="11"/>
  <c r="D285" i="11"/>
  <c r="C285" i="11"/>
  <c r="B285" i="11"/>
  <c r="A285" i="11"/>
  <c r="F284" i="11"/>
  <c r="E284" i="11"/>
  <c r="D284" i="11"/>
  <c r="C284" i="11"/>
  <c r="B284" i="11"/>
  <c r="A284" i="11"/>
  <c r="F283" i="11"/>
  <c r="E283" i="11"/>
  <c r="D283" i="11"/>
  <c r="C283" i="11"/>
  <c r="B283" i="11"/>
  <c r="A283" i="11"/>
  <c r="F282" i="11"/>
  <c r="E282" i="11"/>
  <c r="D282" i="11"/>
  <c r="C282" i="11"/>
  <c r="B282" i="11"/>
  <c r="A282" i="11"/>
  <c r="F281" i="11"/>
  <c r="E281" i="11"/>
  <c r="D281" i="11"/>
  <c r="C281" i="11"/>
  <c r="B281" i="11"/>
  <c r="A281" i="11"/>
  <c r="F280" i="11"/>
  <c r="E280" i="11"/>
  <c r="D280" i="11"/>
  <c r="C280" i="11"/>
  <c r="B280" i="11"/>
  <c r="A280" i="11"/>
  <c r="F279" i="11"/>
  <c r="E279" i="11"/>
  <c r="D279" i="11"/>
  <c r="C279" i="11"/>
  <c r="B279" i="11"/>
  <c r="A279" i="11"/>
  <c r="F278" i="11"/>
  <c r="E278" i="11"/>
  <c r="D278" i="11"/>
  <c r="C278" i="11"/>
  <c r="B278" i="11"/>
  <c r="A278" i="11"/>
  <c r="F277" i="11"/>
  <c r="E277" i="11"/>
  <c r="D277" i="11"/>
  <c r="C277" i="11"/>
  <c r="B277" i="11"/>
  <c r="A277" i="11"/>
  <c r="F276" i="11"/>
  <c r="E276" i="11"/>
  <c r="D276" i="11"/>
  <c r="C276" i="11"/>
  <c r="B276" i="11"/>
  <c r="A276" i="11"/>
  <c r="F275" i="11"/>
  <c r="E275" i="11"/>
  <c r="D275" i="11"/>
  <c r="C275" i="11"/>
  <c r="B275" i="11"/>
  <c r="A275" i="11"/>
  <c r="F274" i="11"/>
  <c r="E274" i="11"/>
  <c r="D274" i="11"/>
  <c r="C274" i="11"/>
  <c r="B274" i="11"/>
  <c r="A274" i="11"/>
  <c r="F273" i="11"/>
  <c r="E273" i="11"/>
  <c r="D273" i="11"/>
  <c r="C273" i="11"/>
  <c r="B273" i="11"/>
  <c r="A273" i="11"/>
  <c r="F272" i="11"/>
  <c r="E272" i="11"/>
  <c r="D272" i="11"/>
  <c r="C272" i="11"/>
  <c r="B272" i="11"/>
  <c r="A272" i="11"/>
  <c r="F271" i="11"/>
  <c r="E271" i="11"/>
  <c r="D271" i="11"/>
  <c r="C271" i="11"/>
  <c r="B271" i="11"/>
  <c r="A271" i="11"/>
  <c r="F270" i="11"/>
  <c r="E270" i="11"/>
  <c r="D270" i="11"/>
  <c r="C270" i="11"/>
  <c r="B270" i="11"/>
  <c r="A270" i="11"/>
  <c r="F269" i="11"/>
  <c r="E269" i="11"/>
  <c r="D269" i="11"/>
  <c r="C269" i="11"/>
  <c r="B269" i="11"/>
  <c r="A269" i="11"/>
  <c r="F268" i="11"/>
  <c r="E268" i="11"/>
  <c r="D268" i="11"/>
  <c r="C268" i="11"/>
  <c r="B268" i="11"/>
  <c r="A268" i="11"/>
  <c r="F267" i="11"/>
  <c r="E267" i="11"/>
  <c r="D267" i="11"/>
  <c r="C267" i="11"/>
  <c r="B267" i="11"/>
  <c r="A267" i="11"/>
  <c r="F266" i="11"/>
  <c r="E266" i="11"/>
  <c r="D266" i="11"/>
  <c r="C266" i="11"/>
  <c r="B266" i="11"/>
  <c r="A266" i="11"/>
  <c r="F265" i="11"/>
  <c r="E265" i="11"/>
  <c r="D265" i="11"/>
  <c r="C265" i="11"/>
  <c r="B265" i="11"/>
  <c r="A265" i="11"/>
  <c r="F264" i="11"/>
  <c r="E264" i="11"/>
  <c r="D264" i="11"/>
  <c r="C264" i="11"/>
  <c r="B264" i="11"/>
  <c r="A264" i="11"/>
  <c r="F263" i="11"/>
  <c r="E263" i="11"/>
  <c r="D263" i="11"/>
  <c r="C263" i="11"/>
  <c r="B263" i="11"/>
  <c r="A263" i="11"/>
  <c r="F262" i="11"/>
  <c r="E262" i="11"/>
  <c r="D262" i="11"/>
  <c r="C262" i="11"/>
  <c r="B262" i="11"/>
  <c r="A262" i="11"/>
  <c r="F261" i="11"/>
  <c r="E261" i="11"/>
  <c r="D261" i="11"/>
  <c r="C261" i="11"/>
  <c r="B261" i="11"/>
  <c r="A261" i="11"/>
  <c r="F260" i="11"/>
  <c r="E260" i="11"/>
  <c r="D260" i="11"/>
  <c r="C260" i="11"/>
  <c r="B260" i="11"/>
  <c r="A260" i="11"/>
  <c r="F259" i="11"/>
  <c r="E259" i="11"/>
  <c r="D259" i="11"/>
  <c r="C259" i="11"/>
  <c r="B259" i="11"/>
  <c r="A259" i="11"/>
  <c r="F258" i="11"/>
  <c r="E258" i="11"/>
  <c r="D258" i="11"/>
  <c r="C258" i="11"/>
  <c r="B258" i="11"/>
  <c r="A258" i="11"/>
  <c r="F257" i="11"/>
  <c r="E257" i="11"/>
  <c r="D257" i="11"/>
  <c r="C257" i="11"/>
  <c r="B257" i="11"/>
  <c r="A257" i="11"/>
  <c r="F256" i="11"/>
  <c r="E256" i="11"/>
  <c r="D256" i="11"/>
  <c r="C256" i="11"/>
  <c r="B256" i="11"/>
  <c r="A256" i="11"/>
  <c r="F255" i="11"/>
  <c r="E255" i="11"/>
  <c r="D255" i="11"/>
  <c r="C255" i="11"/>
  <c r="B255" i="11"/>
  <c r="A255" i="11"/>
  <c r="F254" i="11"/>
  <c r="E254" i="11"/>
  <c r="D254" i="11"/>
  <c r="C254" i="11"/>
  <c r="B254" i="11"/>
  <c r="A254" i="11"/>
  <c r="F253" i="11"/>
  <c r="E253" i="11"/>
  <c r="D253" i="11"/>
  <c r="C253" i="11"/>
  <c r="B253" i="11"/>
  <c r="A253" i="11"/>
  <c r="F252" i="11"/>
  <c r="E252" i="11"/>
  <c r="D252" i="11"/>
  <c r="C252" i="11"/>
  <c r="B252" i="11"/>
  <c r="A252" i="11"/>
  <c r="F251" i="11"/>
  <c r="E251" i="11"/>
  <c r="D251" i="11"/>
  <c r="C251" i="11"/>
  <c r="B251" i="11"/>
  <c r="A251" i="11"/>
  <c r="F250" i="11"/>
  <c r="E250" i="11"/>
  <c r="D250" i="11"/>
  <c r="C250" i="11"/>
  <c r="B250" i="11"/>
  <c r="A250" i="11"/>
  <c r="F249" i="11"/>
  <c r="E249" i="11"/>
  <c r="D249" i="11"/>
  <c r="C249" i="11"/>
  <c r="B249" i="11"/>
  <c r="A249" i="11"/>
  <c r="F248" i="11"/>
  <c r="E248" i="11"/>
  <c r="D248" i="11"/>
  <c r="C248" i="11"/>
  <c r="B248" i="11"/>
  <c r="A248" i="11"/>
  <c r="F247" i="11"/>
  <c r="E247" i="11"/>
  <c r="D247" i="11"/>
  <c r="C247" i="11"/>
  <c r="B247" i="11"/>
  <c r="A247" i="11"/>
  <c r="F246" i="11"/>
  <c r="E246" i="11"/>
  <c r="D246" i="11"/>
  <c r="C246" i="11"/>
  <c r="B246" i="11"/>
  <c r="A246" i="11"/>
  <c r="F245" i="11"/>
  <c r="E245" i="11"/>
  <c r="D245" i="11"/>
  <c r="C245" i="11"/>
  <c r="B245" i="11"/>
  <c r="A245" i="11"/>
  <c r="F244" i="11"/>
  <c r="E244" i="11"/>
  <c r="D244" i="11"/>
  <c r="C244" i="11"/>
  <c r="B244" i="11"/>
  <c r="A244" i="11"/>
  <c r="F243" i="11"/>
  <c r="E243" i="11"/>
  <c r="D243" i="11"/>
  <c r="C243" i="11"/>
  <c r="B243" i="11"/>
  <c r="A243" i="11"/>
  <c r="F242" i="11"/>
  <c r="E242" i="11"/>
  <c r="D242" i="11"/>
  <c r="C242" i="11"/>
  <c r="B242" i="11"/>
  <c r="A242" i="11"/>
  <c r="F241" i="11"/>
  <c r="E241" i="11"/>
  <c r="D241" i="11"/>
  <c r="C241" i="11"/>
  <c r="B241" i="11"/>
  <c r="A241" i="11"/>
  <c r="F240" i="11"/>
  <c r="E240" i="11"/>
  <c r="D240" i="11"/>
  <c r="C240" i="11"/>
  <c r="B240" i="11"/>
  <c r="A240" i="11"/>
  <c r="F239" i="11"/>
  <c r="E239" i="11"/>
  <c r="D239" i="11"/>
  <c r="C239" i="11"/>
  <c r="B239" i="11"/>
  <c r="A239" i="11"/>
  <c r="F238" i="11"/>
  <c r="E238" i="11"/>
  <c r="D238" i="11"/>
  <c r="C238" i="11"/>
  <c r="B238" i="11"/>
  <c r="A238" i="11"/>
  <c r="F237" i="11"/>
  <c r="E237" i="11"/>
  <c r="D237" i="11"/>
  <c r="C237" i="11"/>
  <c r="B237" i="11"/>
  <c r="A237" i="11"/>
  <c r="F236" i="11"/>
  <c r="E236" i="11"/>
  <c r="D236" i="11"/>
  <c r="C236" i="11"/>
  <c r="B236" i="11"/>
  <c r="A236" i="11"/>
  <c r="F235" i="11"/>
  <c r="E235" i="11"/>
  <c r="D235" i="11"/>
  <c r="C235" i="11"/>
  <c r="B235" i="11"/>
  <c r="A235" i="11"/>
  <c r="F234" i="11"/>
  <c r="E234" i="11"/>
  <c r="D234" i="11"/>
  <c r="C234" i="11"/>
  <c r="B234" i="11"/>
  <c r="A234" i="11"/>
  <c r="F233" i="11"/>
  <c r="E233" i="11"/>
  <c r="D233" i="11"/>
  <c r="C233" i="11"/>
  <c r="B233" i="11"/>
  <c r="A233" i="11"/>
  <c r="F232" i="11"/>
  <c r="E232" i="11"/>
  <c r="D232" i="11"/>
  <c r="C232" i="11"/>
  <c r="B232" i="11"/>
  <c r="A232" i="11"/>
  <c r="F231" i="11"/>
  <c r="E231" i="11"/>
  <c r="D231" i="11"/>
  <c r="C231" i="11"/>
  <c r="B231" i="11"/>
  <c r="A231" i="11"/>
  <c r="F230" i="11"/>
  <c r="E230" i="11"/>
  <c r="D230" i="11"/>
  <c r="C230" i="11"/>
  <c r="B230" i="11"/>
  <c r="A230" i="11"/>
  <c r="F229" i="11"/>
  <c r="E229" i="11"/>
  <c r="D229" i="11"/>
  <c r="C229" i="11"/>
  <c r="B229" i="11"/>
  <c r="A229" i="11"/>
  <c r="F228" i="11"/>
  <c r="E228" i="11"/>
  <c r="D228" i="11"/>
  <c r="C228" i="11"/>
  <c r="B228" i="11"/>
  <c r="A228" i="11"/>
  <c r="F227" i="11"/>
  <c r="E227" i="11"/>
  <c r="D227" i="11"/>
  <c r="C227" i="11"/>
  <c r="B227" i="11"/>
  <c r="A227" i="11"/>
  <c r="F226" i="11"/>
  <c r="E226" i="11"/>
  <c r="D226" i="11"/>
  <c r="C226" i="11"/>
  <c r="B226" i="11"/>
  <c r="A226" i="11"/>
  <c r="F225" i="11"/>
  <c r="E225" i="11"/>
  <c r="D225" i="11"/>
  <c r="C225" i="11"/>
  <c r="B225" i="11"/>
  <c r="A225" i="11"/>
  <c r="F224" i="11"/>
  <c r="E224" i="11"/>
  <c r="D224" i="11"/>
  <c r="C224" i="11"/>
  <c r="B224" i="11"/>
  <c r="A224" i="11"/>
  <c r="F223" i="11"/>
  <c r="E223" i="11"/>
  <c r="D223" i="11"/>
  <c r="C223" i="11"/>
  <c r="B223" i="11"/>
  <c r="A223" i="11"/>
  <c r="F222" i="11"/>
  <c r="E222" i="11"/>
  <c r="D222" i="11"/>
  <c r="C222" i="11"/>
  <c r="B222" i="11"/>
  <c r="A222" i="11"/>
  <c r="F221" i="11"/>
  <c r="E221" i="11"/>
  <c r="D221" i="11"/>
  <c r="C221" i="11"/>
  <c r="B221" i="11"/>
  <c r="A221" i="11"/>
  <c r="F220" i="11"/>
  <c r="E220" i="11"/>
  <c r="D220" i="11"/>
  <c r="C220" i="11"/>
  <c r="B220" i="11"/>
  <c r="A220" i="11"/>
  <c r="F219" i="11"/>
  <c r="E219" i="11"/>
  <c r="D219" i="11"/>
  <c r="C219" i="11"/>
  <c r="B219" i="11"/>
  <c r="A219" i="11"/>
  <c r="F218" i="11"/>
  <c r="E218" i="11"/>
  <c r="D218" i="11"/>
  <c r="C218" i="11"/>
  <c r="B218" i="11"/>
  <c r="A218" i="11"/>
  <c r="F217" i="11"/>
  <c r="E217" i="11"/>
  <c r="D217" i="11"/>
  <c r="C217" i="11"/>
  <c r="B217" i="11"/>
  <c r="A217" i="11"/>
  <c r="F216" i="11"/>
  <c r="E216" i="11"/>
  <c r="D216" i="11"/>
  <c r="C216" i="11"/>
  <c r="B216" i="11"/>
  <c r="A216" i="11"/>
  <c r="F215" i="11"/>
  <c r="E215" i="11"/>
  <c r="D215" i="11"/>
  <c r="C215" i="11"/>
  <c r="B215" i="11"/>
  <c r="A215" i="11"/>
  <c r="F214" i="11"/>
  <c r="E214" i="11"/>
  <c r="D214" i="11"/>
  <c r="C214" i="11"/>
  <c r="B214" i="11"/>
  <c r="A214" i="11"/>
  <c r="F213" i="11"/>
  <c r="E213" i="11"/>
  <c r="D213" i="11"/>
  <c r="C213" i="11"/>
  <c r="B213" i="11"/>
  <c r="A213" i="11"/>
  <c r="F212" i="11"/>
  <c r="E212" i="11"/>
  <c r="D212" i="11"/>
  <c r="C212" i="11"/>
  <c r="B212" i="11"/>
  <c r="A212" i="11"/>
  <c r="F211" i="11"/>
  <c r="E211" i="11"/>
  <c r="D211" i="11"/>
  <c r="C211" i="11"/>
  <c r="B211" i="11"/>
  <c r="A211" i="11"/>
  <c r="F210" i="11"/>
  <c r="E210" i="11"/>
  <c r="D210" i="11"/>
  <c r="C210" i="11"/>
  <c r="B210" i="11"/>
  <c r="A210" i="11"/>
  <c r="F209" i="11"/>
  <c r="E209" i="11"/>
  <c r="D209" i="11"/>
  <c r="C209" i="11"/>
  <c r="B209" i="11"/>
  <c r="A209" i="11"/>
  <c r="F208" i="11"/>
  <c r="E208" i="11"/>
  <c r="D208" i="11"/>
  <c r="C208" i="11"/>
  <c r="B208" i="11"/>
  <c r="A208" i="11"/>
  <c r="F207" i="11"/>
  <c r="E207" i="11"/>
  <c r="D207" i="11"/>
  <c r="C207" i="11"/>
  <c r="B207" i="11"/>
  <c r="A207" i="11"/>
  <c r="F206" i="11"/>
  <c r="E206" i="11"/>
  <c r="D206" i="11"/>
  <c r="C206" i="11"/>
  <c r="B206" i="11"/>
  <c r="A206" i="11"/>
  <c r="F205" i="11"/>
  <c r="E205" i="11"/>
  <c r="D205" i="11"/>
  <c r="C205" i="11"/>
  <c r="B205" i="11"/>
  <c r="A205" i="11"/>
  <c r="F204" i="11"/>
  <c r="E204" i="11"/>
  <c r="D204" i="11"/>
  <c r="C204" i="11"/>
  <c r="B204" i="11"/>
  <c r="A204" i="11"/>
  <c r="F203" i="11"/>
  <c r="E203" i="11"/>
  <c r="D203" i="11"/>
  <c r="C203" i="11"/>
  <c r="B203" i="11"/>
  <c r="A203" i="11"/>
  <c r="F202" i="11"/>
  <c r="E202" i="11"/>
  <c r="D202" i="11"/>
  <c r="C202" i="11"/>
  <c r="B202" i="11"/>
  <c r="A202" i="11"/>
  <c r="F201" i="11"/>
  <c r="E201" i="11"/>
  <c r="D201" i="11"/>
  <c r="C201" i="11"/>
  <c r="B201" i="11"/>
  <c r="A201" i="11"/>
  <c r="F200" i="11"/>
  <c r="E200" i="11"/>
  <c r="D200" i="11"/>
  <c r="C200" i="11"/>
  <c r="B200" i="11"/>
  <c r="A200" i="11"/>
  <c r="F199" i="11"/>
  <c r="E199" i="11"/>
  <c r="D199" i="11"/>
  <c r="C199" i="11"/>
  <c r="B199" i="11"/>
  <c r="A199" i="11"/>
  <c r="F198" i="11"/>
  <c r="E198" i="11"/>
  <c r="D198" i="11"/>
  <c r="C198" i="11"/>
  <c r="B198" i="11"/>
  <c r="A198" i="11"/>
  <c r="F197" i="11"/>
  <c r="E197" i="11"/>
  <c r="D197" i="11"/>
  <c r="C197" i="11"/>
  <c r="B197" i="11"/>
  <c r="A197" i="11"/>
  <c r="F196" i="11"/>
  <c r="E196" i="11"/>
  <c r="D196" i="11"/>
  <c r="C196" i="11"/>
  <c r="B196" i="11"/>
  <c r="A196" i="11"/>
  <c r="F195" i="11"/>
  <c r="E195" i="11"/>
  <c r="D195" i="11"/>
  <c r="C195" i="11"/>
  <c r="B195" i="11"/>
  <c r="A195" i="11"/>
  <c r="F194" i="11"/>
  <c r="E194" i="11"/>
  <c r="D194" i="11"/>
  <c r="C194" i="11"/>
  <c r="B194" i="11"/>
  <c r="A194" i="11"/>
  <c r="F193" i="11"/>
  <c r="E193" i="11"/>
  <c r="D193" i="11"/>
  <c r="C193" i="11"/>
  <c r="B193" i="11"/>
  <c r="A193" i="11"/>
  <c r="F192" i="11"/>
  <c r="E192" i="11"/>
  <c r="D192" i="11"/>
  <c r="C192" i="11"/>
  <c r="B192" i="11"/>
  <c r="A192" i="11"/>
  <c r="F191" i="11"/>
  <c r="E191" i="11"/>
  <c r="D191" i="11"/>
  <c r="C191" i="11"/>
  <c r="B191" i="11"/>
  <c r="A191" i="11"/>
  <c r="F190" i="11"/>
  <c r="E190" i="11"/>
  <c r="D190" i="11"/>
  <c r="C190" i="11"/>
  <c r="B190" i="11"/>
  <c r="A190" i="11"/>
  <c r="F189" i="11"/>
  <c r="E189" i="11"/>
  <c r="D189" i="11"/>
  <c r="C189" i="11"/>
  <c r="B189" i="11"/>
  <c r="A189" i="11"/>
  <c r="F188" i="11"/>
  <c r="E188" i="11"/>
  <c r="D188" i="11"/>
  <c r="C188" i="11"/>
  <c r="B188" i="11"/>
  <c r="A188" i="11"/>
  <c r="F187" i="11"/>
  <c r="E187" i="11"/>
  <c r="D187" i="11"/>
  <c r="C187" i="11"/>
  <c r="B187" i="11"/>
  <c r="A187" i="11"/>
  <c r="F186" i="11"/>
  <c r="E186" i="11"/>
  <c r="D186" i="11"/>
  <c r="C186" i="11"/>
  <c r="B186" i="11"/>
  <c r="A186" i="11"/>
  <c r="F185" i="11"/>
  <c r="E185" i="11"/>
  <c r="D185" i="11"/>
  <c r="C185" i="11"/>
  <c r="B185" i="11"/>
  <c r="A185" i="11"/>
  <c r="F184" i="11"/>
  <c r="E184" i="11"/>
  <c r="D184" i="11"/>
  <c r="C184" i="11"/>
  <c r="B184" i="11"/>
  <c r="A184" i="11"/>
  <c r="F183" i="11"/>
  <c r="E183" i="11"/>
  <c r="D183" i="11"/>
  <c r="C183" i="11"/>
  <c r="B183" i="11"/>
  <c r="A183" i="11"/>
  <c r="F182" i="11"/>
  <c r="E182" i="11"/>
  <c r="D182" i="11"/>
  <c r="C182" i="11"/>
  <c r="B182" i="11"/>
  <c r="A182" i="11"/>
  <c r="F181" i="11"/>
  <c r="E181" i="11"/>
  <c r="D181" i="11"/>
  <c r="C181" i="11"/>
  <c r="B181" i="11"/>
  <c r="A181" i="11"/>
  <c r="F180" i="11"/>
  <c r="E180" i="11"/>
  <c r="D180" i="11"/>
  <c r="C180" i="11"/>
  <c r="B180" i="11"/>
  <c r="A180" i="11"/>
  <c r="F179" i="11"/>
  <c r="E179" i="11"/>
  <c r="D179" i="11"/>
  <c r="C179" i="11"/>
  <c r="B179" i="11"/>
  <c r="A179" i="11"/>
  <c r="F178" i="11"/>
  <c r="E178" i="11"/>
  <c r="D178" i="11"/>
  <c r="C178" i="11"/>
  <c r="B178" i="11"/>
  <c r="A178" i="11"/>
  <c r="F177" i="11"/>
  <c r="E177" i="11"/>
  <c r="D177" i="11"/>
  <c r="C177" i="11"/>
  <c r="B177" i="11"/>
  <c r="A177" i="11"/>
  <c r="F176" i="11"/>
  <c r="E176" i="11"/>
  <c r="D176" i="11"/>
  <c r="C176" i="11"/>
  <c r="B176" i="11"/>
  <c r="A176" i="11"/>
  <c r="F175" i="11"/>
  <c r="E175" i="11"/>
  <c r="D175" i="11"/>
  <c r="C175" i="11"/>
  <c r="B175" i="11"/>
  <c r="A175" i="11"/>
  <c r="F174" i="11"/>
  <c r="E174" i="11"/>
  <c r="D174" i="11"/>
  <c r="C174" i="11"/>
  <c r="B174" i="11"/>
  <c r="A174" i="11"/>
  <c r="F173" i="11"/>
  <c r="E173" i="11"/>
  <c r="D173" i="11"/>
  <c r="C173" i="11"/>
  <c r="B173" i="11"/>
  <c r="A173" i="11"/>
  <c r="F172" i="11"/>
  <c r="E172" i="11"/>
  <c r="D172" i="11"/>
  <c r="C172" i="11"/>
  <c r="B172" i="11"/>
  <c r="A172" i="11"/>
  <c r="F171" i="11"/>
  <c r="E171" i="11"/>
  <c r="D171" i="11"/>
  <c r="C171" i="11"/>
  <c r="B171" i="11"/>
  <c r="A171" i="11"/>
  <c r="F170" i="11"/>
  <c r="E170" i="11"/>
  <c r="D170" i="11"/>
  <c r="C170" i="11"/>
  <c r="B170" i="11"/>
  <c r="A170" i="11"/>
  <c r="F169" i="11"/>
  <c r="E169" i="11"/>
  <c r="D169" i="11"/>
  <c r="C169" i="11"/>
  <c r="B169" i="11"/>
  <c r="A169" i="11"/>
  <c r="F168" i="11"/>
  <c r="E168" i="11"/>
  <c r="D168" i="11"/>
  <c r="C168" i="11"/>
  <c r="B168" i="11"/>
  <c r="A168" i="11"/>
  <c r="F167" i="11"/>
  <c r="E167" i="11"/>
  <c r="D167" i="11"/>
  <c r="C167" i="11"/>
  <c r="B167" i="11"/>
  <c r="A167" i="11"/>
  <c r="F166" i="11"/>
  <c r="E166" i="11"/>
  <c r="D166" i="11"/>
  <c r="C166" i="11"/>
  <c r="B166" i="11"/>
  <c r="A166" i="11"/>
  <c r="F165" i="11"/>
  <c r="E165" i="11"/>
  <c r="D165" i="11"/>
  <c r="C165" i="11"/>
  <c r="B165" i="11"/>
  <c r="A165" i="11"/>
  <c r="F164" i="11"/>
  <c r="E164" i="11"/>
  <c r="D164" i="11"/>
  <c r="C164" i="11"/>
  <c r="B164" i="11"/>
  <c r="A164" i="11"/>
  <c r="F163" i="11"/>
  <c r="E163" i="11"/>
  <c r="D163" i="11"/>
  <c r="C163" i="11"/>
  <c r="B163" i="11"/>
  <c r="A163" i="11"/>
  <c r="F162" i="11"/>
  <c r="E162" i="11"/>
  <c r="D162" i="11"/>
  <c r="C162" i="11"/>
  <c r="B162" i="11"/>
  <c r="A162" i="11"/>
  <c r="F161" i="11"/>
  <c r="E161" i="11"/>
  <c r="D161" i="11"/>
  <c r="C161" i="11"/>
  <c r="B161" i="11"/>
  <c r="A161" i="11"/>
  <c r="F160" i="11"/>
  <c r="E160" i="11"/>
  <c r="D160" i="11"/>
  <c r="C160" i="11"/>
  <c r="B160" i="11"/>
  <c r="A160" i="11"/>
  <c r="F159" i="11"/>
  <c r="E159" i="11"/>
  <c r="D159" i="11"/>
  <c r="C159" i="11"/>
  <c r="B159" i="11"/>
  <c r="A159" i="11"/>
  <c r="F158" i="11"/>
  <c r="E158" i="11"/>
  <c r="D158" i="11"/>
  <c r="C158" i="11"/>
  <c r="B158" i="11"/>
  <c r="A158" i="11"/>
  <c r="F157" i="11"/>
  <c r="E157" i="11"/>
  <c r="D157" i="11"/>
  <c r="C157" i="11"/>
  <c r="B157" i="11"/>
  <c r="A157" i="11"/>
  <c r="F156" i="11"/>
  <c r="E156" i="11"/>
  <c r="D156" i="11"/>
  <c r="C156" i="11"/>
  <c r="B156" i="11"/>
  <c r="A156" i="11"/>
  <c r="F155" i="11"/>
  <c r="E155" i="11"/>
  <c r="D155" i="11"/>
  <c r="C155" i="11"/>
  <c r="B155" i="11"/>
  <c r="A155" i="11"/>
  <c r="F154" i="11"/>
  <c r="E154" i="11"/>
  <c r="D154" i="11"/>
  <c r="C154" i="11"/>
  <c r="B154" i="11"/>
  <c r="A154" i="11"/>
  <c r="F153" i="11"/>
  <c r="E153" i="11"/>
  <c r="D153" i="11"/>
  <c r="C153" i="11"/>
  <c r="B153" i="11"/>
  <c r="A153" i="11"/>
  <c r="F152" i="11"/>
  <c r="E152" i="11"/>
  <c r="D152" i="11"/>
  <c r="C152" i="11"/>
  <c r="B152" i="11"/>
  <c r="A152" i="11"/>
  <c r="F151" i="11"/>
  <c r="E151" i="11"/>
  <c r="D151" i="11"/>
  <c r="C151" i="11"/>
  <c r="B151" i="11"/>
  <c r="A151" i="11"/>
  <c r="F150" i="11"/>
  <c r="E150" i="11"/>
  <c r="D150" i="11"/>
  <c r="C150" i="11"/>
  <c r="B150" i="11"/>
  <c r="A150" i="11"/>
  <c r="F149" i="11"/>
  <c r="E149" i="11"/>
  <c r="D149" i="11"/>
  <c r="C149" i="11"/>
  <c r="B149" i="11"/>
  <c r="A149" i="11"/>
  <c r="F148" i="11"/>
  <c r="E148" i="11"/>
  <c r="D148" i="11"/>
  <c r="C148" i="11"/>
  <c r="B148" i="11"/>
  <c r="A148" i="11"/>
  <c r="F147" i="11"/>
  <c r="E147" i="11"/>
  <c r="D147" i="11"/>
  <c r="C147" i="11"/>
  <c r="B147" i="11"/>
  <c r="A147" i="11"/>
  <c r="F146" i="11"/>
  <c r="E146" i="11"/>
  <c r="D146" i="11"/>
  <c r="C146" i="11"/>
  <c r="B146" i="11"/>
  <c r="A146" i="11"/>
  <c r="F145" i="11"/>
  <c r="E145" i="11"/>
  <c r="D145" i="11"/>
  <c r="C145" i="11"/>
  <c r="B145" i="11"/>
  <c r="A145" i="11"/>
  <c r="F144" i="11"/>
  <c r="E144" i="11"/>
  <c r="D144" i="11"/>
  <c r="C144" i="11"/>
  <c r="B144" i="11"/>
  <c r="A144" i="11"/>
  <c r="F143" i="11"/>
  <c r="E143" i="11"/>
  <c r="D143" i="11"/>
  <c r="C143" i="11"/>
  <c r="B143" i="11"/>
  <c r="A143" i="11"/>
  <c r="F142" i="11"/>
  <c r="E142" i="11"/>
  <c r="D142" i="11"/>
  <c r="C142" i="11"/>
  <c r="B142" i="11"/>
  <c r="A142" i="11"/>
  <c r="F141" i="11"/>
  <c r="E141" i="11"/>
  <c r="D141" i="11"/>
  <c r="C141" i="11"/>
  <c r="B141" i="11"/>
  <c r="A141" i="11"/>
  <c r="F140" i="11"/>
  <c r="E140" i="11"/>
  <c r="D140" i="11"/>
  <c r="C140" i="11"/>
  <c r="B140" i="11"/>
  <c r="A140" i="11"/>
  <c r="F139" i="11"/>
  <c r="E139" i="11"/>
  <c r="D139" i="11"/>
  <c r="C139" i="11"/>
  <c r="B139" i="11"/>
  <c r="A139" i="11"/>
  <c r="F138" i="11"/>
  <c r="E138" i="11"/>
  <c r="D138" i="11"/>
  <c r="C138" i="11"/>
  <c r="B138" i="11"/>
  <c r="A138" i="11"/>
  <c r="F137" i="11"/>
  <c r="E137" i="11"/>
  <c r="D137" i="11"/>
  <c r="C137" i="11"/>
  <c r="B137" i="11"/>
  <c r="A137" i="11"/>
  <c r="F136" i="11"/>
  <c r="E136" i="11"/>
  <c r="D136" i="11"/>
  <c r="C136" i="11"/>
  <c r="B136" i="11"/>
  <c r="A136" i="11"/>
  <c r="F135" i="11"/>
  <c r="E135" i="11"/>
  <c r="D135" i="11"/>
  <c r="C135" i="11"/>
  <c r="B135" i="11"/>
  <c r="A135" i="11"/>
  <c r="F134" i="11"/>
  <c r="E134" i="11"/>
  <c r="D134" i="11"/>
  <c r="C134" i="11"/>
  <c r="B134" i="11"/>
  <c r="A134" i="11"/>
  <c r="F133" i="11"/>
  <c r="E133" i="11"/>
  <c r="D133" i="11"/>
  <c r="C133" i="11"/>
  <c r="B133" i="11"/>
  <c r="A133" i="11"/>
  <c r="F132" i="11"/>
  <c r="E132" i="11"/>
  <c r="D132" i="11"/>
  <c r="C132" i="11"/>
  <c r="B132" i="11"/>
  <c r="A132" i="11"/>
  <c r="F131" i="11"/>
  <c r="E131" i="11"/>
  <c r="D131" i="11"/>
  <c r="C131" i="11"/>
  <c r="B131" i="11"/>
  <c r="A131" i="11"/>
  <c r="F130" i="11"/>
  <c r="E130" i="11"/>
  <c r="D130" i="11"/>
  <c r="C130" i="11"/>
  <c r="B130" i="11"/>
  <c r="A130" i="11"/>
  <c r="F129" i="11"/>
  <c r="E129" i="11"/>
  <c r="D129" i="11"/>
  <c r="C129" i="11"/>
  <c r="B129" i="11"/>
  <c r="A129" i="11"/>
  <c r="F128" i="11"/>
  <c r="E128" i="11"/>
  <c r="D128" i="11"/>
  <c r="C128" i="11"/>
  <c r="B128" i="11"/>
  <c r="A128" i="11"/>
  <c r="F127" i="11"/>
  <c r="E127" i="11"/>
  <c r="D127" i="11"/>
  <c r="C127" i="11"/>
  <c r="B127" i="11"/>
  <c r="A127" i="11"/>
  <c r="F126" i="11"/>
  <c r="E126" i="11"/>
  <c r="D126" i="11"/>
  <c r="C126" i="11"/>
  <c r="B126" i="11"/>
  <c r="A126" i="11"/>
  <c r="F125" i="11"/>
  <c r="E125" i="11"/>
  <c r="D125" i="11"/>
  <c r="C125" i="11"/>
  <c r="B125" i="11"/>
  <c r="A125" i="11"/>
  <c r="F124" i="11"/>
  <c r="E124" i="11"/>
  <c r="D124" i="11"/>
  <c r="C124" i="11"/>
  <c r="B124" i="11"/>
  <c r="A124" i="11"/>
  <c r="F123" i="11"/>
  <c r="E123" i="11"/>
  <c r="D123" i="11"/>
  <c r="C123" i="11"/>
  <c r="B123" i="11"/>
  <c r="A123" i="11"/>
  <c r="F122" i="11"/>
  <c r="E122" i="11"/>
  <c r="D122" i="11"/>
  <c r="C122" i="11"/>
  <c r="B122" i="11"/>
  <c r="A122" i="11"/>
  <c r="F121" i="11"/>
  <c r="E121" i="11"/>
  <c r="D121" i="11"/>
  <c r="C121" i="11"/>
  <c r="B121" i="11"/>
  <c r="A121" i="11"/>
  <c r="F120" i="11"/>
  <c r="E120" i="11"/>
  <c r="D120" i="11"/>
  <c r="C120" i="11"/>
  <c r="B120" i="11"/>
  <c r="A120" i="11"/>
  <c r="F119" i="11"/>
  <c r="E119" i="11"/>
  <c r="D119" i="11"/>
  <c r="C119" i="11"/>
  <c r="B119" i="11"/>
  <c r="A119" i="11"/>
  <c r="F118" i="11"/>
  <c r="E118" i="11"/>
  <c r="D118" i="11"/>
  <c r="C118" i="11"/>
  <c r="B118" i="11"/>
  <c r="A118" i="11"/>
  <c r="F117" i="11"/>
  <c r="E117" i="11"/>
  <c r="D117" i="11"/>
  <c r="C117" i="11"/>
  <c r="B117" i="11"/>
  <c r="A117" i="11"/>
  <c r="F116" i="11"/>
  <c r="E116" i="11"/>
  <c r="D116" i="11"/>
  <c r="C116" i="11"/>
  <c r="B116" i="11"/>
  <c r="A116" i="11"/>
  <c r="F115" i="11"/>
  <c r="E115" i="11"/>
  <c r="D115" i="11"/>
  <c r="C115" i="11"/>
  <c r="B115" i="11"/>
  <c r="A115" i="11"/>
  <c r="F114" i="11"/>
  <c r="E114" i="11"/>
  <c r="D114" i="11"/>
  <c r="C114" i="11"/>
  <c r="B114" i="11"/>
  <c r="A114" i="11"/>
  <c r="F113" i="11"/>
  <c r="E113" i="11"/>
  <c r="D113" i="11"/>
  <c r="C113" i="11"/>
  <c r="B113" i="11"/>
  <c r="A113" i="11"/>
  <c r="F112" i="11"/>
  <c r="E112" i="11"/>
  <c r="D112" i="11"/>
  <c r="C112" i="11"/>
  <c r="B112" i="11"/>
  <c r="A112" i="11"/>
  <c r="F111" i="11"/>
  <c r="E111" i="11"/>
  <c r="D111" i="11"/>
  <c r="C111" i="11"/>
  <c r="B111" i="11"/>
  <c r="A111" i="11"/>
  <c r="F110" i="11"/>
  <c r="E110" i="11"/>
  <c r="D110" i="11"/>
  <c r="C110" i="11"/>
  <c r="B110" i="11"/>
  <c r="A110" i="11"/>
  <c r="F109" i="11"/>
  <c r="E109" i="11"/>
  <c r="D109" i="11"/>
  <c r="C109" i="11"/>
  <c r="B109" i="11"/>
  <c r="A109" i="11"/>
  <c r="F108" i="11"/>
  <c r="E108" i="11"/>
  <c r="D108" i="11"/>
  <c r="C108" i="11"/>
  <c r="B108" i="11"/>
  <c r="A108" i="11"/>
  <c r="F107" i="11"/>
  <c r="E107" i="11"/>
  <c r="D107" i="11"/>
  <c r="C107" i="11"/>
  <c r="B107" i="11"/>
  <c r="A107" i="11"/>
  <c r="F106" i="11"/>
  <c r="E106" i="11"/>
  <c r="D106" i="11"/>
  <c r="C106" i="11"/>
  <c r="B106" i="11"/>
  <c r="A106" i="11"/>
  <c r="F105" i="11"/>
  <c r="E105" i="11"/>
  <c r="D105" i="11"/>
  <c r="C105" i="11"/>
  <c r="B105" i="11"/>
  <c r="A105" i="11"/>
  <c r="F104" i="11"/>
  <c r="E104" i="11"/>
  <c r="D104" i="11"/>
  <c r="C104" i="11"/>
  <c r="B104" i="11"/>
  <c r="A104" i="11"/>
  <c r="F103" i="11"/>
  <c r="E103" i="11"/>
  <c r="D103" i="11"/>
  <c r="C103" i="11"/>
  <c r="B103" i="11"/>
  <c r="A103" i="11"/>
  <c r="F102" i="11"/>
  <c r="E102" i="11"/>
  <c r="D102" i="11"/>
  <c r="C102" i="11"/>
  <c r="B102" i="11"/>
  <c r="A102" i="11"/>
  <c r="F101" i="11"/>
  <c r="E101" i="11"/>
  <c r="D101" i="11"/>
  <c r="C101" i="11"/>
  <c r="B101" i="11"/>
  <c r="A101" i="11"/>
  <c r="F100" i="11"/>
  <c r="E100" i="11"/>
  <c r="D100" i="11"/>
  <c r="C100" i="11"/>
  <c r="B100" i="11"/>
  <c r="A100" i="11"/>
  <c r="F99" i="11"/>
  <c r="E99" i="11"/>
  <c r="D99" i="11"/>
  <c r="C99" i="11"/>
  <c r="B99" i="11"/>
  <c r="A99" i="11"/>
  <c r="F98" i="11"/>
  <c r="E98" i="11"/>
  <c r="D98" i="11"/>
  <c r="C98" i="11"/>
  <c r="B98" i="11"/>
  <c r="A98" i="11"/>
  <c r="F97" i="11"/>
  <c r="E97" i="11"/>
  <c r="D97" i="11"/>
  <c r="C97" i="11"/>
  <c r="B97" i="11"/>
  <c r="A97" i="11"/>
  <c r="F96" i="11"/>
  <c r="E96" i="11"/>
  <c r="D96" i="11"/>
  <c r="C96" i="11"/>
  <c r="B96" i="11"/>
  <c r="A96" i="11"/>
  <c r="F95" i="11"/>
  <c r="E95" i="11"/>
  <c r="D95" i="11"/>
  <c r="C95" i="11"/>
  <c r="B95" i="11"/>
  <c r="A95" i="11"/>
  <c r="F94" i="11"/>
  <c r="E94" i="11"/>
  <c r="D94" i="11"/>
  <c r="C94" i="11"/>
  <c r="B94" i="11"/>
  <c r="A94" i="11"/>
  <c r="F93" i="11"/>
  <c r="E93" i="11"/>
  <c r="D93" i="11"/>
  <c r="C93" i="11"/>
  <c r="B93" i="11"/>
  <c r="A93" i="11"/>
  <c r="F92" i="11"/>
  <c r="E92" i="11"/>
  <c r="D92" i="11"/>
  <c r="C92" i="11"/>
  <c r="B92" i="11"/>
  <c r="A92" i="11"/>
  <c r="F91" i="11"/>
  <c r="E91" i="11"/>
  <c r="D91" i="11"/>
  <c r="C91" i="11"/>
  <c r="B91" i="11"/>
  <c r="A91" i="11"/>
  <c r="F90" i="11"/>
  <c r="E90" i="11"/>
  <c r="D90" i="11"/>
  <c r="C90" i="11"/>
  <c r="B90" i="11"/>
  <c r="A90" i="11"/>
  <c r="F89" i="11"/>
  <c r="E89" i="11"/>
  <c r="D89" i="11"/>
  <c r="C89" i="11"/>
  <c r="B89" i="11"/>
  <c r="A89" i="11"/>
  <c r="F88" i="11"/>
  <c r="E88" i="11"/>
  <c r="D88" i="11"/>
  <c r="C88" i="11"/>
  <c r="B88" i="11"/>
  <c r="A88" i="11"/>
  <c r="F87" i="11"/>
  <c r="E87" i="11"/>
  <c r="D87" i="11"/>
  <c r="C87" i="11"/>
  <c r="B87" i="11"/>
  <c r="A87" i="11"/>
  <c r="F86" i="11"/>
  <c r="E86" i="11"/>
  <c r="D86" i="11"/>
  <c r="C86" i="11"/>
  <c r="B86" i="11"/>
  <c r="A86" i="11"/>
  <c r="F85" i="11"/>
  <c r="E85" i="11"/>
  <c r="D85" i="11"/>
  <c r="C85" i="11"/>
  <c r="B85" i="11"/>
  <c r="A85" i="11"/>
  <c r="F84" i="11"/>
  <c r="E84" i="11"/>
  <c r="D84" i="11"/>
  <c r="C84" i="11"/>
  <c r="B84" i="11"/>
  <c r="A84" i="11"/>
  <c r="F83" i="11"/>
  <c r="E83" i="11"/>
  <c r="D83" i="11"/>
  <c r="C83" i="11"/>
  <c r="B83" i="11"/>
  <c r="A83" i="11"/>
  <c r="F82" i="11"/>
  <c r="E82" i="11"/>
  <c r="D82" i="11"/>
  <c r="C82" i="11"/>
  <c r="B82" i="11"/>
  <c r="A82" i="11"/>
  <c r="F81" i="11"/>
  <c r="E81" i="11"/>
  <c r="D81" i="11"/>
  <c r="C81" i="11"/>
  <c r="B81" i="11"/>
  <c r="A81" i="11"/>
  <c r="F80" i="11"/>
  <c r="E80" i="11"/>
  <c r="D80" i="11"/>
  <c r="C80" i="11"/>
  <c r="B80" i="11"/>
  <c r="A80" i="11"/>
  <c r="F79" i="11"/>
  <c r="E79" i="11"/>
  <c r="D79" i="11"/>
  <c r="C79" i="11"/>
  <c r="B79" i="11"/>
  <c r="A79" i="11"/>
  <c r="F78" i="11"/>
  <c r="E78" i="11"/>
  <c r="D78" i="11"/>
  <c r="C78" i="11"/>
  <c r="B78" i="11"/>
  <c r="A78" i="11"/>
  <c r="F77" i="11"/>
  <c r="E77" i="11"/>
  <c r="D77" i="11"/>
  <c r="C77" i="11"/>
  <c r="B77" i="11"/>
  <c r="A77" i="11"/>
  <c r="F76" i="11"/>
  <c r="E76" i="11"/>
  <c r="D76" i="11"/>
  <c r="C76" i="11"/>
  <c r="B76" i="11"/>
  <c r="A76" i="11"/>
  <c r="F75" i="11"/>
  <c r="E75" i="11"/>
  <c r="D75" i="11"/>
  <c r="C75" i="11"/>
  <c r="B75" i="11"/>
  <c r="A75" i="11"/>
  <c r="F74" i="11"/>
  <c r="E74" i="11"/>
  <c r="D74" i="11"/>
  <c r="C74" i="11"/>
  <c r="B74" i="11"/>
  <c r="A74" i="11"/>
  <c r="F73" i="11"/>
  <c r="E73" i="11"/>
  <c r="D73" i="11"/>
  <c r="C73" i="11"/>
  <c r="B73" i="11"/>
  <c r="A73" i="11"/>
  <c r="F72" i="11"/>
  <c r="E72" i="11"/>
  <c r="D72" i="11"/>
  <c r="C72" i="11"/>
  <c r="B72" i="11"/>
  <c r="A72" i="11"/>
  <c r="F71" i="11"/>
  <c r="E71" i="11"/>
  <c r="D71" i="11"/>
  <c r="C71" i="11"/>
  <c r="B71" i="11"/>
  <c r="A71" i="11"/>
  <c r="F70" i="11"/>
  <c r="E70" i="11"/>
  <c r="D70" i="11"/>
  <c r="C70" i="11"/>
  <c r="B70" i="11"/>
  <c r="A70" i="11"/>
  <c r="F69" i="11"/>
  <c r="E69" i="11"/>
  <c r="D69" i="11"/>
  <c r="C69" i="11"/>
  <c r="B69" i="11"/>
  <c r="A69" i="11"/>
  <c r="F68" i="11"/>
  <c r="E68" i="11"/>
  <c r="D68" i="11"/>
  <c r="C68" i="11"/>
  <c r="B68" i="11"/>
  <c r="A68" i="11"/>
  <c r="F67" i="11"/>
  <c r="E67" i="11"/>
  <c r="D67" i="11"/>
  <c r="C67" i="11"/>
  <c r="B67" i="11"/>
  <c r="A67" i="11"/>
  <c r="F66" i="11"/>
  <c r="E66" i="11"/>
  <c r="D66" i="11"/>
  <c r="C66" i="11"/>
  <c r="B66" i="11"/>
  <c r="A66" i="11"/>
  <c r="F65" i="11"/>
  <c r="E65" i="11"/>
  <c r="D65" i="11"/>
  <c r="C65" i="11"/>
  <c r="B65" i="11"/>
  <c r="A65" i="11"/>
  <c r="F64" i="11"/>
  <c r="E64" i="11"/>
  <c r="D64" i="11"/>
  <c r="C64" i="11"/>
  <c r="B64" i="11"/>
  <c r="A64" i="11"/>
  <c r="F63" i="11"/>
  <c r="E63" i="11"/>
  <c r="D63" i="11"/>
  <c r="C63" i="11"/>
  <c r="B63" i="11"/>
  <c r="A63" i="11"/>
  <c r="F62" i="11"/>
  <c r="E62" i="11"/>
  <c r="D62" i="11"/>
  <c r="C62" i="11"/>
  <c r="B62" i="11"/>
  <c r="A62" i="11"/>
  <c r="F61" i="11"/>
  <c r="E61" i="11"/>
  <c r="D61" i="11"/>
  <c r="C61" i="11"/>
  <c r="B61" i="11"/>
  <c r="A61" i="11"/>
  <c r="F60" i="11"/>
  <c r="E60" i="11"/>
  <c r="D60" i="11"/>
  <c r="C60" i="11"/>
  <c r="B60" i="11"/>
  <c r="A60" i="11"/>
  <c r="F59" i="11"/>
  <c r="E59" i="11"/>
  <c r="D59" i="11"/>
  <c r="C59" i="11"/>
  <c r="B59" i="11"/>
  <c r="A59" i="11"/>
  <c r="F58" i="11"/>
  <c r="E58" i="11"/>
  <c r="D58" i="11"/>
  <c r="C58" i="11"/>
  <c r="B58" i="11"/>
  <c r="A58" i="11"/>
  <c r="F57" i="11"/>
  <c r="E57" i="11"/>
  <c r="D57" i="11"/>
  <c r="C57" i="11"/>
  <c r="B57" i="11"/>
  <c r="A57" i="11"/>
  <c r="F56" i="11"/>
  <c r="E56" i="11"/>
  <c r="D56" i="11"/>
  <c r="C56" i="11"/>
  <c r="B56" i="11"/>
  <c r="A56" i="11"/>
  <c r="F55" i="11"/>
  <c r="E55" i="11"/>
  <c r="D55" i="11"/>
  <c r="C55" i="11"/>
  <c r="B55" i="11"/>
  <c r="A55" i="11"/>
  <c r="F54" i="11"/>
  <c r="E54" i="11"/>
  <c r="D54" i="11"/>
  <c r="C54" i="11"/>
  <c r="B54" i="11"/>
  <c r="A54" i="11"/>
  <c r="F53" i="11"/>
  <c r="E53" i="11"/>
  <c r="D53" i="11"/>
  <c r="C53" i="11"/>
  <c r="B53" i="11"/>
  <c r="A53" i="11"/>
  <c r="F52" i="11"/>
  <c r="E52" i="11"/>
  <c r="D52" i="11"/>
  <c r="C52" i="11"/>
  <c r="B52" i="11"/>
  <c r="A52" i="11"/>
  <c r="F51" i="11"/>
  <c r="E51" i="11"/>
  <c r="D51" i="11"/>
  <c r="C51" i="11"/>
  <c r="B51" i="11"/>
  <c r="A51" i="11"/>
  <c r="F50" i="11"/>
  <c r="E50" i="11"/>
  <c r="D50" i="11"/>
  <c r="C50" i="11"/>
  <c r="B50" i="11"/>
  <c r="A50" i="11"/>
  <c r="F49" i="11"/>
  <c r="E49" i="11"/>
  <c r="D49" i="11"/>
  <c r="C49" i="11"/>
  <c r="B49" i="11"/>
  <c r="A49" i="11"/>
  <c r="F48" i="11"/>
  <c r="E48" i="11"/>
  <c r="D48" i="11"/>
  <c r="C48" i="11"/>
  <c r="B48" i="11"/>
  <c r="A48" i="11"/>
  <c r="F47" i="11"/>
  <c r="E47" i="11"/>
  <c r="D47" i="11"/>
  <c r="C47" i="11"/>
  <c r="B47" i="11"/>
  <c r="A47" i="11"/>
  <c r="F46" i="11"/>
  <c r="E46" i="11"/>
  <c r="D46" i="11"/>
  <c r="C46" i="11"/>
  <c r="B46" i="11"/>
  <c r="A46" i="11"/>
  <c r="F45" i="11"/>
  <c r="E45" i="11"/>
  <c r="D45" i="11"/>
  <c r="C45" i="11"/>
  <c r="B45" i="11"/>
  <c r="A45" i="11"/>
  <c r="F44" i="11"/>
  <c r="E44" i="11"/>
  <c r="D44" i="11"/>
  <c r="C44" i="11"/>
  <c r="B44" i="11"/>
  <c r="A44" i="11"/>
  <c r="F43" i="11"/>
  <c r="E43" i="11"/>
  <c r="D43" i="11"/>
  <c r="C43" i="11"/>
  <c r="B43" i="11"/>
  <c r="A43" i="11"/>
  <c r="F42" i="11"/>
  <c r="E42" i="11"/>
  <c r="D42" i="11"/>
  <c r="C42" i="11"/>
  <c r="B42" i="11"/>
  <c r="A42" i="11"/>
  <c r="F41" i="11"/>
  <c r="E41" i="11"/>
  <c r="D41" i="11"/>
  <c r="C41" i="11"/>
  <c r="B41" i="11"/>
  <c r="A41" i="11"/>
  <c r="F40" i="11"/>
  <c r="E40" i="11"/>
  <c r="D40" i="11"/>
  <c r="C40" i="11"/>
  <c r="B40" i="11"/>
  <c r="A40" i="11"/>
  <c r="F39" i="11"/>
  <c r="E39" i="11"/>
  <c r="D39" i="11"/>
  <c r="C39" i="11"/>
  <c r="B39" i="11"/>
  <c r="A39" i="11"/>
  <c r="F38" i="11"/>
  <c r="E38" i="11"/>
  <c r="D38" i="11"/>
  <c r="C38" i="11"/>
  <c r="B38" i="11"/>
  <c r="A38" i="11"/>
  <c r="F37" i="11"/>
  <c r="E37" i="11"/>
  <c r="D37" i="11"/>
  <c r="C37" i="11"/>
  <c r="B37" i="11"/>
  <c r="A37" i="11"/>
  <c r="F36" i="11"/>
  <c r="E36" i="11"/>
  <c r="D36" i="11"/>
  <c r="C36" i="11"/>
  <c r="B36" i="11"/>
  <c r="A36" i="11"/>
  <c r="F35" i="11"/>
  <c r="E35" i="11"/>
  <c r="D35" i="11"/>
  <c r="C35" i="11"/>
  <c r="B35" i="11"/>
  <c r="A35" i="11"/>
  <c r="F34" i="11"/>
  <c r="E34" i="11"/>
  <c r="D34" i="11"/>
  <c r="C34" i="11"/>
  <c r="B34" i="11"/>
  <c r="A34" i="11"/>
  <c r="F33" i="11"/>
  <c r="E33" i="11"/>
  <c r="D33" i="11"/>
  <c r="C33" i="11"/>
  <c r="B33" i="11"/>
  <c r="A33" i="11"/>
  <c r="F32" i="11"/>
  <c r="E32" i="11"/>
  <c r="D32" i="11"/>
  <c r="C32" i="11"/>
  <c r="B32" i="11"/>
  <c r="A32" i="11"/>
  <c r="F31" i="11"/>
  <c r="E31" i="11"/>
  <c r="D31" i="11"/>
  <c r="C31" i="11"/>
  <c r="B31" i="11"/>
  <c r="A31" i="11"/>
  <c r="F30" i="11"/>
  <c r="E30" i="11"/>
  <c r="D30" i="11"/>
  <c r="C30" i="11"/>
  <c r="B30" i="11"/>
  <c r="A30" i="11"/>
  <c r="F29" i="11"/>
  <c r="E29" i="11"/>
  <c r="D29" i="11"/>
  <c r="C29" i="11"/>
  <c r="B29" i="11"/>
  <c r="A29" i="11"/>
  <c r="F28" i="11"/>
  <c r="E28" i="11"/>
  <c r="D28" i="11"/>
  <c r="C28" i="11"/>
  <c r="B28" i="11"/>
  <c r="A28" i="11"/>
  <c r="F27" i="11"/>
  <c r="E27" i="11"/>
  <c r="D27" i="11"/>
  <c r="C27" i="11"/>
  <c r="B27" i="11"/>
  <c r="A27" i="11"/>
  <c r="F26" i="11"/>
  <c r="E26" i="11"/>
  <c r="D26" i="11"/>
  <c r="C26" i="11"/>
  <c r="B26" i="11"/>
  <c r="A26" i="11"/>
  <c r="F25" i="11"/>
  <c r="E25" i="11"/>
  <c r="D25" i="11"/>
  <c r="C25" i="11"/>
  <c r="B25" i="11"/>
  <c r="A25" i="11"/>
  <c r="F24" i="11"/>
  <c r="E24" i="11"/>
  <c r="D24" i="11"/>
  <c r="C24" i="11"/>
  <c r="B24" i="11"/>
  <c r="A24" i="11"/>
  <c r="F23" i="11"/>
  <c r="E23" i="11"/>
  <c r="D23" i="11"/>
  <c r="C23" i="11"/>
  <c r="B23" i="11"/>
  <c r="A23" i="11"/>
  <c r="F22" i="11"/>
  <c r="E22" i="11"/>
  <c r="D22" i="11"/>
  <c r="C22" i="11"/>
  <c r="B22" i="11"/>
  <c r="A22" i="11"/>
  <c r="F21" i="11"/>
  <c r="E21" i="11"/>
  <c r="D21" i="11"/>
  <c r="C21" i="11"/>
  <c r="B21" i="11"/>
  <c r="A21" i="11"/>
  <c r="F20" i="11"/>
  <c r="E20" i="11"/>
  <c r="D20" i="11"/>
  <c r="C20" i="11"/>
  <c r="B20" i="11"/>
  <c r="A20" i="11"/>
  <c r="F19" i="11"/>
  <c r="E19" i="11"/>
  <c r="D19" i="11"/>
  <c r="C19" i="11"/>
  <c r="B19" i="11"/>
  <c r="A19" i="11"/>
  <c r="F18" i="11"/>
  <c r="E18" i="11"/>
  <c r="D18" i="11"/>
  <c r="C18" i="11"/>
  <c r="B18" i="11"/>
  <c r="A18" i="11"/>
  <c r="F17" i="11"/>
  <c r="E17" i="11"/>
  <c r="D17" i="11"/>
  <c r="C17" i="11"/>
  <c r="B17" i="11"/>
  <c r="A17" i="11"/>
  <c r="F16" i="11"/>
  <c r="E16" i="11"/>
  <c r="D16" i="11"/>
  <c r="C16" i="11"/>
  <c r="B16" i="11"/>
  <c r="A16" i="11"/>
  <c r="F15" i="11"/>
  <c r="E15" i="11"/>
  <c r="D15" i="11"/>
  <c r="C15" i="11"/>
  <c r="B15" i="11"/>
  <c r="A15" i="11"/>
  <c r="F14" i="11"/>
  <c r="E14" i="11"/>
  <c r="D14" i="11"/>
  <c r="C14" i="11"/>
  <c r="B14" i="11"/>
  <c r="A14" i="11"/>
  <c r="F13" i="11"/>
  <c r="E13" i="11"/>
  <c r="D13" i="11"/>
  <c r="C13" i="11"/>
  <c r="B13" i="11"/>
  <c r="A13" i="11"/>
  <c r="F12" i="11"/>
  <c r="E12" i="11"/>
  <c r="D12" i="11"/>
  <c r="C12" i="11"/>
  <c r="B12" i="11"/>
  <c r="A12" i="11"/>
  <c r="F11" i="11"/>
  <c r="E11" i="11"/>
  <c r="D11" i="11"/>
  <c r="C11" i="11"/>
  <c r="B11" i="11"/>
  <c r="A11" i="11"/>
  <c r="F10" i="11"/>
  <c r="E10" i="11"/>
  <c r="D10" i="11"/>
  <c r="C10" i="11"/>
  <c r="B10" i="11"/>
  <c r="A10" i="11"/>
  <c r="F9" i="11"/>
  <c r="E9" i="11"/>
  <c r="D9" i="11"/>
  <c r="C9" i="11"/>
  <c r="B9" i="11"/>
  <c r="A9" i="11"/>
  <c r="F8" i="11"/>
  <c r="E8" i="11"/>
  <c r="D8" i="11"/>
  <c r="C8" i="11"/>
  <c r="B8" i="11"/>
  <c r="A8" i="11"/>
  <c r="F7" i="11"/>
  <c r="E7" i="11"/>
  <c r="D7" i="11"/>
  <c r="C7" i="11"/>
  <c r="B7" i="11"/>
  <c r="A7" i="11"/>
  <c r="F6" i="11"/>
  <c r="E6" i="11"/>
  <c r="D6" i="11"/>
  <c r="C6" i="11"/>
  <c r="B6" i="11"/>
  <c r="A6" i="11"/>
  <c r="F5" i="11"/>
  <c r="E5" i="11"/>
  <c r="D5" i="11"/>
  <c r="C5" i="11"/>
  <c r="B5" i="11"/>
  <c r="A5" i="11"/>
  <c r="B10" i="13" s="1"/>
  <c r="D10" i="13" s="1"/>
  <c r="F4" i="11"/>
  <c r="E4" i="11"/>
  <c r="D4" i="11"/>
  <c r="C4" i="11"/>
  <c r="B4" i="11"/>
  <c r="A4" i="11"/>
  <c r="E205" i="10"/>
  <c r="E505" i="9"/>
  <c r="E35" i="4"/>
  <c r="G14" i="4"/>
  <c r="G15" i="4" s="1"/>
  <c r="G13" i="4"/>
  <c r="J22" i="22" l="1"/>
  <c r="J29" i="22"/>
  <c r="H20" i="19"/>
  <c r="F29" i="21"/>
  <c r="F30" i="21" s="1"/>
  <c r="H19" i="19"/>
  <c r="J16" i="19"/>
  <c r="J17" i="19"/>
  <c r="D76" i="13"/>
  <c r="D53" i="16"/>
  <c r="F29" i="20"/>
  <c r="F30" i="20" s="1"/>
  <c r="J18" i="19"/>
  <c r="L18" i="19"/>
  <c r="L14" i="19"/>
  <c r="C37" i="17"/>
  <c r="D28" i="3" s="1"/>
  <c r="L27" i="19"/>
  <c r="C138" i="16"/>
  <c r="D25" i="3" s="1"/>
  <c r="C70" i="13"/>
  <c r="D5" i="3" s="1"/>
  <c r="L19" i="19"/>
  <c r="L20" i="19"/>
  <c r="J30" i="20"/>
  <c r="J21" i="19"/>
  <c r="F70" i="18"/>
  <c r="G35" i="3" s="1"/>
  <c r="F138" i="16"/>
  <c r="G25" i="3" s="1"/>
  <c r="H27" i="19"/>
  <c r="H29" i="19" s="1"/>
  <c r="F19" i="19"/>
  <c r="L22" i="22"/>
  <c r="F15" i="19"/>
  <c r="H15" i="19"/>
  <c r="J15" i="19"/>
  <c r="H16" i="19"/>
  <c r="L16" i="19"/>
  <c r="C37" i="18"/>
  <c r="D34" i="3" s="1"/>
  <c r="F37" i="18"/>
  <c r="G34" i="3" s="1"/>
  <c r="F18" i="19"/>
  <c r="J28" i="19"/>
  <c r="J29" i="19" s="1"/>
  <c r="J30" i="19" s="1"/>
  <c r="J19" i="19"/>
  <c r="L15" i="19"/>
  <c r="F16" i="19"/>
  <c r="L21" i="19"/>
  <c r="C104" i="16"/>
  <c r="D24" i="3" s="1"/>
  <c r="F37" i="14"/>
  <c r="G10" i="3" s="1"/>
  <c r="F27" i="19"/>
  <c r="F29" i="19" s="1"/>
  <c r="H22" i="20"/>
  <c r="J22" i="21"/>
  <c r="J20" i="19"/>
  <c r="F21" i="19"/>
  <c r="H17" i="19"/>
  <c r="H22" i="21"/>
  <c r="F138" i="17"/>
  <c r="G31" i="3" s="1"/>
  <c r="H22" i="22"/>
  <c r="J22" i="20"/>
  <c r="F20" i="19"/>
  <c r="B65" i="13"/>
  <c r="D65" i="13" s="1"/>
  <c r="F70" i="13"/>
  <c r="B8" i="14"/>
  <c r="D8" i="14" s="1"/>
  <c r="B101" i="14"/>
  <c r="D101" i="14" s="1"/>
  <c r="B128" i="17"/>
  <c r="D128" i="17" s="1"/>
  <c r="B42" i="13"/>
  <c r="D42" i="13" s="1"/>
  <c r="B60" i="13"/>
  <c r="D60" i="13" s="1"/>
  <c r="B103" i="13"/>
  <c r="D103" i="13" s="1"/>
  <c r="C70" i="14"/>
  <c r="D11" i="3" s="1"/>
  <c r="B115" i="13"/>
  <c r="D115" i="13" s="1"/>
  <c r="B19" i="14"/>
  <c r="D19" i="14" s="1"/>
  <c r="B67" i="14"/>
  <c r="D67" i="14" s="1"/>
  <c r="B80" i="13"/>
  <c r="D80" i="13" s="1"/>
  <c r="F104" i="14"/>
  <c r="G12" i="3" s="1"/>
  <c r="B94" i="13"/>
  <c r="D94" i="13" s="1"/>
  <c r="B52" i="13"/>
  <c r="D52" i="13" s="1"/>
  <c r="F138" i="13"/>
  <c r="B24" i="13"/>
  <c r="D24" i="13" s="1"/>
  <c r="B45" i="15"/>
  <c r="D45" i="15" s="1"/>
  <c r="B5" i="15"/>
  <c r="B30" i="13"/>
  <c r="D30" i="13" s="1"/>
  <c r="B124" i="14"/>
  <c r="D124" i="14" s="1"/>
  <c r="B54" i="13"/>
  <c r="D54" i="13" s="1"/>
  <c r="B99" i="13"/>
  <c r="D99" i="13" s="1"/>
  <c r="B45" i="14"/>
  <c r="D45" i="14" s="1"/>
  <c r="B135" i="15"/>
  <c r="D135" i="15" s="1"/>
  <c r="B20" i="14"/>
  <c r="D20" i="14" s="1"/>
  <c r="B77" i="13"/>
  <c r="D77" i="13" s="1"/>
  <c r="B27" i="15"/>
  <c r="D27" i="15" s="1"/>
  <c r="B126" i="13"/>
  <c r="D126" i="13" s="1"/>
  <c r="B17" i="16"/>
  <c r="D17" i="16" s="1"/>
  <c r="B43" i="13"/>
  <c r="D43" i="13" s="1"/>
  <c r="B111" i="15"/>
  <c r="D111" i="15" s="1"/>
  <c r="B15" i="13"/>
  <c r="D15" i="13" s="1"/>
  <c r="B15" i="14"/>
  <c r="D15" i="14" s="1"/>
  <c r="B62" i="16"/>
  <c r="D62" i="16" s="1"/>
  <c r="B91" i="14"/>
  <c r="D91" i="14" s="1"/>
  <c r="B68" i="15"/>
  <c r="D68" i="15" s="1"/>
  <c r="B92" i="16"/>
  <c r="D92" i="16" s="1"/>
  <c r="B68" i="14"/>
  <c r="D68" i="14" s="1"/>
  <c r="B12" i="15"/>
  <c r="D12" i="15" s="1"/>
  <c r="B40" i="14"/>
  <c r="B5" i="17"/>
  <c r="B84" i="13"/>
  <c r="D84" i="13" s="1"/>
  <c r="B99" i="16"/>
  <c r="D99" i="16" s="1"/>
  <c r="E605" i="11"/>
  <c r="B32" i="13"/>
  <c r="D32" i="13" s="1"/>
  <c r="F17" i="19"/>
  <c r="B19" i="13"/>
  <c r="D19" i="13" s="1"/>
  <c r="C138" i="13"/>
  <c r="B30" i="14"/>
  <c r="D30" i="14" s="1"/>
  <c r="B89" i="13"/>
  <c r="D89" i="13" s="1"/>
  <c r="F104" i="15"/>
  <c r="G18" i="3" s="1"/>
  <c r="B28" i="13"/>
  <c r="D28" i="13" s="1"/>
  <c r="G16" i="4"/>
  <c r="C37" i="13"/>
  <c r="B44" i="14"/>
  <c r="D44" i="14" s="1"/>
  <c r="B63" i="17"/>
  <c r="D63" i="17" s="1"/>
  <c r="B67" i="18"/>
  <c r="D67" i="18" s="1"/>
  <c r="B93" i="15"/>
  <c r="D93" i="15" s="1"/>
  <c r="B55" i="14"/>
  <c r="D55" i="14" s="1"/>
  <c r="B109" i="16"/>
  <c r="D109" i="16" s="1"/>
  <c r="F37" i="13"/>
  <c r="B56" i="13"/>
  <c r="D56" i="13" s="1"/>
  <c r="B14" i="14"/>
  <c r="D14" i="14" s="1"/>
  <c r="B36" i="13"/>
  <c r="D36" i="13" s="1"/>
  <c r="B6" i="13"/>
  <c r="D6" i="13" s="1"/>
  <c r="B14" i="13"/>
  <c r="D14" i="13" s="1"/>
  <c r="B130" i="14"/>
  <c r="D130" i="14" s="1"/>
  <c r="B118" i="15"/>
  <c r="D118" i="15" s="1"/>
  <c r="B59" i="18"/>
  <c r="D59" i="18" s="1"/>
  <c r="B124" i="13"/>
  <c r="D124" i="13" s="1"/>
  <c r="B130" i="13"/>
  <c r="D130" i="13" s="1"/>
  <c r="B60" i="14"/>
  <c r="D60" i="14" s="1"/>
  <c r="B123" i="14"/>
  <c r="D123" i="14" s="1"/>
  <c r="B11" i="15"/>
  <c r="D11" i="15" s="1"/>
  <c r="B58" i="15"/>
  <c r="D58" i="15" s="1"/>
  <c r="B11" i="17"/>
  <c r="D11" i="17" s="1"/>
  <c r="B48" i="13"/>
  <c r="D48" i="13" s="1"/>
  <c r="B81" i="13"/>
  <c r="D81" i="13" s="1"/>
  <c r="B26" i="14"/>
  <c r="D26" i="14" s="1"/>
  <c r="B112" i="14"/>
  <c r="D112" i="14" s="1"/>
  <c r="B125" i="14"/>
  <c r="D125" i="14" s="1"/>
  <c r="B121" i="17"/>
  <c r="D121" i="17" s="1"/>
  <c r="B129" i="18"/>
  <c r="D129" i="18" s="1"/>
  <c r="B54" i="16"/>
  <c r="D54" i="16" s="1"/>
  <c r="B57" i="17"/>
  <c r="D57" i="17" s="1"/>
  <c r="B41" i="18"/>
  <c r="D41" i="18" s="1"/>
  <c r="B16" i="13"/>
  <c r="D16" i="13" s="1"/>
  <c r="B95" i="13"/>
  <c r="D95" i="13" s="1"/>
  <c r="B78" i="14"/>
  <c r="D78" i="14" s="1"/>
  <c r="B22" i="15"/>
  <c r="D22" i="15" s="1"/>
  <c r="B123" i="16"/>
  <c r="D123" i="16" s="1"/>
  <c r="B29" i="13"/>
  <c r="D29" i="13" s="1"/>
  <c r="B53" i="13"/>
  <c r="D53" i="13" s="1"/>
  <c r="B107" i="13"/>
  <c r="B133" i="13"/>
  <c r="D133" i="13" s="1"/>
  <c r="B7" i="15"/>
  <c r="D7" i="15" s="1"/>
  <c r="B28" i="15"/>
  <c r="D28" i="15" s="1"/>
  <c r="B112" i="15"/>
  <c r="D112" i="15" s="1"/>
  <c r="B18" i="16"/>
  <c r="D18" i="16" s="1"/>
  <c r="B84" i="16"/>
  <c r="D84" i="16" s="1"/>
  <c r="B33" i="13"/>
  <c r="D33" i="13" s="1"/>
  <c r="B116" i="13"/>
  <c r="D116" i="13" s="1"/>
  <c r="F37" i="15"/>
  <c r="G16" i="3" s="1"/>
  <c r="B128" i="15"/>
  <c r="D128" i="15" s="1"/>
  <c r="B7" i="13"/>
  <c r="D7" i="13" s="1"/>
  <c r="B73" i="13"/>
  <c r="B91" i="13"/>
  <c r="D91" i="13" s="1"/>
  <c r="B100" i="13"/>
  <c r="D100" i="13" s="1"/>
  <c r="B112" i="13"/>
  <c r="D112" i="13" s="1"/>
  <c r="B93" i="16"/>
  <c r="D93" i="16" s="1"/>
  <c r="B100" i="17"/>
  <c r="D100" i="17" s="1"/>
  <c r="B25" i="13"/>
  <c r="D25" i="13" s="1"/>
  <c r="C104" i="13"/>
  <c r="B87" i="13"/>
  <c r="D87" i="13" s="1"/>
  <c r="B127" i="13"/>
  <c r="D127" i="13" s="1"/>
  <c r="B11" i="14"/>
  <c r="D11" i="14" s="1"/>
  <c r="B33" i="14"/>
  <c r="D33" i="14" s="1"/>
  <c r="F70" i="14"/>
  <c r="G11" i="3" s="1"/>
  <c r="B79" i="14"/>
  <c r="D79" i="14" s="1"/>
  <c r="B99" i="14"/>
  <c r="D99" i="14" s="1"/>
  <c r="C138" i="14"/>
  <c r="D13" i="3" s="1"/>
  <c r="B114" i="14"/>
  <c r="D114" i="14" s="1"/>
  <c r="C70" i="15"/>
  <c r="D17" i="3" s="1"/>
  <c r="B56" i="15"/>
  <c r="D56" i="15" s="1"/>
  <c r="B21" i="13"/>
  <c r="D21" i="13" s="1"/>
  <c r="B49" i="13"/>
  <c r="D49" i="13" s="1"/>
  <c r="B16" i="14"/>
  <c r="D16" i="14" s="1"/>
  <c r="B27" i="14"/>
  <c r="D27" i="14" s="1"/>
  <c r="B73" i="14"/>
  <c r="F138" i="14"/>
  <c r="G13" i="3" s="1"/>
  <c r="B134" i="14"/>
  <c r="D134" i="14" s="1"/>
  <c r="B27" i="17"/>
  <c r="D27" i="17" s="1"/>
  <c r="B31" i="18"/>
  <c r="D31" i="18" s="1"/>
  <c r="B51" i="14"/>
  <c r="D51" i="14" s="1"/>
  <c r="B11" i="13"/>
  <c r="D11" i="13" s="1"/>
  <c r="B57" i="13"/>
  <c r="D57" i="13" s="1"/>
  <c r="B67" i="13"/>
  <c r="D67" i="13" s="1"/>
  <c r="B45" i="13"/>
  <c r="D45" i="13" s="1"/>
  <c r="B63" i="13"/>
  <c r="D63" i="13" s="1"/>
  <c r="B78" i="13"/>
  <c r="D78" i="13" s="1"/>
  <c r="B47" i="14"/>
  <c r="D47" i="14" s="1"/>
  <c r="C104" i="14"/>
  <c r="D12" i="3" s="1"/>
  <c r="B23" i="15"/>
  <c r="D23" i="15" s="1"/>
  <c r="F70" i="15"/>
  <c r="G17" i="3" s="1"/>
  <c r="B78" i="16"/>
  <c r="D78" i="16" s="1"/>
  <c r="B17" i="13"/>
  <c r="D17" i="13" s="1"/>
  <c r="B41" i="13"/>
  <c r="D41" i="13" s="1"/>
  <c r="F104" i="13"/>
  <c r="B83" i="13"/>
  <c r="D83" i="13" s="1"/>
  <c r="B108" i="13"/>
  <c r="D108" i="13" s="1"/>
  <c r="B118" i="13"/>
  <c r="D118" i="13" s="1"/>
  <c r="B123" i="13"/>
  <c r="D123" i="13" s="1"/>
  <c r="B134" i="13"/>
  <c r="D134" i="13" s="1"/>
  <c r="C37" i="14"/>
  <c r="D10" i="3" s="1"/>
  <c r="B34" i="14"/>
  <c r="D34" i="14" s="1"/>
  <c r="B107" i="15"/>
  <c r="B13" i="16"/>
  <c r="D13" i="16" s="1"/>
  <c r="B49" i="16"/>
  <c r="D49" i="16" s="1"/>
  <c r="F37" i="17"/>
  <c r="G28" i="3" s="1"/>
  <c r="B77" i="18"/>
  <c r="D77" i="18" s="1"/>
  <c r="B115" i="14"/>
  <c r="D115" i="14" s="1"/>
  <c r="B16" i="15"/>
  <c r="D16" i="15" s="1"/>
  <c r="B41" i="15"/>
  <c r="D41" i="15" s="1"/>
  <c r="B82" i="15"/>
  <c r="D82" i="15" s="1"/>
  <c r="C138" i="15"/>
  <c r="D19" i="3" s="1"/>
  <c r="C37" i="16"/>
  <c r="D22" i="3" s="1"/>
  <c r="B125" i="16"/>
  <c r="D125" i="16" s="1"/>
  <c r="B83" i="17"/>
  <c r="D83" i="17" s="1"/>
  <c r="B13" i="13"/>
  <c r="D13" i="13" s="1"/>
  <c r="B59" i="13"/>
  <c r="D59" i="13" s="1"/>
  <c r="B92" i="13"/>
  <c r="D92" i="13" s="1"/>
  <c r="B113" i="13"/>
  <c r="D113" i="13" s="1"/>
  <c r="B59" i="14"/>
  <c r="D59" i="14" s="1"/>
  <c r="B57" i="15"/>
  <c r="D57" i="15" s="1"/>
  <c r="F37" i="16"/>
  <c r="G22" i="3" s="1"/>
  <c r="B41" i="16"/>
  <c r="D41" i="16" s="1"/>
  <c r="B7" i="14"/>
  <c r="D7" i="14" s="1"/>
  <c r="B12" i="14"/>
  <c r="D12" i="14" s="1"/>
  <c r="B23" i="14"/>
  <c r="D23" i="14" s="1"/>
  <c r="B66" i="14"/>
  <c r="D66" i="14" s="1"/>
  <c r="B100" i="14"/>
  <c r="D100" i="14" s="1"/>
  <c r="B135" i="14"/>
  <c r="D135" i="14" s="1"/>
  <c r="B10" i="15"/>
  <c r="D10" i="15" s="1"/>
  <c r="B75" i="15"/>
  <c r="D75" i="15" s="1"/>
  <c r="B10" i="17"/>
  <c r="D10" i="17" s="1"/>
  <c r="B35" i="13"/>
  <c r="D35" i="13" s="1"/>
  <c r="B88" i="13"/>
  <c r="D88" i="13" s="1"/>
  <c r="B9" i="13"/>
  <c r="D9" i="13" s="1"/>
  <c r="B68" i="13"/>
  <c r="D68" i="13" s="1"/>
  <c r="B95" i="14"/>
  <c r="D95" i="14" s="1"/>
  <c r="C104" i="15"/>
  <c r="D18" i="3" s="1"/>
  <c r="B6" i="16"/>
  <c r="D6" i="16" s="1"/>
  <c r="B79" i="16"/>
  <c r="D79" i="16" s="1"/>
  <c r="F104" i="17"/>
  <c r="G30" i="3" s="1"/>
  <c r="C37" i="15"/>
  <c r="D16" i="3" s="1"/>
  <c r="B135" i="18"/>
  <c r="D135" i="18" s="1"/>
  <c r="B124" i="18"/>
  <c r="D124" i="18" s="1"/>
  <c r="B113" i="18"/>
  <c r="D113" i="18" s="1"/>
  <c r="B100" i="18"/>
  <c r="D100" i="18" s="1"/>
  <c r="B89" i="18"/>
  <c r="D89" i="18" s="1"/>
  <c r="B78" i="18"/>
  <c r="D78" i="18" s="1"/>
  <c r="B65" i="18"/>
  <c r="D65" i="18" s="1"/>
  <c r="B54" i="18"/>
  <c r="D54" i="18" s="1"/>
  <c r="B43" i="18"/>
  <c r="D43" i="18" s="1"/>
  <c r="B30" i="18"/>
  <c r="D30" i="18" s="1"/>
  <c r="B19" i="18"/>
  <c r="D19" i="18" s="1"/>
  <c r="B8" i="18"/>
  <c r="D8" i="18" s="1"/>
  <c r="B131" i="17"/>
  <c r="D131" i="17" s="1"/>
  <c r="B120" i="17"/>
  <c r="D120" i="17" s="1"/>
  <c r="B109" i="17"/>
  <c r="D109" i="17" s="1"/>
  <c r="B96" i="17"/>
  <c r="D96" i="17" s="1"/>
  <c r="B85" i="17"/>
  <c r="D85" i="17" s="1"/>
  <c r="B74" i="17"/>
  <c r="D74" i="17" s="1"/>
  <c r="B61" i="17"/>
  <c r="D61" i="17" s="1"/>
  <c r="B50" i="17"/>
  <c r="D50" i="17" s="1"/>
  <c r="B26" i="17"/>
  <c r="D26" i="17" s="1"/>
  <c r="B15" i="17"/>
  <c r="D15" i="17" s="1"/>
  <c r="B127" i="16"/>
  <c r="D127" i="16" s="1"/>
  <c r="B116" i="16"/>
  <c r="D116" i="16" s="1"/>
  <c r="B131" i="18"/>
  <c r="D131" i="18" s="1"/>
  <c r="B120" i="18"/>
  <c r="D120" i="18" s="1"/>
  <c r="B109" i="18"/>
  <c r="D109" i="18" s="1"/>
  <c r="B96" i="18"/>
  <c r="D96" i="18" s="1"/>
  <c r="B85" i="18"/>
  <c r="D85" i="18" s="1"/>
  <c r="B74" i="18"/>
  <c r="D74" i="18" s="1"/>
  <c r="B61" i="18"/>
  <c r="D61" i="18" s="1"/>
  <c r="B127" i="18"/>
  <c r="D127" i="18" s="1"/>
  <c r="B130" i="18"/>
  <c r="D130" i="18" s="1"/>
  <c r="B119" i="18"/>
  <c r="D119" i="18" s="1"/>
  <c r="B108" i="18"/>
  <c r="D108" i="18" s="1"/>
  <c r="B95" i="18"/>
  <c r="D95" i="18" s="1"/>
  <c r="B84" i="18"/>
  <c r="D84" i="18" s="1"/>
  <c r="B73" i="18"/>
  <c r="B60" i="18"/>
  <c r="D60" i="18" s="1"/>
  <c r="B49" i="18"/>
  <c r="D49" i="18" s="1"/>
  <c r="B36" i="18"/>
  <c r="D36" i="18" s="1"/>
  <c r="B25" i="18"/>
  <c r="D25" i="18" s="1"/>
  <c r="B14" i="18"/>
  <c r="D14" i="18" s="1"/>
  <c r="B137" i="17"/>
  <c r="D137" i="17" s="1"/>
  <c r="B126" i="17"/>
  <c r="D126" i="17" s="1"/>
  <c r="B115" i="17"/>
  <c r="D115" i="17" s="1"/>
  <c r="B102" i="17"/>
  <c r="D102" i="17" s="1"/>
  <c r="B91" i="17"/>
  <c r="D91" i="17" s="1"/>
  <c r="B80" i="17"/>
  <c r="D80" i="17" s="1"/>
  <c r="B67" i="17"/>
  <c r="D67" i="17" s="1"/>
  <c r="B56" i="17"/>
  <c r="D56" i="17" s="1"/>
  <c r="B45" i="17"/>
  <c r="D45" i="17" s="1"/>
  <c r="B32" i="17"/>
  <c r="D32" i="17" s="1"/>
  <c r="B21" i="17"/>
  <c r="D21" i="17" s="1"/>
  <c r="B132" i="18"/>
  <c r="D132" i="18" s="1"/>
  <c r="B121" i="18"/>
  <c r="D121" i="18" s="1"/>
  <c r="B110" i="18"/>
  <c r="D110" i="18" s="1"/>
  <c r="B97" i="18"/>
  <c r="D97" i="18" s="1"/>
  <c r="B86" i="18"/>
  <c r="D86" i="18" s="1"/>
  <c r="B75" i="18"/>
  <c r="D75" i="18" s="1"/>
  <c r="B62" i="18"/>
  <c r="D62" i="18" s="1"/>
  <c r="B51" i="18"/>
  <c r="D51" i="18" s="1"/>
  <c r="B40" i="18"/>
  <c r="B27" i="18"/>
  <c r="D27" i="18" s="1"/>
  <c r="B16" i="18"/>
  <c r="D16" i="18" s="1"/>
  <c r="B136" i="18"/>
  <c r="D136" i="18" s="1"/>
  <c r="B125" i="18"/>
  <c r="D125" i="18" s="1"/>
  <c r="B91" i="18"/>
  <c r="D91" i="18" s="1"/>
  <c r="B68" i="18"/>
  <c r="D68" i="18" s="1"/>
  <c r="B63" i="18"/>
  <c r="D63" i="18" s="1"/>
  <c r="B47" i="18"/>
  <c r="D47" i="18" s="1"/>
  <c r="B35" i="18"/>
  <c r="D35" i="18" s="1"/>
  <c r="B20" i="18"/>
  <c r="D20" i="18" s="1"/>
  <c r="B5" i="18"/>
  <c r="B110" i="17"/>
  <c r="D110" i="17" s="1"/>
  <c r="B103" i="17"/>
  <c r="D103" i="17" s="1"/>
  <c r="B84" i="17"/>
  <c r="D84" i="17" s="1"/>
  <c r="B90" i="18"/>
  <c r="D90" i="18" s="1"/>
  <c r="B56" i="18"/>
  <c r="D56" i="18" s="1"/>
  <c r="B133" i="17"/>
  <c r="D133" i="17" s="1"/>
  <c r="B47" i="17"/>
  <c r="D47" i="17" s="1"/>
  <c r="B98" i="16"/>
  <c r="D98" i="16" s="1"/>
  <c r="B90" i="16"/>
  <c r="D90" i="16" s="1"/>
  <c r="B86" i="16"/>
  <c r="D86" i="16" s="1"/>
  <c r="B52" i="16"/>
  <c r="D52" i="16" s="1"/>
  <c r="B31" i="16"/>
  <c r="D31" i="16" s="1"/>
  <c r="B118" i="18"/>
  <c r="D118" i="18" s="1"/>
  <c r="B66" i="18"/>
  <c r="D66" i="18" s="1"/>
  <c r="B23" i="18"/>
  <c r="D23" i="18" s="1"/>
  <c r="B13" i="18"/>
  <c r="D13" i="18" s="1"/>
  <c r="B123" i="17"/>
  <c r="D123" i="17" s="1"/>
  <c r="B118" i="17"/>
  <c r="D118" i="17" s="1"/>
  <c r="B113" i="17"/>
  <c r="D113" i="17" s="1"/>
  <c r="B82" i="17"/>
  <c r="D82" i="17" s="1"/>
  <c r="B51" i="17"/>
  <c r="D51" i="17" s="1"/>
  <c r="B35" i="17"/>
  <c r="D35" i="17" s="1"/>
  <c r="B120" i="16"/>
  <c r="D120" i="16" s="1"/>
  <c r="B59" i="16"/>
  <c r="D59" i="16" s="1"/>
  <c r="B23" i="16"/>
  <c r="D23" i="16" s="1"/>
  <c r="B134" i="18"/>
  <c r="D134" i="18" s="1"/>
  <c r="B107" i="18"/>
  <c r="B50" i="18"/>
  <c r="D50" i="18" s="1"/>
  <c r="B45" i="18"/>
  <c r="D45" i="18" s="1"/>
  <c r="B101" i="17"/>
  <c r="D101" i="17" s="1"/>
  <c r="B65" i="17"/>
  <c r="D65" i="17" s="1"/>
  <c r="B46" i="17"/>
  <c r="D46" i="17" s="1"/>
  <c r="B30" i="17"/>
  <c r="D30" i="17" s="1"/>
  <c r="B137" i="16"/>
  <c r="D137" i="16" s="1"/>
  <c r="B124" i="16"/>
  <c r="D124" i="16" s="1"/>
  <c r="B128" i="18"/>
  <c r="D128" i="18" s="1"/>
  <c r="B123" i="18"/>
  <c r="D123" i="18" s="1"/>
  <c r="B94" i="18"/>
  <c r="D94" i="18" s="1"/>
  <c r="B55" i="18"/>
  <c r="D55" i="18" s="1"/>
  <c r="B33" i="18"/>
  <c r="D33" i="18" s="1"/>
  <c r="B28" i="18"/>
  <c r="D28" i="18" s="1"/>
  <c r="B18" i="18"/>
  <c r="D18" i="18" s="1"/>
  <c r="B132" i="17"/>
  <c r="D132" i="17" s="1"/>
  <c r="B127" i="17"/>
  <c r="D127" i="17" s="1"/>
  <c r="B108" i="17"/>
  <c r="D108" i="17" s="1"/>
  <c r="B77" i="17"/>
  <c r="D77" i="17" s="1"/>
  <c r="B55" i="17"/>
  <c r="D55" i="17" s="1"/>
  <c r="B41" i="17"/>
  <c r="D41" i="17" s="1"/>
  <c r="B16" i="17"/>
  <c r="D16" i="17" s="1"/>
  <c r="B117" i="18"/>
  <c r="D117" i="18" s="1"/>
  <c r="B122" i="17"/>
  <c r="D122" i="17" s="1"/>
  <c r="B60" i="17"/>
  <c r="D60" i="17" s="1"/>
  <c r="B112" i="18"/>
  <c r="D112" i="18" s="1"/>
  <c r="B83" i="18"/>
  <c r="D83" i="18" s="1"/>
  <c r="B12" i="18"/>
  <c r="D12" i="18" s="1"/>
  <c r="B117" i="17"/>
  <c r="D117" i="17" s="1"/>
  <c r="B86" i="17"/>
  <c r="D86" i="17" s="1"/>
  <c r="B81" i="17"/>
  <c r="D81" i="17" s="1"/>
  <c r="B25" i="17"/>
  <c r="D25" i="17" s="1"/>
  <c r="B20" i="17"/>
  <c r="D20" i="17" s="1"/>
  <c r="B111" i="16"/>
  <c r="D111" i="16" s="1"/>
  <c r="B47" i="16"/>
  <c r="D47" i="16" s="1"/>
  <c r="B133" i="18"/>
  <c r="D133" i="18" s="1"/>
  <c r="B99" i="18"/>
  <c r="D99" i="18" s="1"/>
  <c r="B32" i="18"/>
  <c r="D32" i="18" s="1"/>
  <c r="B136" i="17"/>
  <c r="D136" i="17" s="1"/>
  <c r="B76" i="17"/>
  <c r="D76" i="17" s="1"/>
  <c r="B69" i="17"/>
  <c r="D69" i="17" s="1"/>
  <c r="B34" i="17"/>
  <c r="D34" i="17" s="1"/>
  <c r="B136" i="16"/>
  <c r="D136" i="16" s="1"/>
  <c r="B115" i="16"/>
  <c r="D115" i="16" s="1"/>
  <c r="B43" i="16"/>
  <c r="D43" i="16" s="1"/>
  <c r="B26" i="16"/>
  <c r="D26" i="16" s="1"/>
  <c r="B11" i="16"/>
  <c r="D11" i="16" s="1"/>
  <c r="B134" i="15"/>
  <c r="D134" i="15" s="1"/>
  <c r="B123" i="15"/>
  <c r="D123" i="15" s="1"/>
  <c r="B81" i="18"/>
  <c r="D81" i="18" s="1"/>
  <c r="B76" i="18"/>
  <c r="D76" i="18" s="1"/>
  <c r="B102" i="18"/>
  <c r="D102" i="18" s="1"/>
  <c r="B88" i="18"/>
  <c r="D88" i="18" s="1"/>
  <c r="B58" i="18"/>
  <c r="D58" i="18" s="1"/>
  <c r="B11" i="18"/>
  <c r="D11" i="18" s="1"/>
  <c r="B107" i="17"/>
  <c r="B14" i="17"/>
  <c r="D14" i="17" s="1"/>
  <c r="B133" i="16"/>
  <c r="D133" i="16" s="1"/>
  <c r="B87" i="16"/>
  <c r="D87" i="16" s="1"/>
  <c r="B73" i="16"/>
  <c r="B44" i="16"/>
  <c r="D44" i="16" s="1"/>
  <c r="B40" i="16"/>
  <c r="B29" i="16"/>
  <c r="D29" i="16" s="1"/>
  <c r="B25" i="16"/>
  <c r="D25" i="16" s="1"/>
  <c r="B97" i="15"/>
  <c r="D97" i="15" s="1"/>
  <c r="B52" i="15"/>
  <c r="D52" i="15" s="1"/>
  <c r="B133" i="14"/>
  <c r="D133" i="14" s="1"/>
  <c r="B122" i="14"/>
  <c r="D122" i="14" s="1"/>
  <c r="B111" i="14"/>
  <c r="D111" i="14" s="1"/>
  <c r="B98" i="14"/>
  <c r="D98" i="14" s="1"/>
  <c r="B87" i="14"/>
  <c r="D87" i="14" s="1"/>
  <c r="B76" i="14"/>
  <c r="D76" i="14" s="1"/>
  <c r="B63" i="14"/>
  <c r="D63" i="14" s="1"/>
  <c r="B52" i="14"/>
  <c r="D52" i="14" s="1"/>
  <c r="B41" i="14"/>
  <c r="D41" i="14" s="1"/>
  <c r="B126" i="18"/>
  <c r="D126" i="18" s="1"/>
  <c r="B24" i="18"/>
  <c r="D24" i="18" s="1"/>
  <c r="B88" i="17"/>
  <c r="D88" i="17" s="1"/>
  <c r="B19" i="17"/>
  <c r="D19" i="17" s="1"/>
  <c r="B113" i="16"/>
  <c r="D113" i="16" s="1"/>
  <c r="B101" i="16"/>
  <c r="D101" i="16" s="1"/>
  <c r="B96" i="16"/>
  <c r="D96" i="16" s="1"/>
  <c r="B61" i="16"/>
  <c r="D61" i="16" s="1"/>
  <c r="B17" i="18"/>
  <c r="D17" i="18" s="1"/>
  <c r="B125" i="17"/>
  <c r="D125" i="17" s="1"/>
  <c r="B99" i="17"/>
  <c r="D99" i="17" s="1"/>
  <c r="B93" i="17"/>
  <c r="D93" i="17" s="1"/>
  <c r="B75" i="17"/>
  <c r="D75" i="17" s="1"/>
  <c r="B108" i="16"/>
  <c r="D108" i="16" s="1"/>
  <c r="B82" i="16"/>
  <c r="D82" i="16" s="1"/>
  <c r="B48" i="16"/>
  <c r="D48" i="16" s="1"/>
  <c r="B33" i="16"/>
  <c r="D33" i="16" s="1"/>
  <c r="B130" i="15"/>
  <c r="D130" i="15" s="1"/>
  <c r="B126" i="15"/>
  <c r="D126" i="15" s="1"/>
  <c r="B122" i="15"/>
  <c r="D122" i="15" s="1"/>
  <c r="B85" i="15"/>
  <c r="D85" i="15" s="1"/>
  <c r="B81" i="15"/>
  <c r="D81" i="15" s="1"/>
  <c r="B77" i="15"/>
  <c r="D77" i="15" s="1"/>
  <c r="B40" i="15"/>
  <c r="B34" i="15"/>
  <c r="D34" i="15" s="1"/>
  <c r="B30" i="15"/>
  <c r="D30" i="15" s="1"/>
  <c r="B129" i="14"/>
  <c r="D129" i="14" s="1"/>
  <c r="B118" i="14"/>
  <c r="D118" i="14" s="1"/>
  <c r="B107" i="14"/>
  <c r="B94" i="14"/>
  <c r="D94" i="14" s="1"/>
  <c r="B111" i="18"/>
  <c r="D111" i="18" s="1"/>
  <c r="B101" i="18"/>
  <c r="D101" i="18" s="1"/>
  <c r="B44" i="18"/>
  <c r="D44" i="18" s="1"/>
  <c r="B10" i="18"/>
  <c r="D10" i="18" s="1"/>
  <c r="B49" i="17"/>
  <c r="D49" i="17" s="1"/>
  <c r="B36" i="17"/>
  <c r="D36" i="17" s="1"/>
  <c r="B24" i="17"/>
  <c r="D24" i="17" s="1"/>
  <c r="B8" i="17"/>
  <c r="D8" i="17" s="1"/>
  <c r="B132" i="16"/>
  <c r="D132" i="16" s="1"/>
  <c r="B77" i="16"/>
  <c r="D77" i="16" s="1"/>
  <c r="B87" i="18"/>
  <c r="D87" i="18" s="1"/>
  <c r="B80" i="18"/>
  <c r="D80" i="18" s="1"/>
  <c r="B64" i="18"/>
  <c r="D64" i="18" s="1"/>
  <c r="B57" i="18"/>
  <c r="D57" i="18" s="1"/>
  <c r="B119" i="17"/>
  <c r="D119" i="17" s="1"/>
  <c r="B87" i="17"/>
  <c r="D87" i="17" s="1"/>
  <c r="B43" i="17"/>
  <c r="D43" i="17" s="1"/>
  <c r="B13" i="17"/>
  <c r="D13" i="17" s="1"/>
  <c r="B122" i="16"/>
  <c r="D122" i="16" s="1"/>
  <c r="B91" i="16"/>
  <c r="D91" i="16" s="1"/>
  <c r="B65" i="16"/>
  <c r="D65" i="16" s="1"/>
  <c r="B20" i="16"/>
  <c r="D20" i="16" s="1"/>
  <c r="B16" i="16"/>
  <c r="D16" i="16" s="1"/>
  <c r="B12" i="16"/>
  <c r="D12" i="16" s="1"/>
  <c r="B8" i="16"/>
  <c r="D8" i="16" s="1"/>
  <c r="B110" i="15"/>
  <c r="D110" i="15" s="1"/>
  <c r="B63" i="15"/>
  <c r="D63" i="15" s="1"/>
  <c r="B112" i="17"/>
  <c r="D112" i="17" s="1"/>
  <c r="B98" i="17"/>
  <c r="D98" i="17" s="1"/>
  <c r="B54" i="17"/>
  <c r="D54" i="17" s="1"/>
  <c r="B117" i="16"/>
  <c r="D117" i="16" s="1"/>
  <c r="B107" i="16"/>
  <c r="B100" i="16"/>
  <c r="D100" i="16" s="1"/>
  <c r="B56" i="16"/>
  <c r="D56" i="16" s="1"/>
  <c r="B24" i="16"/>
  <c r="D24" i="16" s="1"/>
  <c r="B100" i="15"/>
  <c r="D100" i="15" s="1"/>
  <c r="B59" i="15"/>
  <c r="D59" i="15" s="1"/>
  <c r="B55" i="15"/>
  <c r="D55" i="15" s="1"/>
  <c r="B6" i="15"/>
  <c r="D6" i="15" s="1"/>
  <c r="B136" i="14"/>
  <c r="D136" i="14" s="1"/>
  <c r="B93" i="18"/>
  <c r="D93" i="18" s="1"/>
  <c r="B29" i="18"/>
  <c r="D29" i="18" s="1"/>
  <c r="B124" i="17"/>
  <c r="D124" i="17" s="1"/>
  <c r="B92" i="17"/>
  <c r="D92" i="17" s="1"/>
  <c r="B66" i="17"/>
  <c r="D66" i="17" s="1"/>
  <c r="B29" i="17"/>
  <c r="D29" i="17" s="1"/>
  <c r="B112" i="16"/>
  <c r="D112" i="16" s="1"/>
  <c r="B81" i="16"/>
  <c r="D81" i="16" s="1"/>
  <c r="B28" i="16"/>
  <c r="D28" i="16" s="1"/>
  <c r="B96" i="15"/>
  <c r="D96" i="15" s="1"/>
  <c r="B92" i="15"/>
  <c r="D92" i="15" s="1"/>
  <c r="B88" i="15"/>
  <c r="D88" i="15" s="1"/>
  <c r="B51" i="15"/>
  <c r="D51" i="15" s="1"/>
  <c r="B132" i="14"/>
  <c r="D132" i="14" s="1"/>
  <c r="B121" i="14"/>
  <c r="D121" i="14" s="1"/>
  <c r="B110" i="14"/>
  <c r="D110" i="14" s="1"/>
  <c r="B97" i="14"/>
  <c r="D97" i="14" s="1"/>
  <c r="B86" i="14"/>
  <c r="D86" i="14" s="1"/>
  <c r="B75" i="14"/>
  <c r="D75" i="14" s="1"/>
  <c r="B62" i="14"/>
  <c r="D62" i="14" s="1"/>
  <c r="B22" i="18"/>
  <c r="D22" i="18" s="1"/>
  <c r="B9" i="18"/>
  <c r="D9" i="18" s="1"/>
  <c r="B48" i="17"/>
  <c r="D48" i="17" s="1"/>
  <c r="B18" i="17"/>
  <c r="D18" i="17" s="1"/>
  <c r="B7" i="17"/>
  <c r="D7" i="17" s="1"/>
  <c r="B131" i="16"/>
  <c r="D131" i="16" s="1"/>
  <c r="B95" i="16"/>
  <c r="D95" i="16" s="1"/>
  <c r="B76" i="16"/>
  <c r="D76" i="16" s="1"/>
  <c r="B60" i="16"/>
  <c r="D60" i="16" s="1"/>
  <c r="B84" i="15"/>
  <c r="D84" i="15" s="1"/>
  <c r="B80" i="15"/>
  <c r="D80" i="15" s="1"/>
  <c r="B47" i="15"/>
  <c r="D47" i="15" s="1"/>
  <c r="B43" i="15"/>
  <c r="D43" i="15" s="1"/>
  <c r="B33" i="15"/>
  <c r="D33" i="15" s="1"/>
  <c r="B29" i="15"/>
  <c r="D29" i="15" s="1"/>
  <c r="B116" i="18"/>
  <c r="D116" i="18" s="1"/>
  <c r="B79" i="18"/>
  <c r="D79" i="18" s="1"/>
  <c r="B69" i="18"/>
  <c r="D69" i="18" s="1"/>
  <c r="B34" i="18"/>
  <c r="D34" i="18" s="1"/>
  <c r="B130" i="17"/>
  <c r="D130" i="17" s="1"/>
  <c r="B111" i="17"/>
  <c r="D111" i="17" s="1"/>
  <c r="B23" i="17"/>
  <c r="D23" i="17" s="1"/>
  <c r="B12" i="17"/>
  <c r="D12" i="17" s="1"/>
  <c r="B69" i="16"/>
  <c r="D69" i="16" s="1"/>
  <c r="B51" i="16"/>
  <c r="D51" i="16" s="1"/>
  <c r="B32" i="16"/>
  <c r="D32" i="16" s="1"/>
  <c r="B7" i="16"/>
  <c r="D7" i="16" s="1"/>
  <c r="B137" i="15"/>
  <c r="D137" i="15" s="1"/>
  <c r="B133" i="15"/>
  <c r="D133" i="15" s="1"/>
  <c r="B129" i="15"/>
  <c r="D129" i="15" s="1"/>
  <c r="B125" i="15"/>
  <c r="D125" i="15" s="1"/>
  <c r="B121" i="15"/>
  <c r="D121" i="15" s="1"/>
  <c r="B76" i="15"/>
  <c r="D76" i="15" s="1"/>
  <c r="B25" i="15"/>
  <c r="D25" i="15" s="1"/>
  <c r="B21" i="15"/>
  <c r="D21" i="15" s="1"/>
  <c r="B128" i="14"/>
  <c r="D128" i="14" s="1"/>
  <c r="B117" i="14"/>
  <c r="D117" i="14" s="1"/>
  <c r="B93" i="14"/>
  <c r="D93" i="14" s="1"/>
  <c r="B82" i="14"/>
  <c r="D82" i="14" s="1"/>
  <c r="B69" i="14"/>
  <c r="D69" i="14" s="1"/>
  <c r="B15" i="18"/>
  <c r="D15" i="18" s="1"/>
  <c r="B79" i="17"/>
  <c r="D79" i="17" s="1"/>
  <c r="B59" i="17"/>
  <c r="D59" i="17" s="1"/>
  <c r="B42" i="17"/>
  <c r="D42" i="17" s="1"/>
  <c r="B28" i="17"/>
  <c r="D28" i="17" s="1"/>
  <c r="B126" i="16"/>
  <c r="D126" i="16" s="1"/>
  <c r="B85" i="16"/>
  <c r="D85" i="16" s="1"/>
  <c r="B15" i="16"/>
  <c r="D15" i="16" s="1"/>
  <c r="B117" i="15"/>
  <c r="D117" i="15" s="1"/>
  <c r="B113" i="15"/>
  <c r="D113" i="15" s="1"/>
  <c r="B66" i="15"/>
  <c r="D66" i="15" s="1"/>
  <c r="B17" i="15"/>
  <c r="D17" i="15" s="1"/>
  <c r="B21" i="18"/>
  <c r="D21" i="18" s="1"/>
  <c r="B97" i="17"/>
  <c r="D97" i="17" s="1"/>
  <c r="B17" i="17"/>
  <c r="D17" i="17" s="1"/>
  <c r="B6" i="17"/>
  <c r="D6" i="17" s="1"/>
  <c r="B121" i="16"/>
  <c r="D121" i="16" s="1"/>
  <c r="B64" i="16"/>
  <c r="D64" i="16" s="1"/>
  <c r="B55" i="16"/>
  <c r="D55" i="16" s="1"/>
  <c r="B42" i="16"/>
  <c r="D42" i="16" s="1"/>
  <c r="B36" i="16"/>
  <c r="D36" i="16" s="1"/>
  <c r="B19" i="16"/>
  <c r="D19" i="16" s="1"/>
  <c r="B109" i="15"/>
  <c r="D109" i="15" s="1"/>
  <c r="B103" i="15"/>
  <c r="D103" i="15" s="1"/>
  <c r="B99" i="15"/>
  <c r="D99" i="15" s="1"/>
  <c r="B62" i="15"/>
  <c r="D62" i="15" s="1"/>
  <c r="B13" i="15"/>
  <c r="D13" i="15" s="1"/>
  <c r="B9" i="15"/>
  <c r="D9" i="15" s="1"/>
  <c r="B115" i="18"/>
  <c r="D115" i="18" s="1"/>
  <c r="B92" i="18"/>
  <c r="D92" i="18" s="1"/>
  <c r="B48" i="18"/>
  <c r="D48" i="18" s="1"/>
  <c r="B129" i="17"/>
  <c r="D129" i="17" s="1"/>
  <c r="B53" i="17"/>
  <c r="D53" i="17" s="1"/>
  <c r="B42" i="18"/>
  <c r="D42" i="18" s="1"/>
  <c r="B135" i="17"/>
  <c r="D135" i="17" s="1"/>
  <c r="B90" i="17"/>
  <c r="D90" i="17" s="1"/>
  <c r="B73" i="17"/>
  <c r="B33" i="17"/>
  <c r="D33" i="17" s="1"/>
  <c r="B22" i="17"/>
  <c r="D22" i="17" s="1"/>
  <c r="B135" i="16"/>
  <c r="D135" i="16" s="1"/>
  <c r="B89" i="16"/>
  <c r="D89" i="16" s="1"/>
  <c r="B46" i="16"/>
  <c r="D46" i="16" s="1"/>
  <c r="B27" i="16"/>
  <c r="D27" i="16" s="1"/>
  <c r="B87" i="15"/>
  <c r="D87" i="15" s="1"/>
  <c r="B50" i="15"/>
  <c r="D50" i="15" s="1"/>
  <c r="B46" i="15"/>
  <c r="D46" i="15" s="1"/>
  <c r="B42" i="15"/>
  <c r="D42" i="15" s="1"/>
  <c r="B36" i="15"/>
  <c r="D36" i="15" s="1"/>
  <c r="B32" i="15"/>
  <c r="D32" i="15" s="1"/>
  <c r="B131" i="14"/>
  <c r="D131" i="14" s="1"/>
  <c r="B120" i="14"/>
  <c r="D120" i="14" s="1"/>
  <c r="B109" i="14"/>
  <c r="D109" i="14" s="1"/>
  <c r="B96" i="14"/>
  <c r="D96" i="14" s="1"/>
  <c r="B85" i="14"/>
  <c r="D85" i="14" s="1"/>
  <c r="B74" i="14"/>
  <c r="D74" i="14" s="1"/>
  <c r="B137" i="18"/>
  <c r="D137" i="18" s="1"/>
  <c r="B122" i="18"/>
  <c r="D122" i="18" s="1"/>
  <c r="B98" i="18"/>
  <c r="D98" i="18" s="1"/>
  <c r="B7" i="18"/>
  <c r="D7" i="18" s="1"/>
  <c r="B116" i="17"/>
  <c r="D116" i="17" s="1"/>
  <c r="B64" i="17"/>
  <c r="D64" i="17" s="1"/>
  <c r="B58" i="17"/>
  <c r="D58" i="17" s="1"/>
  <c r="B130" i="16"/>
  <c r="D130" i="16" s="1"/>
  <c r="B75" i="16"/>
  <c r="D75" i="16" s="1"/>
  <c r="B50" i="16"/>
  <c r="D50" i="16" s="1"/>
  <c r="B62" i="17"/>
  <c r="D62" i="17" s="1"/>
  <c r="B129" i="16"/>
  <c r="D129" i="16" s="1"/>
  <c r="B67" i="16"/>
  <c r="D67" i="16" s="1"/>
  <c r="B102" i="15"/>
  <c r="D102" i="15" s="1"/>
  <c r="B91" i="15"/>
  <c r="D91" i="15" s="1"/>
  <c r="B86" i="15"/>
  <c r="D86" i="15" s="1"/>
  <c r="B67" i="15"/>
  <c r="D67" i="15" s="1"/>
  <c r="B119" i="14"/>
  <c r="D119" i="14" s="1"/>
  <c r="B103" i="14"/>
  <c r="D103" i="14" s="1"/>
  <c r="B90" i="14"/>
  <c r="D90" i="14" s="1"/>
  <c r="B81" i="14"/>
  <c r="D81" i="14" s="1"/>
  <c r="B77" i="14"/>
  <c r="D77" i="14" s="1"/>
  <c r="B22" i="14"/>
  <c r="D22" i="14" s="1"/>
  <c r="B137" i="13"/>
  <c r="D137" i="13" s="1"/>
  <c r="B114" i="16"/>
  <c r="D114" i="16" s="1"/>
  <c r="B83" i="16"/>
  <c r="D83" i="16" s="1"/>
  <c r="B30" i="16"/>
  <c r="D30" i="16" s="1"/>
  <c r="B61" i="15"/>
  <c r="D61" i="15" s="1"/>
  <c r="B31" i="15"/>
  <c r="D31" i="15" s="1"/>
  <c r="B26" i="15"/>
  <c r="D26" i="15" s="1"/>
  <c r="B58" i="14"/>
  <c r="D58" i="14" s="1"/>
  <c r="B43" i="14"/>
  <c r="D43" i="14" s="1"/>
  <c r="B18" i="14"/>
  <c r="D18" i="14" s="1"/>
  <c r="B122" i="13"/>
  <c r="D122" i="13" s="1"/>
  <c r="B111" i="13"/>
  <c r="D111" i="13" s="1"/>
  <c r="B98" i="13"/>
  <c r="D98" i="13" s="1"/>
  <c r="B89" i="17"/>
  <c r="D89" i="17" s="1"/>
  <c r="B44" i="17"/>
  <c r="D44" i="17" s="1"/>
  <c r="B46" i="18"/>
  <c r="D46" i="18" s="1"/>
  <c r="B26" i="18"/>
  <c r="D26" i="18" s="1"/>
  <c r="B134" i="17"/>
  <c r="D134" i="17" s="1"/>
  <c r="B52" i="17"/>
  <c r="D52" i="17" s="1"/>
  <c r="B9" i="17"/>
  <c r="D9" i="17" s="1"/>
  <c r="B97" i="16"/>
  <c r="D97" i="16" s="1"/>
  <c r="B66" i="16"/>
  <c r="D66" i="16" s="1"/>
  <c r="B5" i="16"/>
  <c r="B127" i="15"/>
  <c r="D127" i="15" s="1"/>
  <c r="B20" i="15"/>
  <c r="D20" i="15" s="1"/>
  <c r="B54" i="14"/>
  <c r="D54" i="14" s="1"/>
  <c r="B29" i="14"/>
  <c r="D29" i="14" s="1"/>
  <c r="B129" i="13"/>
  <c r="D129" i="13" s="1"/>
  <c r="B103" i="18"/>
  <c r="D103" i="18" s="1"/>
  <c r="B128" i="16"/>
  <c r="D128" i="16" s="1"/>
  <c r="B58" i="16"/>
  <c r="D58" i="16" s="1"/>
  <c r="B22" i="16"/>
  <c r="D22" i="16" s="1"/>
  <c r="B10" i="16"/>
  <c r="D10" i="16" s="1"/>
  <c r="B132" i="15"/>
  <c r="D132" i="15" s="1"/>
  <c r="B115" i="15"/>
  <c r="D115" i="15" s="1"/>
  <c r="B79" i="15"/>
  <c r="D79" i="15" s="1"/>
  <c r="B74" i="15"/>
  <c r="D74" i="15" s="1"/>
  <c r="B15" i="15"/>
  <c r="D15" i="15" s="1"/>
  <c r="B127" i="14"/>
  <c r="D127" i="14" s="1"/>
  <c r="B89" i="14"/>
  <c r="D89" i="14" s="1"/>
  <c r="B50" i="14"/>
  <c r="D50" i="14" s="1"/>
  <c r="B25" i="14"/>
  <c r="D25" i="14" s="1"/>
  <c r="B10" i="14"/>
  <c r="D10" i="14" s="1"/>
  <c r="B114" i="18"/>
  <c r="D114" i="18" s="1"/>
  <c r="B68" i="17"/>
  <c r="D68" i="17" s="1"/>
  <c r="B103" i="16"/>
  <c r="D103" i="16" s="1"/>
  <c r="B90" i="15"/>
  <c r="D90" i="15" s="1"/>
  <c r="B54" i="15"/>
  <c r="D54" i="15" s="1"/>
  <c r="B49" i="15"/>
  <c r="D49" i="15" s="1"/>
  <c r="B44" i="15"/>
  <c r="D44" i="15" s="1"/>
  <c r="B46" i="14"/>
  <c r="D46" i="14" s="1"/>
  <c r="B6" i="14"/>
  <c r="D6" i="14" s="1"/>
  <c r="B125" i="13"/>
  <c r="D125" i="13" s="1"/>
  <c r="B114" i="13"/>
  <c r="D114" i="13" s="1"/>
  <c r="B101" i="13"/>
  <c r="D101" i="13" s="1"/>
  <c r="B90" i="13"/>
  <c r="D90" i="13" s="1"/>
  <c r="B79" i="13"/>
  <c r="D79" i="13" s="1"/>
  <c r="B66" i="13"/>
  <c r="D66" i="13" s="1"/>
  <c r="B55" i="13"/>
  <c r="D55" i="13" s="1"/>
  <c r="B44" i="13"/>
  <c r="D44" i="13" s="1"/>
  <c r="B31" i="13"/>
  <c r="D31" i="13" s="1"/>
  <c r="B20" i="13"/>
  <c r="D20" i="13" s="1"/>
  <c r="B5" i="13"/>
  <c r="B53" i="18"/>
  <c r="D53" i="18" s="1"/>
  <c r="B45" i="16"/>
  <c r="D45" i="16" s="1"/>
  <c r="B120" i="15"/>
  <c r="D120" i="15" s="1"/>
  <c r="B101" i="15"/>
  <c r="D101" i="15" s="1"/>
  <c r="B95" i="15"/>
  <c r="D95" i="15" s="1"/>
  <c r="B65" i="15"/>
  <c r="D65" i="15" s="1"/>
  <c r="B60" i="15"/>
  <c r="D60" i="15" s="1"/>
  <c r="B113" i="14"/>
  <c r="D113" i="14" s="1"/>
  <c r="B102" i="14"/>
  <c r="D102" i="14" s="1"/>
  <c r="B80" i="14"/>
  <c r="D80" i="14" s="1"/>
  <c r="B61" i="14"/>
  <c r="D61" i="14" s="1"/>
  <c r="B21" i="14"/>
  <c r="D21" i="14" s="1"/>
  <c r="B136" i="13"/>
  <c r="D136" i="13" s="1"/>
  <c r="B95" i="17"/>
  <c r="D95" i="17" s="1"/>
  <c r="B134" i="16"/>
  <c r="D134" i="16" s="1"/>
  <c r="B119" i="16"/>
  <c r="D119" i="16" s="1"/>
  <c r="B35" i="16"/>
  <c r="D35" i="16" s="1"/>
  <c r="B14" i="15"/>
  <c r="D14" i="15" s="1"/>
  <c r="B65" i="14"/>
  <c r="D65" i="14" s="1"/>
  <c r="B57" i="14"/>
  <c r="D57" i="14" s="1"/>
  <c r="B42" i="14"/>
  <c r="D42" i="14" s="1"/>
  <c r="B17" i="14"/>
  <c r="D17" i="14" s="1"/>
  <c r="B132" i="13"/>
  <c r="D132" i="13" s="1"/>
  <c r="B121" i="13"/>
  <c r="D121" i="13" s="1"/>
  <c r="B110" i="13"/>
  <c r="D110" i="13" s="1"/>
  <c r="B97" i="13"/>
  <c r="D97" i="13" s="1"/>
  <c r="B86" i="13"/>
  <c r="D86" i="13" s="1"/>
  <c r="B75" i="13"/>
  <c r="D75" i="13" s="1"/>
  <c r="B62" i="13"/>
  <c r="D62" i="13" s="1"/>
  <c r="B51" i="13"/>
  <c r="D51" i="13" s="1"/>
  <c r="B40" i="13"/>
  <c r="B27" i="13"/>
  <c r="D27" i="13" s="1"/>
  <c r="B12" i="13"/>
  <c r="D12" i="13" s="1"/>
  <c r="B88" i="16"/>
  <c r="D88" i="16" s="1"/>
  <c r="B35" i="15"/>
  <c r="D35" i="15" s="1"/>
  <c r="B24" i="15"/>
  <c r="D24" i="15" s="1"/>
  <c r="B137" i="14"/>
  <c r="D137" i="14" s="1"/>
  <c r="B84" i="14"/>
  <c r="D84" i="14" s="1"/>
  <c r="B36" i="14"/>
  <c r="D36" i="14" s="1"/>
  <c r="B32" i="14"/>
  <c r="D32" i="14" s="1"/>
  <c r="B13" i="14"/>
  <c r="D13" i="14" s="1"/>
  <c r="B82" i="13"/>
  <c r="D82" i="13" s="1"/>
  <c r="B58" i="13"/>
  <c r="D58" i="13" s="1"/>
  <c r="B47" i="13"/>
  <c r="D47" i="13" s="1"/>
  <c r="B23" i="13"/>
  <c r="D23" i="13" s="1"/>
  <c r="B82" i="18"/>
  <c r="D82" i="18" s="1"/>
  <c r="B52" i="18"/>
  <c r="D52" i="18" s="1"/>
  <c r="B78" i="17"/>
  <c r="D78" i="17" s="1"/>
  <c r="B74" i="16"/>
  <c r="D74" i="16" s="1"/>
  <c r="B114" i="15"/>
  <c r="D114" i="15" s="1"/>
  <c r="B108" i="15"/>
  <c r="D108" i="15" s="1"/>
  <c r="B73" i="15"/>
  <c r="B19" i="15"/>
  <c r="D19" i="15" s="1"/>
  <c r="B53" i="14"/>
  <c r="D53" i="14" s="1"/>
  <c r="B28" i="14"/>
  <c r="D28" i="14" s="1"/>
  <c r="B9" i="14"/>
  <c r="D9" i="14" s="1"/>
  <c r="B128" i="13"/>
  <c r="D128" i="13" s="1"/>
  <c r="B117" i="13"/>
  <c r="D117" i="13" s="1"/>
  <c r="B93" i="13"/>
  <c r="D93" i="13" s="1"/>
  <c r="B69" i="13"/>
  <c r="D69" i="13" s="1"/>
  <c r="B34" i="13"/>
  <c r="D34" i="13" s="1"/>
  <c r="B8" i="13"/>
  <c r="D8" i="13" s="1"/>
  <c r="B31" i="17"/>
  <c r="D31" i="17" s="1"/>
  <c r="B80" i="16"/>
  <c r="D80" i="16" s="1"/>
  <c r="B63" i="16"/>
  <c r="D63" i="16" s="1"/>
  <c r="B57" i="16"/>
  <c r="D57" i="16" s="1"/>
  <c r="B21" i="16"/>
  <c r="D21" i="16" s="1"/>
  <c r="B9" i="16"/>
  <c r="D9" i="16" s="1"/>
  <c r="B131" i="15"/>
  <c r="D131" i="15" s="1"/>
  <c r="B78" i="15"/>
  <c r="D78" i="15" s="1"/>
  <c r="B53" i="15"/>
  <c r="D53" i="15" s="1"/>
  <c r="B8" i="15"/>
  <c r="D8" i="15" s="1"/>
  <c r="B126" i="14"/>
  <c r="D126" i="14" s="1"/>
  <c r="B108" i="14"/>
  <c r="D108" i="14" s="1"/>
  <c r="B92" i="14"/>
  <c r="D92" i="14" s="1"/>
  <c r="B88" i="14"/>
  <c r="D88" i="14" s="1"/>
  <c r="B49" i="14"/>
  <c r="D49" i="14" s="1"/>
  <c r="B24" i="14"/>
  <c r="D24" i="14" s="1"/>
  <c r="B5" i="14"/>
  <c r="B6" i="18"/>
  <c r="D6" i="18" s="1"/>
  <c r="B114" i="17"/>
  <c r="D114" i="17" s="1"/>
  <c r="B94" i="17"/>
  <c r="D94" i="17" s="1"/>
  <c r="B40" i="17"/>
  <c r="B118" i="16"/>
  <c r="D118" i="16" s="1"/>
  <c r="B102" i="16"/>
  <c r="D102" i="16" s="1"/>
  <c r="B94" i="16"/>
  <c r="D94" i="16" s="1"/>
  <c r="B34" i="16"/>
  <c r="D34" i="16" s="1"/>
  <c r="B14" i="16"/>
  <c r="D14" i="16" s="1"/>
  <c r="B136" i="15"/>
  <c r="D136" i="15" s="1"/>
  <c r="B119" i="15"/>
  <c r="D119" i="15" s="1"/>
  <c r="B94" i="15"/>
  <c r="D94" i="15" s="1"/>
  <c r="B89" i="15"/>
  <c r="D89" i="15" s="1"/>
  <c r="B83" i="15"/>
  <c r="D83" i="15" s="1"/>
  <c r="B64" i="15"/>
  <c r="D64" i="15" s="1"/>
  <c r="B48" i="15"/>
  <c r="D48" i="15" s="1"/>
  <c r="B110" i="16"/>
  <c r="D110" i="16" s="1"/>
  <c r="B124" i="15"/>
  <c r="D124" i="15" s="1"/>
  <c r="B69" i="15"/>
  <c r="D69" i="15" s="1"/>
  <c r="B18" i="15"/>
  <c r="D18" i="15" s="1"/>
  <c r="B116" i="14"/>
  <c r="D116" i="14" s="1"/>
  <c r="B83" i="14"/>
  <c r="D83" i="14" s="1"/>
  <c r="B64" i="14"/>
  <c r="D64" i="14" s="1"/>
  <c r="B56" i="14"/>
  <c r="D56" i="14" s="1"/>
  <c r="B35" i="14"/>
  <c r="D35" i="14" s="1"/>
  <c r="B31" i="14"/>
  <c r="D31" i="14" s="1"/>
  <c r="B131" i="13"/>
  <c r="D131" i="13" s="1"/>
  <c r="B120" i="13"/>
  <c r="D120" i="13" s="1"/>
  <c r="B109" i="13"/>
  <c r="D109" i="13" s="1"/>
  <c r="B96" i="13"/>
  <c r="D96" i="13" s="1"/>
  <c r="B85" i="13"/>
  <c r="D85" i="13" s="1"/>
  <c r="B74" i="13"/>
  <c r="D74" i="13" s="1"/>
  <c r="B61" i="13"/>
  <c r="D61" i="13" s="1"/>
  <c r="B50" i="13"/>
  <c r="D50" i="13" s="1"/>
  <c r="B26" i="13"/>
  <c r="D26" i="13" s="1"/>
  <c r="B22" i="13"/>
  <c r="D22" i="13" s="1"/>
  <c r="B18" i="13"/>
  <c r="D18" i="13" s="1"/>
  <c r="B46" i="13"/>
  <c r="D46" i="13" s="1"/>
  <c r="B64" i="13"/>
  <c r="D64" i="13" s="1"/>
  <c r="B102" i="13"/>
  <c r="D102" i="13" s="1"/>
  <c r="B119" i="13"/>
  <c r="D119" i="13" s="1"/>
  <c r="B135" i="13"/>
  <c r="D135" i="13" s="1"/>
  <c r="B48" i="14"/>
  <c r="D48" i="14" s="1"/>
  <c r="B98" i="15"/>
  <c r="D98" i="15" s="1"/>
  <c r="B116" i="15"/>
  <c r="D116" i="15" s="1"/>
  <c r="F70" i="16"/>
  <c r="G23" i="3" s="1"/>
  <c r="B68" i="16"/>
  <c r="D68" i="16" s="1"/>
  <c r="F138" i="15"/>
  <c r="G19" i="3" s="1"/>
  <c r="F104" i="16"/>
  <c r="G24" i="3" s="1"/>
  <c r="J8" i="20"/>
  <c r="F8" i="20"/>
  <c r="L8" i="21"/>
  <c r="J8" i="21"/>
  <c r="F8" i="21"/>
  <c r="L8" i="22"/>
  <c r="J8" i="22"/>
  <c r="H8" i="22"/>
  <c r="F8" i="22"/>
  <c r="H8" i="20"/>
  <c r="H8" i="21"/>
  <c r="L8" i="20"/>
  <c r="C138" i="18"/>
  <c r="D37" i="3" s="1"/>
  <c r="C104" i="17"/>
  <c r="D30" i="3" s="1"/>
  <c r="C138" i="17"/>
  <c r="D31" i="3" s="1"/>
  <c r="AB30" i="21"/>
  <c r="F30" i="19"/>
  <c r="F22" i="20"/>
  <c r="T23" i="21"/>
  <c r="J14" i="19"/>
  <c r="C70" i="16"/>
  <c r="D23" i="3" s="1"/>
  <c r="C70" i="17"/>
  <c r="D29" i="3" s="1"/>
  <c r="L25" i="19"/>
  <c r="L26" i="19" s="1"/>
  <c r="H26" i="20"/>
  <c r="H30" i="20" s="1"/>
  <c r="H25" i="19"/>
  <c r="H26" i="19" s="1"/>
  <c r="F104" i="18"/>
  <c r="G36" i="3" s="1"/>
  <c r="L22" i="21"/>
  <c r="L29" i="20"/>
  <c r="L30" i="20" s="1"/>
  <c r="L28" i="19"/>
  <c r="L29" i="19" s="1"/>
  <c r="P30" i="20"/>
  <c r="F70" i="17"/>
  <c r="G29" i="3" s="1"/>
  <c r="N23" i="19"/>
  <c r="R30" i="20"/>
  <c r="P23" i="20"/>
  <c r="Z23" i="21"/>
  <c r="P30" i="19"/>
  <c r="L29" i="21"/>
  <c r="L30" i="21" s="1"/>
  <c r="C70" i="18"/>
  <c r="D35" i="3" s="1"/>
  <c r="C104" i="18"/>
  <c r="D36" i="3" s="1"/>
  <c r="H18" i="19"/>
  <c r="F22" i="21"/>
  <c r="F30" i="22"/>
  <c r="V23" i="19"/>
  <c r="Z30" i="20"/>
  <c r="H30" i="22"/>
  <c r="X23" i="19"/>
  <c r="F22" i="22"/>
  <c r="J30" i="22"/>
  <c r="L30" i="22"/>
  <c r="F138" i="18"/>
  <c r="G37" i="3" s="1"/>
  <c r="AB23" i="19"/>
  <c r="J9" i="19"/>
  <c r="L22" i="20"/>
  <c r="J30" i="21"/>
  <c r="F14" i="19"/>
  <c r="H29" i="21"/>
  <c r="H26" i="21"/>
  <c r="L22" i="19" l="1"/>
  <c r="L30" i="19"/>
  <c r="H22" i="19"/>
  <c r="G14" i="3"/>
  <c r="J22" i="19"/>
  <c r="D38" i="3"/>
  <c r="D26" i="3"/>
  <c r="F22" i="19"/>
  <c r="G38" i="3"/>
  <c r="H30" i="19"/>
  <c r="H5" i="21"/>
  <c r="H12" i="21"/>
  <c r="H23" i="21" s="1"/>
  <c r="D40" i="13"/>
  <c r="B70" i="13"/>
  <c r="D73" i="18"/>
  <c r="B104" i="18"/>
  <c r="B37" i="16"/>
  <c r="D5" i="16"/>
  <c r="B37" i="18"/>
  <c r="D5" i="18"/>
  <c r="D107" i="13"/>
  <c r="B138" i="13"/>
  <c r="F5" i="22"/>
  <c r="F12" i="22"/>
  <c r="F23" i="22" s="1"/>
  <c r="F31" i="22" s="1"/>
  <c r="H7" i="22" s="1"/>
  <c r="D4" i="3"/>
  <c r="C6" i="2"/>
  <c r="L5" i="22"/>
  <c r="L12" i="22"/>
  <c r="L23" i="22" s="1"/>
  <c r="B37" i="13"/>
  <c r="D5" i="13"/>
  <c r="D73" i="16"/>
  <c r="B104" i="16"/>
  <c r="G7" i="3"/>
  <c r="F9" i="2"/>
  <c r="F9" i="4" s="1"/>
  <c r="H5" i="20"/>
  <c r="H12" i="20"/>
  <c r="H23" i="20" s="1"/>
  <c r="H8" i="19"/>
  <c r="H12" i="19" s="1"/>
  <c r="H23" i="19" s="1"/>
  <c r="B70" i="16"/>
  <c r="D40" i="16"/>
  <c r="D32" i="3"/>
  <c r="D107" i="14"/>
  <c r="B138" i="14"/>
  <c r="G32" i="3"/>
  <c r="L5" i="21"/>
  <c r="L12" i="21"/>
  <c r="L23" i="21" s="1"/>
  <c r="F8" i="19"/>
  <c r="F12" i="19" s="1"/>
  <c r="F23" i="19" s="1"/>
  <c r="F31" i="19" s="1"/>
  <c r="H7" i="19" s="1"/>
  <c r="F12" i="20"/>
  <c r="F23" i="20" s="1"/>
  <c r="F31" i="20" s="1"/>
  <c r="H7" i="20" s="1"/>
  <c r="F5" i="20"/>
  <c r="F5" i="19" s="1"/>
  <c r="D6" i="3"/>
  <c r="C8" i="2"/>
  <c r="C8" i="4" s="1"/>
  <c r="B138" i="15"/>
  <c r="D107" i="15"/>
  <c r="D7" i="3"/>
  <c r="C9" i="2"/>
  <c r="C9" i="4" s="1"/>
  <c r="F5" i="21"/>
  <c r="F12" i="21"/>
  <c r="F23" i="21" s="1"/>
  <c r="F31" i="21" s="1"/>
  <c r="H7" i="21" s="1"/>
  <c r="J12" i="20"/>
  <c r="J23" i="20" s="1"/>
  <c r="J8" i="19"/>
  <c r="J12" i="19" s="1"/>
  <c r="J23" i="19" s="1"/>
  <c r="J5" i="20"/>
  <c r="D107" i="17"/>
  <c r="B138" i="17"/>
  <c r="B70" i="17"/>
  <c r="D40" i="17"/>
  <c r="D40" i="15"/>
  <c r="B70" i="15"/>
  <c r="G26" i="3"/>
  <c r="D14" i="3"/>
  <c r="C7" i="2"/>
  <c r="C7" i="4" s="1"/>
  <c r="J12" i="21"/>
  <c r="J23" i="21" s="1"/>
  <c r="J5" i="21"/>
  <c r="L5" i="20"/>
  <c r="L5" i="19" s="1"/>
  <c r="L12" i="20"/>
  <c r="L23" i="20" s="1"/>
  <c r="L8" i="19"/>
  <c r="L12" i="19" s="1"/>
  <c r="L23" i="19" s="1"/>
  <c r="H5" i="22"/>
  <c r="H12" i="22"/>
  <c r="H23" i="22" s="1"/>
  <c r="H30" i="21"/>
  <c r="D20" i="3"/>
  <c r="B138" i="18"/>
  <c r="D107" i="18"/>
  <c r="G17" i="4"/>
  <c r="B104" i="14"/>
  <c r="D73" i="14"/>
  <c r="J5" i="22"/>
  <c r="J12" i="22"/>
  <c r="J23" i="22" s="1"/>
  <c r="D5" i="14"/>
  <c r="B37" i="14"/>
  <c r="B104" i="13"/>
  <c r="D73" i="13"/>
  <c r="B104" i="17"/>
  <c r="D73" i="17"/>
  <c r="D40" i="18"/>
  <c r="B70" i="18"/>
  <c r="G4" i="3"/>
  <c r="F6" i="2"/>
  <c r="B37" i="17"/>
  <c r="D5" i="17"/>
  <c r="F7" i="2"/>
  <c r="F7" i="4" s="1"/>
  <c r="G5" i="3"/>
  <c r="B104" i="15"/>
  <c r="D73" i="15"/>
  <c r="B138" i="16"/>
  <c r="D107" i="16"/>
  <c r="F8" i="2"/>
  <c r="F8" i="4" s="1"/>
  <c r="G6" i="3"/>
  <c r="B70" i="14"/>
  <c r="D40" i="14"/>
  <c r="B37" i="15"/>
  <c r="D5" i="15"/>
  <c r="G20" i="3"/>
  <c r="H31" i="20" l="1"/>
  <c r="J7" i="20" s="1"/>
  <c r="J31" i="20" s="1"/>
  <c r="L7" i="20" s="1"/>
  <c r="L31" i="20" s="1"/>
  <c r="N7" i="20" s="1"/>
  <c r="N31" i="20" s="1"/>
  <c r="P7" i="20" s="1"/>
  <c r="P31" i="20" s="1"/>
  <c r="R7" i="20" s="1"/>
  <c r="R31" i="20" s="1"/>
  <c r="T7" i="20" s="1"/>
  <c r="T31" i="20" s="1"/>
  <c r="V7" i="20" s="1"/>
  <c r="V31" i="20" s="1"/>
  <c r="X7" i="20" s="1"/>
  <c r="X31" i="20" s="1"/>
  <c r="Z7" i="20" s="1"/>
  <c r="Z31" i="20" s="1"/>
  <c r="AB7" i="20" s="1"/>
  <c r="AB31" i="20" s="1"/>
  <c r="H31" i="19"/>
  <c r="J7" i="19" s="1"/>
  <c r="J31" i="19" s="1"/>
  <c r="L7" i="19" s="1"/>
  <c r="L31" i="19" s="1"/>
  <c r="N7" i="19" s="1"/>
  <c r="N31" i="19" s="1"/>
  <c r="P7" i="19" s="1"/>
  <c r="P31" i="19" s="1"/>
  <c r="R7" i="19" s="1"/>
  <c r="R31" i="19" s="1"/>
  <c r="T7" i="19" s="1"/>
  <c r="T31" i="19" s="1"/>
  <c r="V7" i="19" s="1"/>
  <c r="V31" i="19" s="1"/>
  <c r="X7" i="19" s="1"/>
  <c r="X31" i="19" s="1"/>
  <c r="Z7" i="19" s="1"/>
  <c r="Z31" i="19" s="1"/>
  <c r="AB7" i="19" s="1"/>
  <c r="AB31" i="19" s="1"/>
  <c r="D104" i="16"/>
  <c r="E24" i="3" s="1"/>
  <c r="C24" i="3"/>
  <c r="G5" i="13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E5" i="13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F6" i="4"/>
  <c r="F10" i="2"/>
  <c r="G40" i="3"/>
  <c r="G8" i="3"/>
  <c r="H31" i="22"/>
  <c r="J7" i="22" s="1"/>
  <c r="J31" i="22" s="1"/>
  <c r="L7" i="22" s="1"/>
  <c r="L31" i="22" s="1"/>
  <c r="N7" i="22" s="1"/>
  <c r="N31" i="22" s="1"/>
  <c r="P7" i="22" s="1"/>
  <c r="P31" i="22" s="1"/>
  <c r="R7" i="22" s="1"/>
  <c r="R31" i="22" s="1"/>
  <c r="T7" i="22" s="1"/>
  <c r="T31" i="22" s="1"/>
  <c r="V7" i="22" s="1"/>
  <c r="V31" i="22" s="1"/>
  <c r="X7" i="22" s="1"/>
  <c r="X31" i="22" s="1"/>
  <c r="Z7" i="22" s="1"/>
  <c r="Z31" i="22" s="1"/>
  <c r="AB7" i="22" s="1"/>
  <c r="AB31" i="22" s="1"/>
  <c r="D104" i="13"/>
  <c r="C6" i="3"/>
  <c r="B8" i="2"/>
  <c r="B8" i="4" s="1"/>
  <c r="D8" i="4" s="1"/>
  <c r="D37" i="15"/>
  <c r="E16" i="3" s="1"/>
  <c r="C16" i="3"/>
  <c r="C20" i="3" s="1"/>
  <c r="G5" i="14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C13" i="3"/>
  <c r="D138" i="14"/>
  <c r="E13" i="3" s="1"/>
  <c r="G5" i="18"/>
  <c r="G6" i="18" s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E5" i="18"/>
  <c r="E6" i="18" s="1"/>
  <c r="E7" i="18" s="1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D37" i="18"/>
  <c r="E34" i="3" s="1"/>
  <c r="C34" i="3"/>
  <c r="C4" i="3"/>
  <c r="B6" i="2"/>
  <c r="D37" i="13"/>
  <c r="C6" i="4"/>
  <c r="C10" i="2"/>
  <c r="E5" i="16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G5" i="16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D40" i="3"/>
  <c r="D8" i="3"/>
  <c r="D70" i="15"/>
  <c r="E17" i="3" s="1"/>
  <c r="C17" i="3"/>
  <c r="D138" i="17"/>
  <c r="E31" i="3" s="1"/>
  <c r="C31" i="3"/>
  <c r="D37" i="16"/>
  <c r="E22" i="3" s="1"/>
  <c r="C22" i="3"/>
  <c r="D104" i="14"/>
  <c r="E12" i="3" s="1"/>
  <c r="C12" i="3"/>
  <c r="D70" i="16"/>
  <c r="E23" i="3" s="1"/>
  <c r="C23" i="3"/>
  <c r="D104" i="18"/>
  <c r="E36" i="3" s="1"/>
  <c r="C36" i="3"/>
  <c r="D138" i="13"/>
  <c r="C7" i="3"/>
  <c r="B9" i="2"/>
  <c r="B9" i="4" s="1"/>
  <c r="D9" i="4" s="1"/>
  <c r="G5" i="15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E5" i="15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D37" i="17"/>
  <c r="E28" i="3" s="1"/>
  <c r="C28" i="3"/>
  <c r="D138" i="15"/>
  <c r="E19" i="3" s="1"/>
  <c r="C19" i="3"/>
  <c r="D70" i="14"/>
  <c r="E11" i="3" s="1"/>
  <c r="C11" i="3"/>
  <c r="G18" i="4"/>
  <c r="C5" i="3"/>
  <c r="B7" i="2"/>
  <c r="B7" i="4" s="1"/>
  <c r="D7" i="4" s="1"/>
  <c r="D70" i="13"/>
  <c r="D37" i="14"/>
  <c r="E10" i="3" s="1"/>
  <c r="C10" i="3"/>
  <c r="J5" i="19"/>
  <c r="D70" i="18"/>
  <c r="E35" i="3" s="1"/>
  <c r="C35" i="3"/>
  <c r="D70" i="17"/>
  <c r="E29" i="3" s="1"/>
  <c r="C29" i="3"/>
  <c r="C25" i="3"/>
  <c r="D138" i="16"/>
  <c r="E25" i="3" s="1"/>
  <c r="H5" i="19"/>
  <c r="C18" i="3"/>
  <c r="D104" i="15"/>
  <c r="E18" i="3" s="1"/>
  <c r="D138" i="18"/>
  <c r="E37" i="3" s="1"/>
  <c r="C37" i="3"/>
  <c r="H31" i="21"/>
  <c r="J7" i="21" s="1"/>
  <c r="J31" i="21" s="1"/>
  <c r="L7" i="21" s="1"/>
  <c r="L31" i="21" s="1"/>
  <c r="N7" i="21" s="1"/>
  <c r="N31" i="21" s="1"/>
  <c r="P7" i="21" s="1"/>
  <c r="P31" i="21" s="1"/>
  <c r="R7" i="21" s="1"/>
  <c r="R31" i="21" s="1"/>
  <c r="T7" i="21" s="1"/>
  <c r="T31" i="21" s="1"/>
  <c r="V7" i="21" s="1"/>
  <c r="V31" i="21" s="1"/>
  <c r="X7" i="21" s="1"/>
  <c r="X31" i="21" s="1"/>
  <c r="Z7" i="21" s="1"/>
  <c r="Z31" i="21" s="1"/>
  <c r="AB7" i="21" s="1"/>
  <c r="AB31" i="21" s="1"/>
  <c r="E5" i="17"/>
  <c r="E6" i="17" s="1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G5" i="17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D104" i="17"/>
  <c r="E30" i="3" s="1"/>
  <c r="C30" i="3"/>
  <c r="E38" i="3" l="1"/>
  <c r="C14" i="3"/>
  <c r="E20" i="3"/>
  <c r="E5" i="3"/>
  <c r="D7" i="2"/>
  <c r="G19" i="4"/>
  <c r="E40" i="18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F34" i="3"/>
  <c r="E14" i="3"/>
  <c r="E40" i="17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F28" i="3"/>
  <c r="G40" i="18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H34" i="3"/>
  <c r="F10" i="3"/>
  <c r="E40" i="14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G40" i="17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H28" i="3"/>
  <c r="H22" i="3"/>
  <c r="G40" i="16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E26" i="3"/>
  <c r="F22" i="3"/>
  <c r="E40" i="16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G40" i="14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H10" i="3"/>
  <c r="C32" i="3"/>
  <c r="E32" i="3"/>
  <c r="E4" i="3"/>
  <c r="D6" i="2"/>
  <c r="C26" i="3"/>
  <c r="D8" i="2"/>
  <c r="E6" i="3"/>
  <c r="E40" i="15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F16" i="3"/>
  <c r="F4" i="3"/>
  <c r="E6" i="2"/>
  <c r="E6" i="4" s="1"/>
  <c r="E40" i="13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B6" i="4"/>
  <c r="D6" i="4" s="1"/>
  <c r="B10" i="2"/>
  <c r="C8" i="3"/>
  <c r="C40" i="3"/>
  <c r="G40" i="15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H16" i="3"/>
  <c r="H4" i="3"/>
  <c r="G6" i="2"/>
  <c r="G6" i="4" s="1"/>
  <c r="H6" i="4" s="1"/>
  <c r="G40" i="13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D9" i="2"/>
  <c r="E7" i="3"/>
  <c r="C38" i="3"/>
  <c r="D10" i="2" l="1"/>
  <c r="E7" i="2"/>
  <c r="E7" i="4" s="1"/>
  <c r="E73" i="13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F5" i="3"/>
  <c r="G73" i="16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G99" i="16" s="1"/>
  <c r="G100" i="16" s="1"/>
  <c r="G101" i="16" s="1"/>
  <c r="G102" i="16" s="1"/>
  <c r="G103" i="16" s="1"/>
  <c r="G104" i="16" s="1"/>
  <c r="H23" i="3"/>
  <c r="G73" i="17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H29" i="3"/>
  <c r="G73" i="18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G100" i="18" s="1"/>
  <c r="G101" i="18" s="1"/>
  <c r="G102" i="18" s="1"/>
  <c r="G103" i="18" s="1"/>
  <c r="G104" i="18" s="1"/>
  <c r="H35" i="3"/>
  <c r="E73" i="14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F11" i="3"/>
  <c r="E73" i="18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F35" i="3"/>
  <c r="E73" i="16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F23" i="3"/>
  <c r="E73" i="17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F29" i="3"/>
  <c r="E40" i="3"/>
  <c r="E8" i="3"/>
  <c r="G20" i="4"/>
  <c r="G73" i="15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H17" i="3"/>
  <c r="E73" i="15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F17" i="3"/>
  <c r="G73" i="13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G99" i="13" s="1"/>
  <c r="G100" i="13" s="1"/>
  <c r="G101" i="13" s="1"/>
  <c r="G102" i="13" s="1"/>
  <c r="G103" i="13" s="1"/>
  <c r="G104" i="13" s="1"/>
  <c r="H5" i="3"/>
  <c r="G7" i="2"/>
  <c r="G7" i="4" s="1"/>
  <c r="H7" i="4" s="1"/>
  <c r="G73" i="14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H11" i="3"/>
  <c r="E107" i="16" l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F25" i="3" s="1"/>
  <c r="F26" i="3" s="1"/>
  <c r="F24" i="3"/>
  <c r="E107" i="14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F13" i="3" s="1"/>
  <c r="F14" i="3" s="1"/>
  <c r="F12" i="3"/>
  <c r="G107" i="15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H19" i="3" s="1"/>
  <c r="H20" i="3" s="1"/>
  <c r="H18" i="3"/>
  <c r="E107" i="18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F37" i="3" s="1"/>
  <c r="F38" i="3" s="1"/>
  <c r="F36" i="3"/>
  <c r="G107" i="18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36" i="18" s="1"/>
  <c r="G137" i="18" s="1"/>
  <c r="G138" i="18" s="1"/>
  <c r="H37" i="3" s="1"/>
  <c r="H38" i="3" s="1"/>
  <c r="H36" i="3"/>
  <c r="G21" i="4"/>
  <c r="G107" i="14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H13" i="3" s="1"/>
  <c r="H14" i="3" s="1"/>
  <c r="H12" i="3"/>
  <c r="G107" i="16"/>
  <c r="G108" i="16" s="1"/>
  <c r="G109" i="16" s="1"/>
  <c r="G110" i="16" s="1"/>
  <c r="G111" i="16" s="1"/>
  <c r="G112" i="16" s="1"/>
  <c r="G113" i="16" s="1"/>
  <c r="G114" i="16" s="1"/>
  <c r="G115" i="16" s="1"/>
  <c r="G116" i="16" s="1"/>
  <c r="G117" i="16" s="1"/>
  <c r="G118" i="16" s="1"/>
  <c r="G119" i="16" s="1"/>
  <c r="G120" i="16" s="1"/>
  <c r="G121" i="16" s="1"/>
  <c r="G122" i="16" s="1"/>
  <c r="G123" i="16" s="1"/>
  <c r="G124" i="16" s="1"/>
  <c r="G125" i="16" s="1"/>
  <c r="G126" i="16" s="1"/>
  <c r="G127" i="16" s="1"/>
  <c r="G128" i="16" s="1"/>
  <c r="G129" i="16" s="1"/>
  <c r="G130" i="16" s="1"/>
  <c r="G131" i="16" s="1"/>
  <c r="G132" i="16" s="1"/>
  <c r="G133" i="16" s="1"/>
  <c r="G134" i="16" s="1"/>
  <c r="G135" i="16" s="1"/>
  <c r="G136" i="16" s="1"/>
  <c r="G137" i="16" s="1"/>
  <c r="G138" i="16" s="1"/>
  <c r="H25" i="3" s="1"/>
  <c r="H26" i="3" s="1"/>
  <c r="H24" i="3"/>
  <c r="G107" i="17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H31" i="3" s="1"/>
  <c r="H32" i="3" s="1"/>
  <c r="H30" i="3"/>
  <c r="E8" i="2"/>
  <c r="E8" i="4" s="1"/>
  <c r="F6" i="3"/>
  <c r="E107" i="13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07" i="17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F31" i="3" s="1"/>
  <c r="F32" i="3" s="1"/>
  <c r="F30" i="3"/>
  <c r="G107" i="13"/>
  <c r="G108" i="13" s="1"/>
  <c r="G109" i="13" s="1"/>
  <c r="G110" i="13" s="1"/>
  <c r="G111" i="13" s="1"/>
  <c r="G112" i="13" s="1"/>
  <c r="G113" i="13" s="1"/>
  <c r="G114" i="13" s="1"/>
  <c r="G115" i="13" s="1"/>
  <c r="G116" i="13" s="1"/>
  <c r="G117" i="13" s="1"/>
  <c r="G118" i="13" s="1"/>
  <c r="G119" i="13" s="1"/>
  <c r="G120" i="13" s="1"/>
  <c r="G121" i="13" s="1"/>
  <c r="G122" i="13" s="1"/>
  <c r="G123" i="13" s="1"/>
  <c r="G124" i="13" s="1"/>
  <c r="G125" i="13" s="1"/>
  <c r="G126" i="13" s="1"/>
  <c r="G127" i="13" s="1"/>
  <c r="G128" i="13" s="1"/>
  <c r="G129" i="13" s="1"/>
  <c r="G130" i="13" s="1"/>
  <c r="G131" i="13" s="1"/>
  <c r="G132" i="13" s="1"/>
  <c r="G133" i="13" s="1"/>
  <c r="G134" i="13" s="1"/>
  <c r="G135" i="13" s="1"/>
  <c r="G136" i="13" s="1"/>
  <c r="G137" i="13" s="1"/>
  <c r="G138" i="13" s="1"/>
  <c r="H6" i="3"/>
  <c r="G8" i="2"/>
  <c r="G8" i="4" s="1"/>
  <c r="H8" i="4" s="1"/>
  <c r="E107" i="15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F19" i="3" s="1"/>
  <c r="F20" i="3" s="1"/>
  <c r="F18" i="3"/>
  <c r="G22" i="4" l="1"/>
  <c r="E9" i="2"/>
  <c r="F7" i="3"/>
  <c r="F8" i="3" s="1"/>
  <c r="H7" i="3"/>
  <c r="H8" i="3" s="1"/>
  <c r="G9" i="2"/>
  <c r="G10" i="2" l="1"/>
  <c r="G9" i="4"/>
  <c r="H22" i="4" s="1"/>
  <c r="E10" i="2"/>
  <c r="E9" i="4"/>
  <c r="G23" i="4"/>
  <c r="G24" i="4" l="1"/>
  <c r="H23" i="4"/>
  <c r="H13" i="4"/>
  <c r="B39" i="4"/>
  <c r="H9" i="4"/>
  <c r="H14" i="4"/>
  <c r="H15" i="4"/>
  <c r="H16" i="4"/>
  <c r="H17" i="4"/>
  <c r="H18" i="4"/>
  <c r="H19" i="4"/>
  <c r="H20" i="4"/>
  <c r="H21" i="4"/>
  <c r="G25" i="4" l="1"/>
  <c r="H24" i="4"/>
  <c r="G26" i="4" l="1"/>
  <c r="H25" i="4"/>
  <c r="G27" i="4" l="1"/>
  <c r="H26" i="4"/>
  <c r="G28" i="4" l="1"/>
  <c r="H27" i="4"/>
  <c r="G29" i="4" l="1"/>
  <c r="H28" i="4"/>
  <c r="G30" i="4" l="1"/>
  <c r="H29" i="4"/>
  <c r="G31" i="4" l="1"/>
  <c r="H30" i="4"/>
  <c r="G32" i="4" l="1"/>
  <c r="H31" i="4"/>
  <c r="G33" i="4" l="1"/>
  <c r="H32" i="4"/>
  <c r="G35" i="4" l="1"/>
  <c r="H33" i="4"/>
  <c r="D46" i="4"/>
  <c r="C46" i="4"/>
  <c r="D44" i="4"/>
  <c r="C44" i="4"/>
  <c r="O828" i="12"/>
  <c r="B42" i="4"/>
  <c r="O829" i="12"/>
  <c r="P828" i="12"/>
  <c r="B41" i="4"/>
  <c r="P829" i="12"/>
  <c r="D45" i="4"/>
  <c r="P503" i="12"/>
  <c r="B40" i="4"/>
  <c r="C45" i="4"/>
</calcChain>
</file>

<file path=xl/sharedStrings.xml><?xml version="1.0" encoding="utf-8"?>
<sst xmlns="http://schemas.openxmlformats.org/spreadsheetml/2006/main" count="7386" uniqueCount="736">
  <si>
    <r>
      <rPr>
        <b/>
        <sz val="14"/>
        <color rgb="FFFFFFFF"/>
        <rFont val="DejaVu Sans"/>
        <family val="2"/>
      </rPr>
      <t xml:space="preserve">全社統合 資金管理ファイル </t>
    </r>
    <r>
      <rPr>
        <b/>
        <sz val="14"/>
        <color rgb="FFFFFFFF"/>
        <rFont val="DejaVu Sans"/>
        <family val="2"/>
        <charset val="1"/>
      </rPr>
      <t>v10</t>
    </r>
    <r>
      <rPr>
        <b/>
        <sz val="14"/>
        <color rgb="FFFFFFFF"/>
        <rFont val="DejaVu Sans"/>
        <family val="2"/>
      </rPr>
      <t>（シート集約版＋</t>
    </r>
    <r>
      <rPr>
        <b/>
        <sz val="14"/>
        <color rgb="FFFFFFFF"/>
        <rFont val="DejaVu Sans"/>
        <family val="2"/>
        <charset val="1"/>
      </rPr>
      <t>OTA</t>
    </r>
    <r>
      <rPr>
        <b/>
        <sz val="14"/>
        <color rgb="FFFFFFFF"/>
        <rFont val="DejaVu Sans"/>
        <family val="2"/>
      </rPr>
      <t>予測機能）</t>
    </r>
  </si>
  <si>
    <r>
      <rPr>
        <b/>
        <sz val="12"/>
        <color rgb="FFFFFFFF"/>
        <rFont val="DejaVu Sans"/>
        <family val="2"/>
      </rPr>
      <t>■ シート構成（</t>
    </r>
    <r>
      <rPr>
        <b/>
        <sz val="12"/>
        <color rgb="FFFFFFFF"/>
        <rFont val="DejaVu Sans"/>
        <family val="2"/>
        <charset val="1"/>
      </rPr>
      <t>19</t>
    </r>
    <r>
      <rPr>
        <b/>
        <sz val="12"/>
        <color rgb="FFFFFFFF"/>
        <rFont val="DejaVu Sans"/>
        <family val="2"/>
      </rPr>
      <t>シート）</t>
    </r>
  </si>
  <si>
    <t>分類</t>
  </si>
  <si>
    <t>シート名</t>
  </si>
  <si>
    <t>内容</t>
  </si>
  <si>
    <t>概観</t>
  </si>
  <si>
    <t>全社合算サマリー</t>
  </si>
  <si>
    <r>
      <rPr>
        <sz val="10"/>
        <rFont val="メイリオ"/>
        <family val="3"/>
        <charset val="128"/>
      </rPr>
      <t>6</t>
    </r>
    <r>
      <rPr>
        <sz val="10"/>
        <rFont val="DejaVu Sans"/>
        <family val="2"/>
      </rPr>
      <t>社合計の月別ダッシュボード</t>
    </r>
  </si>
  <si>
    <t>全社月次サマリー</t>
  </si>
  <si>
    <r>
      <rPr>
        <sz val="10"/>
        <rFont val="メイリオ"/>
        <family val="3"/>
        <charset val="128"/>
      </rPr>
      <t>6</t>
    </r>
    <r>
      <rPr>
        <sz val="10"/>
        <rFont val="DejaVu Sans"/>
        <family val="2"/>
      </rPr>
      <t>社</t>
    </r>
    <r>
      <rPr>
        <sz val="10"/>
        <rFont val="メイリオ"/>
        <family val="3"/>
        <charset val="128"/>
      </rPr>
      <t>×4</t>
    </r>
    <r>
      <rPr>
        <sz val="10"/>
        <rFont val="DejaVu Sans"/>
        <family val="2"/>
      </rPr>
      <t>ヶ月の明細</t>
    </r>
  </si>
  <si>
    <t>マスター</t>
  </si>
  <si>
    <r>
      <rPr>
        <b/>
        <sz val="10"/>
        <color rgb="FF1F4E78"/>
        <rFont val="DejaVu Sans"/>
        <family val="2"/>
      </rPr>
      <t>マスター</t>
    </r>
    <r>
      <rPr>
        <b/>
        <sz val="10"/>
        <color rgb="FF1F4E78"/>
        <rFont val="DejaVu Sans"/>
        <family val="2"/>
        <charset val="1"/>
      </rPr>
      <t>_</t>
    </r>
    <r>
      <rPr>
        <b/>
        <sz val="10"/>
        <color rgb="FF1F4E78"/>
        <rFont val="DejaVu Sans"/>
        <family val="2"/>
      </rPr>
      <t>物件</t>
    </r>
  </si>
  <si>
    <t>物件→会社マッピング</t>
  </si>
  <si>
    <r>
      <rPr>
        <b/>
        <sz val="10"/>
        <color rgb="FF1F4E78"/>
        <rFont val="DejaVu Sans"/>
        <family val="2"/>
      </rPr>
      <t>マスター</t>
    </r>
    <r>
      <rPr>
        <b/>
        <sz val="10"/>
        <color rgb="FF1F4E78"/>
        <rFont val="DejaVu Sans"/>
        <family val="2"/>
        <charset val="1"/>
      </rPr>
      <t>_</t>
    </r>
    <r>
      <rPr>
        <b/>
        <sz val="10"/>
        <color rgb="FF1F4E78"/>
        <rFont val="DejaVu Sans"/>
        <family val="2"/>
      </rPr>
      <t>勘定科目</t>
    </r>
  </si>
  <si>
    <t>勘定科目→資金繰り項目マッピング</t>
  </si>
  <si>
    <r>
      <rPr>
        <b/>
        <sz val="10"/>
        <color rgb="FF1F4E78"/>
        <rFont val="DejaVu Sans"/>
        <family val="2"/>
      </rPr>
      <t>マスター</t>
    </r>
    <r>
      <rPr>
        <b/>
        <sz val="10"/>
        <color rgb="FF1F4E78"/>
        <rFont val="DejaVu Sans"/>
        <family val="2"/>
        <charset val="1"/>
      </rPr>
      <t>_OTA</t>
    </r>
  </si>
  <si>
    <r>
      <rPr>
        <sz val="10"/>
        <rFont val="メイリオ"/>
        <family val="3"/>
        <charset val="128"/>
      </rPr>
      <t>OTA</t>
    </r>
    <r>
      <rPr>
        <sz val="10"/>
        <rFont val="DejaVu Sans"/>
        <family val="2"/>
      </rPr>
      <t>別の入金サイクル設定</t>
    </r>
  </si>
  <si>
    <t>入力</t>
  </si>
  <si>
    <t>入金入力</t>
  </si>
  <si>
    <t>全社統合の入金入力（会社列でフィルター）</t>
  </si>
  <si>
    <t>未払予定一覧</t>
  </si>
  <si>
    <t>全社統合の支出予定／カード枠回復統合（会社列でフィルター）</t>
  </si>
  <si>
    <t>売上入力</t>
  </si>
  <si>
    <r>
      <rPr>
        <sz val="10"/>
        <rFont val="メイリオ"/>
        <family val="3"/>
        <charset val="128"/>
      </rPr>
      <t>OTA</t>
    </r>
    <r>
      <rPr>
        <sz val="10"/>
        <rFont val="DejaVu Sans"/>
        <family val="2"/>
      </rPr>
      <t>別売上入力（月別／施設別／</t>
    </r>
    <r>
      <rPr>
        <sz val="10"/>
        <rFont val="メイリオ"/>
        <family val="3"/>
        <charset val="128"/>
      </rPr>
      <t>OTA</t>
    </r>
    <r>
      <rPr>
        <sz val="10"/>
        <rFont val="DejaVu Sans"/>
        <family val="2"/>
      </rPr>
      <t>別）</t>
    </r>
  </si>
  <si>
    <t>計算</t>
  </si>
  <si>
    <t>入金予測</t>
  </si>
  <si>
    <r>
      <rPr>
        <sz val="10"/>
        <rFont val="DejaVu Sans"/>
        <family val="2"/>
      </rPr>
      <t xml:space="preserve">売上入力 </t>
    </r>
    <r>
      <rPr>
        <sz val="10"/>
        <rFont val="DejaVu Sans"/>
        <family val="2"/>
        <charset val="1"/>
      </rPr>
      <t>× OTA</t>
    </r>
    <r>
      <rPr>
        <sz val="10"/>
        <rFont val="DejaVu Sans"/>
        <family val="2"/>
      </rPr>
      <t>サイクル → 予測入金（自動計算）</t>
    </r>
  </si>
  <si>
    <t>日次</t>
  </si>
  <si>
    <r>
      <rPr>
        <b/>
        <sz val="10"/>
        <color rgb="FF1F4E78"/>
        <rFont val="DejaVu Sans"/>
        <family val="2"/>
      </rPr>
      <t>日次</t>
    </r>
    <r>
      <rPr>
        <b/>
        <sz val="10"/>
        <color rgb="FF1F4E78"/>
        <rFont val="DejaVu Sans"/>
        <family val="2"/>
        <charset val="1"/>
      </rPr>
      <t>_&lt;</t>
    </r>
    <r>
      <rPr>
        <b/>
        <sz val="10"/>
        <color rgb="FF1F4E78"/>
        <rFont val="DejaVu Sans"/>
        <family val="2"/>
      </rPr>
      <t>会社名</t>
    </r>
    <r>
      <rPr>
        <b/>
        <sz val="10"/>
        <color rgb="FF1F4E78"/>
        <rFont val="DejaVu Sans"/>
        <family val="2"/>
        <charset val="1"/>
      </rPr>
      <t>&gt;</t>
    </r>
  </si>
  <si>
    <r>
      <rPr>
        <sz val="10"/>
        <rFont val="DejaVu Sans"/>
        <family val="2"/>
      </rPr>
      <t>会社別の日次キャッシュフロー（</t>
    </r>
    <r>
      <rPr>
        <sz val="10"/>
        <rFont val="DejaVu Sans"/>
        <family val="2"/>
        <charset val="1"/>
      </rPr>
      <t>5-8</t>
    </r>
    <r>
      <rPr>
        <sz val="10"/>
        <rFont val="DejaVu Sans"/>
        <family val="2"/>
      </rPr>
      <t>月 縦積み・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シート）</t>
    </r>
  </si>
  <si>
    <t>資金繰り</t>
  </si>
  <si>
    <r>
      <rPr>
        <b/>
        <sz val="10"/>
        <color rgb="FF1F4E78"/>
        <rFont val="DejaVu Sans"/>
        <family val="2"/>
      </rPr>
      <t>資金繰り</t>
    </r>
    <r>
      <rPr>
        <b/>
        <sz val="10"/>
        <color rgb="FF1F4E78"/>
        <rFont val="DejaVu Sans"/>
        <family val="2"/>
        <charset val="1"/>
      </rPr>
      <t>_*</t>
    </r>
  </si>
  <si>
    <r>
      <rPr>
        <sz val="10"/>
        <rFont val="DejaVu Sans"/>
        <family val="2"/>
      </rPr>
      <t xml:space="preserve">資金繰り表 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シート（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月起点</t>
    </r>
    <r>
      <rPr>
        <sz val="10"/>
        <rFont val="DejaVu Sans"/>
        <family val="2"/>
        <charset val="1"/>
      </rPr>
      <t>12</t>
    </r>
    <r>
      <rPr>
        <sz val="10"/>
        <rFont val="DejaVu Sans"/>
        <family val="2"/>
      </rPr>
      <t>ヶ月）</t>
    </r>
  </si>
  <si>
    <r>
      <rPr>
        <b/>
        <sz val="12"/>
        <color rgb="FFFFFFFF"/>
        <rFont val="Noto Sans CJK SC"/>
        <charset val="1"/>
      </rPr>
      <t>■ v10</t>
    </r>
    <r>
      <rPr>
        <b/>
        <sz val="12"/>
        <color rgb="FFFFFFFF"/>
        <rFont val="DejaVu Sans"/>
        <family val="2"/>
      </rPr>
      <t>での主な変更</t>
    </r>
  </si>
  <si>
    <r>
      <rPr>
        <sz val="10"/>
        <rFont val="DejaVu Sans"/>
        <family val="2"/>
      </rPr>
      <t>・入金入力／未払予定一覧を会社列で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シートに統合（旧</t>
    </r>
    <r>
      <rPr>
        <sz val="10"/>
        <rFont val="DejaVu Sans"/>
        <family val="2"/>
        <charset val="1"/>
      </rPr>
      <t>18</t>
    </r>
    <r>
      <rPr>
        <sz val="10"/>
        <rFont val="DejaVu Sans"/>
        <family val="2"/>
      </rPr>
      <t xml:space="preserve">シート → 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シート）</t>
    </r>
  </si>
  <si>
    <r>
      <rPr>
        <sz val="10"/>
        <rFont val="DejaVu Sans"/>
        <family val="2"/>
      </rPr>
      <t>・カード枠回復を未払予定一覧の「種別」列で統合（旧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 xml:space="preserve">シート →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シート、未払一覧側へ集約）</t>
    </r>
  </si>
  <si>
    <r>
      <rPr>
        <sz val="10"/>
        <rFont val="DejaVu Sans"/>
        <family val="2"/>
      </rPr>
      <t>・日次キャッシュフローを社別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枚に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ヶ月縦積み（旧</t>
    </r>
    <r>
      <rPr>
        <sz val="10"/>
        <rFont val="DejaVu Sans"/>
        <family val="2"/>
        <charset val="1"/>
      </rPr>
      <t>24</t>
    </r>
    <r>
      <rPr>
        <sz val="10"/>
        <rFont val="DejaVu Sans"/>
        <family val="2"/>
      </rPr>
      <t xml:space="preserve">シート → 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シート）</t>
    </r>
  </si>
  <si>
    <r>
      <rPr>
        <sz val="10"/>
        <rFont val="DejaVu Sans"/>
        <family val="2"/>
      </rPr>
      <t>・マスター</t>
    </r>
    <r>
      <rPr>
        <sz val="10"/>
        <rFont val="DejaVu Sans"/>
        <family val="2"/>
        <charset val="1"/>
      </rPr>
      <t>_OTA</t>
    </r>
    <r>
      <rPr>
        <sz val="10"/>
        <rFont val="DejaVu Sans"/>
        <family val="2"/>
      </rPr>
      <t>／売上入力／入金予測を新規追加（</t>
    </r>
    <r>
      <rPr>
        <sz val="10"/>
        <rFont val="DejaVu Sans"/>
        <family val="2"/>
        <charset val="1"/>
      </rPr>
      <t>OTA</t>
    </r>
    <r>
      <rPr>
        <sz val="10"/>
        <rFont val="DejaVu Sans"/>
        <family val="2"/>
      </rPr>
      <t>別入金サイクル予測）</t>
    </r>
  </si>
  <si>
    <r>
      <rPr>
        <sz val="10"/>
        <rFont val="DejaVu Sans"/>
        <family val="2"/>
      </rPr>
      <t>・レガシーシート（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月入出金一覧／取引先別集計／注記）を削除</t>
    </r>
  </si>
  <si>
    <r>
      <rPr>
        <sz val="10"/>
        <rFont val="DejaVu Sans"/>
        <family val="2"/>
      </rPr>
      <t>・シート総数：</t>
    </r>
    <r>
      <rPr>
        <sz val="10"/>
        <rFont val="DejaVu Sans"/>
        <family val="2"/>
        <charset val="1"/>
      </rPr>
      <t>51 → 19</t>
    </r>
    <r>
      <rPr>
        <sz val="10"/>
        <rFont val="DejaVu Sans"/>
        <family val="2"/>
      </rPr>
      <t>（</t>
    </r>
    <r>
      <rPr>
        <sz val="10"/>
        <rFont val="DejaVu Sans"/>
        <family val="2"/>
        <charset val="1"/>
      </rPr>
      <t>-32</t>
    </r>
    <r>
      <rPr>
        <sz val="10"/>
        <rFont val="DejaVu Sans"/>
        <family val="2"/>
      </rPr>
      <t xml:space="preserve">枚 </t>
    </r>
    <r>
      <rPr>
        <sz val="10"/>
        <rFont val="DejaVu Sans"/>
        <family val="2"/>
        <charset val="1"/>
      </rPr>
      <t>/ -63%</t>
    </r>
    <r>
      <rPr>
        <sz val="10"/>
        <rFont val="DejaVu Sans"/>
        <family val="2"/>
      </rPr>
      <t>）</t>
    </r>
  </si>
  <si>
    <r>
      <rPr>
        <b/>
        <sz val="14"/>
        <color rgb="FFFFFFFF"/>
        <rFont val="DejaVu Sans"/>
        <family val="2"/>
      </rPr>
      <t>全社合算サマリー（</t>
    </r>
    <r>
      <rPr>
        <b/>
        <sz val="14"/>
        <color rgb="FFFFFFFF"/>
        <rFont val="DejaVu Sans"/>
        <family val="2"/>
        <charset val="1"/>
      </rPr>
      <t>6</t>
    </r>
    <r>
      <rPr>
        <b/>
        <sz val="14"/>
        <color rgb="FFFFFFFF"/>
        <rFont val="DejaVu Sans"/>
        <family val="2"/>
      </rPr>
      <t>社合計）</t>
    </r>
  </si>
  <si>
    <r>
      <rPr>
        <i/>
        <sz val="10"/>
        <color rgb="FF666666"/>
        <rFont val="Noto Sans CJK SC"/>
        <charset val="1"/>
      </rPr>
      <t>6</t>
    </r>
    <r>
      <rPr>
        <i/>
        <sz val="10"/>
        <color rgb="FF666666"/>
        <rFont val="DejaVu Sans"/>
        <family val="2"/>
      </rPr>
      <t>社の月別キャッシュフロー集計</t>
    </r>
  </si>
  <si>
    <r>
      <rPr>
        <b/>
        <sz val="12"/>
        <color rgb="FFFFFFFF"/>
        <rFont val="DejaVu Sans"/>
        <family val="2"/>
      </rPr>
      <t>■ 月別合算（</t>
    </r>
    <r>
      <rPr>
        <b/>
        <sz val="12"/>
        <color rgb="FFFFFFFF"/>
        <rFont val="DejaVu Sans"/>
        <family val="2"/>
        <charset val="1"/>
      </rPr>
      <t>6</t>
    </r>
    <r>
      <rPr>
        <b/>
        <sz val="12"/>
        <color rgb="FFFFFFFF"/>
        <rFont val="DejaVu Sans"/>
        <family val="2"/>
      </rPr>
      <t>社合計）</t>
    </r>
  </si>
  <si>
    <t>月</t>
  </si>
  <si>
    <t>入金（円）</t>
  </si>
  <si>
    <t>支出（円）</t>
  </si>
  <si>
    <t>当月差引（円）</t>
  </si>
  <si>
    <t>月末累計差引（円）</t>
  </si>
  <si>
    <t>カード枠回復額（円）</t>
  </si>
  <si>
    <t>月末使用可能額（円）</t>
  </si>
  <si>
    <r>
      <rPr>
        <sz val="10"/>
        <rFont val="Noto Sans CJK SC"/>
        <charset val="1"/>
      </rPr>
      <t>5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</si>
  <si>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6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</si>
  <si>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7</t>
    </r>
    <r>
      <rPr>
        <sz val="10"/>
        <rFont val="DejaVu Sans"/>
        <family val="2"/>
      </rPr>
      <t>月</t>
    </r>
  </si>
  <si>
    <r>
      <rPr>
        <sz val="10"/>
        <rFont val="Noto Sans CJK SC"/>
        <charset val="1"/>
      </rPr>
      <t>8</t>
    </r>
    <r>
      <rPr>
        <sz val="10"/>
        <rFont val="DejaVu Sans"/>
        <family val="2"/>
      </rPr>
      <t>月</t>
    </r>
  </si>
  <si>
    <r>
      <rPr>
        <b/>
        <sz val="11"/>
        <rFont val="Noto Sans CJK SC"/>
        <charset val="1"/>
      </rPr>
      <t>4</t>
    </r>
    <r>
      <rPr>
        <b/>
        <sz val="11"/>
        <rFont val="DejaVu Sans"/>
        <family val="2"/>
      </rPr>
      <t>ヶ月合計</t>
    </r>
  </si>
  <si>
    <r>
      <rPr>
        <b/>
        <sz val="14"/>
        <color rgb="FFFFFFFF"/>
        <rFont val="DejaVu Sans"/>
        <family val="2"/>
      </rPr>
      <t>全社月次サマリー（</t>
    </r>
    <r>
      <rPr>
        <b/>
        <sz val="14"/>
        <color rgb="FFFFFFFF"/>
        <rFont val="DejaVu Sans"/>
        <family val="2"/>
        <charset val="1"/>
      </rPr>
      <t>6</t>
    </r>
    <r>
      <rPr>
        <b/>
        <sz val="14"/>
        <color rgb="FFFFFFFF"/>
        <rFont val="DejaVu Sans"/>
        <family val="2"/>
      </rPr>
      <t>社</t>
    </r>
    <r>
      <rPr>
        <b/>
        <sz val="14"/>
        <color rgb="FFFFFFFF"/>
        <rFont val="DejaVu Sans"/>
        <family val="2"/>
        <charset val="1"/>
      </rPr>
      <t>×4</t>
    </r>
    <r>
      <rPr>
        <b/>
        <sz val="14"/>
        <color rgb="FFFFFFFF"/>
        <rFont val="DejaVu Sans"/>
        <family val="2"/>
      </rPr>
      <t>ヶ月）</t>
    </r>
  </si>
  <si>
    <t>会社</t>
  </si>
  <si>
    <t>レジデンス</t>
  </si>
  <si>
    <t>リゾート</t>
  </si>
  <si>
    <t>モーテル</t>
  </si>
  <si>
    <t>ザック</t>
  </si>
  <si>
    <t>ワールド・レイ</t>
  </si>
  <si>
    <t>ココ・ユニバース</t>
  </si>
  <si>
    <t>全社合計</t>
  </si>
  <si>
    <r>
      <rPr>
        <b/>
        <sz val="14"/>
        <color rgb="FFFFFFFF"/>
        <rFont val="DejaVu Sans"/>
        <family val="2"/>
      </rPr>
      <t xml:space="preserve">支払可能性分析（月次収支予測 </t>
    </r>
    <r>
      <rPr>
        <b/>
        <sz val="14"/>
        <color rgb="FFFFFFFF"/>
        <rFont val="DejaVu Sans"/>
        <family val="2"/>
        <charset val="1"/>
      </rPr>
      <t xml:space="preserve">+ </t>
    </r>
    <r>
      <rPr>
        <b/>
        <sz val="14"/>
        <color rgb="FFFFFFFF"/>
        <rFont val="DejaVu Sans"/>
        <family val="2"/>
      </rPr>
      <t>未払繰越の優先度別支払可能性）</t>
    </r>
  </si>
  <si>
    <r>
      <rPr>
        <i/>
        <sz val="9"/>
        <color rgb="FFC00000"/>
        <rFont val="DejaVu Sans"/>
        <family val="2"/>
      </rPr>
      <t>入金予測（売上予測</t>
    </r>
    <r>
      <rPr>
        <i/>
        <sz val="9"/>
        <color rgb="FFC00000"/>
        <rFont val="DejaVu Sans"/>
        <family val="2"/>
        <charset val="1"/>
      </rPr>
      <t>+OTA</t>
    </r>
    <r>
      <rPr>
        <i/>
        <sz val="9"/>
        <color rgb="FFC00000"/>
        <rFont val="DejaVu Sans"/>
        <family val="2"/>
      </rPr>
      <t>サイクル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手動入力）と支出予測（月次予定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反復予測）から、各月の余剰を計算。残高内で支払可能な未払繰越を優先度順に判定。</t>
    </r>
  </si>
  <si>
    <r>
      <rPr>
        <b/>
        <sz val="12"/>
        <color rgb="FFFFFFFF"/>
        <rFont val="Noto Sans CJK SC"/>
        <charset val="1"/>
      </rPr>
      <t>■ Section 1</t>
    </r>
    <r>
      <rPr>
        <b/>
        <sz val="12"/>
        <color rgb="FFFFFFFF"/>
        <rFont val="DejaVu Sans"/>
        <family val="2"/>
      </rPr>
      <t>：月次収支予測（全社合算）</t>
    </r>
  </si>
  <si>
    <t>入金予測（円）</t>
  </si>
  <si>
    <t>支出予測（円）</t>
  </si>
  <si>
    <t>月次差引（円）</t>
  </si>
  <si>
    <t>累計余剰（円）</t>
  </si>
  <si>
    <t>カード枠回復（円）</t>
  </si>
  <si>
    <t>実質使用可能額（円）</t>
  </si>
  <si>
    <t>判定</t>
  </si>
  <si>
    <r>
      <rPr>
        <b/>
        <sz val="12"/>
        <color rgb="FFFFFFFF"/>
        <rFont val="Noto Sans CJK SC"/>
        <charset val="1"/>
      </rPr>
      <t>■ Section 2</t>
    </r>
    <r>
      <rPr>
        <b/>
        <sz val="12"/>
        <color rgb="FFFFFFFF"/>
        <rFont val="DejaVu Sans"/>
        <family val="2"/>
      </rPr>
      <t>：未払繰越の優先度別リスト（全件）</t>
    </r>
  </si>
  <si>
    <t>#</t>
  </si>
  <si>
    <t>物件</t>
  </si>
  <si>
    <t>概要</t>
  </si>
  <si>
    <t>累積未払額</t>
  </si>
  <si>
    <t>優先度</t>
  </si>
  <si>
    <t>累計支払額</t>
  </si>
  <si>
    <t>判定（支払可否）</t>
  </si>
  <si>
    <r>
      <rPr>
        <sz val="10"/>
        <rFont val="DejaVu Sans"/>
        <family val="2"/>
      </rPr>
      <t xml:space="preserve">アイパス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</si>
  <si>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t>高</t>
  </si>
  <si>
    <r>
      <rPr>
        <sz val="10"/>
        <rFont val="DejaVu Sans"/>
        <family val="2"/>
      </rPr>
      <t>クリンプロ（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</si>
  <si>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百姓屋（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</si>
  <si>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第一興商（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</si>
  <si>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 xml:space="preserve">あしたば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</si>
  <si>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t>フォレスト</t>
  </si>
  <si>
    <r>
      <rPr>
        <sz val="10"/>
        <rFont val="DejaVu Sans"/>
        <family val="2"/>
      </rPr>
      <t>みどりのまち（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 xml:space="preserve">ヶ月分）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</si>
  <si>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安芸クリーナー（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</si>
  <si>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西部環境（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</si>
  <si>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竹原クリーナー（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</si>
  <si>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アシード（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 xml:space="preserve">か月分）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</si>
  <si>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 xml:space="preserve">第一興商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</si>
  <si>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青原木材（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</si>
  <si>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中</t>
  </si>
  <si>
    <r>
      <rPr>
        <sz val="10"/>
        <rFont val="DejaVu Sans"/>
        <family val="2"/>
      </rPr>
      <t>アペックス（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 xml:space="preserve">ヶ月分）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</si>
  <si>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ふくや（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 xml:space="preserve">ヶ月分）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</si>
  <si>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イマイチ（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 xml:space="preserve">ヶ月分）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</si>
  <si>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 xml:space="preserve">キャノン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</si>
  <si>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>あしたば（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 xml:space="preserve">月分）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</si>
  <si>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DejaVu Sans"/>
        <family val="2"/>
      </rPr>
      <t xml:space="preserve">フォワード </t>
    </r>
    <r>
      <rPr>
        <sz val="10"/>
        <rFont val="DejaVu Sans"/>
        <family val="2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DejaVu Sans"/>
        <family val="2"/>
        <charset val="1"/>
      </rPr>
      <t>]</t>
    </r>
  </si>
  <si>
    <r>
      <rPr>
        <sz val="10"/>
        <rFont val="Noto Sans CJK SC"/>
        <charset val="1"/>
      </rPr>
      <t>ASKUL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2</t>
    </r>
    <r>
      <rPr>
        <sz val="10"/>
        <rFont val="DejaVu Sans"/>
        <family val="2"/>
      </rPr>
      <t xml:space="preserve">か月分） </t>
    </r>
    <r>
      <rPr>
        <sz val="10"/>
        <rFont val="Noto Sans CJK SC"/>
        <charset val="1"/>
      </rPr>
      <t>[</t>
    </r>
    <r>
      <rPr>
        <sz val="10"/>
        <rFont val="DejaVu Sans"/>
        <family val="2"/>
      </rPr>
      <t>予定日設定済</t>
    </r>
    <r>
      <rPr>
        <sz val="10"/>
        <rFont val="Noto Sans CJK SC"/>
        <charset val="1"/>
      </rPr>
      <t>]</t>
    </r>
  </si>
  <si>
    <t>低</t>
  </si>
  <si>
    <t>未払繰越合計</t>
  </si>
  <si>
    <r>
      <rPr>
        <b/>
        <sz val="12"/>
        <color rgb="FFFFFFFF"/>
        <rFont val="Noto Sans CJK SC"/>
        <charset val="1"/>
      </rPr>
      <t>■ Section 3</t>
    </r>
    <r>
      <rPr>
        <b/>
        <sz val="12"/>
        <color rgb="FFFFFFFF"/>
        <rFont val="DejaVu Sans"/>
        <family val="2"/>
      </rPr>
      <t>：総括（</t>
    </r>
    <r>
      <rPr>
        <b/>
        <sz val="12"/>
        <color rgb="FFFFFFFF"/>
        <rFont val="Noto Sans CJK SC"/>
        <charset val="1"/>
      </rPr>
      <t>8</t>
    </r>
    <r>
      <rPr>
        <b/>
        <sz val="12"/>
        <color rgb="FFFFFFFF"/>
        <rFont val="DejaVu Sans"/>
        <family val="2"/>
      </rPr>
      <t>月末時点の使用可能額との比較）</t>
    </r>
  </si>
  <si>
    <r>
      <rPr>
        <sz val="10"/>
        <rFont val="Noto Sans CJK SC"/>
        <charset val="1"/>
      </rPr>
      <t>8</t>
    </r>
    <r>
      <rPr>
        <sz val="10"/>
        <rFont val="DejaVu Sans"/>
        <family val="2"/>
      </rPr>
      <t>月末使用可能額</t>
    </r>
  </si>
  <si>
    <t>優先度「高」未払合計</t>
  </si>
  <si>
    <t>優先度「中」未払合計</t>
  </si>
  <si>
    <t>優先度「低」未払合計</t>
  </si>
  <si>
    <t>「高」完済後の余剰</t>
  </si>
  <si>
    <r>
      <rPr>
        <sz val="11"/>
        <color theme="1"/>
        <rFont val="DejaVu Sans"/>
        <family val="2"/>
      </rPr>
      <t>「高」</t>
    </r>
    <r>
      <rPr>
        <sz val="11"/>
        <color theme="1"/>
        <rFont val="DejaVu Sans"/>
        <family val="2"/>
        <charset val="1"/>
      </rPr>
      <t>+</t>
    </r>
    <r>
      <rPr>
        <sz val="11"/>
        <color theme="1"/>
        <rFont val="DejaVu Sans"/>
        <family val="2"/>
      </rPr>
      <t>「中」完済後の余剰</t>
    </r>
  </si>
  <si>
    <t>全優先度完済後の余剰</t>
  </si>
  <si>
    <r>
      <rPr>
        <b/>
        <sz val="14"/>
        <color rgb="FFFFFFFF"/>
        <rFont val="Noto Sans CJK SC"/>
        <charset val="1"/>
      </rPr>
      <t>2025</t>
    </r>
    <r>
      <rPr>
        <b/>
        <sz val="14"/>
        <color rgb="FFFFFFFF"/>
        <rFont val="DejaVu Sans"/>
        <family val="2"/>
      </rPr>
      <t xml:space="preserve">年実績 </t>
    </r>
    <r>
      <rPr>
        <b/>
        <sz val="14"/>
        <color rgb="FFFFFFFF"/>
        <rFont val="Noto Sans CJK SC"/>
        <charset val="1"/>
      </rPr>
      <t>vs 2026</t>
    </r>
    <r>
      <rPr>
        <b/>
        <sz val="14"/>
        <color rgb="FFFFFFFF"/>
        <rFont val="DejaVu Sans"/>
        <family val="2"/>
      </rPr>
      <t>年予測 比較分析（施設</t>
    </r>
    <r>
      <rPr>
        <b/>
        <sz val="14"/>
        <color rgb="FFFFFFFF"/>
        <rFont val="Noto Sans CJK SC"/>
        <charset val="1"/>
      </rPr>
      <t>×</t>
    </r>
    <r>
      <rPr>
        <b/>
        <sz val="14"/>
        <color rgb="FFFFFFFF"/>
        <rFont val="DejaVu Sans"/>
        <family val="2"/>
      </rPr>
      <t>月）</t>
    </r>
  </si>
  <si>
    <r>
      <rPr>
        <i/>
        <sz val="9"/>
        <color rgb="FFC00000"/>
        <rFont val="DejaVu Sans"/>
        <family val="2"/>
      </rPr>
      <t xml:space="preserve">充足率 </t>
    </r>
    <r>
      <rPr>
        <i/>
        <sz val="9"/>
        <color rgb="FFC00000"/>
        <rFont val="DejaVu Sans"/>
        <family val="2"/>
        <charset val="1"/>
      </rPr>
      <t>= 2026</t>
    </r>
    <r>
      <rPr>
        <i/>
        <sz val="9"/>
        <color rgb="FFC00000"/>
        <rFont val="DejaVu Sans"/>
        <family val="2"/>
      </rPr>
      <t xml:space="preserve">予測 </t>
    </r>
    <r>
      <rPr>
        <i/>
        <sz val="9"/>
        <color rgb="FFC00000"/>
        <rFont val="DejaVu Sans"/>
        <family val="2"/>
        <charset val="1"/>
      </rPr>
      <t>/ 2025</t>
    </r>
    <r>
      <rPr>
        <i/>
        <sz val="9"/>
        <color rgb="FFC00000"/>
        <rFont val="DejaVu Sans"/>
        <family val="2"/>
      </rPr>
      <t>実績。緑</t>
    </r>
    <r>
      <rPr>
        <i/>
        <sz val="9"/>
        <color rgb="FFC00000"/>
        <rFont val="DejaVu Sans"/>
        <family val="2"/>
        <charset val="1"/>
      </rPr>
      <t>=80%</t>
    </r>
    <r>
      <rPr>
        <i/>
        <sz val="9"/>
        <color rgb="FFC00000"/>
        <rFont val="DejaVu Sans"/>
        <family val="2"/>
      </rPr>
      <t>以上、黄</t>
    </r>
    <r>
      <rPr>
        <i/>
        <sz val="9"/>
        <color rgb="FFC00000"/>
        <rFont val="DejaVu Sans"/>
        <family val="2"/>
        <charset val="1"/>
      </rPr>
      <t>=30-80%</t>
    </r>
    <r>
      <rPr>
        <i/>
        <sz val="9"/>
        <color rgb="FFC00000"/>
        <rFont val="DejaVu Sans"/>
        <family val="2"/>
      </rPr>
      <t>、赤</t>
    </r>
    <r>
      <rPr>
        <i/>
        <sz val="9"/>
        <color rgb="FFC00000"/>
        <rFont val="DejaVu Sans"/>
        <family val="2"/>
        <charset val="1"/>
      </rPr>
      <t>=30%</t>
    </r>
    <r>
      <rPr>
        <i/>
        <sz val="9"/>
        <color rgb="FFC00000"/>
        <rFont val="DejaVu Sans"/>
        <family val="2"/>
      </rPr>
      <t>未満（要補正）</t>
    </r>
  </si>
  <si>
    <t>施設</t>
  </si>
  <si>
    <t>年区分</t>
  </si>
  <si>
    <r>
      <rPr>
        <b/>
        <sz val="10"/>
        <color rgb="FFFFFFFF"/>
        <rFont val="Noto Sans CJK SC"/>
        <charset val="1"/>
      </rPr>
      <t>1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</si>
  <si>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2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</si>
  <si>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3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</si>
  <si>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4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</si>
  <si>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5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</si>
  <si>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6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</si>
  <si>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7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</si>
  <si>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8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</si>
  <si>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9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</si>
  <si>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10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</si>
  <si>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11</t>
    </r>
    <r>
      <rPr>
        <b/>
        <sz val="10"/>
        <color rgb="FFFFFFFF"/>
        <rFont val="DejaVu Sans"/>
        <family val="2"/>
      </rPr>
      <t>月</t>
    </r>
  </si>
  <si>
    <r>
      <rPr>
        <b/>
        <sz val="10"/>
        <color rgb="FFFFFFFF"/>
        <rFont val="Noto Sans CJK SC"/>
        <charset val="1"/>
      </rPr>
      <t>12</t>
    </r>
    <r>
      <rPr>
        <b/>
        <sz val="10"/>
        <color rgb="FFFFFFFF"/>
        <rFont val="DejaVu Sans"/>
        <family val="2"/>
      </rPr>
      <t>月</t>
    </r>
  </si>
  <si>
    <t>年計</t>
  </si>
  <si>
    <t>de Lune</t>
  </si>
  <si>
    <r>
      <rPr>
        <sz val="10"/>
        <rFont val="Noto Sans CJK SC"/>
        <charset val="1"/>
      </rPr>
      <t>2025</t>
    </r>
    <r>
      <rPr>
        <sz val="10"/>
        <rFont val="DejaVu Sans"/>
        <family val="2"/>
      </rPr>
      <t>実績</t>
    </r>
  </si>
  <si>
    <r>
      <rPr>
        <sz val="10"/>
        <rFont val="Noto Sans CJK SC"/>
        <charset val="1"/>
      </rPr>
      <t>2026</t>
    </r>
    <r>
      <rPr>
        <sz val="10"/>
        <rFont val="DejaVu Sans"/>
        <family val="2"/>
      </rPr>
      <t>予測（</t>
    </r>
    <r>
      <rPr>
        <sz val="10"/>
        <rFont val="Noto Sans CJK SC"/>
        <charset val="1"/>
      </rPr>
      <t>5/13</t>
    </r>
    <r>
      <rPr>
        <sz val="10"/>
        <rFont val="DejaVu Sans"/>
        <family val="2"/>
      </rPr>
      <t>）</t>
    </r>
  </si>
  <si>
    <t>充足率</t>
  </si>
  <si>
    <t>VIEW</t>
  </si>
  <si>
    <t>本川</t>
  </si>
  <si>
    <t>天神</t>
  </si>
  <si>
    <t>玖波</t>
  </si>
  <si>
    <t>弥山</t>
  </si>
  <si>
    <t>温井</t>
  </si>
  <si>
    <t>いこいの村</t>
  </si>
  <si>
    <t>TAKAYA</t>
  </si>
  <si>
    <t>壱番館</t>
  </si>
  <si>
    <t>弐番館</t>
  </si>
  <si>
    <t>Otake</t>
  </si>
  <si>
    <t>竹原（ﾚｽﾄﾗﾝ含む）</t>
  </si>
  <si>
    <t>フォレストヒルズガーデン</t>
  </si>
  <si>
    <t>グリーンシャワー</t>
  </si>
  <si>
    <t>MAKI de SAUNA</t>
  </si>
  <si>
    <t>合計（全施設）</t>
  </si>
  <si>
    <r>
      <rPr>
        <b/>
        <sz val="11"/>
        <rFont val="Noto Sans CJK SC"/>
        <charset val="1"/>
      </rPr>
      <t>2025</t>
    </r>
    <r>
      <rPr>
        <b/>
        <sz val="11"/>
        <rFont val="DejaVu Sans"/>
        <family val="2"/>
      </rPr>
      <t>実績</t>
    </r>
  </si>
  <si>
    <r>
      <rPr>
        <b/>
        <sz val="11"/>
        <rFont val="Noto Sans CJK SC"/>
        <charset val="1"/>
      </rPr>
      <t>2026</t>
    </r>
    <r>
      <rPr>
        <b/>
        <sz val="11"/>
        <rFont val="DejaVu Sans"/>
        <family val="2"/>
      </rPr>
      <t>予測</t>
    </r>
  </si>
  <si>
    <t>物件→会社 マッピング表</t>
  </si>
  <si>
    <t>物件名</t>
  </si>
  <si>
    <t>所属会社</t>
  </si>
  <si>
    <t>備考</t>
  </si>
  <si>
    <t>ほうらい</t>
  </si>
  <si>
    <t>ｸﾞﾘｰﾝｼｬﾜｰ</t>
  </si>
  <si>
    <t>周防大島</t>
  </si>
  <si>
    <t>ココユニバース</t>
  </si>
  <si>
    <t>勘定科目→資金繰り項目 マッピング表</t>
  </si>
  <si>
    <t>勘定科目</t>
  </si>
  <si>
    <t>資金繰り項目</t>
  </si>
  <si>
    <t>水道光熱費</t>
  </si>
  <si>
    <t>買掛金支払</t>
  </si>
  <si>
    <t>設備費</t>
  </si>
  <si>
    <t>通信費</t>
  </si>
  <si>
    <t>衛生管理費</t>
  </si>
  <si>
    <t>食材費</t>
  </si>
  <si>
    <t>システム利用料</t>
  </si>
  <si>
    <t>業務委託料</t>
  </si>
  <si>
    <t>備品消耗品費</t>
  </si>
  <si>
    <t>ゴミ収集費</t>
  </si>
  <si>
    <t>租税公課</t>
  </si>
  <si>
    <t>税金・社会保険料</t>
  </si>
  <si>
    <t>保険</t>
  </si>
  <si>
    <t>その他経費</t>
  </si>
  <si>
    <t>手数料</t>
  </si>
  <si>
    <t>リース料</t>
  </si>
  <si>
    <t>その他</t>
  </si>
  <si>
    <t>役員報酬</t>
  </si>
  <si>
    <t>従業員給与</t>
  </si>
  <si>
    <t>地代家賃</t>
  </si>
  <si>
    <t>支払利息</t>
  </si>
  <si>
    <t>社員給与</t>
  </si>
  <si>
    <r>
      <rPr>
        <b/>
        <sz val="14"/>
        <color rgb="FFFFFFFF"/>
        <rFont val="Noto Sans CJK SC"/>
        <charset val="1"/>
      </rPr>
      <t>OTA</t>
    </r>
    <r>
      <rPr>
        <b/>
        <sz val="14"/>
        <color rgb="FFFFFFFF"/>
        <rFont val="DejaVu Sans"/>
        <family val="2"/>
      </rPr>
      <t>／決済サイクル マスター（売上計上月に対する入金タイミング）</t>
    </r>
  </si>
  <si>
    <r>
      <rPr>
        <i/>
        <sz val="9"/>
        <color rgb="FFC00000"/>
        <rFont val="DejaVu Sans"/>
        <family val="2"/>
      </rPr>
      <t>※ 当月・翌月・翌々月への分配比率（合計が</t>
    </r>
    <r>
      <rPr>
        <i/>
        <sz val="9"/>
        <color rgb="FFC00000"/>
        <rFont val="DejaVu Sans"/>
        <family val="2"/>
        <charset val="1"/>
      </rPr>
      <t>100%</t>
    </r>
    <r>
      <rPr>
        <i/>
        <sz val="9"/>
        <color rgb="FFC00000"/>
        <rFont val="DejaVu Sans"/>
        <family val="2"/>
      </rPr>
      <t>になるように設定）／入金日も指定</t>
    </r>
  </si>
  <si>
    <r>
      <rPr>
        <b/>
        <sz val="10"/>
        <color rgb="FFFFFFFF"/>
        <rFont val="Noto Sans CJK SC"/>
        <charset val="1"/>
      </rPr>
      <t>OTA</t>
    </r>
    <r>
      <rPr>
        <b/>
        <sz val="10"/>
        <color rgb="FFFFFFFF"/>
        <rFont val="DejaVu Sans"/>
        <family val="2"/>
      </rPr>
      <t>／決済名</t>
    </r>
  </si>
  <si>
    <r>
      <rPr>
        <b/>
        <sz val="10"/>
        <color rgb="FFFFFFFF"/>
        <rFont val="DejaVu Sans"/>
        <family val="2"/>
      </rPr>
      <t>当月比率</t>
    </r>
    <r>
      <rPr>
        <b/>
        <sz val="10"/>
        <color rgb="FFFFFFFF"/>
        <rFont val="DejaVu Sans"/>
        <family val="2"/>
        <charset val="1"/>
      </rPr>
      <t>(%)</t>
    </r>
  </si>
  <si>
    <r>
      <rPr>
        <b/>
        <sz val="10"/>
        <color rgb="FFFFFFFF"/>
        <rFont val="DejaVu Sans"/>
        <family val="2"/>
      </rPr>
      <t>翌月比率</t>
    </r>
    <r>
      <rPr>
        <b/>
        <sz val="10"/>
        <color rgb="FFFFFFFF"/>
        <rFont val="DejaVu Sans"/>
        <family val="2"/>
        <charset val="1"/>
      </rPr>
      <t>(%)</t>
    </r>
  </si>
  <si>
    <r>
      <rPr>
        <b/>
        <sz val="10"/>
        <color rgb="FFFFFFFF"/>
        <rFont val="DejaVu Sans"/>
        <family val="2"/>
      </rPr>
      <t>翌々月比率</t>
    </r>
    <r>
      <rPr>
        <b/>
        <sz val="10"/>
        <color rgb="FFFFFFFF"/>
        <rFont val="DejaVu Sans"/>
        <family val="2"/>
        <charset val="1"/>
      </rPr>
      <t>(%)</t>
    </r>
  </si>
  <si>
    <t>入金日（当月）</t>
  </si>
  <si>
    <t>入金日（翌月）</t>
  </si>
  <si>
    <t>入金日（翌々月）</t>
  </si>
  <si>
    <t>Booking</t>
  </si>
  <si>
    <t>楽天</t>
  </si>
  <si>
    <r>
      <rPr>
        <sz val="10"/>
        <rFont val="DejaVu Sans"/>
        <family val="2"/>
      </rPr>
      <t>楽天</t>
    </r>
    <r>
      <rPr>
        <sz val="10"/>
        <rFont val="DejaVu Sans"/>
        <family val="2"/>
        <charset val="1"/>
      </rPr>
      <t>-25</t>
    </r>
    <r>
      <rPr>
        <sz val="10"/>
        <rFont val="DejaVu Sans"/>
        <family val="2"/>
      </rPr>
      <t>日</t>
    </r>
  </si>
  <si>
    <t>じゃらん</t>
  </si>
  <si>
    <t>一休</t>
  </si>
  <si>
    <t>Expedia</t>
  </si>
  <si>
    <t>Agoda</t>
  </si>
  <si>
    <t>スマレジ</t>
  </si>
  <si>
    <t>JCB</t>
  </si>
  <si>
    <t>GMO</t>
  </si>
  <si>
    <t>JMS</t>
  </si>
  <si>
    <t>PayPay</t>
  </si>
  <si>
    <t>カード</t>
  </si>
  <si>
    <t>現金売上</t>
  </si>
  <si>
    <t>ホテル売上</t>
  </si>
  <si>
    <t>竹原市</t>
  </si>
  <si>
    <t>売上</t>
  </si>
  <si>
    <t>リクルートペイメント</t>
  </si>
  <si>
    <t>リクルートポイント</t>
  </si>
  <si>
    <t>イッキュウ</t>
  </si>
  <si>
    <t>コカ・コーラ</t>
  </si>
  <si>
    <t>JTB</t>
  </si>
  <si>
    <t>メルペイ</t>
  </si>
  <si>
    <t>振込代行リクルート</t>
  </si>
  <si>
    <t>白菱</t>
  </si>
  <si>
    <t>ラインプロフェクト</t>
  </si>
  <si>
    <t>入金入力（全社統合・会社列で識別）</t>
  </si>
  <si>
    <r>
      <rPr>
        <i/>
        <sz val="9"/>
        <color rgb="FFC00000"/>
        <rFont val="DejaVu Sans"/>
        <family val="2"/>
      </rPr>
      <t>※ 区分は資金繰り表項目／フィルターで会社別／</t>
    </r>
    <r>
      <rPr>
        <i/>
        <sz val="9"/>
        <color rgb="FFC00000"/>
        <rFont val="DejaVu Sans"/>
        <family val="2"/>
        <charset val="1"/>
      </rPr>
      <t>OTA</t>
    </r>
    <r>
      <rPr>
        <i/>
        <sz val="9"/>
        <color rgb="FFC00000"/>
        <rFont val="DejaVu Sans"/>
        <family val="2"/>
      </rPr>
      <t>売上連動は「売上入力」へ</t>
    </r>
  </si>
  <si>
    <t>日付</t>
  </si>
  <si>
    <t>項目</t>
  </si>
  <si>
    <t>区分</t>
  </si>
  <si>
    <t>金額（円）</t>
  </si>
  <si>
    <t>入金確認</t>
  </si>
  <si>
    <r>
      <rPr>
        <sz val="10"/>
        <color rgb="FF0000FF"/>
        <rFont val="DejaVu Sans"/>
        <family val="2"/>
      </rPr>
      <t>ユ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パルコ</t>
    </r>
  </si>
  <si>
    <r>
      <rPr>
        <sz val="10"/>
        <color rgb="FF0000FF"/>
        <rFont val="DejaVu Sans"/>
        <family val="2"/>
      </rPr>
      <t>広島銀行</t>
    </r>
    <r>
      <rPr>
        <sz val="10"/>
        <color rgb="FF0000FF"/>
        <rFont val="DejaVu Sans"/>
        <family val="2"/>
        <charset val="1"/>
      </rPr>
      <t>0208510</t>
    </r>
  </si>
  <si>
    <t>確認済</t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</si>
  <si>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ワールドレイ</t>
    </r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</si>
  <si>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ココユニバース</t>
    </r>
  </si>
  <si>
    <r>
      <rPr>
        <sz val="10"/>
        <color rgb="FF0000FF"/>
        <rFont val="DejaVu Sans"/>
        <family val="2"/>
      </rPr>
      <t>広島銀行</t>
    </r>
    <r>
      <rPr>
        <sz val="10"/>
        <color rgb="FF0000FF"/>
        <rFont val="DejaVu Sans"/>
        <family val="2"/>
        <charset val="1"/>
      </rPr>
      <t>0208510-</t>
    </r>
    <r>
      <rPr>
        <sz val="10"/>
        <color rgb="FF0000FF"/>
        <rFont val="DejaVu Sans"/>
        <family val="2"/>
      </rPr>
      <t>社内振替</t>
    </r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</si>
  <si>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ケアイコミュニティ</t>
    </r>
  </si>
  <si>
    <t>振込入金</t>
  </si>
  <si>
    <r>
      <rPr>
        <sz val="10"/>
        <color rgb="FF0000FF"/>
        <rFont val="DejaVu Sans"/>
        <family val="2"/>
      </rPr>
      <t>ユ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パルコ（月次予測）</t>
    </r>
  </si>
  <si>
    <t>パルコ系月次予測</t>
  </si>
  <si>
    <t>予測</t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</si>
  <si>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ケアイコミュニティ（月次予測）</t>
    </r>
  </si>
  <si>
    <t>ケアイコミュニティ月次予測</t>
  </si>
  <si>
    <t>振込カ）キ−スト−ンジヤパン</t>
  </si>
  <si>
    <t>売掛金回収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</si>
  <si>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257,511</t>
    </r>
    <r>
      <rPr>
        <sz val="10"/>
        <color rgb="FF0000FF"/>
        <rFont val="DejaVu Sans"/>
        <family val="2"/>
      </rPr>
      <t>円</t>
    </r>
  </si>
  <si>
    <t>振込カ）グロ−バルリゾ−ト</t>
  </si>
  <si>
    <t>その他収入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</si>
  <si>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10,257,511</t>
    </r>
    <r>
      <rPr>
        <sz val="10"/>
        <color rgb="FF0000FF"/>
        <rFont val="DejaVu Sans"/>
        <family val="2"/>
      </rPr>
      <t>円</t>
    </r>
  </si>
  <si>
    <t>振込カ）グロ−バルリゾ−トレジデンス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</si>
  <si>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3,177,366</t>
    </r>
    <r>
      <rPr>
        <sz val="10"/>
        <color rgb="FF0000FF"/>
        <rFont val="DejaVu Sans"/>
        <family val="2"/>
      </rPr>
      <t>円</t>
    </r>
  </si>
  <si>
    <t>ゆうちょＡＴＭ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</si>
  <si>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4,877,366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</si>
  <si>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6,877,366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</si>
  <si>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7,877,366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</si>
  <si>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2,197,809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</si>
  <si>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3,207,809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</si>
  <si>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7,207,809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</si>
  <si>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9,707,809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</si>
  <si>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10,107,809</t>
    </r>
    <r>
      <rPr>
        <sz val="10"/>
        <color rgb="FF0000FF"/>
        <rFont val="DejaVu Sans"/>
        <family val="2"/>
      </rPr>
      <t>円</t>
    </r>
  </si>
  <si>
    <t>Ｅ−ｎｅｔＡＴＭ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</si>
  <si>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613,538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</si>
  <si>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713,538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</si>
  <si>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570,122</t>
    </r>
    <r>
      <rPr>
        <sz val="10"/>
        <color rgb="FF0000FF"/>
        <rFont val="DejaVu Sans"/>
        <family val="2"/>
      </rPr>
      <t>円</t>
    </r>
  </si>
  <si>
    <t>振込リミツトレスリビング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</si>
  <si>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6,567,229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</si>
  <si>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3,567,084</t>
    </r>
    <r>
      <rPr>
        <sz val="10"/>
        <color rgb="FF0000FF"/>
        <rFont val="DejaVu Sans"/>
        <family val="2"/>
      </rPr>
      <t>円</t>
    </r>
  </si>
  <si>
    <t>振込カ）ダイクドウ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</si>
  <si>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76,161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</si>
  <si>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2,054,871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</si>
  <si>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2,934,871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</si>
  <si>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DejaVu Sans"/>
        <family val="2"/>
      </rPr>
      <t>決算お利息</t>
    </r>
    <r>
      <rPr>
        <sz val="10"/>
        <color rgb="FF0000FF"/>
        <rFont val="DejaVu Sans"/>
        <family val="2"/>
        <charset val="1"/>
      </rPr>
      <t>1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</si>
  <si>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40,372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</si>
  <si>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Visa</t>
    </r>
    <r>
      <rPr>
        <sz val="10"/>
        <color rgb="FF0000FF"/>
        <rFont val="DejaVu Sans"/>
        <family val="2"/>
      </rPr>
      <t>デビットキャッシュバック翌月払い</t>
    </r>
    <r>
      <rPr>
        <sz val="10"/>
        <color rgb="FF0000FF"/>
        <rFont val="メイリオ"/>
        <family val="3"/>
        <charset val="128"/>
      </rPr>
      <t>02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</si>
  <si>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44,851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</si>
  <si>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194,851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</si>
  <si>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407,011</t>
    </r>
    <r>
      <rPr>
        <sz val="10"/>
        <color rgb="FF0000FF"/>
        <rFont val="DejaVu Sans"/>
        <family val="2"/>
      </rPr>
      <t>円</t>
    </r>
  </si>
  <si>
    <t>振込ラリベルテ（カ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</si>
  <si>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5,006,866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</si>
  <si>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5,086,866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</si>
  <si>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DejaVu Sans"/>
        <family val="2"/>
      </rPr>
      <t>決算お利息</t>
    </r>
    <r>
      <rPr>
        <sz val="10"/>
        <color rgb="FF0000FF"/>
        <rFont val="DejaVu Sans"/>
        <family val="2"/>
        <charset val="1"/>
      </rPr>
      <t>2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</si>
  <si>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15,132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</si>
  <si>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Visa</t>
    </r>
    <r>
      <rPr>
        <sz val="10"/>
        <color rgb="FF0000FF"/>
        <rFont val="DejaVu Sans"/>
        <family val="2"/>
      </rPr>
      <t>デビットキャッシュバック翌月払い</t>
    </r>
    <r>
      <rPr>
        <sz val="10"/>
        <color rgb="FF0000FF"/>
        <rFont val="メイリオ"/>
        <family val="3"/>
        <charset val="128"/>
      </rPr>
      <t>03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</si>
  <si>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15,144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</si>
  <si>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665,144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</si>
  <si>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1,805,854</t>
    </r>
    <r>
      <rPr>
        <sz val="10"/>
        <color rgb="FF0000FF"/>
        <rFont val="DejaVu Sans"/>
        <family val="2"/>
      </rPr>
      <t>円</t>
    </r>
  </si>
  <si>
    <t>振込カ）ワ−ルドレイ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</si>
  <si>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605,709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</si>
  <si>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DejaVu Sans"/>
        <family val="2"/>
      </rPr>
      <t>決算お利息</t>
    </r>
    <r>
      <rPr>
        <sz val="10"/>
        <color rgb="FF0000FF"/>
        <rFont val="DejaVu Sans"/>
        <family val="2"/>
        <charset val="1"/>
      </rPr>
      <t>3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</si>
  <si>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6,804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</si>
  <si>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Visa</t>
    </r>
    <r>
      <rPr>
        <sz val="10"/>
        <color rgb="FF0000FF"/>
        <rFont val="DejaVu Sans"/>
        <family val="2"/>
      </rPr>
      <t>デビットキャッシュバック翌月払い</t>
    </r>
    <r>
      <rPr>
        <sz val="10"/>
        <color rgb="FF0000FF"/>
        <rFont val="メイリオ"/>
        <family val="3"/>
        <charset val="128"/>
      </rPr>
      <t>04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</si>
  <si>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9,785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</si>
  <si>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359,785</t>
    </r>
    <r>
      <rPr>
        <sz val="10"/>
        <color rgb="FF0000FF"/>
        <rFont val="DejaVu Sans"/>
        <family val="2"/>
      </rPr>
      <t>円</t>
    </r>
  </si>
  <si>
    <t>振込ナカミチタカシ</t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</si>
  <si>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259,785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</si>
  <si>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DejaVu Sans"/>
        <family val="2"/>
      </rPr>
      <t>決算お利息</t>
    </r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</si>
  <si>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40,670</t>
    </r>
    <r>
      <rPr>
        <sz val="10"/>
        <color rgb="FF0000FF"/>
        <rFont val="DejaVu Sans"/>
        <family val="2"/>
      </rPr>
      <t>円</t>
    </r>
  </si>
  <si>
    <r>
      <rPr>
        <sz val="10"/>
        <color rgb="FF0000FF"/>
        <rFont val="メイリオ"/>
        <family val="3"/>
        <charset val="128"/>
      </rPr>
      <t>Visa</t>
    </r>
    <r>
      <rPr>
        <sz val="10"/>
        <color rgb="FF0000FF"/>
        <rFont val="DejaVu Sans"/>
        <family val="2"/>
      </rPr>
      <t>デビットキャッシュバック翌月払い</t>
    </r>
    <r>
      <rPr>
        <sz val="10"/>
        <color rgb="FF0000FF"/>
        <rFont val="メイリオ"/>
        <family val="3"/>
        <charset val="128"/>
      </rPr>
      <t>05</t>
    </r>
    <r>
      <rPr>
        <sz val="10"/>
        <color rgb="FF0000FF"/>
        <rFont val="DejaVu Sans"/>
        <family val="2"/>
      </rPr>
      <t>月分</t>
    </r>
  </si>
  <si>
    <r>
      <rPr>
        <sz val="10"/>
        <color rgb="FF0000FF"/>
        <rFont val="メイリオ"/>
        <family val="3"/>
        <charset val="128"/>
      </rPr>
      <t>PayPay</t>
    </r>
    <r>
      <rPr>
        <sz val="10"/>
        <color rgb="FF0000FF"/>
        <rFont val="DejaVu Sans"/>
        <family val="2"/>
      </rPr>
      <t>通帳 残高</t>
    </r>
    <r>
      <rPr>
        <sz val="10"/>
        <color rgb="FF0000FF"/>
        <rFont val="メイリオ"/>
        <family val="3"/>
        <charset val="128"/>
      </rPr>
      <t>41,753</t>
    </r>
    <r>
      <rPr>
        <sz val="10"/>
        <color rgb="FF0000FF"/>
        <rFont val="DejaVu Sans"/>
        <family val="2"/>
      </rPr>
      <t>円</t>
    </r>
  </si>
  <si>
    <t>PAYPAY</t>
  </si>
  <si>
    <t>入金確認表より転記</t>
  </si>
  <si>
    <r>
      <rPr>
        <sz val="10"/>
        <color rgb="FF0000FF"/>
        <rFont val="DejaVu Sans"/>
        <family val="2"/>
      </rPr>
      <t>楽天</t>
    </r>
    <r>
      <rPr>
        <sz val="10"/>
        <color rgb="FF0000FF"/>
        <rFont val="DejaVu Sans"/>
        <family val="2"/>
        <charset val="1"/>
      </rPr>
      <t>-25</t>
    </r>
    <r>
      <rPr>
        <sz val="10"/>
        <color rgb="FF0000FF"/>
        <rFont val="DejaVu Sans"/>
        <family val="2"/>
      </rPr>
      <t>日</t>
    </r>
  </si>
  <si>
    <t>ラインプロフェクト（ファクタリング）</t>
  </si>
  <si>
    <r>
      <rPr>
        <sz val="10"/>
        <color rgb="FF0000FF"/>
        <rFont val="メイリオ"/>
        <family val="3"/>
        <charset val="128"/>
      </rPr>
      <t>4/24</t>
    </r>
    <r>
      <rPr>
        <sz val="10"/>
        <color rgb="FF0000FF"/>
        <rFont val="DejaVu Sans"/>
        <family val="2"/>
      </rPr>
      <t>契約 売買代金</t>
    </r>
    <r>
      <rPr>
        <sz val="10"/>
        <color rgb="FF0000FF"/>
        <rFont val="メイリオ"/>
        <family val="3"/>
        <charset val="128"/>
      </rPr>
      <t>4,762,500-</t>
    </r>
    <r>
      <rPr>
        <sz val="10"/>
        <color rgb="FF0000FF"/>
        <rFont val="DejaVu Sans"/>
        <family val="2"/>
      </rPr>
      <t>手数料</t>
    </r>
    <r>
      <rPr>
        <sz val="10"/>
        <color rgb="FF0000FF"/>
        <rFont val="メイリオ"/>
        <family val="3"/>
        <charset val="128"/>
      </rPr>
      <t>66,000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</si>
  <si>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</t>
    </r>
    <r>
      <rPr>
        <sz val="10"/>
        <color rgb="FF0000FF"/>
        <rFont val="メイリオ"/>
        <family val="3"/>
        <charset val="128"/>
      </rPr>
      <t xml:space="preserve">] </t>
    </r>
    <r>
      <rPr>
        <sz val="10"/>
        <color rgb="FF0000FF"/>
        <rFont val="DejaVu Sans"/>
        <family val="2"/>
      </rPr>
      <t>オチハタ アキノリ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</si>
  <si>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大工堂楽天</t>
    </r>
    <r>
      <rPr>
        <sz val="10"/>
        <color rgb="FF0000FF"/>
        <rFont val="メイリオ"/>
        <family val="3"/>
        <charset val="128"/>
      </rPr>
      <t>7688127]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</si>
  <si>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</t>
    </r>
    <r>
      <rPr>
        <sz val="10"/>
        <color rgb="FF0000FF"/>
        <rFont val="メイリオ"/>
        <family val="3"/>
        <charset val="128"/>
      </rPr>
      <t xml:space="preserve">] </t>
    </r>
    <r>
      <rPr>
        <sz val="10"/>
        <color rgb="FF0000FF"/>
        <rFont val="DejaVu Sans"/>
        <family val="2"/>
      </rPr>
      <t>預金利息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</si>
  <si>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</t>
    </r>
    <r>
      <rPr>
        <sz val="10"/>
        <color rgb="FF0000FF"/>
        <rFont val="メイリオ"/>
        <family val="3"/>
        <charset val="128"/>
      </rPr>
      <t xml:space="preserve">] </t>
    </r>
    <r>
      <rPr>
        <sz val="10"/>
        <color rgb="FF0000FF"/>
        <rFont val="DejaVu Sans"/>
        <family val="2"/>
      </rPr>
      <t>カ</t>
    </r>
    <r>
      <rPr>
        <sz val="10"/>
        <color rgb="FF0000FF"/>
        <rFont val="メイリオ"/>
        <family val="3"/>
        <charset val="128"/>
      </rPr>
      <t>)</t>
    </r>
    <r>
      <rPr>
        <sz val="10"/>
        <color rgb="FF0000FF"/>
        <rFont val="DejaVu Sans"/>
        <family val="2"/>
      </rPr>
      <t>ココユニバース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</si>
  <si>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大工堂楽天</t>
    </r>
    <r>
      <rPr>
        <sz val="10"/>
        <color rgb="FF0000FF"/>
        <rFont val="メイリオ"/>
        <family val="3"/>
        <charset val="128"/>
      </rPr>
      <t>7688127]</t>
    </r>
    <r>
      <rPr>
        <sz val="10"/>
        <color rgb="FF0000FF"/>
        <rFont val="DejaVu Sans"/>
        <family val="2"/>
      </rPr>
      <t>社内振替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</si>
  <si>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大工堂</t>
    </r>
    <r>
      <rPr>
        <sz val="10"/>
        <color rgb="FF0000FF"/>
        <rFont val="メイリオ"/>
        <family val="3"/>
        <charset val="128"/>
      </rPr>
      <t xml:space="preserve">] </t>
    </r>
    <r>
      <rPr>
        <sz val="10"/>
        <color rgb="FF0000FF"/>
        <rFont val="DejaVu Sans"/>
        <family val="2"/>
      </rPr>
      <t>オチハタ アキノリ（月次予測）</t>
    </r>
  </si>
  <si>
    <r>
      <rPr>
        <sz val="10"/>
        <color rgb="FF0000FF"/>
        <rFont val="DejaVu Sans"/>
        <family val="2"/>
      </rPr>
      <t>大工堂楽天</t>
    </r>
    <r>
      <rPr>
        <sz val="10"/>
        <color rgb="FF0000FF"/>
        <rFont val="DejaVu Sans"/>
        <family val="2"/>
        <charset val="1"/>
      </rPr>
      <t>7688127</t>
    </r>
  </si>
  <si>
    <t>ハツカイチシ（税還付）</t>
  </si>
  <si>
    <r>
      <rPr>
        <sz val="10"/>
        <color rgb="FF0000FF"/>
        <rFont val="DejaVu Sans"/>
        <family val="2"/>
      </rPr>
      <t>市信</t>
    </r>
    <r>
      <rPr>
        <sz val="10"/>
        <color rgb="FF0000FF"/>
        <rFont val="DejaVu Sans"/>
        <family val="2"/>
        <charset val="1"/>
      </rPr>
      <t>0200261</t>
    </r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</si>
  <si>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ワールドレイ（社内振替）</t>
    </r>
  </si>
  <si>
    <t>セオ ヒロアキ</t>
  </si>
  <si>
    <t>ミヤゾノ ユキヒロ</t>
  </si>
  <si>
    <r>
      <rPr>
        <sz val="10"/>
        <color rgb="FF0000FF"/>
        <rFont val="メイリオ"/>
        <family val="3"/>
        <charset val="128"/>
      </rPr>
      <t>NTT</t>
    </r>
    <r>
      <rPr>
        <sz val="10"/>
        <color rgb="FF0000FF"/>
        <rFont val="DejaVu Sans"/>
        <family val="2"/>
      </rPr>
      <t>ニシニホン</t>
    </r>
    <r>
      <rPr>
        <sz val="10"/>
        <color rgb="FF0000FF"/>
        <rFont val="メイリオ"/>
        <family val="3"/>
        <charset val="128"/>
      </rPr>
      <t>V</t>
    </r>
  </si>
  <si>
    <t>ナカミチ ミサエ</t>
  </si>
  <si>
    <t>フクシマ シゲル</t>
  </si>
  <si>
    <t>ハツカイチシ ゼイムショ</t>
  </si>
  <si>
    <t>フナクラ キクコ</t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</si>
  <si>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エスエイチデイイル</t>
    </r>
  </si>
  <si>
    <r>
      <rPr>
        <sz val="10"/>
        <color rgb="FF0000FF"/>
        <rFont val="DejaVu Sans"/>
        <family val="2"/>
      </rPr>
      <t>県信</t>
    </r>
    <r>
      <rPr>
        <sz val="10"/>
        <color rgb="FF0000FF"/>
        <rFont val="DejaVu Sans"/>
        <family val="2"/>
        <charset val="1"/>
      </rPr>
      <t>0210442</t>
    </r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</si>
  <si>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ワールドレイ（社内）</t>
    </r>
  </si>
  <si>
    <t>タカハシ ミク</t>
  </si>
  <si>
    <r>
      <rPr>
        <sz val="10"/>
        <color rgb="FF0000FF"/>
        <rFont val="メイリオ"/>
        <family val="3"/>
        <charset val="128"/>
      </rPr>
      <t>AD102</t>
    </r>
    <r>
      <rPr>
        <sz val="10"/>
        <color rgb="FF0000FF"/>
        <rFont val="DejaVu Sans"/>
        <family val="2"/>
      </rPr>
      <t>（現金預入）</t>
    </r>
  </si>
  <si>
    <t>タツナミ オサム</t>
  </si>
  <si>
    <t>個人入金（タツナミ等・月次予測）</t>
  </si>
  <si>
    <r>
      <rPr>
        <sz val="10"/>
        <color rgb="FF0000FF"/>
        <rFont val="メイリオ"/>
        <family val="3"/>
        <charset val="128"/>
      </rPr>
      <t>5</t>
    </r>
    <r>
      <rPr>
        <sz val="10"/>
        <color rgb="FF0000FF"/>
        <rFont val="DejaVu Sans"/>
        <family val="2"/>
      </rPr>
      <t>月以降の継続入金見込み</t>
    </r>
  </si>
  <si>
    <r>
      <rPr>
        <sz val="10"/>
        <color rgb="FF0000FF"/>
        <rFont val="メイリオ"/>
        <family val="3"/>
        <charset val="128"/>
      </rPr>
      <t>CD140/AD</t>
    </r>
    <r>
      <rPr>
        <sz val="10"/>
        <color rgb="FF0000FF"/>
        <rFont val="DejaVu Sans"/>
        <family val="2"/>
      </rPr>
      <t>現金入金（月次予測）</t>
    </r>
  </si>
  <si>
    <t>月次パターン</t>
  </si>
  <si>
    <t>ネーミングライツ収入</t>
  </si>
  <si>
    <t>支出から入金へ訂正（種別誤り）</t>
  </si>
  <si>
    <t>イエラブ（家賃信託）</t>
  </si>
  <si>
    <r>
      <rPr>
        <sz val="10"/>
        <color rgb="FF0000FF"/>
        <rFont val="DejaVu Sans"/>
        <family val="2"/>
      </rPr>
      <t>広島銀行</t>
    </r>
    <r>
      <rPr>
        <sz val="10"/>
        <color rgb="FF0000FF"/>
        <rFont val="DejaVu Sans"/>
        <family val="2"/>
        <charset val="1"/>
      </rPr>
      <t>3456429</t>
    </r>
  </si>
  <si>
    <r>
      <rPr>
        <sz val="10"/>
        <color rgb="FF0000FF"/>
        <rFont val="DejaVu Sans"/>
        <family val="2"/>
      </rPr>
      <t>シャ</t>
    </r>
    <r>
      <rPr>
        <sz val="10"/>
        <color rgb="FF0000FF"/>
        <rFont val="DejaVu Sans"/>
        <family val="2"/>
        <charset val="1"/>
      </rPr>
      <t>)NUKUI OUTDO</t>
    </r>
  </si>
  <si>
    <t>ストライプジャパン</t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</si>
  <si>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バトラー</t>
    </r>
  </si>
  <si>
    <r>
      <rPr>
        <sz val="10"/>
        <color rgb="FF0000FF"/>
        <rFont val="DejaVu Sans"/>
        <family val="2"/>
        <charset val="1"/>
      </rPr>
      <t>(</t>
    </r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ラインプロフェクト（新ファクタリング）</t>
    </r>
  </si>
  <si>
    <r>
      <rPr>
        <sz val="10"/>
        <color rgb="FF0000FF"/>
        <rFont val="DejaVu Sans"/>
        <family val="2"/>
      </rPr>
      <t>広島銀行</t>
    </r>
    <r>
      <rPr>
        <sz val="10"/>
        <color rgb="FF0000FF"/>
        <rFont val="DejaVu Sans"/>
        <family val="2"/>
        <charset val="1"/>
      </rPr>
      <t xml:space="preserve">3456429 </t>
    </r>
    <r>
      <rPr>
        <sz val="10"/>
        <color rgb="FF0000FF"/>
        <rFont val="DejaVu Sans"/>
        <family val="2"/>
      </rPr>
      <t>ファクタリング入金</t>
    </r>
  </si>
  <si>
    <r>
      <rPr>
        <sz val="10"/>
        <color rgb="FF0000FF"/>
        <rFont val="DejaVu Sans"/>
        <family val="2"/>
      </rPr>
      <t>カ</t>
    </r>
    <r>
      <rPr>
        <sz val="10"/>
        <color rgb="FF0000FF"/>
        <rFont val="DejaVu Sans"/>
        <family val="2"/>
        <charset val="1"/>
      </rPr>
      <t>)</t>
    </r>
    <r>
      <rPr>
        <sz val="10"/>
        <color rgb="FF0000FF"/>
        <rFont val="DejaVu Sans"/>
        <family val="2"/>
      </rPr>
      <t>プランニングサプラ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</si>
  <si>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月売上の翌月入金予測（</t>
    </r>
    <r>
      <rPr>
        <sz val="10"/>
        <color rgb="FF0000FF"/>
        <rFont val="DejaVu Sans"/>
        <family val="2"/>
        <charset val="1"/>
      </rPr>
      <t>4/15</t>
    </r>
    <r>
      <rPr>
        <sz val="10"/>
        <color rgb="FF0000FF"/>
        <rFont val="DejaVu Sans"/>
        <family val="2"/>
      </rPr>
      <t>実績ベース）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</si>
  <si>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月売上の翌月入金予測（</t>
    </r>
    <r>
      <rPr>
        <sz val="10"/>
        <color rgb="FF0000FF"/>
        <rFont val="DejaVu Sans"/>
        <family val="2"/>
        <charset val="1"/>
      </rPr>
      <t>4/20</t>
    </r>
    <r>
      <rPr>
        <sz val="10"/>
        <color rgb="FF0000FF"/>
        <rFont val="DejaVu Sans"/>
        <family val="2"/>
      </rPr>
      <t>実績ベース）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</si>
  <si>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月売上の翌月入金予測（</t>
    </r>
    <r>
      <rPr>
        <sz val="10"/>
        <color rgb="FF0000FF"/>
        <rFont val="DejaVu Sans"/>
        <family val="2"/>
        <charset val="1"/>
      </rPr>
      <t>4/27</t>
    </r>
    <r>
      <rPr>
        <sz val="10"/>
        <color rgb="FF0000FF"/>
        <rFont val="DejaVu Sans"/>
        <family val="2"/>
      </rPr>
      <t>実績ベース）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</si>
  <si>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月売上の翌月入金予測（</t>
    </r>
    <r>
      <rPr>
        <sz val="10"/>
        <color rgb="FF0000FF"/>
        <rFont val="DejaVu Sans"/>
        <family val="2"/>
        <charset val="1"/>
      </rPr>
      <t>4/24</t>
    </r>
    <r>
      <rPr>
        <sz val="10"/>
        <color rgb="FF0000FF"/>
        <rFont val="DejaVu Sans"/>
        <family val="2"/>
      </rPr>
      <t>実績ベース）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</si>
  <si>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月売上の翌月入金予測（</t>
    </r>
    <r>
      <rPr>
        <sz val="10"/>
        <color rgb="FF0000FF"/>
        <rFont val="DejaVu Sans"/>
        <family val="2"/>
        <charset val="1"/>
      </rPr>
      <t>4/30</t>
    </r>
    <r>
      <rPr>
        <sz val="10"/>
        <color rgb="FF0000FF"/>
        <rFont val="DejaVu Sans"/>
        <family val="2"/>
      </rPr>
      <t>実績ベース）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</si>
  <si>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4/2</t>
    </r>
    <r>
      <rPr>
        <sz val="10"/>
        <color rgb="FF0000FF"/>
        <rFont val="DejaVu Sans"/>
        <family val="2"/>
      </rPr>
      <t>相当）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</si>
  <si>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4/3</t>
    </r>
    <r>
      <rPr>
        <sz val="10"/>
        <color rgb="FF0000FF"/>
        <rFont val="DejaVu Sans"/>
        <family val="2"/>
      </rPr>
      <t>相当）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</si>
  <si>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4/15</t>
    </r>
    <r>
      <rPr>
        <sz val="10"/>
        <color rgb="FF0000FF"/>
        <rFont val="DejaVu Sans"/>
        <family val="2"/>
      </rPr>
      <t>相当）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</si>
  <si>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4/20</t>
    </r>
    <r>
      <rPr>
        <sz val="10"/>
        <color rgb="FF0000FF"/>
        <rFont val="DejaVu Sans"/>
        <family val="2"/>
      </rPr>
      <t>相当）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</si>
  <si>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4/27</t>
    </r>
    <r>
      <rPr>
        <sz val="10"/>
        <color rgb="FF0000FF"/>
        <rFont val="DejaVu Sans"/>
        <family val="2"/>
      </rPr>
      <t>相当）</t>
    </r>
  </si>
  <si>
    <r>
      <rPr>
        <sz val="10"/>
        <color rgb="FF0000FF"/>
        <rFont val="DejaVu Sans"/>
        <family val="2"/>
        <charset val="1"/>
      </rPr>
      <t>4</t>
    </r>
    <r>
      <rPr>
        <sz val="10"/>
        <color rgb="FF0000FF"/>
        <rFont val="DejaVu Sans"/>
        <family val="2"/>
      </rPr>
      <t>月実績ベース予測（</t>
    </r>
    <r>
      <rPr>
        <sz val="10"/>
        <color rgb="FF0000FF"/>
        <rFont val="DejaVu Sans"/>
        <family val="2"/>
        <charset val="1"/>
      </rPr>
      <t>4/30</t>
    </r>
    <r>
      <rPr>
        <sz val="10"/>
        <color rgb="FF0000FF"/>
        <rFont val="DejaVu Sans"/>
        <family val="2"/>
      </rPr>
      <t>相当）</t>
    </r>
  </si>
  <si>
    <t>合計</t>
  </si>
  <si>
    <r>
      <rPr>
        <b/>
        <sz val="14"/>
        <color rgb="FFFFFFFF"/>
        <rFont val="DejaVu Sans"/>
        <family val="2"/>
      </rPr>
      <t>売上入力（</t>
    </r>
    <r>
      <rPr>
        <b/>
        <sz val="14"/>
        <color rgb="FFFFFFFF"/>
        <rFont val="DejaVu Sans"/>
        <family val="2"/>
        <charset val="1"/>
      </rPr>
      <t>OTA</t>
    </r>
    <r>
      <rPr>
        <b/>
        <sz val="14"/>
        <color rgb="FFFFFFFF"/>
        <rFont val="DejaVu Sans"/>
        <family val="2"/>
      </rPr>
      <t>別／施設別／月別の売上）</t>
    </r>
  </si>
  <si>
    <r>
      <rPr>
        <i/>
        <sz val="9"/>
        <color rgb="FFC00000"/>
        <rFont val="DejaVu Sans"/>
        <family val="2"/>
      </rPr>
      <t>※ 売上計上月に</t>
    </r>
    <r>
      <rPr>
        <i/>
        <sz val="9"/>
        <color rgb="FFC00000"/>
        <rFont val="DejaVu Sans"/>
        <family val="2"/>
        <charset val="1"/>
      </rPr>
      <t>OTA</t>
    </r>
    <r>
      <rPr>
        <i/>
        <sz val="9"/>
        <color rgb="FFC00000"/>
        <rFont val="DejaVu Sans"/>
        <family val="2"/>
      </rPr>
      <t>・施設・売上額を入力 → マスター</t>
    </r>
    <r>
      <rPr>
        <i/>
        <sz val="9"/>
        <color rgb="FFC00000"/>
        <rFont val="DejaVu Sans"/>
        <family val="2"/>
        <charset val="1"/>
      </rPr>
      <t>_OTA</t>
    </r>
    <r>
      <rPr>
        <i/>
        <sz val="9"/>
        <color rgb="FFC00000"/>
        <rFont val="DejaVu Sans"/>
        <family val="2"/>
      </rPr>
      <t>の分配比率で入金予測へ自動展開</t>
    </r>
  </si>
  <si>
    <t>計上月</t>
  </si>
  <si>
    <r>
      <rPr>
        <b/>
        <sz val="10"/>
        <color rgb="FFFFFFFF"/>
        <rFont val="Noto Sans CJK SC"/>
        <charset val="1"/>
      </rPr>
      <t>OTA</t>
    </r>
    <r>
      <rPr>
        <b/>
        <sz val="10"/>
        <color rgb="FFFFFFFF"/>
        <rFont val="DejaVu Sans"/>
        <family val="2"/>
      </rPr>
      <t>／決済</t>
    </r>
  </si>
  <si>
    <t>売上額（円）</t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</si>
  <si>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サウナ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121,831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</si>
  <si>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105,000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</si>
  <si>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455,000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</si>
  <si>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2,904,045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</si>
  <si>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8,310,821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</si>
  <si>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6,092,392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</si>
  <si>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指定管理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626,997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</si>
  <si>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指定管理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5,535,949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</si>
  <si>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101,400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</si>
  <si>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56,700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</si>
  <si>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90,000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</si>
  <si>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4,004,248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</si>
  <si>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1,955,058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</si>
  <si>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2,330,934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</si>
  <si>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331,500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</si>
  <si>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指定管理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元売上額</t>
    </r>
    <r>
      <rPr>
        <sz val="10"/>
        <color rgb="FF0000FF"/>
        <rFont val="メイリオ"/>
        <family val="3"/>
        <charset val="128"/>
      </rPr>
      <t>: 1,202,444</t>
    </r>
    <r>
      <rPr>
        <sz val="10"/>
        <color rgb="FF0000FF"/>
        <rFont val="DejaVu Sans"/>
        <family val="2"/>
      </rPr>
      <t xml:space="preserve">円 </t>
    </r>
    <r>
      <rPr>
        <sz val="10"/>
        <color rgb="FF0000FF"/>
        <rFont val="メイリオ"/>
        <family val="3"/>
        <charset val="128"/>
      </rPr>
      <t xml:space="preserve">- </t>
    </r>
    <r>
      <rPr>
        <sz val="10"/>
        <color rgb="FF0000FF"/>
        <rFont val="DejaVu Sans"/>
        <family val="2"/>
      </rPr>
      <t>入金確認表で実績計上済みのためゼロ化</t>
    </r>
    <r>
      <rPr>
        <sz val="10"/>
        <color rgb="FF0000FF"/>
        <rFont val="メイリオ"/>
        <family val="3"/>
        <charset val="128"/>
      </rPr>
      <t>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</si>
  <si>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サウナ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>予約ベース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</si>
  <si>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>予約ベース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</si>
  <si>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>予約ベース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</si>
  <si>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指定管理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>予約ベース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</si>
  <si>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マンスリー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ハイブリッド</t>
    </r>
    <r>
      <rPr>
        <sz val="10"/>
        <color rgb="FF0000FF"/>
        <rFont val="メイリオ"/>
        <family val="3"/>
        <charset val="128"/>
      </rPr>
      <t>: 2025</t>
    </r>
    <r>
      <rPr>
        <sz val="10"/>
        <color rgb="FF0000FF"/>
        <rFont val="DejaVu Sans"/>
        <family val="2"/>
      </rPr>
      <t>実績</t>
    </r>
    <r>
      <rPr>
        <sz val="10"/>
        <color rgb="FF0000FF"/>
        <rFont val="メイリオ"/>
        <family val="3"/>
        <charset val="128"/>
      </rPr>
      <t>×80%]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</si>
  <si>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ホテル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ハイブリッド</t>
    </r>
    <r>
      <rPr>
        <sz val="10"/>
        <color rgb="FF0000FF"/>
        <rFont val="メイリオ"/>
        <family val="3"/>
        <charset val="128"/>
      </rPr>
      <t>: 2025</t>
    </r>
    <r>
      <rPr>
        <sz val="10"/>
        <color rgb="FF0000FF"/>
        <rFont val="DejaVu Sans"/>
        <family val="2"/>
      </rPr>
      <t>実績</t>
    </r>
    <r>
      <rPr>
        <sz val="10"/>
        <color rgb="FF0000FF"/>
        <rFont val="メイリオ"/>
        <family val="3"/>
        <charset val="128"/>
      </rPr>
      <t>×80%]</t>
    </r>
  </si>
  <si>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指定管理</t>
    </r>
    <r>
      <rPr>
        <sz val="10"/>
        <color rgb="FF0000FF"/>
        <rFont val="メイリオ"/>
        <family val="3"/>
        <charset val="128"/>
      </rPr>
      <t>] 5/13</t>
    </r>
    <r>
      <rPr>
        <sz val="10"/>
        <color rgb="FF0000FF"/>
        <rFont val="DejaVu Sans"/>
        <family val="2"/>
      </rPr>
      <t xml:space="preserve">予約ベース </t>
    </r>
    <r>
      <rPr>
        <sz val="10"/>
        <color rgb="FF0000FF"/>
        <rFont val="メイリオ"/>
        <family val="3"/>
        <charset val="128"/>
      </rPr>
      <t>[</t>
    </r>
    <r>
      <rPr>
        <sz val="10"/>
        <color rgb="FF0000FF"/>
        <rFont val="DejaVu Sans"/>
        <family val="2"/>
      </rPr>
      <t>ハイブリッド</t>
    </r>
    <r>
      <rPr>
        <sz val="10"/>
        <color rgb="FF0000FF"/>
        <rFont val="メイリオ"/>
        <family val="3"/>
        <charset val="128"/>
      </rPr>
      <t>: 2025</t>
    </r>
    <r>
      <rPr>
        <sz val="10"/>
        <color rgb="FF0000FF"/>
        <rFont val="DejaVu Sans"/>
        <family val="2"/>
      </rPr>
      <t>実績</t>
    </r>
    <r>
      <rPr>
        <sz val="10"/>
        <color rgb="FF0000FF"/>
        <rFont val="メイリオ"/>
        <family val="3"/>
        <charset val="128"/>
      </rPr>
      <t>×80%]</t>
    </r>
  </si>
  <si>
    <r>
      <rPr>
        <b/>
        <sz val="14"/>
        <color rgb="FFFFFFFF"/>
        <rFont val="DejaVu Sans"/>
        <family val="2"/>
      </rPr>
      <t xml:space="preserve">入金予測（売上入力 </t>
    </r>
    <r>
      <rPr>
        <b/>
        <sz val="14"/>
        <color rgb="FFFFFFFF"/>
        <rFont val="DejaVu Sans"/>
        <family val="2"/>
        <charset val="1"/>
      </rPr>
      <t xml:space="preserve">× </t>
    </r>
    <r>
      <rPr>
        <b/>
        <sz val="14"/>
        <color rgb="FFFFFFFF"/>
        <rFont val="DejaVu Sans"/>
        <family val="2"/>
      </rPr>
      <t>マスター</t>
    </r>
    <r>
      <rPr>
        <b/>
        <sz val="14"/>
        <color rgb="FFFFFFFF"/>
        <rFont val="DejaVu Sans"/>
        <family val="2"/>
        <charset val="1"/>
      </rPr>
      <t xml:space="preserve">_OTA </t>
    </r>
    <r>
      <rPr>
        <b/>
        <sz val="14"/>
        <color rgb="FFFFFFFF"/>
        <rFont val="DejaVu Sans"/>
        <family val="2"/>
      </rPr>
      <t>の比率で自動計算）</t>
    </r>
  </si>
  <si>
    <r>
      <rPr>
        <i/>
        <sz val="9"/>
        <color rgb="FFC00000"/>
        <rFont val="DejaVu Sans"/>
        <family val="2"/>
      </rPr>
      <t>※ 売上入力</t>
    </r>
    <r>
      <rPr>
        <i/>
        <sz val="9"/>
        <color rgb="FFC00000"/>
        <rFont val="DejaVu Sans"/>
        <family val="2"/>
        <charset val="1"/>
      </rPr>
      <t>1</t>
    </r>
    <r>
      <rPr>
        <i/>
        <sz val="9"/>
        <color rgb="FFC00000"/>
        <rFont val="DejaVu Sans"/>
        <family val="2"/>
      </rPr>
      <t>行につき最大</t>
    </r>
    <r>
      <rPr>
        <i/>
        <sz val="9"/>
        <color rgb="FFC00000"/>
        <rFont val="DejaVu Sans"/>
        <family val="2"/>
        <charset val="1"/>
      </rPr>
      <t>3</t>
    </r>
    <r>
      <rPr>
        <i/>
        <sz val="9"/>
        <color rgb="FFC00000"/>
        <rFont val="DejaVu Sans"/>
        <family val="2"/>
      </rPr>
      <t>行（当月</t>
    </r>
    <r>
      <rPr>
        <i/>
        <sz val="9"/>
        <color rgb="FFC00000"/>
        <rFont val="DejaVu Sans"/>
        <family val="2"/>
        <charset val="1"/>
      </rPr>
      <t>/</t>
    </r>
    <r>
      <rPr>
        <i/>
        <sz val="9"/>
        <color rgb="FFC00000"/>
        <rFont val="DejaVu Sans"/>
        <family val="2"/>
      </rPr>
      <t>翌月</t>
    </r>
    <r>
      <rPr>
        <i/>
        <sz val="9"/>
        <color rgb="FFC00000"/>
        <rFont val="DejaVu Sans"/>
        <family val="2"/>
        <charset val="1"/>
      </rPr>
      <t>/</t>
    </r>
    <r>
      <rPr>
        <i/>
        <sz val="9"/>
        <color rgb="FFC00000"/>
        <rFont val="DejaVu Sans"/>
        <family val="2"/>
      </rPr>
      <t>翌々月）の予測を自動展開／月次サマリーの入金へ自動加算</t>
    </r>
  </si>
  <si>
    <t>予測入金日</t>
  </si>
  <si>
    <t>予測入金額（円）</t>
  </si>
  <si>
    <t>売上計上月</t>
  </si>
  <si>
    <t>当月分</t>
  </si>
  <si>
    <t>翌月分</t>
  </si>
  <si>
    <t>翌々月分</t>
  </si>
  <si>
    <t>未払予定一覧（全社統合・カード枠回復統合・会社列で識別）</t>
  </si>
  <si>
    <r>
      <rPr>
        <b/>
        <sz val="9"/>
        <rFont val="DejaVu Sans"/>
        <family val="2"/>
      </rPr>
      <t>優先度</t>
    </r>
    <r>
      <rPr>
        <b/>
        <sz val="9"/>
        <rFont val="DejaVu Sans"/>
        <family val="2"/>
        <charset val="1"/>
      </rPr>
      <t xml:space="preserve">: </t>
    </r>
  </si>
  <si>
    <t>月次</t>
  </si>
  <si>
    <t>カード枠回復</t>
  </si>
  <si>
    <r>
      <rPr>
        <i/>
        <sz val="9"/>
        <color rgb="FFC00000"/>
        <rFont val="DejaVu Sans"/>
        <family val="2"/>
      </rPr>
      <t>※ 支払予定日入力で月次サマリー自動反映／状況</t>
    </r>
    <r>
      <rPr>
        <i/>
        <sz val="9"/>
        <color rgb="FFC00000"/>
        <rFont val="DejaVu Sans"/>
        <family val="2"/>
        <charset val="1"/>
      </rPr>
      <t>"</t>
    </r>
    <r>
      <rPr>
        <i/>
        <sz val="9"/>
        <color rgb="FFC00000"/>
        <rFont val="DejaVu Sans"/>
        <family val="2"/>
      </rPr>
      <t>済</t>
    </r>
    <r>
      <rPr>
        <i/>
        <sz val="9"/>
        <color rgb="FFC00000"/>
        <rFont val="DejaVu Sans"/>
        <family val="2"/>
        <charset val="1"/>
      </rPr>
      <t>"</t>
    </r>
    <r>
      <rPr>
        <i/>
        <sz val="9"/>
        <color rgb="FFC00000"/>
        <rFont val="DejaVu Sans"/>
        <family val="2"/>
      </rPr>
      <t>で支払完了表示／請求書</t>
    </r>
    <r>
      <rPr>
        <i/>
        <sz val="9"/>
        <color rgb="FFC00000"/>
        <rFont val="DejaVu Sans"/>
        <family val="2"/>
        <charset val="1"/>
      </rPr>
      <t>PDF</t>
    </r>
    <r>
      <rPr>
        <i/>
        <sz val="9"/>
        <color rgb="FFC00000"/>
        <rFont val="DejaVu Sans"/>
        <family val="2"/>
      </rPr>
      <t>パスを</t>
    </r>
    <r>
      <rPr>
        <i/>
        <sz val="9"/>
        <color rgb="FFC00000"/>
        <rFont val="DejaVu Sans"/>
        <family val="2"/>
        <charset val="1"/>
      </rPr>
      <t>Q</t>
    </r>
    <r>
      <rPr>
        <i/>
        <sz val="9"/>
        <color rgb="FFC00000"/>
        <rFont val="DejaVu Sans"/>
        <family val="2"/>
      </rPr>
      <t>列に貼付</t>
    </r>
  </si>
  <si>
    <t>種別</t>
  </si>
  <si>
    <t>期日</t>
  </si>
  <si>
    <t>請求先</t>
  </si>
  <si>
    <t>前月繰越</t>
  </si>
  <si>
    <t>前々月繰越</t>
  </si>
  <si>
    <t>前々々月以前</t>
  </si>
  <si>
    <t>累積未払合計</t>
  </si>
  <si>
    <t>支払予定日</t>
  </si>
  <si>
    <t>支払予定額</t>
  </si>
  <si>
    <t>支払状況</t>
  </si>
  <si>
    <t>請求書ファイル</t>
  </si>
  <si>
    <t>月次予定</t>
  </si>
  <si>
    <t>トラストユアサービス</t>
  </si>
  <si>
    <t>SAUNA</t>
  </si>
  <si>
    <t>未払繰越</t>
  </si>
  <si>
    <r>
      <rPr>
        <sz val="10"/>
        <rFont val="Noto Sans CJK SC"/>
        <charset val="1"/>
      </rPr>
      <t>ASKUL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2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</si>
  <si>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あしたば（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月分）</t>
    </r>
  </si>
  <si>
    <r>
      <rPr>
        <sz val="10"/>
        <rFont val="DejaVu Sans"/>
        <family val="2"/>
      </rPr>
      <t>ふくや（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</si>
  <si>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r>
      <rPr>
        <sz val="10"/>
        <rFont val="Noto Sans CJK SC"/>
        <charset val="1"/>
      </rPr>
      <t>JTB</t>
    </r>
    <r>
      <rPr>
        <sz val="10"/>
        <rFont val="DejaVu Sans"/>
        <family val="2"/>
      </rPr>
      <t>商事</t>
    </r>
  </si>
  <si>
    <t>シーエスプロ</t>
  </si>
  <si>
    <t>ネットシスジャパン</t>
  </si>
  <si>
    <r>
      <rPr>
        <sz val="10"/>
        <rFont val="DejaVu Sans"/>
        <family val="2"/>
      </rPr>
      <t>フロンテイアリネン（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月分）</t>
    </r>
  </si>
  <si>
    <t>リクルート（じゃらん）</t>
  </si>
  <si>
    <t>新宮島観光旅館組合</t>
  </si>
  <si>
    <t>諸会費</t>
  </si>
  <si>
    <t>日本食研</t>
  </si>
  <si>
    <t>青山　奈々</t>
  </si>
  <si>
    <r>
      <rPr>
        <sz val="10"/>
        <rFont val="DejaVu Sans"/>
        <family val="2"/>
      </rPr>
      <t>みどりのまち（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</si>
  <si>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フォレストヒルズ</t>
  </si>
  <si>
    <t>フォワード</t>
  </si>
  <si>
    <t>あしたば</t>
  </si>
  <si>
    <t>業務委託費</t>
  </si>
  <si>
    <t>アイパス</t>
  </si>
  <si>
    <r>
      <rPr>
        <sz val="10"/>
        <rFont val="DejaVu Sans"/>
        <family val="2"/>
      </rPr>
      <t>アシード（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か月分）</t>
    </r>
  </si>
  <si>
    <t>デルーネ</t>
  </si>
  <si>
    <r>
      <rPr>
        <sz val="10"/>
        <rFont val="DejaVu Sans"/>
        <family val="2"/>
      </rPr>
      <t>アペックス（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</si>
  <si>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たけはら</t>
  </si>
  <si>
    <r>
      <rPr>
        <sz val="10"/>
        <rFont val="DejaVu Sans"/>
        <family val="2"/>
      </rPr>
      <t>イマイチ（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ヶ月分）</t>
    </r>
  </si>
  <si>
    <t>キャノン</t>
  </si>
  <si>
    <t>ビュー</t>
  </si>
  <si>
    <r>
      <rPr>
        <sz val="10"/>
        <rFont val="DejaVu Sans"/>
        <family val="2"/>
      </rPr>
      <t>クリンプロ（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</si>
  <si>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安芸クリーナー（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</si>
  <si>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百姓屋（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</si>
  <si>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竹原クリーナー（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か月分）</t>
    </r>
  </si>
  <si>
    <t>第一興商</t>
  </si>
  <si>
    <r>
      <rPr>
        <sz val="10"/>
        <rFont val="DejaVu Sans"/>
        <family val="2"/>
      </rPr>
      <t>第一興商（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か月分）</t>
    </r>
  </si>
  <si>
    <r>
      <rPr>
        <sz val="10"/>
        <rFont val="DejaVu Sans"/>
        <family val="2"/>
      </rPr>
      <t>中国電力（</t>
    </r>
    <r>
      <rPr>
        <sz val="10"/>
        <rFont val="DejaVu Sans"/>
        <family val="2"/>
        <charset val="1"/>
      </rPr>
      <t>1004</t>
    </r>
    <r>
      <rPr>
        <sz val="10"/>
        <rFont val="DejaVu Sans"/>
        <family val="2"/>
      </rPr>
      <t>）</t>
    </r>
  </si>
  <si>
    <t>中国電力（残高不足により引落不能）</t>
  </si>
  <si>
    <r>
      <rPr>
        <sz val="10"/>
        <rFont val="DejaVu Sans"/>
        <family val="2"/>
      </rPr>
      <t>チュウブ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第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回）</t>
    </r>
  </si>
  <si>
    <r>
      <rPr>
        <sz val="10"/>
        <rFont val="DejaVu Sans"/>
        <family val="2"/>
      </rPr>
      <t>チュウブ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第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回）</t>
    </r>
  </si>
  <si>
    <r>
      <rPr>
        <sz val="10"/>
        <rFont val="DejaVu Sans"/>
        <family val="2"/>
      </rPr>
      <t>チュウブ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第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回）</t>
    </r>
  </si>
  <si>
    <r>
      <rPr>
        <sz val="10"/>
        <rFont val="DejaVu Sans"/>
        <family val="2"/>
      </rPr>
      <t>チュウブ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第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回）※計</t>
    </r>
    <r>
      <rPr>
        <sz val="10"/>
        <rFont val="DejaVu Sans"/>
        <family val="2"/>
        <charset val="1"/>
      </rPr>
      <t>2,640,000</t>
    </r>
  </si>
  <si>
    <t>半田電気管理</t>
  </si>
  <si>
    <t>広島ガスプロパン</t>
  </si>
  <si>
    <t>日本基準寝具</t>
  </si>
  <si>
    <r>
      <rPr>
        <sz val="10"/>
        <rFont val="Noto Sans CJK SC"/>
        <charset val="1"/>
      </rPr>
      <t>E-MAN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1</t>
    </r>
    <r>
      <rPr>
        <sz val="10"/>
        <rFont val="DejaVu Sans"/>
        <family val="2"/>
      </rPr>
      <t>月分）</t>
    </r>
  </si>
  <si>
    <r>
      <rPr>
        <sz val="10"/>
        <rFont val="Noto Sans CJK SC"/>
        <charset val="1"/>
      </rPr>
      <t>E-MAN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2</t>
    </r>
    <r>
      <rPr>
        <sz val="10"/>
        <rFont val="DejaVu Sans"/>
        <family val="2"/>
      </rPr>
      <t>月分）</t>
    </r>
  </si>
  <si>
    <r>
      <rPr>
        <sz val="10"/>
        <rFont val="Noto Sans CJK SC"/>
        <charset val="1"/>
      </rPr>
      <t>E-MAN</t>
    </r>
    <r>
      <rPr>
        <sz val="10"/>
        <rFont val="DejaVu Sans"/>
        <family val="2"/>
      </rPr>
      <t>（</t>
    </r>
    <r>
      <rPr>
        <sz val="10"/>
        <rFont val="Noto Sans CJK SC"/>
        <charset val="1"/>
      </rPr>
      <t>4</t>
    </r>
    <r>
      <rPr>
        <sz val="10"/>
        <rFont val="DejaVu Sans"/>
        <family val="2"/>
      </rPr>
      <t>月分）</t>
    </r>
  </si>
  <si>
    <r>
      <rPr>
        <sz val="10"/>
        <rFont val="Noto Sans CJK SC"/>
        <charset val="1"/>
      </rPr>
      <t>NTT</t>
    </r>
    <r>
      <rPr>
        <sz val="10"/>
        <rFont val="DejaVu Sans"/>
        <family val="2"/>
      </rPr>
      <t>ドコモ</t>
    </r>
  </si>
  <si>
    <t>アマノマネジメントサービス</t>
  </si>
  <si>
    <t>賃料</t>
  </si>
  <si>
    <t>イノベートリンク（消防点検）</t>
  </si>
  <si>
    <t>エムケイ興産</t>
  </si>
  <si>
    <t>オーチスエレベータ</t>
  </si>
  <si>
    <t>クレディセゾン</t>
  </si>
  <si>
    <t>シンエナジー</t>
  </si>
  <si>
    <t>タナカ米穀（残高不足により引落不能）</t>
  </si>
  <si>
    <t>ネットシスジャパン※分割支払</t>
  </si>
  <si>
    <r>
      <rPr>
        <sz val="10"/>
        <rFont val="DejaVu Sans"/>
        <family val="2"/>
      </rPr>
      <t>ネットシスジャパン※分割支払（計</t>
    </r>
    <r>
      <rPr>
        <sz val="10"/>
        <rFont val="DejaVu Sans"/>
        <family val="2"/>
        <charset val="1"/>
      </rPr>
      <t>539,000</t>
    </r>
    <r>
      <rPr>
        <sz val="10"/>
        <rFont val="DejaVu Sans"/>
        <family val="2"/>
      </rPr>
      <t>）</t>
    </r>
  </si>
  <si>
    <t>ライフサービス※分割支払</t>
  </si>
  <si>
    <r>
      <rPr>
        <sz val="10"/>
        <rFont val="DejaVu Sans"/>
        <family val="2"/>
      </rPr>
      <t>ライフサービス※分割支払（計</t>
    </r>
    <r>
      <rPr>
        <sz val="10"/>
        <rFont val="DejaVu Sans"/>
        <family val="2"/>
        <charset val="1"/>
      </rPr>
      <t>800,000)</t>
    </r>
  </si>
  <si>
    <t>中国電力</t>
  </si>
  <si>
    <r>
      <rPr>
        <sz val="10"/>
        <rFont val="DejaVu Sans"/>
        <family val="2"/>
      </rPr>
      <t>仁谷さん（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月分分割金）第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回目</t>
    </r>
  </si>
  <si>
    <t>北広島町市県民税</t>
  </si>
  <si>
    <r>
      <rPr>
        <sz val="10"/>
        <rFont val="DejaVu Sans"/>
        <family val="2"/>
      </rPr>
      <t>古本さん※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月分</t>
    </r>
  </si>
  <si>
    <t>大竹市県民税</t>
  </si>
  <si>
    <t>安芸太田町市県民税</t>
  </si>
  <si>
    <t>富士フィルム</t>
  </si>
  <si>
    <t>島根県浜田市民税</t>
  </si>
  <si>
    <t>巴商会</t>
  </si>
  <si>
    <t>広島ガス西中国</t>
  </si>
  <si>
    <r>
      <rPr>
        <sz val="10"/>
        <rFont val="DejaVu Sans"/>
        <family val="2"/>
      </rPr>
      <t>広島ケロシンサービス（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月分）</t>
    </r>
  </si>
  <si>
    <t>燃料費</t>
  </si>
  <si>
    <t>広島市県民税</t>
  </si>
  <si>
    <t>広島市農業協同組合</t>
  </si>
  <si>
    <t>廿日市市県民税</t>
  </si>
  <si>
    <t>廿日市市（道路占用継続）</t>
  </si>
  <si>
    <t>竹原市県民税</t>
  </si>
  <si>
    <t>筒賀建設</t>
  </si>
  <si>
    <t>西原商会</t>
  </si>
  <si>
    <t>高宮さん</t>
  </si>
  <si>
    <r>
      <rPr>
        <sz val="10"/>
        <rFont val="DejaVu Sans"/>
        <family val="2"/>
      </rPr>
      <t>セゾン</t>
    </r>
    <r>
      <rPr>
        <sz val="10"/>
        <rFont val="DejaVu Sans"/>
        <family val="2"/>
        <charset val="1"/>
      </rPr>
      <t>YUSO</t>
    </r>
  </si>
  <si>
    <t>セゾンパルコ</t>
  </si>
  <si>
    <r>
      <rPr>
        <sz val="10"/>
        <rFont val="DejaVu Sans"/>
        <family val="2"/>
      </rPr>
      <t>カシモ</t>
    </r>
    <r>
      <rPr>
        <sz val="10"/>
        <rFont val="DejaVu Sans"/>
        <family val="2"/>
        <charset val="1"/>
      </rPr>
      <t>WiMAX</t>
    </r>
  </si>
  <si>
    <t>カ）グロ－バル</t>
  </si>
  <si>
    <t>広島信用金庫</t>
  </si>
  <si>
    <t>済</t>
  </si>
  <si>
    <r>
      <rPr>
        <sz val="10"/>
        <color rgb="FF0000FF"/>
        <rFont val="DejaVu Sans"/>
        <family val="2"/>
      </rPr>
      <t>振込一覧</t>
    </r>
    <r>
      <rPr>
        <sz val="10"/>
        <color rgb="FF0000FF"/>
        <rFont val="DejaVu Sans"/>
        <family val="2"/>
        <charset val="1"/>
      </rPr>
      <t>.xlsx</t>
    </r>
  </si>
  <si>
    <t>カ）シヨウエイジドウシヤセンタ－</t>
  </si>
  <si>
    <t>広島銀行</t>
  </si>
  <si>
    <t>カ）プレコ</t>
  </si>
  <si>
    <t>もみじ銀行</t>
  </si>
  <si>
    <t>トラストユアサ－ビス（カ</t>
  </si>
  <si>
    <t>ＰａｙＰａｙ銀行</t>
  </si>
  <si>
    <t>ユ）サカエコウムテン</t>
  </si>
  <si>
    <t>山口銀行</t>
  </si>
  <si>
    <t>シマヤセツビ（カ</t>
  </si>
  <si>
    <t>ユ－デンキ（カ</t>
  </si>
  <si>
    <t>フジイ　トシキ</t>
  </si>
  <si>
    <t>ヒロカツセツビ（カ</t>
  </si>
  <si>
    <t>広島市信用組合</t>
  </si>
  <si>
    <t>ヤマベ　アキノリ</t>
  </si>
  <si>
    <t>カ）メビウスマネジメントサ－ビス</t>
  </si>
  <si>
    <t>カ）テラ</t>
  </si>
  <si>
    <t>コレタケ　ヤスシ</t>
  </si>
  <si>
    <t>モリ　マサオミ</t>
  </si>
  <si>
    <t>トマト銀行</t>
  </si>
  <si>
    <t>リミツトレスリビング．カ</t>
  </si>
  <si>
    <t>西京銀行</t>
  </si>
  <si>
    <t>ヒロギンリ－ス（カ</t>
  </si>
  <si>
    <t>アラカワ　ノブユキ</t>
  </si>
  <si>
    <t>ブル－バンク（カ</t>
  </si>
  <si>
    <t>ＧＭＯあおぞらネット銀行</t>
  </si>
  <si>
    <t>ユ－ネツト（カ</t>
  </si>
  <si>
    <t>楽天銀行</t>
  </si>
  <si>
    <t>カ）アンノ－ン</t>
  </si>
  <si>
    <t>ヨシダコウギヨウ（カ</t>
  </si>
  <si>
    <t>カ）グロ－バルリゾ－トレジデンス</t>
  </si>
  <si>
    <t>広島商銀信用組合</t>
  </si>
  <si>
    <t>カ）ヒロシマケイザイケンキユウシヨ</t>
  </si>
  <si>
    <t>カ）　ウインスリ－</t>
  </si>
  <si>
    <t>アシストアツプ（カ</t>
  </si>
  <si>
    <t>キヨウワモクザイ　（カ</t>
  </si>
  <si>
    <t>ヒロシマヒガシゼイムシヨシユニンサイニユウサイシユツガイ</t>
  </si>
  <si>
    <t>アオヤマカイケイジムシヨ　アオヤマ　ユウジ</t>
  </si>
  <si>
    <t>ユ）ホ－ムクリ－ン</t>
  </si>
  <si>
    <t>ユ）ツジバイコウエン</t>
  </si>
  <si>
    <t>モリナガベイコク（ユ</t>
  </si>
  <si>
    <t>カ）ワ－ルドレイ</t>
  </si>
  <si>
    <t>住信ＳＢＩネット銀行</t>
  </si>
  <si>
    <t>ヒロシマガスニシチユウゴク（カ</t>
  </si>
  <si>
    <t>カ）グロ－バル（月次予測）</t>
  </si>
  <si>
    <r>
      <rPr>
        <sz val="10"/>
        <rFont val="DejaVu Sans"/>
        <family val="2"/>
      </rPr>
      <t>振込一覧</t>
    </r>
    <r>
      <rPr>
        <sz val="10"/>
        <rFont val="DejaVu Sans"/>
        <family val="2"/>
        <charset val="1"/>
      </rPr>
      <t>.xlsx</t>
    </r>
    <r>
      <rPr>
        <sz val="10"/>
        <rFont val="DejaVu Sans"/>
        <family val="2"/>
      </rPr>
      <t>より推定</t>
    </r>
  </si>
  <si>
    <t>通帳履歴より自動予測</t>
  </si>
  <si>
    <t>カ）シヨウエイジドウシヤセンタ－（月次予測）</t>
  </si>
  <si>
    <t>トラストユアサ－ビス（カ（月次予測）</t>
  </si>
  <si>
    <t>ヒロカツセツビ（カ（月次予測）</t>
  </si>
  <si>
    <t>ヤマベ　アキノリ（月次予測）</t>
  </si>
  <si>
    <t>カ）メビウスマネジメントサ－ビス（月次予測）</t>
  </si>
  <si>
    <t>カ）テラ（月次予測）</t>
  </si>
  <si>
    <t>コレタケ　ヤスシ（月次予測）</t>
  </si>
  <si>
    <t>リミツトレスリビング．カ（月次予測）</t>
  </si>
  <si>
    <t>ブル－バンク（カ（月次予測）</t>
  </si>
  <si>
    <t>ユ－ネツト（カ（月次予測）</t>
  </si>
  <si>
    <t>ヨシダコウギヨウ（カ（月次予測）</t>
  </si>
  <si>
    <t>カ）グロ－バルリゾ－トレジデンス（月次予測）</t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</si>
  <si>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89</t>
    </r>
    <r>
      <rPr>
        <sz val="10"/>
        <rFont val="DejaVu Sans"/>
        <family val="2"/>
      </rPr>
      <t>人分）</t>
    </r>
  </si>
  <si>
    <r>
      <rPr>
        <sz val="10"/>
        <rFont val="Noto Sans CJK SC"/>
        <charset val="1"/>
      </rPr>
      <t>89</t>
    </r>
    <r>
      <rPr>
        <sz val="10"/>
        <rFont val="DejaVu Sans"/>
        <family val="2"/>
      </rPr>
      <t>人</t>
    </r>
  </si>
  <si>
    <r>
      <rPr>
        <sz val="10"/>
        <color rgb="FF0000FF"/>
        <rFont val="DejaVu Sans"/>
        <family val="2"/>
      </rPr>
      <t>給与一覧表より</t>
    </r>
    <r>
      <rPr>
        <sz val="10"/>
        <color rgb="FF0000FF"/>
        <rFont val="DejaVu Sans"/>
        <family val="2"/>
        <charset val="1"/>
      </rPr>
      <t>3</t>
    </r>
    <r>
      <rPr>
        <sz val="10"/>
        <color rgb="FF0000FF"/>
        <rFont val="DejaVu Sans"/>
        <family val="2"/>
      </rPr>
      <t>ヶ月平均（</t>
    </r>
    <r>
      <rPr>
        <sz val="10"/>
        <color rgb="FF0000FF"/>
        <rFont val="DejaVu Sans"/>
        <family val="2"/>
        <charset val="1"/>
      </rPr>
      <t>12</t>
    </r>
    <r>
      <rPr>
        <sz val="10"/>
        <color rgb="FF0000FF"/>
        <rFont val="DejaVu Sans"/>
        <family val="2"/>
      </rPr>
      <t>月</t>
    </r>
    <r>
      <rPr>
        <sz val="10"/>
        <color rgb="FF0000FF"/>
        <rFont val="DejaVu Sans"/>
        <family val="2"/>
        <charset val="1"/>
      </rPr>
      <t>/2</t>
    </r>
    <r>
      <rPr>
        <sz val="10"/>
        <color rgb="FF0000FF"/>
        <rFont val="DejaVu Sans"/>
        <family val="2"/>
      </rPr>
      <t>月</t>
    </r>
    <r>
      <rPr>
        <sz val="10"/>
        <color rgb="FF0000FF"/>
        <rFont val="DejaVu Sans"/>
        <family val="2"/>
        <charset val="1"/>
      </rPr>
      <t>/3</t>
    </r>
    <r>
      <rPr>
        <sz val="10"/>
        <color rgb="FF0000FF"/>
        <rFont val="DejaVu Sans"/>
        <family val="2"/>
      </rPr>
      <t>月）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</si>
  <si>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89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</si>
  <si>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89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</si>
  <si>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7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89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</si>
  <si>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人分）</t>
    </r>
  </si>
  <si>
    <r>
      <rPr>
        <sz val="10"/>
        <rFont val="Noto Sans CJK SC"/>
        <charset val="1"/>
      </rPr>
      <t>4</t>
    </r>
    <r>
      <rPr>
        <sz val="10"/>
        <rFont val="DejaVu Sans"/>
        <family val="2"/>
      </rPr>
      <t>人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</si>
  <si>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</si>
  <si>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</si>
  <si>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7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</si>
  <si>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人分）</t>
    </r>
  </si>
  <si>
    <r>
      <rPr>
        <sz val="10"/>
        <rFont val="Noto Sans CJK SC"/>
        <charset val="1"/>
      </rPr>
      <t>3</t>
    </r>
    <r>
      <rPr>
        <sz val="10"/>
        <rFont val="DejaVu Sans"/>
        <family val="2"/>
      </rPr>
      <t>人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</si>
  <si>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</si>
  <si>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人分）</t>
    </r>
  </si>
  <si>
    <r>
      <rPr>
        <sz val="10"/>
        <rFont val="DejaVu Sans"/>
        <family val="2"/>
      </rPr>
      <t>社員給与（</t>
    </r>
    <r>
      <rPr>
        <sz val="10"/>
        <rFont val="DejaVu Sans"/>
        <family val="2"/>
        <charset val="1"/>
      </rPr>
      <t>7</t>
    </r>
    <r>
      <rPr>
        <sz val="10"/>
        <rFont val="DejaVu Sans"/>
        <family val="2"/>
      </rPr>
      <t>月分・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人分）</t>
    </r>
  </si>
  <si>
    <t>証書貸付（借入返済）</t>
  </si>
  <si>
    <r>
      <rPr>
        <sz val="10"/>
        <rFont val="DejaVu Sans"/>
        <family val="2"/>
      </rPr>
      <t>広島銀行</t>
    </r>
    <r>
      <rPr>
        <sz val="10"/>
        <rFont val="DejaVu Sans"/>
        <family val="2"/>
        <charset val="1"/>
      </rPr>
      <t>0208510</t>
    </r>
  </si>
  <si>
    <t>通帳実績</t>
  </si>
  <si>
    <t>貸付利息</t>
  </si>
  <si>
    <r>
      <rPr>
        <sz val="10"/>
        <rFont val="Noto Sans CJK SC"/>
        <charset val="1"/>
      </rPr>
      <t>CD140</t>
    </r>
    <r>
      <rPr>
        <sz val="10"/>
        <rFont val="DejaVu Sans"/>
        <family val="2"/>
      </rPr>
      <t>現金引出</t>
    </r>
  </si>
  <si>
    <t>東京海上日動（保険料）</t>
  </si>
  <si>
    <r>
      <rPr>
        <sz val="10"/>
        <rFont val="DejaVu Sans"/>
        <family val="2"/>
      </rPr>
      <t>定期積金</t>
    </r>
    <r>
      <rPr>
        <sz val="10"/>
        <rFont val="DejaVu Sans"/>
        <family val="2"/>
        <charset val="1"/>
      </rPr>
      <t>×4</t>
    </r>
    <r>
      <rPr>
        <sz val="10"/>
        <rFont val="DejaVu Sans"/>
        <family val="2"/>
      </rPr>
      <t>回</t>
    </r>
  </si>
  <si>
    <t>セゾン（リース料）</t>
  </si>
  <si>
    <t>中税協（会費）</t>
  </si>
  <si>
    <t>セゾン（リース料・月次）</t>
  </si>
  <si>
    <t>中税協（会費・月次）</t>
  </si>
  <si>
    <t>証書貸付（借入返済・月次）</t>
  </si>
  <si>
    <t>貸付利息（月次）</t>
  </si>
  <si>
    <t>東京海上日動（保険料・月次）</t>
  </si>
  <si>
    <t>定期積金（月次）</t>
  </si>
  <si>
    <t>証書貸付（追加・月次）</t>
  </si>
  <si>
    <t>貸付利息（追加・月次）</t>
  </si>
  <si>
    <t>ラインプロフェクト返済①</t>
  </si>
  <si>
    <r>
      <rPr>
        <sz val="10"/>
        <color rgb="FF0000FF"/>
        <rFont val="メイリオ"/>
        <family val="3"/>
        <charset val="128"/>
      </rPr>
      <t>4/24</t>
    </r>
    <r>
      <rPr>
        <sz val="10"/>
        <color rgb="FF0000FF"/>
        <rFont val="DejaVu Sans"/>
        <family val="2"/>
      </rPr>
      <t>ファクタリング契約書</t>
    </r>
  </si>
  <si>
    <t>ラインプロフェクト返済②</t>
  </si>
  <si>
    <t>ラインプロフェクト返済③</t>
  </si>
  <si>
    <r>
      <rPr>
        <sz val="10"/>
        <rFont val="Noto Sans CJK SC"/>
        <charset val="1"/>
      </rPr>
      <t>[</t>
    </r>
    <r>
      <rPr>
        <sz val="10"/>
        <rFont val="DejaVu Sans"/>
        <family val="2"/>
      </rPr>
      <t>大工堂</t>
    </r>
    <r>
      <rPr>
        <sz val="10"/>
        <rFont val="Noto Sans CJK SC"/>
        <charset val="1"/>
      </rPr>
      <t xml:space="preserve">] </t>
    </r>
    <r>
      <rPr>
        <sz val="10"/>
        <rFont val="DejaVu Sans"/>
        <family val="2"/>
      </rPr>
      <t>カ</t>
    </r>
    <r>
      <rPr>
        <sz val="10"/>
        <rFont val="Noto Sans CJK SC"/>
        <charset val="1"/>
      </rPr>
      <t>)</t>
    </r>
    <r>
      <rPr>
        <sz val="10"/>
        <rFont val="DejaVu Sans"/>
        <family val="2"/>
      </rPr>
      <t>グローバルリゾートレジデンス（</t>
    </r>
    <r>
      <rPr>
        <sz val="10"/>
        <rFont val="Noto Sans CJK SC"/>
        <charset val="1"/>
      </rPr>
      <t>PayPay</t>
    </r>
    <r>
      <rPr>
        <sz val="10"/>
        <rFont val="DejaVu Sans"/>
        <family val="2"/>
      </rPr>
      <t>経由）</t>
    </r>
  </si>
  <si>
    <r>
      <rPr>
        <sz val="10"/>
        <rFont val="DejaVu Sans"/>
        <family val="2"/>
      </rPr>
      <t>大工堂楽天</t>
    </r>
    <r>
      <rPr>
        <sz val="10"/>
        <rFont val="DejaVu Sans"/>
        <family val="2"/>
        <charset val="1"/>
      </rPr>
      <t>7688127</t>
    </r>
  </si>
  <si>
    <r>
      <rPr>
        <sz val="10"/>
        <rFont val="Noto Sans CJK SC"/>
        <charset val="1"/>
      </rPr>
      <t>[</t>
    </r>
    <r>
      <rPr>
        <sz val="10"/>
        <rFont val="DejaVu Sans"/>
        <family val="2"/>
      </rPr>
      <t>大工堂</t>
    </r>
    <r>
      <rPr>
        <sz val="10"/>
        <rFont val="Noto Sans CJK SC"/>
        <charset val="1"/>
      </rPr>
      <t xml:space="preserve">] </t>
    </r>
    <r>
      <rPr>
        <sz val="10"/>
        <rFont val="DejaVu Sans"/>
        <family val="2"/>
      </rPr>
      <t>日本政策金融公庫（コクミンセイカツ事業）</t>
    </r>
  </si>
  <si>
    <r>
      <rPr>
        <sz val="10"/>
        <rFont val="Noto Sans CJK SC"/>
        <charset val="1"/>
      </rPr>
      <t>[</t>
    </r>
    <r>
      <rPr>
        <sz val="10"/>
        <rFont val="DejaVu Sans"/>
        <family val="2"/>
      </rPr>
      <t>大工堂</t>
    </r>
    <r>
      <rPr>
        <sz val="10"/>
        <rFont val="Noto Sans CJK SC"/>
        <charset val="1"/>
      </rPr>
      <t xml:space="preserve">] </t>
    </r>
    <r>
      <rPr>
        <sz val="10"/>
        <rFont val="DejaVu Sans"/>
        <family val="2"/>
      </rPr>
      <t>日本政策金融公庫返済（月次予測）</t>
    </r>
  </si>
  <si>
    <t>楽天通帳より自動予測</t>
  </si>
  <si>
    <t>社会保険料（月次予測）</t>
  </si>
  <si>
    <r>
      <rPr>
        <sz val="10"/>
        <rFont val="DejaVu Sans"/>
        <family val="2"/>
      </rPr>
      <t>広島銀行</t>
    </r>
    <r>
      <rPr>
        <sz val="10"/>
        <rFont val="DejaVu Sans"/>
        <family val="2"/>
        <charset val="1"/>
      </rPr>
      <t>4138342</t>
    </r>
  </si>
  <si>
    <r>
      <rPr>
        <sz val="10"/>
        <color rgb="FF0000FF"/>
        <rFont val="DejaVu Sans"/>
        <family val="2"/>
      </rPr>
      <t>広島銀行</t>
    </r>
    <r>
      <rPr>
        <sz val="10"/>
        <color rgb="FF0000FF"/>
        <rFont val="DejaVu Sans"/>
        <family val="2"/>
        <charset val="1"/>
      </rPr>
      <t>4138342</t>
    </r>
    <r>
      <rPr>
        <sz val="10"/>
        <color rgb="FF0000FF"/>
        <rFont val="DejaVu Sans"/>
        <family val="2"/>
      </rPr>
      <t>実績より月次予測</t>
    </r>
  </si>
  <si>
    <r>
      <rPr>
        <sz val="10"/>
        <rFont val="Noto Sans CJK SC"/>
        <charset val="1"/>
      </rPr>
      <t>HTB</t>
    </r>
    <r>
      <rPr>
        <sz val="10"/>
        <rFont val="DejaVu Sans"/>
        <family val="2"/>
      </rPr>
      <t>エナジー（電気代・全物件分）（月次予測）</t>
    </r>
  </si>
  <si>
    <t>日本政策金融公庫返済①（月次予測）</t>
  </si>
  <si>
    <t>日本政策金融公庫返済②（月次予測）</t>
  </si>
  <si>
    <t>クレディセゾン（カード支払）（月次予測）</t>
  </si>
  <si>
    <t>セゾンリース料①（月次予測）</t>
  </si>
  <si>
    <t>セゾンリース料②（月次予測）</t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</si>
  <si>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ホームランド①（月次予測）</t>
    </r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</si>
  <si>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ホームランド②（月次予測）</t>
    </r>
  </si>
  <si>
    <t>アマノマネジメントサービ（月次予測）</t>
  </si>
  <si>
    <r>
      <rPr>
        <sz val="10"/>
        <rFont val="Noto Sans CJK SC"/>
        <charset val="1"/>
      </rPr>
      <t>CD</t>
    </r>
    <r>
      <rPr>
        <sz val="10"/>
        <rFont val="DejaVu Sans"/>
        <family val="2"/>
      </rPr>
      <t>カード現金引出（</t>
    </r>
    <r>
      <rPr>
        <sz val="10"/>
        <rFont val="Noto Sans CJK SC"/>
        <charset val="1"/>
      </rPr>
      <t>VIEW</t>
    </r>
    <r>
      <rPr>
        <sz val="10"/>
        <rFont val="DejaVu Sans"/>
        <family val="2"/>
      </rPr>
      <t>運営費）（月次予測）</t>
    </r>
  </si>
  <si>
    <t>オオノクリーンサービス（自動送金）（月次予測）</t>
  </si>
  <si>
    <t>ヒロシマガスプロパン（月次予測）</t>
  </si>
  <si>
    <t>ヨシモトガス産業（月次予測）</t>
  </si>
  <si>
    <t>イワタニサンヨウガス①（月次予測）</t>
  </si>
  <si>
    <t>イワタニサンヨウガス②（月次予測）</t>
  </si>
  <si>
    <t>タナカベイコク（ガス）（月次予測）</t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</si>
  <si>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サニクリーンチユウゴク（月次予測）</t>
    </r>
  </si>
  <si>
    <t>東京海上日動（損害保険）（月次予測）</t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</si>
  <si>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レスポンス振替（月次予測）</t>
    </r>
  </si>
  <si>
    <r>
      <rPr>
        <sz val="10"/>
        <rFont val="Noto Sans CJK SC"/>
        <charset val="1"/>
      </rPr>
      <t>NTT</t>
    </r>
    <r>
      <rPr>
        <sz val="10"/>
        <rFont val="DejaVu Sans"/>
        <family val="2"/>
      </rPr>
      <t>フ</t>
    </r>
    <r>
      <rPr>
        <sz val="10"/>
        <rFont val="Noto Sans CJK SC"/>
        <charset val="1"/>
      </rPr>
      <t>(NTTMS</t>
    </r>
    <r>
      <rPr>
        <sz val="10"/>
        <rFont val="DejaVu Sans"/>
        <family val="2"/>
      </rPr>
      <t>ドウラ</t>
    </r>
    <r>
      <rPr>
        <sz val="10"/>
        <rFont val="Noto Sans CJK SC"/>
        <charset val="1"/>
      </rPr>
      <t>)</t>
    </r>
    <r>
      <rPr>
        <sz val="10"/>
        <rFont val="DejaVu Sans"/>
        <family val="2"/>
      </rPr>
      <t>（月次予測）</t>
    </r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</si>
  <si>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エヌティイドコモ（月次予測）</t>
    </r>
  </si>
  <si>
    <r>
      <rPr>
        <sz val="10"/>
        <rFont val="Noto Sans CJK SC"/>
        <charset val="1"/>
      </rPr>
      <t>A</t>
    </r>
    <r>
      <rPr>
        <sz val="10"/>
        <rFont val="DejaVu Sans"/>
        <family val="2"/>
      </rPr>
      <t>カードホテルシステム①（月次予測）</t>
    </r>
  </si>
  <si>
    <r>
      <rPr>
        <sz val="10"/>
        <rFont val="Noto Sans CJK SC"/>
        <charset val="1"/>
      </rPr>
      <t>A</t>
    </r>
    <r>
      <rPr>
        <sz val="10"/>
        <rFont val="DejaVu Sans"/>
        <family val="2"/>
      </rPr>
      <t>カードホテルシステム②（月次予測）</t>
    </r>
  </si>
  <si>
    <r>
      <rPr>
        <sz val="10"/>
        <rFont val="DejaVu Sans"/>
        <family val="2"/>
      </rPr>
      <t>セトウチ</t>
    </r>
    <r>
      <rPr>
        <sz val="10"/>
        <rFont val="DejaVu Sans"/>
        <family val="2"/>
        <charset val="1"/>
      </rPr>
      <t>DM</t>
    </r>
    <r>
      <rPr>
        <sz val="10"/>
        <rFont val="DejaVu Sans"/>
        <family val="2"/>
      </rPr>
      <t>オーメン（会費）（月次予測）</t>
    </r>
  </si>
  <si>
    <r>
      <rPr>
        <sz val="10"/>
        <rFont val="Noto Sans CJK SC"/>
        <charset val="1"/>
      </rPr>
      <t>MBS</t>
    </r>
    <r>
      <rPr>
        <sz val="10"/>
        <rFont val="DejaVu Sans"/>
        <family val="2"/>
      </rPr>
      <t>（カイギショ）（月次予測）</t>
    </r>
  </si>
  <si>
    <t>オリエント①（月次予測）</t>
  </si>
  <si>
    <t>オリエント②（月次予測）</t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</si>
  <si>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ホウジン</t>
    </r>
    <r>
      <rPr>
        <sz val="10"/>
        <rFont val="DejaVu Sans"/>
        <family val="2"/>
        <charset val="1"/>
      </rPr>
      <t>ETC</t>
    </r>
    <r>
      <rPr>
        <sz val="10"/>
        <rFont val="DejaVu Sans"/>
        <family val="2"/>
      </rPr>
      <t>（月次予測）</t>
    </r>
  </si>
  <si>
    <r>
      <rPr>
        <sz val="10"/>
        <rFont val="Noto Sans CJK SC"/>
        <charset val="1"/>
      </rPr>
      <t>DK</t>
    </r>
    <r>
      <rPr>
        <sz val="10"/>
        <rFont val="DejaVu Sans"/>
        <family val="2"/>
      </rPr>
      <t>カラオケ（</t>
    </r>
    <r>
      <rPr>
        <sz val="10"/>
        <rFont val="Noto Sans CJK SC"/>
        <charset val="1"/>
      </rPr>
      <t>SMCC</t>
    </r>
    <r>
      <rPr>
        <sz val="10"/>
        <rFont val="DejaVu Sans"/>
        <family val="2"/>
      </rPr>
      <t>）（月次予測）</t>
    </r>
  </si>
  <si>
    <r>
      <rPr>
        <sz val="10"/>
        <rFont val="Noto Sans CJK SC"/>
        <charset val="1"/>
      </rPr>
      <t>SFI</t>
    </r>
    <r>
      <rPr>
        <sz val="10"/>
        <rFont val="DejaVu Sans"/>
        <family val="2"/>
      </rPr>
      <t>リーシング（月次予測）</t>
    </r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</si>
  <si>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ネットプロテクション①（月次予測）</t>
    </r>
  </si>
  <si>
    <r>
      <rPr>
        <sz val="10"/>
        <rFont val="DejaVu Sans"/>
        <family val="2"/>
      </rPr>
      <t>カ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ネットプロテクション②（月次予測）</t>
    </r>
  </si>
  <si>
    <r>
      <rPr>
        <sz val="10"/>
        <rFont val="Noto Sans CJK SC"/>
        <charset val="1"/>
      </rPr>
      <t>NS NICOS</t>
    </r>
    <r>
      <rPr>
        <sz val="10"/>
        <rFont val="DejaVu Sans"/>
        <family val="2"/>
      </rPr>
      <t>（カ</t>
    </r>
    <r>
      <rPr>
        <sz val="10"/>
        <rFont val="Noto Sans CJK SC"/>
        <charset val="1"/>
      </rPr>
      <t>)</t>
    </r>
    <r>
      <rPr>
        <sz val="10"/>
        <rFont val="DejaVu Sans"/>
        <family val="2"/>
      </rPr>
      <t>トウメイ）（月次予測）</t>
    </r>
  </si>
  <si>
    <r>
      <rPr>
        <sz val="10"/>
        <rFont val="Noto Sans CJK SC"/>
        <charset val="1"/>
      </rPr>
      <t>SMBC PAID</t>
    </r>
    <r>
      <rPr>
        <sz val="10"/>
        <rFont val="DejaVu Sans"/>
        <family val="2"/>
      </rPr>
      <t>系合計（月次予測）</t>
    </r>
  </si>
  <si>
    <r>
      <rPr>
        <sz val="10"/>
        <rFont val="Noto Sans CJK SC"/>
        <charset val="1"/>
      </rPr>
      <t>B-WEB</t>
    </r>
    <r>
      <rPr>
        <sz val="10"/>
        <rFont val="DejaVu Sans"/>
        <family val="2"/>
      </rPr>
      <t>手数料（月次予測）</t>
    </r>
  </si>
  <si>
    <t>税理士会（月次予測）</t>
  </si>
  <si>
    <r>
      <rPr>
        <sz val="10"/>
        <rFont val="Noto Sans CJK SC"/>
        <charset val="1"/>
      </rPr>
      <t xml:space="preserve">NS NICOS NS </t>
    </r>
    <r>
      <rPr>
        <sz val="10"/>
        <rFont val="DejaVu Sans"/>
        <family val="2"/>
      </rPr>
      <t>カ</t>
    </r>
    <r>
      <rPr>
        <sz val="10"/>
        <rFont val="Noto Sans CJK SC"/>
        <charset val="1"/>
      </rPr>
      <t>)</t>
    </r>
    <r>
      <rPr>
        <sz val="10"/>
        <rFont val="DejaVu Sans"/>
        <family val="2"/>
      </rPr>
      <t>トウメイ（月次予測）</t>
    </r>
  </si>
  <si>
    <t>セゾン（リース大口）</t>
  </si>
  <si>
    <r>
      <rPr>
        <sz val="10"/>
        <rFont val="DejaVu Sans"/>
        <family val="2"/>
      </rPr>
      <t>市信</t>
    </r>
    <r>
      <rPr>
        <sz val="10"/>
        <rFont val="DejaVu Sans"/>
        <family val="2"/>
        <charset val="1"/>
      </rPr>
      <t>0200261</t>
    </r>
  </si>
  <si>
    <r>
      <rPr>
        <sz val="10"/>
        <rFont val="Noto Sans CJK SC"/>
        <charset val="1"/>
      </rPr>
      <t>CD110</t>
    </r>
    <r>
      <rPr>
        <sz val="10"/>
        <rFont val="DejaVu Sans"/>
        <family val="2"/>
      </rPr>
      <t>現金引出</t>
    </r>
  </si>
  <si>
    <r>
      <rPr>
        <sz val="10"/>
        <rFont val="DejaVu Sans"/>
        <family val="2"/>
      </rPr>
      <t>証書貸付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貸付利息（複数件）</t>
    </r>
  </si>
  <si>
    <t>ガス</t>
  </si>
  <si>
    <r>
      <rPr>
        <sz val="10"/>
        <rFont val="DejaVu Sans"/>
        <family val="2"/>
      </rPr>
      <t>県信</t>
    </r>
    <r>
      <rPr>
        <sz val="10"/>
        <rFont val="DejaVu Sans"/>
        <family val="2"/>
        <charset val="1"/>
      </rPr>
      <t>0210442</t>
    </r>
  </si>
  <si>
    <t>セゾン（リース）（月次予測）</t>
  </si>
  <si>
    <r>
      <rPr>
        <sz val="10"/>
        <rFont val="DejaVu Sans"/>
        <family val="2"/>
      </rPr>
      <t>広島市信</t>
    </r>
    <r>
      <rPr>
        <sz val="10"/>
        <rFont val="DejaVu Sans"/>
        <family val="2"/>
        <charset val="1"/>
      </rPr>
      <t>0200261/</t>
    </r>
    <r>
      <rPr>
        <sz val="10"/>
        <rFont val="DejaVu Sans"/>
        <family val="2"/>
      </rPr>
      <t>県信</t>
    </r>
    <r>
      <rPr>
        <sz val="10"/>
        <rFont val="DejaVu Sans"/>
        <family val="2"/>
        <charset val="1"/>
      </rPr>
      <t>0210442</t>
    </r>
  </si>
  <si>
    <t>通帳履歴より月次予測</t>
  </si>
  <si>
    <t>中税協（会費）（月次予測）</t>
  </si>
  <si>
    <r>
      <rPr>
        <sz val="10"/>
        <rFont val="DejaVu Sans"/>
        <family val="2"/>
      </rPr>
      <t>証書貸付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貸付利息（合計）（月次予測）</t>
    </r>
  </si>
  <si>
    <t>ガス代（月次予測）</t>
  </si>
  <si>
    <r>
      <rPr>
        <sz val="10"/>
        <rFont val="Noto Sans CJK SC"/>
        <charset val="1"/>
      </rPr>
      <t>CD140</t>
    </r>
    <r>
      <rPr>
        <sz val="10"/>
        <rFont val="DejaVu Sans"/>
        <family val="2"/>
      </rPr>
      <t>現金引出（運営費）（月次予測）</t>
    </r>
  </si>
  <si>
    <t>賃料（運営母体）（売上進捗表）</t>
  </si>
  <si>
    <r>
      <rPr>
        <sz val="10"/>
        <rFont val="DejaVu Sans"/>
        <family val="2"/>
      </rPr>
      <t>売上進捗表</t>
    </r>
    <r>
      <rPr>
        <sz val="10"/>
        <rFont val="DejaVu Sans"/>
        <family val="2"/>
        <charset val="1"/>
      </rPr>
      <t>2026</t>
    </r>
  </si>
  <si>
    <r>
      <rPr>
        <sz val="10"/>
        <color rgb="FF0000FF"/>
        <rFont val="DejaVu Sans"/>
        <family val="2"/>
      </rPr>
      <t>売上進捗表</t>
    </r>
    <r>
      <rPr>
        <sz val="10"/>
        <color rgb="FF0000FF"/>
        <rFont val="DejaVu Sans"/>
        <family val="2"/>
        <charset val="1"/>
      </rPr>
      <t>3</t>
    </r>
    <r>
      <rPr>
        <sz val="10"/>
        <color rgb="FF0000FF"/>
        <rFont val="DejaVu Sans"/>
        <family val="2"/>
      </rPr>
      <t>月更新</t>
    </r>
    <r>
      <rPr>
        <sz val="10"/>
        <color rgb="FF0000FF"/>
        <rFont val="DejaVu Sans"/>
        <family val="2"/>
        <charset val="1"/>
      </rPr>
      <t>_2026</t>
    </r>
    <r>
      <rPr>
        <sz val="10"/>
        <color rgb="FF0000FF"/>
        <rFont val="DejaVu Sans"/>
        <family val="2"/>
      </rPr>
      <t>より</t>
    </r>
  </si>
  <si>
    <t>租税公課（売上進捗表）</t>
  </si>
  <si>
    <t>ザック人件費（売上進捗表）</t>
  </si>
  <si>
    <t>リゾート人件費（売上進捗表との差分補正）（売上進捗表）</t>
  </si>
  <si>
    <t>岩村様邸</t>
  </si>
  <si>
    <r>
      <rPr>
        <sz val="11"/>
        <color theme="1"/>
        <rFont val="DejaVu Sans"/>
        <family val="2"/>
      </rPr>
      <t>シマヤ設備（仮設水道工事・</t>
    </r>
    <r>
      <rPr>
        <sz val="11"/>
        <color theme="1"/>
        <rFont val="DejaVu Sans"/>
        <family val="2"/>
        <charset val="1"/>
      </rPr>
      <t>1</t>
    </r>
    <r>
      <rPr>
        <sz val="11"/>
        <color theme="1"/>
        <rFont val="DejaVu Sans"/>
        <family val="2"/>
      </rPr>
      <t>月分）</t>
    </r>
  </si>
  <si>
    <t>工事費</t>
  </si>
  <si>
    <r>
      <rPr>
        <sz val="11"/>
        <color theme="1"/>
        <rFont val="DejaVu Sans"/>
        <family val="2"/>
      </rPr>
      <t>藤稔建築（現場管理費・</t>
    </r>
    <r>
      <rPr>
        <sz val="11"/>
        <color theme="1"/>
        <rFont val="DejaVu Sans"/>
        <family val="2"/>
        <charset val="1"/>
      </rPr>
      <t>3</t>
    </r>
    <r>
      <rPr>
        <sz val="11"/>
        <color theme="1"/>
        <rFont val="DejaVu Sans"/>
        <family val="2"/>
      </rPr>
      <t>月分）</t>
    </r>
  </si>
  <si>
    <r>
      <rPr>
        <sz val="11"/>
        <color theme="1"/>
        <rFont val="DejaVu Sans"/>
        <family val="2"/>
      </rPr>
      <t>エクト（交通誘導警備・</t>
    </r>
    <r>
      <rPr>
        <sz val="11"/>
        <color theme="1"/>
        <rFont val="DejaVu Sans"/>
        <family val="2"/>
        <charset val="1"/>
      </rPr>
      <t>4</t>
    </r>
    <r>
      <rPr>
        <sz val="11"/>
        <color theme="1"/>
        <rFont val="DejaVu Sans"/>
        <family val="2"/>
      </rPr>
      <t>月分）</t>
    </r>
  </si>
  <si>
    <t>卜部様邸</t>
  </si>
  <si>
    <r>
      <rPr>
        <sz val="11"/>
        <color theme="1"/>
        <rFont val="DejaVu Sans"/>
        <family val="2"/>
      </rPr>
      <t>広勝設備（水栓取替工事・</t>
    </r>
    <r>
      <rPr>
        <sz val="11"/>
        <color theme="1"/>
        <rFont val="DejaVu Sans"/>
        <family val="2"/>
        <charset val="1"/>
      </rPr>
      <t>3</t>
    </r>
    <r>
      <rPr>
        <sz val="11"/>
        <color theme="1"/>
        <rFont val="DejaVu Sans"/>
        <family val="2"/>
      </rPr>
      <t>月分）</t>
    </r>
  </si>
  <si>
    <t>本川町</t>
  </si>
  <si>
    <r>
      <rPr>
        <sz val="11"/>
        <color theme="1"/>
        <rFont val="Calibri"/>
        <family val="2"/>
        <charset val="1"/>
      </rPr>
      <t>U-DENKI</t>
    </r>
    <r>
      <rPr>
        <sz val="11"/>
        <color theme="1"/>
        <rFont val="DejaVu Sans"/>
        <family val="2"/>
      </rPr>
      <t>（岡部ビル</t>
    </r>
    <r>
      <rPr>
        <sz val="11"/>
        <color theme="1"/>
        <rFont val="Calibri"/>
        <family val="2"/>
        <charset val="1"/>
      </rPr>
      <t>TV</t>
    </r>
    <r>
      <rPr>
        <sz val="11"/>
        <color theme="1"/>
        <rFont val="DejaVu Sans"/>
        <family val="2"/>
      </rPr>
      <t>アンテナ修繕・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月分）</t>
    </r>
  </si>
  <si>
    <t>浴室</t>
  </si>
  <si>
    <t>榮工務店（浴室入口サッシ交換工事）</t>
  </si>
  <si>
    <r>
      <rPr>
        <sz val="11"/>
        <color theme="1"/>
        <rFont val="DejaVu Sans"/>
        <family val="2"/>
      </rPr>
      <t>ユ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モーテルトウキョウ（既支払）</t>
    </r>
  </si>
  <si>
    <t>支払手数料</t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</si>
  <si>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)ME</t>
    </r>
    <r>
      <rPr>
        <sz val="11"/>
        <color theme="1"/>
        <rFont val="DejaVu Sans"/>
        <family val="2"/>
      </rPr>
      <t>モバイル（既支払）</t>
    </r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</si>
  <si>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グローバルリゾート 送金①（既支払）</t>
    </r>
  </si>
  <si>
    <t>社内振替</t>
  </si>
  <si>
    <r>
      <rPr>
        <sz val="11"/>
        <color theme="1"/>
        <rFont val="DejaVu Sans"/>
        <family val="2"/>
      </rPr>
      <t>ミツイスミトモ</t>
    </r>
    <r>
      <rPr>
        <sz val="11"/>
        <color theme="1"/>
        <rFont val="DejaVu Sans"/>
        <family val="2"/>
        <charset val="1"/>
      </rPr>
      <t>FL SMFL</t>
    </r>
    <r>
      <rPr>
        <sz val="11"/>
        <color theme="1"/>
        <rFont val="DejaVu Sans"/>
        <family val="2"/>
      </rPr>
      <t>（既支払）</t>
    </r>
  </si>
  <si>
    <r>
      <rPr>
        <sz val="11"/>
        <color theme="1"/>
        <rFont val="DejaVu Sans"/>
        <family val="2"/>
      </rPr>
      <t xml:space="preserve">中国電力 </t>
    </r>
    <r>
      <rPr>
        <sz val="11"/>
        <color theme="1"/>
        <rFont val="DejaVu Sans"/>
        <family val="2"/>
        <charset val="1"/>
      </rPr>
      <t>4</t>
    </r>
    <r>
      <rPr>
        <sz val="11"/>
        <color theme="1"/>
        <rFont val="DejaVu Sans"/>
        <family val="2"/>
      </rPr>
      <t>月電灯（既支払）</t>
    </r>
  </si>
  <si>
    <t>西日本液化ガス（既支払）</t>
  </si>
  <si>
    <r>
      <rPr>
        <sz val="11"/>
        <color theme="1"/>
        <rFont val="Calibri"/>
        <family val="2"/>
        <charset val="1"/>
      </rPr>
      <t>B-WEB</t>
    </r>
    <r>
      <rPr>
        <sz val="11"/>
        <color theme="1"/>
        <rFont val="DejaVu Sans"/>
        <family val="2"/>
      </rPr>
      <t>手数料（計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件・既支払）</t>
    </r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</si>
  <si>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グローバルリゾート 送金②（既支払）</t>
    </r>
  </si>
  <si>
    <t>昭協ガス（既支払）</t>
  </si>
  <si>
    <t>ナカミチタカシ 振込①（既支払）</t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</si>
  <si>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グローバルリゾート 送金③（既支払）</t>
    </r>
  </si>
  <si>
    <t>ナカミチタカシ 振込②（既支払）</t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</si>
  <si>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グローバルリゾート 送金④（既支払）</t>
    </r>
  </si>
  <si>
    <r>
      <rPr>
        <sz val="11"/>
        <color theme="1"/>
        <rFont val="Calibri"/>
        <family val="2"/>
        <charset val="1"/>
      </rPr>
      <t>CD</t>
    </r>
    <r>
      <rPr>
        <sz val="11"/>
        <color theme="1"/>
        <rFont val="DejaVu Sans"/>
        <family val="2"/>
      </rPr>
      <t>カード現金引出①（既支払）</t>
    </r>
  </si>
  <si>
    <r>
      <rPr>
        <sz val="11"/>
        <color theme="1"/>
        <rFont val="Calibri"/>
        <family val="2"/>
        <charset val="1"/>
      </rPr>
      <t>CD</t>
    </r>
    <r>
      <rPr>
        <sz val="11"/>
        <color theme="1"/>
        <rFont val="DejaVu Sans"/>
        <family val="2"/>
      </rPr>
      <t>カード現金引出②（既支払）</t>
    </r>
  </si>
  <si>
    <r>
      <rPr>
        <sz val="11"/>
        <color theme="1"/>
        <rFont val="DejaVu Sans"/>
        <family val="2"/>
      </rPr>
      <t xml:space="preserve">中国電力 </t>
    </r>
    <r>
      <rPr>
        <sz val="11"/>
        <color theme="1"/>
        <rFont val="DejaVu Sans"/>
        <family val="2"/>
        <charset val="1"/>
      </rPr>
      <t>5</t>
    </r>
    <r>
      <rPr>
        <sz val="11"/>
        <color theme="1"/>
        <rFont val="DejaVu Sans"/>
        <family val="2"/>
      </rPr>
      <t>月電灯（計</t>
    </r>
    <r>
      <rPr>
        <sz val="11"/>
        <color theme="1"/>
        <rFont val="DejaVu Sans"/>
        <family val="2"/>
        <charset val="1"/>
      </rPr>
      <t>10</t>
    </r>
    <r>
      <rPr>
        <sz val="11"/>
        <color theme="1"/>
        <rFont val="DejaVu Sans"/>
        <family val="2"/>
      </rPr>
      <t>件・既支払）</t>
    </r>
  </si>
  <si>
    <r>
      <rPr>
        <sz val="11"/>
        <color theme="1"/>
        <rFont val="DejaVu Sans"/>
        <family val="2"/>
      </rPr>
      <t>カ</t>
    </r>
    <r>
      <rPr>
        <sz val="11"/>
        <color theme="1"/>
        <rFont val="DejaVu Sans"/>
        <family val="2"/>
        <charset val="1"/>
      </rPr>
      <t>)</t>
    </r>
    <r>
      <rPr>
        <sz val="11"/>
        <color theme="1"/>
        <rFont val="DejaVu Sans"/>
        <family val="2"/>
      </rPr>
      <t>グローバルリゾート 送金⑤（既支払）</t>
    </r>
  </si>
  <si>
    <r>
      <rPr>
        <sz val="11"/>
        <color theme="1"/>
        <rFont val="Calibri"/>
        <family val="2"/>
        <charset val="1"/>
      </rPr>
      <t>CD</t>
    </r>
    <r>
      <rPr>
        <sz val="11"/>
        <color theme="1"/>
        <rFont val="DejaVu Sans"/>
        <family val="2"/>
      </rPr>
      <t>カード現金引出③（既支払）</t>
    </r>
  </si>
  <si>
    <t>支払済合計</t>
  </si>
  <si>
    <t>未払残高（予定）</t>
  </si>
  <si>
    <r>
      <rPr>
        <b/>
        <sz val="14"/>
        <color rgb="FFFFFFFF"/>
        <rFont val="DejaVu Sans"/>
        <family val="2"/>
      </rPr>
      <t>日次キャッシュフロー — レジデンス（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</si>
  <si>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r>
      <rPr>
        <i/>
        <sz val="9"/>
        <color rgb="FFC00000"/>
        <rFont val="DejaVu Sans"/>
        <family val="2"/>
      </rPr>
      <t>入金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入金入力（会社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本社）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入金予測／支出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未払予定一覧（カード枠回復除く）／使用可能額</t>
    </r>
    <r>
      <rPr>
        <i/>
        <sz val="9"/>
        <color rgb="FFC00000"/>
        <rFont val="DejaVu Sans"/>
        <family val="2"/>
        <charset val="1"/>
      </rPr>
      <t>=</t>
    </r>
    <r>
      <rPr>
        <i/>
        <sz val="9"/>
        <color rgb="FFC00000"/>
        <rFont val="DejaVu Sans"/>
        <family val="2"/>
      </rPr>
      <t>累計差引</t>
    </r>
    <r>
      <rPr>
        <i/>
        <sz val="9"/>
        <color rgb="FFC00000"/>
        <rFont val="DejaVu Sans"/>
        <family val="2"/>
        <charset val="1"/>
      </rPr>
      <t>+</t>
    </r>
    <r>
      <rPr>
        <i/>
        <sz val="9"/>
        <color rgb="FFC00000"/>
        <rFont val="DejaVu Sans"/>
        <family val="2"/>
      </rPr>
      <t>累計カード枠回復</t>
    </r>
  </si>
  <si>
    <t>日次差引（円）</t>
  </si>
  <si>
    <t>累計差引（円）</t>
  </si>
  <si>
    <t>使用可能額（円）</t>
  </si>
  <si>
    <r>
      <rPr>
        <b/>
        <sz val="11"/>
        <color rgb="FFFFFFFF"/>
        <rFont val="Noto Sans CJK SC"/>
        <charset val="1"/>
      </rPr>
      <t>■ 5</t>
    </r>
    <r>
      <rPr>
        <b/>
        <sz val="11"/>
        <color rgb="FFFFFFFF"/>
        <rFont val="DejaVu Sans"/>
        <family val="2"/>
      </rPr>
      <t>月</t>
    </r>
  </si>
  <si>
    <t>土</t>
  </si>
  <si>
    <t>日</t>
  </si>
  <si>
    <r>
      <rPr>
        <b/>
        <sz val="11"/>
        <rFont val="Noto Sans CJK SC"/>
        <charset val="1"/>
      </rPr>
      <t>5</t>
    </r>
    <r>
      <rPr>
        <b/>
        <sz val="11"/>
        <rFont val="DejaVu Sans"/>
        <family val="2"/>
      </rPr>
      <t>月合計</t>
    </r>
  </si>
  <si>
    <t>月合計</t>
  </si>
  <si>
    <r>
      <rPr>
        <b/>
        <sz val="11"/>
        <color rgb="FFFFFFFF"/>
        <rFont val="Noto Sans CJK SC"/>
        <charset val="1"/>
      </rPr>
      <t>■ 6</t>
    </r>
    <r>
      <rPr>
        <b/>
        <sz val="11"/>
        <color rgb="FFFFFFFF"/>
        <rFont val="DejaVu Sans"/>
        <family val="2"/>
      </rPr>
      <t>月</t>
    </r>
  </si>
  <si>
    <r>
      <rPr>
        <b/>
        <sz val="11"/>
        <rFont val="Noto Sans CJK SC"/>
        <charset val="1"/>
      </rPr>
      <t>6</t>
    </r>
    <r>
      <rPr>
        <b/>
        <sz val="11"/>
        <rFont val="DejaVu Sans"/>
        <family val="2"/>
      </rPr>
      <t>月合計</t>
    </r>
  </si>
  <si>
    <r>
      <rPr>
        <b/>
        <sz val="11"/>
        <color rgb="FFFFFFFF"/>
        <rFont val="Noto Sans CJK SC"/>
        <charset val="1"/>
      </rPr>
      <t>■ 7</t>
    </r>
    <r>
      <rPr>
        <b/>
        <sz val="11"/>
        <color rgb="FFFFFFFF"/>
        <rFont val="DejaVu Sans"/>
        <family val="2"/>
      </rPr>
      <t>月</t>
    </r>
  </si>
  <si>
    <r>
      <rPr>
        <b/>
        <sz val="11"/>
        <rFont val="Noto Sans CJK SC"/>
        <charset val="1"/>
      </rPr>
      <t>7</t>
    </r>
    <r>
      <rPr>
        <b/>
        <sz val="11"/>
        <rFont val="DejaVu Sans"/>
        <family val="2"/>
      </rPr>
      <t>月合計</t>
    </r>
  </si>
  <si>
    <r>
      <rPr>
        <b/>
        <sz val="11"/>
        <color rgb="FFFFFFFF"/>
        <rFont val="Noto Sans CJK SC"/>
        <charset val="1"/>
      </rPr>
      <t>■ 8</t>
    </r>
    <r>
      <rPr>
        <b/>
        <sz val="11"/>
        <color rgb="FFFFFFFF"/>
        <rFont val="DejaVu Sans"/>
        <family val="2"/>
      </rPr>
      <t>月</t>
    </r>
  </si>
  <si>
    <r>
      <rPr>
        <b/>
        <sz val="11"/>
        <rFont val="Noto Sans CJK SC"/>
        <charset val="1"/>
      </rPr>
      <t>8</t>
    </r>
    <r>
      <rPr>
        <b/>
        <sz val="11"/>
        <rFont val="DejaVu Sans"/>
        <family val="2"/>
      </rPr>
      <t>月合計</t>
    </r>
  </si>
  <si>
    <r>
      <rPr>
        <b/>
        <sz val="14"/>
        <color rgb="FFFFFFFF"/>
        <rFont val="DejaVu Sans"/>
        <family val="2"/>
      </rPr>
      <t>日次キャッシュフロー — リゾート（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</si>
  <si>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r>
      <rPr>
        <b/>
        <sz val="14"/>
        <color rgb="FFFFFFFF"/>
        <rFont val="DejaVu Sans"/>
        <family val="2"/>
      </rPr>
      <t>日次キャッシュフロー — モーテル（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</si>
  <si>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r>
      <rPr>
        <b/>
        <sz val="14"/>
        <color rgb="FFFFFFFF"/>
        <rFont val="DejaVu Sans"/>
        <family val="2"/>
      </rPr>
      <t>日次キャッシュフロー — ザック（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</si>
  <si>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r>
      <rPr>
        <b/>
        <sz val="14"/>
        <color rgb="FFFFFFFF"/>
        <rFont val="DejaVu Sans"/>
        <family val="2"/>
      </rPr>
      <t>日次キャッシュフロー — ワールド・レイ（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</si>
  <si>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r>
      <rPr>
        <b/>
        <sz val="14"/>
        <color rgb="FFFFFFFF"/>
        <rFont val="DejaVu Sans"/>
        <family val="2"/>
      </rPr>
      <t>日次キャッシュフロー — ココ・ユニバース（</t>
    </r>
    <r>
      <rPr>
        <b/>
        <sz val="14"/>
        <color rgb="FFFFFFFF"/>
        <rFont val="DejaVu Sans"/>
        <family val="2"/>
        <charset val="1"/>
      </rPr>
      <t>5</t>
    </r>
    <r>
      <rPr>
        <b/>
        <sz val="14"/>
        <color rgb="FFFFFFFF"/>
        <rFont val="DejaVu Sans"/>
        <family val="2"/>
      </rPr>
      <t>月〜</t>
    </r>
    <r>
      <rPr>
        <b/>
        <sz val="14"/>
        <color rgb="FFFFFFFF"/>
        <rFont val="DejaVu Sans"/>
        <family val="2"/>
        <charset val="1"/>
      </rPr>
      <t>8</t>
    </r>
    <r>
      <rPr>
        <b/>
        <sz val="14"/>
        <color rgb="FFFFFFFF"/>
        <rFont val="DejaVu Sans"/>
        <family val="2"/>
      </rPr>
      <t>月 縦積み）</t>
    </r>
  </si>
  <si>
    <t>資金繰り表</t>
  </si>
  <si>
    <t>商号・屋号：</t>
  </si>
  <si>
    <t xml:space="preserve">　    </t>
  </si>
  <si>
    <t xml:space="preserve"> 作成日：令和</t>
  </si>
  <si>
    <t>年</t>
  </si>
  <si>
    <t>単位：千円</t>
  </si>
  <si>
    <t>売上高</t>
  </si>
  <si>
    <t>仕入（外注費含む）</t>
  </si>
  <si>
    <t>月初繰越残高（Ａ）</t>
  </si>
  <si>
    <t>経
常
収
支</t>
  </si>
  <si>
    <t>収
入</t>
  </si>
  <si>
    <t>売
上</t>
  </si>
  <si>
    <t>手形入金</t>
  </si>
  <si>
    <t>　計（Ｂ）</t>
  </si>
  <si>
    <t>支
出</t>
  </si>
  <si>
    <t>仕
入</t>
  </si>
  <si>
    <t>現金仕入</t>
  </si>
  <si>
    <t>手形決済</t>
  </si>
  <si>
    <t>経
費</t>
  </si>
  <si>
    <t>　計（Ｃ）</t>
  </si>
  <si>
    <t>差引過不足（Ｄ＝Ｂ－Ｃ）</t>
  </si>
  <si>
    <t>財
務
・
投
資</t>
  </si>
  <si>
    <t>借入金</t>
  </si>
  <si>
    <t>設備売却等</t>
  </si>
  <si>
    <t>　計（Ｅ）</t>
  </si>
  <si>
    <t>借入金返済</t>
  </si>
  <si>
    <t>設備購入等</t>
  </si>
  <si>
    <t>　計（Ｆ）</t>
  </si>
  <si>
    <t>計（Ｇ＝Ｅ－Ｆ）</t>
  </si>
  <si>
    <t>次月繰越金（Ｈ＝Ａ＋Ｄ＋Ｇ）</t>
  </si>
  <si>
    <t>株式会社グローバルリゾートレジデンス</t>
  </si>
  <si>
    <t>株式会社グローバルリゾート・モーテル東京</t>
  </si>
  <si>
    <t>グローバルザック株式会社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</si>
</sst>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(#,##0\);\-"/>
    <numFmt numFmtId="177" formatCode="m/d/yyyy"/>
    <numFmt numFmtId="178" formatCode="yyyy/m"/>
    <numFmt numFmtId="179" formatCode="yyyy\-mm\-dd\ h:mm:ss"/>
    <numFmt numFmtId="180" formatCode="#,##0_);[Red]\(#,##0\)"/>
  </numFmts>
  <fonts count="46">
    <font>
      <sz val="11"/>
      <color theme="1"/>
      <name val="Calibri"/>
      <family val="2"/>
      <charset val="1"/>
    </font>
    <font>
      <b/>
      <sz val="14"/>
      <color rgb="FFFFFFFF"/>
      <name val="DejaVu Sans"/>
      <family val="2"/>
    </font>
    <font>
      <b/>
      <sz val="14"/>
      <color rgb="FFFFFFFF"/>
      <name val="DejaVu Sans"/>
      <family val="2"/>
      <charset val="1"/>
    </font>
    <font>
      <b/>
      <sz val="12"/>
      <color rgb="FFFFFFFF"/>
      <name val="DejaVu Sans"/>
      <family val="2"/>
    </font>
    <font>
      <b/>
      <sz val="12"/>
      <color rgb="FFFFFFFF"/>
      <name val="DejaVu Sans"/>
      <family val="2"/>
      <charset val="1"/>
    </font>
    <font>
      <b/>
      <sz val="10"/>
      <color rgb="FFFFFFFF"/>
      <name val="DejaVu Sans"/>
      <family val="2"/>
    </font>
    <font>
      <sz val="10"/>
      <name val="DejaVu Sans"/>
      <family val="2"/>
    </font>
    <font>
      <b/>
      <sz val="10"/>
      <color rgb="FF1F4E78"/>
      <name val="DejaVu Sans"/>
      <family val="2"/>
    </font>
    <font>
      <sz val="10"/>
      <name val="メイリオ"/>
      <family val="3"/>
      <charset val="128"/>
    </font>
    <font>
      <b/>
      <sz val="10"/>
      <color rgb="FF1F4E78"/>
      <name val="DejaVu Sans"/>
      <family val="2"/>
      <charset val="1"/>
    </font>
    <font>
      <sz val="10"/>
      <name val="DejaVu Sans"/>
      <family val="2"/>
      <charset val="1"/>
    </font>
    <font>
      <b/>
      <sz val="12"/>
      <color rgb="FFFFFFFF"/>
      <name val="Noto Sans CJK SC"/>
      <charset val="1"/>
    </font>
    <font>
      <i/>
      <sz val="10"/>
      <color rgb="FF666666"/>
      <name val="Noto Sans CJK SC"/>
      <charset val="1"/>
    </font>
    <font>
      <i/>
      <sz val="10"/>
      <color rgb="FF666666"/>
      <name val="DejaVu Sans"/>
      <family val="2"/>
    </font>
    <font>
      <sz val="10"/>
      <name val="Noto Sans CJK SC"/>
      <charset val="1"/>
    </font>
    <font>
      <b/>
      <sz val="11"/>
      <name val="Noto Sans CJK SC"/>
      <charset val="1"/>
    </font>
    <font>
      <b/>
      <sz val="11"/>
      <name val="DejaVu Sans"/>
      <family val="2"/>
    </font>
    <font>
      <i/>
      <sz val="9"/>
      <color rgb="FFC00000"/>
      <name val="DejaVu Sans"/>
      <family val="2"/>
    </font>
    <font>
      <i/>
      <sz val="9"/>
      <color rgb="FFC00000"/>
      <name val="DejaVu Sans"/>
      <family val="2"/>
      <charset val="1"/>
    </font>
    <font>
      <b/>
      <sz val="11"/>
      <name val="DejaVu Sans"/>
      <family val="2"/>
      <charset val="1"/>
    </font>
    <font>
      <b/>
      <sz val="10"/>
      <color rgb="FFFFFFFF"/>
      <name val="Noto Sans CJK SC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/>
      <sz val="14"/>
      <color rgb="FFFFFFFF"/>
      <name val="Noto Sans CJK SC"/>
      <charset val="1"/>
    </font>
    <font>
      <sz val="10"/>
      <color rgb="FF0000FF"/>
      <name val="DejaVu Sans"/>
      <family val="2"/>
    </font>
    <font>
      <sz val="10"/>
      <color rgb="FF0000FF"/>
      <name val="メイリオ"/>
      <family val="3"/>
      <charset val="128"/>
    </font>
    <font>
      <b/>
      <sz val="10"/>
      <color rgb="FFFFFFFF"/>
      <name val="DejaVu Sans"/>
      <family val="2"/>
      <charset val="1"/>
    </font>
    <font>
      <b/>
      <sz val="10"/>
      <name val="DejaVu Sans"/>
      <family val="2"/>
    </font>
    <font>
      <sz val="10"/>
      <color rgb="FF0000FF"/>
      <name val="DejaVu Sans"/>
      <family val="2"/>
      <charset val="1"/>
    </font>
    <font>
      <b/>
      <sz val="10"/>
      <name val="メイリオ"/>
      <family val="3"/>
      <charset val="128"/>
    </font>
    <font>
      <b/>
      <sz val="9"/>
      <name val="DejaVu Sans"/>
      <family val="2"/>
    </font>
    <font>
      <b/>
      <sz val="9"/>
      <name val="DejaVu Sans"/>
      <family val="2"/>
      <charset val="1"/>
    </font>
    <font>
      <b/>
      <sz val="9"/>
      <color rgb="FFFFFFFF"/>
      <name val="DejaVu Sans"/>
      <family val="2"/>
    </font>
    <font>
      <b/>
      <sz val="10"/>
      <name val="DejaVu Sans"/>
      <family val="2"/>
      <charset val="1"/>
    </font>
    <font>
      <b/>
      <sz val="11"/>
      <color rgb="FFFFFFFF"/>
      <name val="Noto Sans CJK SC"/>
      <charset val="1"/>
    </font>
    <font>
      <b/>
      <sz val="11"/>
      <color rgb="FFFFFFFF"/>
      <name val="DejaVu Sans"/>
      <family val="2"/>
    </font>
    <font>
      <sz val="9"/>
      <color rgb="FF888888"/>
      <name val="メイリオ"/>
      <family val="3"/>
      <charset val="128"/>
    </font>
    <font>
      <sz val="9"/>
      <color rgb="FF888888"/>
      <name val="DejaVu Sans"/>
      <family val="2"/>
    </font>
    <font>
      <b/>
      <sz val="20"/>
      <color theme="1"/>
      <name val="DejaVu Sans"/>
      <family val="2"/>
    </font>
    <font>
      <sz val="14"/>
      <color theme="1"/>
      <name val="DejaVu Sans"/>
      <family val="2"/>
    </font>
    <font>
      <sz val="11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sz val="12"/>
      <color theme="1"/>
      <name val="DejaVu Sans"/>
      <family val="2"/>
    </font>
    <font>
      <u/>
      <sz val="11"/>
      <color theme="1"/>
      <name val="Meiryo"/>
      <family val="3"/>
      <charset val="128"/>
    </font>
    <font>
      <sz val="16"/>
      <color theme="1"/>
      <name val="Meiryo"/>
      <family val="3"/>
      <charset val="128"/>
    </font>
    <font>
      <sz val="6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C00000"/>
        <bgColor rgb="FFCC0000"/>
      </patternFill>
    </fill>
    <fill>
      <patternFill patternType="solid">
        <fgColor rgb="FFE2EFDA"/>
        <bgColor rgb="FFEAF3DF"/>
      </patternFill>
    </fill>
    <fill>
      <patternFill patternType="solid">
        <fgColor rgb="FFD9E1F2"/>
        <bgColor rgb="FFCFE2F3"/>
      </patternFill>
    </fill>
    <fill>
      <patternFill patternType="solid">
        <fgColor rgb="FFFFE699"/>
        <bgColor rgb="FFFCE5CD"/>
      </patternFill>
    </fill>
    <fill>
      <patternFill patternType="solid">
        <fgColor rgb="FF6FA8DC"/>
        <bgColor rgb="FFA4C2F4"/>
      </patternFill>
    </fill>
    <fill>
      <patternFill patternType="solid">
        <fgColor rgb="FF93C47D"/>
        <bgColor rgb="FFB6D7A8"/>
      </patternFill>
    </fill>
    <fill>
      <patternFill patternType="solid">
        <fgColor rgb="FFE69138"/>
        <bgColor rgb="FFF6B26B"/>
      </patternFill>
    </fill>
    <fill>
      <patternFill patternType="solid">
        <fgColor rgb="FFB45F06"/>
        <bgColor rgb="FFE06666"/>
      </patternFill>
    </fill>
    <fill>
      <patternFill patternType="solid">
        <fgColor rgb="FF8E7CC3"/>
        <bgColor rgb="FF888888"/>
      </patternFill>
    </fill>
    <fill>
      <patternFill patternType="solid">
        <fgColor rgb="FFD5A6BD"/>
        <bgColor rgb="FFF6B26B"/>
      </patternFill>
    </fill>
    <fill>
      <patternFill patternType="solid">
        <fgColor rgb="FFFFF2CC"/>
        <bgColor rgb="FFFEF2CB"/>
      </patternFill>
    </fill>
    <fill>
      <patternFill patternType="solid">
        <fgColor rgb="FFE06666"/>
        <bgColor rgb="FFE69138"/>
      </patternFill>
    </fill>
    <fill>
      <patternFill patternType="solid">
        <fgColor rgb="FFF6B26B"/>
        <bgColor rgb="FFE69138"/>
      </patternFill>
    </fill>
    <fill>
      <patternFill patternType="solid">
        <fgColor rgb="FFC6EFCE"/>
        <bgColor rgb="FFD9EAD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A4C2F4"/>
        <bgColor rgb="FFB6D7A8"/>
      </patternFill>
    </fill>
    <fill>
      <patternFill patternType="solid">
        <fgColor rgb="FFB6D7A8"/>
        <bgColor rgb="FFC6EFCE"/>
      </patternFill>
    </fill>
    <fill>
      <patternFill patternType="solid">
        <fgColor rgb="FFFCE4D6"/>
        <bgColor rgb="FFFCE5CD"/>
      </patternFill>
    </fill>
    <fill>
      <patternFill patternType="solid">
        <fgColor rgb="FF305496"/>
        <bgColor rgb="FF1F4E78"/>
      </patternFill>
    </fill>
    <fill>
      <patternFill patternType="solid">
        <fgColor rgb="FFE3F0FB"/>
        <bgColor rgb="FFE7EEF5"/>
      </patternFill>
    </fill>
    <fill>
      <patternFill patternType="solid">
        <fgColor rgb="FFFCE4E4"/>
        <bgColor rgb="FFFCE4D6"/>
      </patternFill>
    </fill>
    <fill>
      <patternFill patternType="solid">
        <fgColor theme="0"/>
        <bgColor rgb="FFFFFFCC"/>
      </patternFill>
    </fill>
    <fill>
      <patternFill patternType="solid">
        <fgColor rgb="FFFEF2CB"/>
        <bgColor rgb="FFFFF2CC"/>
      </patternFill>
    </fill>
    <fill>
      <patternFill patternType="solid">
        <fgColor rgb="FFDEEAF6"/>
        <bgColor rgb="FFE3F0FB"/>
      </patternFill>
    </fill>
  </fills>
  <borders count="3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7" fillId="0" borderId="0" xfId="0" applyFont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21" fillId="0" borderId="0" xfId="0" applyFont="1"/>
    <xf numFmtId="0" fontId="11" fillId="2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right" vertical="center"/>
    </xf>
    <xf numFmtId="176" fontId="8" fillId="4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76" fontId="8" fillId="13" borderId="1" xfId="0" applyNumberFormat="1" applyFont="1" applyFill="1" applyBorder="1" applyAlignment="1">
      <alignment horizontal="right" vertical="center"/>
    </xf>
    <xf numFmtId="0" fontId="19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76" fontId="6" fillId="16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right" vertical="center"/>
    </xf>
    <xf numFmtId="0" fontId="14" fillId="0" borderId="0" xfId="0" applyFont="1"/>
    <xf numFmtId="176" fontId="15" fillId="16" borderId="0" xfId="0" applyNumberFormat="1" applyFont="1" applyFill="1" applyAlignment="1">
      <alignment horizontal="right" vertical="center"/>
    </xf>
    <xf numFmtId="0" fontId="6" fillId="0" borderId="0" xfId="0" applyFont="1"/>
    <xf numFmtId="176" fontId="15" fillId="0" borderId="0" xfId="0" applyNumberFormat="1" applyFont="1" applyAlignment="1">
      <alignment horizontal="right" vertical="center"/>
    </xf>
    <xf numFmtId="0" fontId="21" fillId="0" borderId="0" xfId="0" applyFont="1"/>
    <xf numFmtId="0" fontId="19" fillId="0" borderId="0" xfId="0" applyFont="1" applyAlignment="1">
      <alignment horizontal="center" vertical="center" wrapText="1"/>
    </xf>
    <xf numFmtId="176" fontId="15" fillId="6" borderId="0" xfId="0" applyNumberFormat="1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8" fillId="17" borderId="1" xfId="0" applyNumberFormat="1" applyFont="1" applyFill="1" applyBorder="1" applyAlignment="1">
      <alignment horizontal="center" vertical="center"/>
    </xf>
    <xf numFmtId="9" fontId="8" fillId="18" borderId="1" xfId="0" applyNumberFormat="1" applyFont="1" applyFill="1" applyBorder="1" applyAlignment="1">
      <alignment horizontal="center" vertical="center"/>
    </xf>
    <xf numFmtId="9" fontId="8" fillId="13" borderId="1" xfId="0" applyNumberFormat="1" applyFont="1" applyFill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9" fontId="15" fillId="6" borderId="1" xfId="0" applyNumberFormat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9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77" fontId="25" fillId="19" borderId="1" xfId="0" applyNumberFormat="1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left" vertical="center" wrapText="1"/>
    </xf>
    <xf numFmtId="176" fontId="25" fillId="19" borderId="1" xfId="0" applyNumberFormat="1" applyFont="1" applyFill="1" applyBorder="1" applyAlignment="1">
      <alignment horizontal="right" vertical="center"/>
    </xf>
    <xf numFmtId="0" fontId="25" fillId="19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/>
    </xf>
    <xf numFmtId="177" fontId="25" fillId="19" borderId="1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4" fillId="19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/>
    </xf>
    <xf numFmtId="0" fontId="28" fillId="19" borderId="1" xfId="0" applyFont="1" applyFill="1" applyBorder="1" applyAlignment="1">
      <alignment horizontal="left" vertical="center" wrapText="1"/>
    </xf>
    <xf numFmtId="178" fontId="25" fillId="19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76" fontId="29" fillId="20" borderId="1" xfId="0" applyNumberFormat="1" applyFont="1" applyFill="1" applyBorder="1" applyAlignment="1">
      <alignment horizontal="right" vertical="center"/>
    </xf>
    <xf numFmtId="178" fontId="8" fillId="0" borderId="1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32" fillId="14" borderId="0" xfId="0" applyFont="1" applyFill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0" fontId="32" fillId="8" borderId="0" xfId="0" applyFont="1" applyFill="1" applyAlignment="1">
      <alignment horizontal="center" vertical="center" wrapText="1"/>
    </xf>
    <xf numFmtId="0" fontId="32" fillId="21" borderId="0" xfId="0" applyFont="1" applyFill="1" applyAlignment="1">
      <alignment horizontal="center" vertical="center" wrapText="1"/>
    </xf>
    <xf numFmtId="0" fontId="32" fillId="22" borderId="0" xfId="0" applyFont="1" applyFill="1" applyAlignment="1">
      <alignment horizontal="center" vertical="center" wrapText="1"/>
    </xf>
    <xf numFmtId="176" fontId="29" fillId="13" borderId="1" xfId="0" applyNumberFormat="1" applyFont="1" applyFill="1" applyBorder="1" applyAlignment="1">
      <alignment horizontal="right" vertical="center"/>
    </xf>
    <xf numFmtId="0" fontId="6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177" fontId="8" fillId="19" borderId="1" xfId="0" applyNumberFormat="1" applyFont="1" applyFill="1" applyBorder="1" applyAlignment="1">
      <alignment horizontal="center" vertical="center" wrapText="1"/>
    </xf>
    <xf numFmtId="176" fontId="8" fillId="19" borderId="1" xfId="0" applyNumberFormat="1" applyFont="1" applyFill="1" applyBorder="1" applyAlignment="1">
      <alignment horizontal="right" vertical="center"/>
    </xf>
    <xf numFmtId="0" fontId="1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177" fontId="8" fillId="19" borderId="1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left" vertical="center"/>
    </xf>
    <xf numFmtId="179" fontId="0" fillId="0" borderId="0" xfId="0" applyNumberFormat="1"/>
    <xf numFmtId="0" fontId="3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6" fillId="16" borderId="4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176" fontId="15" fillId="16" borderId="1" xfId="0" applyNumberFormat="1" applyFont="1" applyFill="1" applyBorder="1" applyAlignment="1">
      <alignment horizontal="right" vertical="center"/>
    </xf>
    <xf numFmtId="0" fontId="15" fillId="16" borderId="1" xfId="0" applyFont="1" applyFill="1" applyBorder="1" applyAlignment="1">
      <alignment horizontal="right" vertical="center"/>
    </xf>
    <xf numFmtId="0" fontId="16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176" fontId="15" fillId="23" borderId="1" xfId="0" applyNumberFormat="1" applyFont="1" applyFill="1" applyBorder="1" applyAlignment="1">
      <alignment horizontal="right" vertical="center"/>
    </xf>
    <xf numFmtId="0" fontId="15" fillId="23" borderId="1" xfId="0" applyFont="1" applyFill="1" applyBorder="1" applyAlignment="1">
      <alignment horizontal="right" vertical="center"/>
    </xf>
    <xf numFmtId="177" fontId="14" fillId="0" borderId="1" xfId="0" applyNumberFormat="1" applyFont="1" applyBorder="1" applyAlignment="1">
      <alignment horizontal="center" vertical="center" wrapText="1"/>
    </xf>
    <xf numFmtId="176" fontId="29" fillId="5" borderId="1" xfId="0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left" vertical="center"/>
    </xf>
    <xf numFmtId="177" fontId="14" fillId="25" borderId="1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77" fontId="14" fillId="2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/>
    </xf>
    <xf numFmtId="0" fontId="39" fillId="27" borderId="0" xfId="0" applyFont="1" applyFill="1" applyAlignment="1">
      <alignment vertical="center"/>
    </xf>
    <xf numFmtId="0" fontId="40" fillId="27" borderId="0" xfId="0" applyFont="1" applyFill="1" applyAlignment="1">
      <alignment horizontal="center" vertical="center"/>
    </xf>
    <xf numFmtId="0" fontId="41" fillId="27" borderId="0" xfId="0" applyFont="1" applyFill="1" applyAlignment="1">
      <alignment vertical="center" shrinkToFit="1"/>
    </xf>
    <xf numFmtId="0" fontId="42" fillId="27" borderId="0" xfId="0" applyFont="1" applyFill="1" applyAlignment="1">
      <alignment vertical="center"/>
    </xf>
    <xf numFmtId="0" fontId="41" fillId="28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27" borderId="0" xfId="0" applyFont="1" applyFill="1" applyAlignment="1">
      <alignment vertical="center"/>
    </xf>
    <xf numFmtId="0" fontId="40" fillId="27" borderId="0" xfId="0" applyFont="1" applyFill="1" applyAlignment="1">
      <alignment vertical="center"/>
    </xf>
    <xf numFmtId="0" fontId="40" fillId="27" borderId="0" xfId="0" applyFont="1" applyFill="1" applyAlignment="1">
      <alignment horizontal="right" vertical="center"/>
    </xf>
    <xf numFmtId="0" fontId="40" fillId="27" borderId="7" xfId="0" applyFont="1" applyFill="1" applyBorder="1" applyAlignment="1">
      <alignment horizontal="right" vertical="center" wrapText="1"/>
    </xf>
    <xf numFmtId="0" fontId="21" fillId="27" borderId="8" xfId="0" applyFont="1" applyFill="1" applyBorder="1" applyAlignment="1">
      <alignment horizontal="right" vertical="center" wrapText="1"/>
    </xf>
    <xf numFmtId="0" fontId="40" fillId="0" borderId="7" xfId="0" applyFont="1" applyBorder="1" applyAlignment="1">
      <alignment horizontal="right" vertical="center" wrapText="1"/>
    </xf>
    <xf numFmtId="0" fontId="40" fillId="0" borderId="7" xfId="0" applyFont="1" applyBorder="1" applyAlignment="1">
      <alignment vertical="center" wrapText="1"/>
    </xf>
    <xf numFmtId="0" fontId="21" fillId="27" borderId="9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38" fillId="27" borderId="0" xfId="0" applyFont="1" applyFill="1" applyAlignment="1">
      <alignment horizontal="center" vertical="center"/>
    </xf>
    <xf numFmtId="0" fontId="39" fillId="28" borderId="5" xfId="0" applyFont="1" applyFill="1" applyBorder="1" applyAlignment="1">
      <alignment horizontal="left" vertical="center"/>
    </xf>
    <xf numFmtId="0" fontId="42" fillId="27" borderId="5" xfId="0" applyFont="1" applyFill="1" applyBorder="1" applyAlignment="1">
      <alignment horizontal="right" vertical="center"/>
    </xf>
    <xf numFmtId="0" fontId="40" fillId="0" borderId="6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top"/>
    </xf>
    <xf numFmtId="176" fontId="40" fillId="28" borderId="11" xfId="0" applyNumberFormat="1" applyFont="1" applyFill="1" applyBorder="1" applyAlignment="1">
      <alignment vertical="center"/>
    </xf>
    <xf numFmtId="0" fontId="21" fillId="0" borderId="12" xfId="0" applyFont="1" applyBorder="1" applyAlignment="1">
      <alignment horizontal="center" vertical="top"/>
    </xf>
    <xf numFmtId="180" fontId="40" fillId="28" borderId="13" xfId="0" applyNumberFormat="1" applyFont="1" applyFill="1" applyBorder="1" applyAlignment="1">
      <alignment vertical="center"/>
    </xf>
    <xf numFmtId="0" fontId="21" fillId="27" borderId="14" xfId="0" applyFont="1" applyFill="1" applyBorder="1" applyAlignment="1">
      <alignment horizontal="center" vertical="top"/>
    </xf>
    <xf numFmtId="176" fontId="29" fillId="28" borderId="15" xfId="0" applyNumberFormat="1" applyFont="1" applyFill="1" applyBorder="1" applyAlignment="1">
      <alignment vertical="center"/>
    </xf>
    <xf numFmtId="176" fontId="29" fillId="29" borderId="15" xfId="0" applyNumberFormat="1" applyFont="1" applyFill="1" applyBorder="1" applyAlignment="1">
      <alignment vertical="center"/>
    </xf>
    <xf numFmtId="176" fontId="29" fillId="29" borderId="16" xfId="0" applyNumberFormat="1" applyFont="1" applyFill="1" applyBorder="1" applyAlignment="1">
      <alignment vertical="center"/>
    </xf>
    <xf numFmtId="0" fontId="21" fillId="29" borderId="17" xfId="0" applyFont="1" applyFill="1" applyBorder="1" applyAlignment="1">
      <alignment horizontal="center" vertical="center" wrapText="1"/>
    </xf>
    <xf numFmtId="0" fontId="21" fillId="29" borderId="18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top"/>
    </xf>
    <xf numFmtId="176" fontId="8" fillId="28" borderId="19" xfId="0" applyNumberFormat="1" applyFont="1" applyFill="1" applyBorder="1" applyAlignment="1">
      <alignment horizontal="right" vertical="center"/>
    </xf>
    <xf numFmtId="180" fontId="40" fillId="28" borderId="19" xfId="0" applyNumberFormat="1" applyFont="1" applyFill="1" applyBorder="1" applyAlignment="1">
      <alignment vertical="center"/>
    </xf>
    <xf numFmtId="0" fontId="21" fillId="0" borderId="11" xfId="0" applyFont="1" applyBorder="1" applyAlignment="1">
      <alignment horizontal="center" vertical="top"/>
    </xf>
    <xf numFmtId="176" fontId="8" fillId="28" borderId="11" xfId="0" applyNumberFormat="1" applyFont="1" applyFill="1" applyBorder="1" applyAlignment="1">
      <alignment horizontal="right" vertical="center"/>
    </xf>
    <xf numFmtId="180" fontId="40" fillId="28" borderId="11" xfId="0" applyNumberFormat="1" applyFont="1" applyFill="1" applyBorder="1" applyAlignment="1">
      <alignment vertical="center"/>
    </xf>
    <xf numFmtId="180" fontId="40" fillId="28" borderId="20" xfId="0" applyNumberFormat="1" applyFont="1" applyFill="1" applyBorder="1" applyAlignment="1">
      <alignment vertical="center"/>
    </xf>
    <xf numFmtId="0" fontId="21" fillId="29" borderId="21" xfId="0" applyFont="1" applyFill="1" applyBorder="1" applyAlignment="1">
      <alignment horizontal="center" vertical="top"/>
    </xf>
    <xf numFmtId="176" fontId="29" fillId="29" borderId="11" xfId="0" applyNumberFormat="1" applyFont="1" applyFill="1" applyBorder="1" applyAlignment="1">
      <alignment vertical="center"/>
    </xf>
    <xf numFmtId="176" fontId="29" fillId="29" borderId="20" xfId="0" applyNumberFormat="1" applyFont="1" applyFill="1" applyBorder="1" applyAlignment="1">
      <alignment vertical="center"/>
    </xf>
    <xf numFmtId="0" fontId="21" fillId="29" borderId="22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29" borderId="23" xfId="0" applyFont="1" applyFill="1" applyBorder="1" applyAlignment="1">
      <alignment horizontal="center" vertical="center" wrapText="1"/>
    </xf>
    <xf numFmtId="0" fontId="21" fillId="29" borderId="11" xfId="0" applyFont="1" applyFill="1" applyBorder="1" applyAlignment="1">
      <alignment horizontal="center" vertical="top"/>
    </xf>
    <xf numFmtId="176" fontId="40" fillId="29" borderId="11" xfId="0" applyNumberFormat="1" applyFont="1" applyFill="1" applyBorder="1" applyAlignment="1">
      <alignment vertical="center"/>
    </xf>
    <xf numFmtId="176" fontId="40" fillId="29" borderId="20" xfId="0" applyNumberFormat="1" applyFont="1" applyFill="1" applyBorder="1" applyAlignment="1">
      <alignment vertical="center"/>
    </xf>
    <xf numFmtId="0" fontId="21" fillId="29" borderId="24" xfId="0" applyFont="1" applyFill="1" applyBorder="1" applyAlignment="1">
      <alignment horizontal="center" vertical="top"/>
    </xf>
    <xf numFmtId="176" fontId="29" fillId="29" borderId="25" xfId="0" applyNumberFormat="1" applyFont="1" applyFill="1" applyBorder="1" applyAlignment="1">
      <alignment vertical="center"/>
    </xf>
    <xf numFmtId="176" fontId="29" fillId="29" borderId="26" xfId="0" applyNumberFormat="1" applyFont="1" applyFill="1" applyBorder="1" applyAlignment="1">
      <alignment vertical="center"/>
    </xf>
    <xf numFmtId="0" fontId="21" fillId="29" borderId="14" xfId="0" applyFont="1" applyFill="1" applyBorder="1" applyAlignment="1">
      <alignment horizontal="center" vertical="top"/>
    </xf>
    <xf numFmtId="0" fontId="44" fillId="0" borderId="27" xfId="0" applyFont="1" applyBorder="1" applyAlignment="1">
      <alignment horizontal="right" vertical="center"/>
    </xf>
    <xf numFmtId="176" fontId="40" fillId="28" borderId="20" xfId="0" applyNumberFormat="1" applyFont="1" applyFill="1" applyBorder="1" applyAlignment="1">
      <alignment vertical="center"/>
    </xf>
    <xf numFmtId="180" fontId="40" fillId="28" borderId="13" xfId="0" applyNumberFormat="1" applyFont="1" applyFill="1" applyBorder="1" applyAlignment="1">
      <alignment vertical="center" wrapText="1"/>
    </xf>
    <xf numFmtId="180" fontId="40" fillId="28" borderId="28" xfId="0" applyNumberFormat="1" applyFont="1" applyFill="1" applyBorder="1" applyAlignment="1">
      <alignment vertical="center"/>
    </xf>
    <xf numFmtId="180" fontId="40" fillId="28" borderId="29" xfId="0" applyNumberFormat="1" applyFont="1" applyFill="1" applyBorder="1" applyAlignment="1">
      <alignment vertical="center"/>
    </xf>
  </cellXfs>
  <cellStyles count="1">
    <cellStyle name="標準" xfId="0" builtinId="0"/>
  </cellStyles>
  <dxfs count="18">
    <dxf>
      <font>
        <b/>
        <sz val="10"/>
        <color rgb="FFFFFFFF"/>
        <name val="Noto Sans CJK SC"/>
        <charset val="1"/>
      </font>
      <fill>
        <patternFill>
          <bgColor rgb="FFB6D7A8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A4C2F4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93C47D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F6B26B"/>
        </patternFill>
      </fill>
    </dxf>
    <dxf>
      <font>
        <b/>
        <sz val="10"/>
        <color rgb="FFFFFFFF"/>
        <name val="Noto Sans CJK SC"/>
        <charset val="1"/>
      </font>
      <fill>
        <patternFill>
          <bgColor rgb="FFE06666"/>
        </patternFill>
      </fill>
    </dxf>
    <dxf>
      <font>
        <i/>
        <strike/>
        <sz val="10"/>
        <color rgb="FFCC0000"/>
        <name val="メイリオ"/>
        <charset val="1"/>
      </font>
      <fill>
        <patternFill>
          <bgColor rgb="FFEEEEEE"/>
        </patternFill>
      </fill>
    </dxf>
    <dxf>
      <font>
        <strike/>
        <sz val="10"/>
        <color rgb="FF888888"/>
        <name val="メイリオ"/>
        <charset val="1"/>
      </font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  <dxf>
      <fill>
        <patternFill>
          <bgColor rgb="FFFAE9EF"/>
        </patternFill>
      </fill>
    </dxf>
    <dxf>
      <fill>
        <patternFill>
          <bgColor rgb="FFE9E2EF"/>
        </patternFill>
      </fill>
    </dxf>
    <dxf>
      <fill>
        <patternFill>
          <bgColor rgb="FFF1E0CC"/>
        </patternFill>
      </fill>
    </dxf>
    <dxf>
      <fill>
        <patternFill>
          <bgColor rgb="FFFAEAD7"/>
        </patternFill>
      </fill>
    </dxf>
    <dxf>
      <fill>
        <patternFill>
          <bgColor rgb="FFEAF3DF"/>
        </patternFill>
      </fill>
    </dxf>
    <dxf>
      <fill>
        <patternFill>
          <bgColor rgb="FFE7EE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EAF3DF"/>
      <rgbColor rgb="FF0000FF"/>
      <rgbColor rgb="FFFEF2CB"/>
      <rgbColor rgb="FFFF00FF"/>
      <rgbColor rgb="FFE2EFDA"/>
      <rgbColor rgb="FFC00000"/>
      <rgbColor rgb="FFFAEAD7"/>
      <rgbColor rgb="FF000080"/>
      <rgbColor rgb="FFF8D7DA"/>
      <rgbColor rgb="FF800080"/>
      <rgbColor rgb="FFEEEEEE"/>
      <rgbColor rgb="FFB6D7A8"/>
      <rgbColor rgb="FF888888"/>
      <rgbColor rgb="FF6FA8DC"/>
      <rgbColor rgb="FFFCE5CD"/>
      <rgbColor rgb="FFFFFFCC"/>
      <rgbColor rgb="FFE3F0FB"/>
      <rgbColor rgb="FF660066"/>
      <rgbColor rgb="FFE06666"/>
      <rgbColor rgb="FFFAE9EF"/>
      <rgbColor rgb="FFCFE2F3"/>
      <rgbColor rgb="FF000080"/>
      <rgbColor rgb="FFFF00FF"/>
      <rgbColor rgb="FFFFF2CC"/>
      <rgbColor rgb="FFE7EEF5"/>
      <rgbColor rgb="FF800080"/>
      <rgbColor rgb="FF800000"/>
      <rgbColor rgb="FFFCE4E4"/>
      <rgbColor rgb="FF0000FF"/>
      <rgbColor rgb="FFD9E1F2"/>
      <rgbColor rgb="FFDEEAF6"/>
      <rgbColor rgb="FFC6EFCE"/>
      <rgbColor rgb="FFFFE699"/>
      <rgbColor rgb="FFA4C2F4"/>
      <rgbColor rgb="FFF6B26B"/>
      <rgbColor rgb="FFD5A6BD"/>
      <rgbColor rgb="FFF4CCCC"/>
      <rgbColor rgb="FFE9E2EF"/>
      <rgbColor rgb="FFD9D9D9"/>
      <rgbColor rgb="FF93C47D"/>
      <rgbColor rgb="FFF1E0CC"/>
      <rgbColor rgb="FFE69138"/>
      <rgbColor rgb="FFEAD1DC"/>
      <rgbColor rgb="FF666666"/>
      <rgbColor rgb="FF8E7CC3"/>
      <rgbColor rgb="FF1F4E78"/>
      <rgbColor rgb="FFD9EAD3"/>
      <rgbColor rgb="FF003300"/>
      <rgbColor rgb="FF333300"/>
      <rgbColor rgb="FFB45F06"/>
      <rgbColor rgb="FFFCE4D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zoomScaleNormal="100" workbookViewId="0">
      <selection sqref="A1:I1"/>
    </sheetView>
  </sheetViews>
  <sheetFormatPr defaultColWidth="8.7109375" defaultRowHeight="15"/>
  <cols>
    <col min="1" max="1" width="10" customWidth="1"/>
    <col min="2" max="2" width="24" customWidth="1"/>
    <col min="3" max="3" width="30" customWidth="1"/>
  </cols>
  <sheetData>
    <row r="1" spans="1:9" ht="31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3" spans="1:9" ht="15" customHeight="1">
      <c r="A3" s="13" t="s">
        <v>1</v>
      </c>
      <c r="B3" s="13"/>
      <c r="C3" s="13"/>
      <c r="D3" s="13"/>
      <c r="E3" s="13"/>
      <c r="F3" s="13"/>
      <c r="G3" s="13"/>
      <c r="H3" s="13"/>
      <c r="I3" s="13"/>
    </row>
    <row r="5" spans="1:9" ht="15" customHeight="1">
      <c r="A5" s="15" t="s">
        <v>2</v>
      </c>
      <c r="B5" s="15" t="s">
        <v>3</v>
      </c>
      <c r="C5" s="12" t="s">
        <v>4</v>
      </c>
      <c r="D5" s="12"/>
      <c r="E5" s="12"/>
      <c r="F5" s="12"/>
      <c r="G5" s="12"/>
      <c r="H5" s="12"/>
      <c r="I5" s="12"/>
    </row>
    <row r="6" spans="1:9" ht="15" customHeight="1">
      <c r="A6" s="16" t="s">
        <v>5</v>
      </c>
      <c r="B6" s="17" t="s">
        <v>6</v>
      </c>
      <c r="C6" s="11" t="s">
        <v>7</v>
      </c>
      <c r="D6" s="11"/>
      <c r="E6" s="11"/>
      <c r="F6" s="11"/>
      <c r="G6" s="11"/>
      <c r="H6" s="11"/>
      <c r="I6" s="11"/>
    </row>
    <row r="7" spans="1:9" ht="15" customHeight="1">
      <c r="A7" s="16" t="s">
        <v>5</v>
      </c>
      <c r="B7" s="17" t="s">
        <v>8</v>
      </c>
      <c r="C7" s="11" t="s">
        <v>9</v>
      </c>
      <c r="D7" s="11"/>
      <c r="E7" s="11"/>
      <c r="F7" s="11"/>
      <c r="G7" s="11"/>
      <c r="H7" s="11"/>
      <c r="I7" s="11"/>
    </row>
    <row r="8" spans="1:9" ht="15" customHeight="1">
      <c r="A8" s="16" t="s">
        <v>10</v>
      </c>
      <c r="B8" s="17" t="s">
        <v>11</v>
      </c>
      <c r="C8" s="10" t="s">
        <v>12</v>
      </c>
      <c r="D8" s="10"/>
      <c r="E8" s="10"/>
      <c r="F8" s="10"/>
      <c r="G8" s="10"/>
      <c r="H8" s="10"/>
      <c r="I8" s="10"/>
    </row>
    <row r="9" spans="1:9" ht="15" customHeight="1">
      <c r="A9" s="16" t="s">
        <v>10</v>
      </c>
      <c r="B9" s="17" t="s">
        <v>13</v>
      </c>
      <c r="C9" s="10" t="s">
        <v>14</v>
      </c>
      <c r="D9" s="10"/>
      <c r="E9" s="10"/>
      <c r="F9" s="10"/>
      <c r="G9" s="10"/>
      <c r="H9" s="10"/>
      <c r="I9" s="10"/>
    </row>
    <row r="10" spans="1:9" ht="15" customHeight="1">
      <c r="A10" s="16" t="s">
        <v>10</v>
      </c>
      <c r="B10" s="17" t="s">
        <v>15</v>
      </c>
      <c r="C10" s="11" t="s">
        <v>16</v>
      </c>
      <c r="D10" s="11"/>
      <c r="E10" s="11"/>
      <c r="F10" s="11"/>
      <c r="G10" s="11"/>
      <c r="H10" s="11"/>
      <c r="I10" s="11"/>
    </row>
    <row r="11" spans="1:9" ht="15" customHeight="1">
      <c r="A11" s="16" t="s">
        <v>17</v>
      </c>
      <c r="B11" s="17" t="s">
        <v>18</v>
      </c>
      <c r="C11" s="10" t="s">
        <v>19</v>
      </c>
      <c r="D11" s="10"/>
      <c r="E11" s="10"/>
      <c r="F11" s="10"/>
      <c r="G11" s="10"/>
      <c r="H11" s="10"/>
      <c r="I11" s="10"/>
    </row>
    <row r="12" spans="1:9" ht="15" customHeight="1">
      <c r="A12" s="16" t="s">
        <v>17</v>
      </c>
      <c r="B12" s="17" t="s">
        <v>20</v>
      </c>
      <c r="C12" s="10" t="s">
        <v>21</v>
      </c>
      <c r="D12" s="10"/>
      <c r="E12" s="10"/>
      <c r="F12" s="10"/>
      <c r="G12" s="10"/>
      <c r="H12" s="10"/>
      <c r="I12" s="10"/>
    </row>
    <row r="13" spans="1:9" ht="15" customHeight="1">
      <c r="A13" s="16" t="s">
        <v>17</v>
      </c>
      <c r="B13" s="17" t="s">
        <v>22</v>
      </c>
      <c r="C13" s="11" t="s">
        <v>23</v>
      </c>
      <c r="D13" s="11"/>
      <c r="E13" s="11"/>
      <c r="F13" s="11"/>
      <c r="G13" s="11"/>
      <c r="H13" s="11"/>
      <c r="I13" s="11"/>
    </row>
    <row r="14" spans="1:9" ht="15" customHeight="1">
      <c r="A14" s="16" t="s">
        <v>24</v>
      </c>
      <c r="B14" s="17" t="s">
        <v>25</v>
      </c>
      <c r="C14" s="10" t="s">
        <v>26</v>
      </c>
      <c r="D14" s="10"/>
      <c r="E14" s="10"/>
      <c r="F14" s="10"/>
      <c r="G14" s="10"/>
      <c r="H14" s="10"/>
      <c r="I14" s="10"/>
    </row>
    <row r="15" spans="1:9" ht="15" customHeight="1">
      <c r="A15" s="16" t="s">
        <v>27</v>
      </c>
      <c r="B15" s="17" t="s">
        <v>28</v>
      </c>
      <c r="C15" s="10" t="s">
        <v>29</v>
      </c>
      <c r="D15" s="10"/>
      <c r="E15" s="10"/>
      <c r="F15" s="10"/>
      <c r="G15" s="10"/>
      <c r="H15" s="10"/>
      <c r="I15" s="10"/>
    </row>
    <row r="16" spans="1:9" ht="15" customHeight="1">
      <c r="A16" s="16" t="s">
        <v>30</v>
      </c>
      <c r="B16" s="17" t="s">
        <v>31</v>
      </c>
      <c r="C16" s="10" t="s">
        <v>32</v>
      </c>
      <c r="D16" s="10"/>
      <c r="E16" s="10"/>
      <c r="F16" s="10"/>
      <c r="G16" s="10"/>
      <c r="H16" s="10"/>
      <c r="I16" s="10"/>
    </row>
    <row r="18" spans="1:9" ht="15" customHeight="1">
      <c r="A18" s="9" t="s">
        <v>33</v>
      </c>
      <c r="B18" s="9"/>
      <c r="C18" s="9"/>
      <c r="D18" s="9"/>
      <c r="E18" s="9"/>
      <c r="F18" s="9"/>
      <c r="G18" s="9"/>
      <c r="H18" s="9"/>
      <c r="I18" s="9"/>
    </row>
    <row r="20" spans="1:9" ht="15" customHeight="1">
      <c r="A20" s="8" t="s">
        <v>34</v>
      </c>
      <c r="B20" s="8"/>
      <c r="C20" s="8"/>
      <c r="D20" s="8"/>
      <c r="E20" s="8"/>
      <c r="F20" s="8"/>
      <c r="G20" s="8"/>
      <c r="H20" s="8"/>
      <c r="I20" s="8"/>
    </row>
    <row r="21" spans="1:9" ht="15" customHeight="1">
      <c r="A21" s="8" t="s">
        <v>35</v>
      </c>
      <c r="B21" s="8"/>
      <c r="C21" s="8"/>
      <c r="D21" s="8"/>
      <c r="E21" s="8"/>
      <c r="F21" s="8"/>
      <c r="G21" s="8"/>
      <c r="H21" s="8"/>
      <c r="I21" s="8"/>
    </row>
    <row r="22" spans="1:9" ht="15" customHeight="1">
      <c r="A22" s="8" t="s">
        <v>36</v>
      </c>
      <c r="B22" s="8"/>
      <c r="C22" s="8"/>
      <c r="D22" s="8"/>
      <c r="E22" s="8"/>
      <c r="F22" s="8"/>
      <c r="G22" s="8"/>
      <c r="H22" s="8"/>
      <c r="I22" s="8"/>
    </row>
    <row r="23" spans="1:9" ht="15" customHeight="1">
      <c r="A23" s="8" t="s">
        <v>37</v>
      </c>
      <c r="B23" s="8"/>
      <c r="C23" s="8"/>
      <c r="D23" s="8"/>
      <c r="E23" s="8"/>
      <c r="F23" s="8"/>
      <c r="G23" s="8"/>
      <c r="H23" s="8"/>
      <c r="I23" s="8"/>
    </row>
    <row r="24" spans="1:9" ht="15" customHeight="1">
      <c r="A24" s="8" t="s">
        <v>38</v>
      </c>
      <c r="B24" s="8"/>
      <c r="C24" s="8"/>
      <c r="D24" s="8"/>
      <c r="E24" s="8"/>
      <c r="F24" s="8"/>
      <c r="G24" s="8"/>
      <c r="H24" s="8"/>
      <c r="I24" s="8"/>
    </row>
    <row r="25" spans="1:9" ht="15" customHeight="1">
      <c r="A25" s="8" t="s">
        <v>39</v>
      </c>
      <c r="B25" s="8"/>
      <c r="C25" s="8"/>
      <c r="D25" s="8"/>
      <c r="E25" s="8"/>
      <c r="F25" s="8"/>
      <c r="G25" s="8"/>
      <c r="H25" s="8"/>
      <c r="I25" s="8"/>
    </row>
  </sheetData>
  <mergeCells count="21">
    <mergeCell ref="A25:I25"/>
    <mergeCell ref="A20:I20"/>
    <mergeCell ref="A21:I21"/>
    <mergeCell ref="A22:I22"/>
    <mergeCell ref="A23:I23"/>
    <mergeCell ref="A24:I24"/>
    <mergeCell ref="C13:I13"/>
    <mergeCell ref="C14:I14"/>
    <mergeCell ref="C15:I15"/>
    <mergeCell ref="C16:I16"/>
    <mergeCell ref="A18:I18"/>
    <mergeCell ref="C8:I8"/>
    <mergeCell ref="C9:I9"/>
    <mergeCell ref="C10:I10"/>
    <mergeCell ref="C11:I11"/>
    <mergeCell ref="C12:I12"/>
    <mergeCell ref="A1:I1"/>
    <mergeCell ref="A3:I3"/>
    <mergeCell ref="C5:I5"/>
    <mergeCell ref="C6:I6"/>
    <mergeCell ref="C7:I7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Normal="100" workbookViewId="0">
      <pane ySplit="5" topLeftCell="A6" activePane="bottomLeft" state="frozen"/>
      <selection pane="bottomLeft" sqref="A1:H1"/>
    </sheetView>
  </sheetViews>
  <sheetFormatPr defaultColWidth="8.7109375" defaultRowHeight="15"/>
  <cols>
    <col min="1" max="1" width="16" customWidth="1"/>
    <col min="2" max="4" width="18" customWidth="1"/>
    <col min="5" max="6" width="20" customWidth="1"/>
    <col min="7" max="7" width="22" customWidth="1"/>
  </cols>
  <sheetData>
    <row r="1" spans="1:8" ht="31.5" customHeight="1">
      <c r="A1" s="14" t="s">
        <v>40</v>
      </c>
      <c r="B1" s="14"/>
      <c r="C1" s="14"/>
      <c r="D1" s="14"/>
      <c r="E1" s="14"/>
      <c r="F1" s="14"/>
      <c r="G1" s="14"/>
      <c r="H1" s="14"/>
    </row>
    <row r="2" spans="1:8" ht="15" customHeight="1">
      <c r="A2" s="7" t="s">
        <v>41</v>
      </c>
      <c r="B2" s="7"/>
      <c r="C2" s="7"/>
      <c r="D2" s="7"/>
      <c r="E2" s="7"/>
      <c r="F2" s="7"/>
      <c r="G2" s="7"/>
      <c r="H2" s="7"/>
    </row>
    <row r="4" spans="1:8" ht="15" customHeight="1">
      <c r="A4" s="13" t="s">
        <v>42</v>
      </c>
      <c r="B4" s="13"/>
      <c r="C4" s="13"/>
      <c r="D4" s="13"/>
      <c r="E4" s="13"/>
      <c r="F4" s="13"/>
      <c r="G4" s="13"/>
      <c r="H4" s="13"/>
    </row>
    <row r="5" spans="1:8" ht="15" customHeight="1">
      <c r="A5" s="15" t="s">
        <v>43</v>
      </c>
      <c r="B5" s="15" t="s">
        <v>44</v>
      </c>
      <c r="C5" s="15" t="s">
        <v>45</v>
      </c>
      <c r="D5" s="15" t="s">
        <v>46</v>
      </c>
      <c r="E5" s="15" t="s">
        <v>47</v>
      </c>
      <c r="F5" s="15" t="s">
        <v>48</v>
      </c>
      <c r="G5" s="15" t="s">
        <v>49</v>
      </c>
    </row>
    <row r="6" spans="1:8" ht="15" customHeight="1">
      <c r="A6" s="19" t="s">
        <v>50</v>
      </c>
      <c r="B6" s="20">
        <f>日次_レジデンス!B37+日次_リゾート!B37+日次_モーテル!B37+日次_ザック!B37+日次_ワールド・レイ!B37+日次_ココ・ユニバース!B37</f>
        <v>45366180.649999999</v>
      </c>
      <c r="C6" s="20">
        <f>日次_レジデンス!C37+日次_リゾート!C37+日次_モーテル!C37+日次_ザック!C37+日次_ワールド・レイ!C37+日次_ココ・ユニバース!C37</f>
        <v>48481617</v>
      </c>
      <c r="D6" s="20">
        <f>日次_レジデンス!D37+日次_リゾート!D37+日次_モーテル!D37+日次_ザック!D37+日次_ワールド・レイ!D37+日次_ココ・ユニバース!D37</f>
        <v>-8385436.3500000006</v>
      </c>
      <c r="E6" s="20">
        <f>日次_レジデンス!E37+日次_リゾート!E37+日次_モーテル!E37+日次_ザック!E37+日次_ワールド・レイ!E37+日次_ココ・ユニバース!E37</f>
        <v>-8385436.3500000006</v>
      </c>
      <c r="F6" s="21">
        <f>日次_レジデンス!F37+日次_リゾート!F37+日次_モーテル!F37+日次_ザック!F37+日次_ワールド・レイ!F37+日次_ココ・ユニバース!F37</f>
        <v>5270000</v>
      </c>
      <c r="G6" s="22">
        <f>日次_レジデンス!G37+日次_リゾート!G37+日次_モーテル!G37+日次_ザック!G37+日次_ワールド・レイ!G37+日次_ココ・ユニバース!G37</f>
        <v>-3115436.350000001</v>
      </c>
    </row>
    <row r="7" spans="1:8" ht="15" customHeight="1">
      <c r="A7" s="19" t="s">
        <v>51</v>
      </c>
      <c r="B7" s="20">
        <f>日次_レジデンス!B70+日次_リゾート!B70+日次_モーテル!B70+日次_ザック!B70+日次_ワールド・レイ!B70+日次_ココ・ユニバース!B70</f>
        <v>34253665.700000003</v>
      </c>
      <c r="C7" s="20">
        <f>日次_レジデンス!C70+日次_リゾート!C70+日次_モーテル!C70+日次_ザック!C70+日次_ワールド・レイ!C70+日次_ココ・ユニバース!C70</f>
        <v>39932206</v>
      </c>
      <c r="D7" s="20">
        <f>日次_レジデンス!D70+日次_リゾート!D70+日次_モーテル!D70+日次_ザック!D70+日次_ワールド・レイ!D70+日次_ココ・ユニバース!D70</f>
        <v>-5678540.2999999998</v>
      </c>
      <c r="E7" s="20">
        <f>日次_レジデンス!E70+日次_リゾート!E70+日次_モーテル!E70+日次_ザック!E70+日次_ワールド・レイ!E70+日次_ココ・ユニバース!E70</f>
        <v>-14063976.65</v>
      </c>
      <c r="F7" s="21">
        <f>日次_レジデンス!F70+日次_リゾート!F70+日次_モーテル!F70+日次_ザック!F70+日次_ワールド・レイ!F70+日次_ココ・ユニバース!F70</f>
        <v>0</v>
      </c>
      <c r="G7" s="22">
        <f>日次_レジデンス!G70+日次_リゾート!G70+日次_モーテル!G70+日次_ザック!G70+日次_ワールド・レイ!G70+日次_ココ・ユニバース!G70</f>
        <v>-8793976.6500000004</v>
      </c>
    </row>
    <row r="8" spans="1:8" ht="15" customHeight="1">
      <c r="A8" s="19" t="s">
        <v>52</v>
      </c>
      <c r="B8" s="20">
        <f>日次_レジデンス!B104+日次_リゾート!B104+日次_モーテル!B104+日次_ザック!B104+日次_ワールド・レイ!B104+日次_ココ・ユニバース!B104</f>
        <v>30777994.350000001</v>
      </c>
      <c r="C8" s="20">
        <f>日次_レジデンス!C104+日次_リゾート!C104+日次_モーテル!C104+日次_ザック!C104+日次_ワールド・レイ!C104+日次_ココ・ユニバース!C104</f>
        <v>37223663</v>
      </c>
      <c r="D8" s="20">
        <f>日次_レジデンス!D104+日次_リゾート!D104+日次_モーテル!D104+日次_ザック!D104+日次_ワールド・レイ!D104+日次_ココ・ユニバース!D104</f>
        <v>-6445668.6499999985</v>
      </c>
      <c r="E8" s="20">
        <f>日次_レジデンス!E104+日次_リゾート!E104+日次_モーテル!E104+日次_ザック!E104+日次_ワールド・レイ!E104+日次_ココ・ユニバース!E104</f>
        <v>-20509645.300000001</v>
      </c>
      <c r="F8" s="21">
        <f>日次_レジデンス!F104+日次_リゾート!F104+日次_モーテル!F104+日次_ザック!F104+日次_ワールド・レイ!F104+日次_ココ・ユニバース!F104</f>
        <v>0</v>
      </c>
      <c r="G8" s="22">
        <f>日次_レジデンス!G104+日次_リゾート!G104+日次_モーテル!G104+日次_ザック!G104+日次_ワールド・レイ!G104+日次_ココ・ユニバース!G104</f>
        <v>-15239645.300000001</v>
      </c>
    </row>
    <row r="9" spans="1:8" ht="15" customHeight="1">
      <c r="A9" s="19" t="s">
        <v>53</v>
      </c>
      <c r="B9" s="20">
        <f>日次_レジデンス!B138+日次_リゾート!B138+日次_モーテル!B138+日次_ザック!B138+日次_ワールド・レイ!B138+日次_ココ・ユニバース!B138</f>
        <v>39570607.200000003</v>
      </c>
      <c r="C9" s="20">
        <f>日次_レジデンス!C138+日次_リゾート!C138+日次_モーテル!C138+日次_ザック!C138+日次_ワールド・レイ!C138+日次_ココ・ユニバース!C138</f>
        <v>38086901</v>
      </c>
      <c r="D9" s="20">
        <f>日次_レジデンス!D138+日次_リゾート!D138+日次_モーテル!D138+日次_ザック!D138+日次_ワールド・レイ!D138+日次_ココ・ユニバース!D138</f>
        <v>1483706.1999999993</v>
      </c>
      <c r="E9" s="20">
        <f>日次_レジデンス!E138+日次_リゾート!E138+日次_モーテル!E138+日次_ザック!E138+日次_ワールド・レイ!E138+日次_ココ・ユニバース!E138</f>
        <v>-19025939.099999998</v>
      </c>
      <c r="F9" s="21">
        <f>日次_レジデンス!F138+日次_リゾート!F138+日次_モーテル!F138+日次_ザック!F138+日次_ワールド・レイ!F138+日次_ココ・ユニバース!F138</f>
        <v>0</v>
      </c>
      <c r="G9" s="22">
        <f>日次_レジデンス!G138+日次_リゾート!G138+日次_モーテル!G138+日次_ザック!G138+日次_ワールド・レイ!G138+日次_ココ・ユニバース!G138</f>
        <v>-13755939.099999998</v>
      </c>
    </row>
    <row r="10" spans="1:8" ht="15" customHeight="1">
      <c r="A10" s="23" t="s">
        <v>54</v>
      </c>
      <c r="B10" s="24">
        <f>SUM(B6:B9)</f>
        <v>149968447.89999998</v>
      </c>
      <c r="C10" s="24">
        <f>SUM(C6:C9)</f>
        <v>163724387</v>
      </c>
      <c r="D10" s="24">
        <f>SUM(D6:D9)</f>
        <v>-19025939.099999998</v>
      </c>
      <c r="E10" s="24">
        <f>E9</f>
        <v>-19025939.099999998</v>
      </c>
      <c r="F10" s="24">
        <f>SUM(F6:F9)</f>
        <v>5270000</v>
      </c>
      <c r="G10" s="24">
        <f>G9</f>
        <v>-13755939.099999998</v>
      </c>
    </row>
  </sheetData>
  <mergeCells count="3">
    <mergeCell ref="A1:H1"/>
    <mergeCell ref="A2:H2"/>
    <mergeCell ref="A4:H4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2" width="12" customWidth="1"/>
    <col min="3" max="5" width="16" customWidth="1"/>
    <col min="6" max="8" width="18" customWidth="1"/>
  </cols>
  <sheetData>
    <row r="1" spans="1:8" ht="27.75" customHeight="1">
      <c r="A1" s="14" t="s">
        <v>55</v>
      </c>
      <c r="B1" s="14"/>
      <c r="C1" s="14"/>
      <c r="D1" s="14"/>
      <c r="E1" s="14"/>
      <c r="F1" s="14"/>
      <c r="G1" s="14"/>
      <c r="H1" s="14"/>
    </row>
    <row r="3" spans="1:8" ht="23.25" customHeight="1">
      <c r="A3" s="15" t="s">
        <v>56</v>
      </c>
      <c r="B3" s="15" t="s">
        <v>43</v>
      </c>
      <c r="C3" s="15" t="s">
        <v>44</v>
      </c>
      <c r="D3" s="15" t="s">
        <v>45</v>
      </c>
      <c r="E3" s="15" t="s">
        <v>46</v>
      </c>
      <c r="F3" s="15" t="s">
        <v>47</v>
      </c>
      <c r="G3" s="15" t="s">
        <v>48</v>
      </c>
      <c r="H3" s="15" t="s">
        <v>49</v>
      </c>
    </row>
    <row r="4" spans="1:8" ht="15" customHeight="1">
      <c r="A4" s="25" t="s">
        <v>57</v>
      </c>
      <c r="B4" s="19" t="s">
        <v>50</v>
      </c>
      <c r="C4" s="20">
        <f>日次_レジデンス!B37</f>
        <v>9692753</v>
      </c>
      <c r="D4" s="20">
        <f>日次_レジデンス!C37</f>
        <v>6684291</v>
      </c>
      <c r="E4" s="20">
        <f>日次_レジデンス!D37</f>
        <v>3008462</v>
      </c>
      <c r="F4" s="20">
        <f>日次_レジデンス!E37</f>
        <v>3008462</v>
      </c>
      <c r="G4" s="21">
        <f>日次_レジデンス!F37</f>
        <v>0</v>
      </c>
      <c r="H4" s="22">
        <f>日次_レジデンス!G37</f>
        <v>3008462</v>
      </c>
    </row>
    <row r="5" spans="1:8" ht="15" customHeight="1">
      <c r="A5" s="25" t="s">
        <v>57</v>
      </c>
      <c r="B5" s="19" t="s">
        <v>51</v>
      </c>
      <c r="C5" s="20">
        <f>日次_レジデンス!B70</f>
        <v>0</v>
      </c>
      <c r="D5" s="20">
        <f>日次_レジデンス!C70</f>
        <v>6177138</v>
      </c>
      <c r="E5" s="20">
        <f>日次_レジデンス!D70</f>
        <v>-6177138</v>
      </c>
      <c r="F5" s="20">
        <f>日次_レジデンス!E70</f>
        <v>-3168676</v>
      </c>
      <c r="G5" s="21">
        <f>日次_レジデンス!F70</f>
        <v>0</v>
      </c>
      <c r="H5" s="22">
        <f>日次_レジデンス!G70</f>
        <v>-3168676</v>
      </c>
    </row>
    <row r="6" spans="1:8" ht="15" customHeight="1">
      <c r="A6" s="25" t="s">
        <v>57</v>
      </c>
      <c r="B6" s="19" t="s">
        <v>52</v>
      </c>
      <c r="C6" s="20">
        <f>日次_レジデンス!B104</f>
        <v>0</v>
      </c>
      <c r="D6" s="20">
        <f>日次_レジデンス!C104</f>
        <v>6177138</v>
      </c>
      <c r="E6" s="20">
        <f>日次_レジデンス!D104</f>
        <v>-6177138</v>
      </c>
      <c r="F6" s="20">
        <f>日次_レジデンス!E104</f>
        <v>-9345814</v>
      </c>
      <c r="G6" s="21">
        <f>日次_レジデンス!F104</f>
        <v>0</v>
      </c>
      <c r="H6" s="22">
        <f>日次_レジデンス!G104</f>
        <v>-9345814</v>
      </c>
    </row>
    <row r="7" spans="1:8" ht="15" customHeight="1">
      <c r="A7" s="25" t="s">
        <v>57</v>
      </c>
      <c r="B7" s="19" t="s">
        <v>53</v>
      </c>
      <c r="C7" s="20">
        <f>日次_レジデンス!B138</f>
        <v>0</v>
      </c>
      <c r="D7" s="20">
        <f>日次_レジデンス!C138</f>
        <v>6177138</v>
      </c>
      <c r="E7" s="20">
        <f>日次_レジデンス!D138</f>
        <v>-6177138</v>
      </c>
      <c r="F7" s="20">
        <f>日次_レジデンス!E138</f>
        <v>-15522952</v>
      </c>
      <c r="G7" s="21">
        <f>日次_レジデンス!F138</f>
        <v>0</v>
      </c>
      <c r="H7" s="22">
        <f>日次_レジデンス!G138</f>
        <v>-15522952</v>
      </c>
    </row>
    <row r="8" spans="1:8" ht="15" customHeight="1">
      <c r="A8" s="26" t="s">
        <v>57</v>
      </c>
      <c r="B8" s="23" t="s">
        <v>54</v>
      </c>
      <c r="C8" s="24">
        <f>SUM(C4:C7)</f>
        <v>9692753</v>
      </c>
      <c r="D8" s="24">
        <f>SUM(D4:D7)</f>
        <v>25215705</v>
      </c>
      <c r="E8" s="24">
        <f>SUM(E4:E7)</f>
        <v>-15522952</v>
      </c>
      <c r="F8" s="24">
        <f>F7</f>
        <v>-15522952</v>
      </c>
      <c r="G8" s="24">
        <f>SUM(G4:G7)</f>
        <v>0</v>
      </c>
      <c r="H8" s="24">
        <f>H7</f>
        <v>-15522952</v>
      </c>
    </row>
    <row r="10" spans="1:8" ht="15" customHeight="1">
      <c r="A10" s="27" t="s">
        <v>58</v>
      </c>
      <c r="B10" s="19" t="s">
        <v>50</v>
      </c>
      <c r="C10" s="20">
        <f>日次_リゾート!B37</f>
        <v>24503947.949999999</v>
      </c>
      <c r="D10" s="20">
        <f>日次_リゾート!C37</f>
        <v>34253022</v>
      </c>
      <c r="E10" s="20">
        <f>日次_リゾート!D37</f>
        <v>-15019074.050000001</v>
      </c>
      <c r="F10" s="20">
        <f>日次_リゾート!E37</f>
        <v>-15019074.050000001</v>
      </c>
      <c r="G10" s="21">
        <f>日次_リゾート!F37</f>
        <v>5270000</v>
      </c>
      <c r="H10" s="22">
        <f>日次_リゾート!G37</f>
        <v>-9749074.0500000007</v>
      </c>
    </row>
    <row r="11" spans="1:8" ht="15" customHeight="1">
      <c r="A11" s="27" t="s">
        <v>58</v>
      </c>
      <c r="B11" s="19" t="s">
        <v>51</v>
      </c>
      <c r="C11" s="20">
        <f>日次_リゾート!B70</f>
        <v>25595863.5</v>
      </c>
      <c r="D11" s="20">
        <f>日次_リゾート!C70</f>
        <v>30740710</v>
      </c>
      <c r="E11" s="20">
        <f>日次_リゾート!D70</f>
        <v>-5144846.5</v>
      </c>
      <c r="F11" s="20">
        <f>日次_リゾート!E70</f>
        <v>-20163920.550000001</v>
      </c>
      <c r="G11" s="21">
        <f>日次_リゾート!F70</f>
        <v>0</v>
      </c>
      <c r="H11" s="22">
        <f>日次_リゾート!G70</f>
        <v>-14893920.550000001</v>
      </c>
    </row>
    <row r="12" spans="1:8" ht="15" customHeight="1">
      <c r="A12" s="27" t="s">
        <v>58</v>
      </c>
      <c r="B12" s="19" t="s">
        <v>52</v>
      </c>
      <c r="C12" s="20">
        <f>日次_リゾート!B104</f>
        <v>23257258.800000001</v>
      </c>
      <c r="D12" s="20">
        <f>日次_リゾート!C104</f>
        <v>28032167</v>
      </c>
      <c r="E12" s="20">
        <f>日次_リゾート!D104</f>
        <v>-4774908.1999999993</v>
      </c>
      <c r="F12" s="20">
        <f>日次_リゾート!E104</f>
        <v>-24938828.75</v>
      </c>
      <c r="G12" s="21">
        <f>日次_リゾート!F104</f>
        <v>0</v>
      </c>
      <c r="H12" s="22">
        <f>日次_リゾート!G104</f>
        <v>-19668828.75</v>
      </c>
    </row>
    <row r="13" spans="1:8" ht="15" customHeight="1">
      <c r="A13" s="27" t="s">
        <v>58</v>
      </c>
      <c r="B13" s="19" t="s">
        <v>53</v>
      </c>
      <c r="C13" s="20">
        <f>日次_リゾート!B138</f>
        <v>30710595.199999999</v>
      </c>
      <c r="D13" s="20">
        <f>日次_リゾート!C138</f>
        <v>29167405</v>
      </c>
      <c r="E13" s="20">
        <f>日次_リゾート!D138</f>
        <v>1543190.1999999993</v>
      </c>
      <c r="F13" s="20">
        <f>日次_リゾート!E138</f>
        <v>-23395638.550000001</v>
      </c>
      <c r="G13" s="21">
        <f>日次_リゾート!F138</f>
        <v>0</v>
      </c>
      <c r="H13" s="22">
        <f>日次_リゾート!G138</f>
        <v>-18125638.550000001</v>
      </c>
    </row>
    <row r="14" spans="1:8" ht="15" customHeight="1">
      <c r="A14" s="26" t="s">
        <v>58</v>
      </c>
      <c r="B14" s="23" t="s">
        <v>54</v>
      </c>
      <c r="C14" s="24">
        <f>SUM(C10:C13)</f>
        <v>104067665.45</v>
      </c>
      <c r="D14" s="24">
        <f>SUM(D10:D13)</f>
        <v>122193304</v>
      </c>
      <c r="E14" s="24">
        <f>SUM(E10:E13)</f>
        <v>-23395638.550000001</v>
      </c>
      <c r="F14" s="24">
        <f>F13</f>
        <v>-23395638.550000001</v>
      </c>
      <c r="G14" s="24">
        <f>SUM(G10:G13)</f>
        <v>5270000</v>
      </c>
      <c r="H14" s="24">
        <f>H13</f>
        <v>-18125638.550000001</v>
      </c>
    </row>
    <row r="16" spans="1:8" ht="15" customHeight="1">
      <c r="A16" s="28" t="s">
        <v>59</v>
      </c>
      <c r="B16" s="19" t="s">
        <v>50</v>
      </c>
      <c r="C16" s="20">
        <f>日次_モーテル!B37</f>
        <v>8046038.2999999998</v>
      </c>
      <c r="D16" s="20">
        <f>日次_モーテル!C37</f>
        <v>1998914</v>
      </c>
      <c r="E16" s="20">
        <f>日次_モーテル!D37</f>
        <v>6047124.2999999998</v>
      </c>
      <c r="F16" s="20">
        <f>日次_モーテル!E37</f>
        <v>6047124.2999999998</v>
      </c>
      <c r="G16" s="21">
        <f>日次_モーテル!F37</f>
        <v>0</v>
      </c>
      <c r="H16" s="22">
        <f>日次_モーテル!G37</f>
        <v>6047124.2999999998</v>
      </c>
    </row>
    <row r="17" spans="1:8" ht="15" customHeight="1">
      <c r="A17" s="28" t="s">
        <v>59</v>
      </c>
      <c r="B17" s="19" t="s">
        <v>51</v>
      </c>
      <c r="C17" s="20">
        <f>日次_モーテル!B70</f>
        <v>4753795.2</v>
      </c>
      <c r="D17" s="20">
        <f>日次_モーテル!C70</f>
        <v>185173</v>
      </c>
      <c r="E17" s="20">
        <f>日次_モーテル!D70</f>
        <v>4568622.2</v>
      </c>
      <c r="F17" s="20">
        <f>日次_モーテル!E70</f>
        <v>10615746.5</v>
      </c>
      <c r="G17" s="21">
        <f>日次_モーテル!F70</f>
        <v>0</v>
      </c>
      <c r="H17" s="22">
        <f>日次_モーテル!G70</f>
        <v>10615746.5</v>
      </c>
    </row>
    <row r="18" spans="1:8" ht="15" customHeight="1">
      <c r="A18" s="28" t="s">
        <v>59</v>
      </c>
      <c r="B18" s="19" t="s">
        <v>52</v>
      </c>
      <c r="C18" s="20">
        <f>日次_モーテル!B104</f>
        <v>3640307.95</v>
      </c>
      <c r="D18" s="20">
        <f>日次_モーテル!C104</f>
        <v>185173</v>
      </c>
      <c r="E18" s="20">
        <f>日次_モーテル!D104</f>
        <v>3455134.95</v>
      </c>
      <c r="F18" s="20">
        <f>日次_モーテル!E104</f>
        <v>14070881.449999999</v>
      </c>
      <c r="G18" s="21">
        <f>日次_モーテル!F104</f>
        <v>0</v>
      </c>
      <c r="H18" s="22">
        <f>日次_モーテル!G104</f>
        <v>14070881.449999999</v>
      </c>
    </row>
    <row r="19" spans="1:8" ht="15" customHeight="1">
      <c r="A19" s="28" t="s">
        <v>59</v>
      </c>
      <c r="B19" s="19" t="s">
        <v>53</v>
      </c>
      <c r="C19" s="20">
        <f>日次_モーテル!B138</f>
        <v>4983212</v>
      </c>
      <c r="D19" s="20">
        <f>日次_モーテル!C138</f>
        <v>185173</v>
      </c>
      <c r="E19" s="20">
        <f>日次_モーテル!D138</f>
        <v>4798039</v>
      </c>
      <c r="F19" s="20">
        <f>日次_モーテル!E138</f>
        <v>18868920.449999999</v>
      </c>
      <c r="G19" s="21">
        <f>日次_モーテル!F138</f>
        <v>0</v>
      </c>
      <c r="H19" s="22">
        <f>日次_モーテル!G138</f>
        <v>18868920.449999999</v>
      </c>
    </row>
    <row r="20" spans="1:8" ht="15" customHeight="1">
      <c r="A20" s="26" t="s">
        <v>59</v>
      </c>
      <c r="B20" s="23" t="s">
        <v>54</v>
      </c>
      <c r="C20" s="24">
        <f>SUM(C16:C19)</f>
        <v>21423353.449999999</v>
      </c>
      <c r="D20" s="24">
        <f>SUM(D16:D19)</f>
        <v>2554433</v>
      </c>
      <c r="E20" s="24">
        <f>SUM(E16:E19)</f>
        <v>18868920.449999999</v>
      </c>
      <c r="F20" s="24">
        <f>F19</f>
        <v>18868920.449999999</v>
      </c>
      <c r="G20" s="24">
        <f>SUM(G16:G19)</f>
        <v>0</v>
      </c>
      <c r="H20" s="24">
        <f>H19</f>
        <v>18868920.449999999</v>
      </c>
    </row>
    <row r="22" spans="1:8" ht="15" customHeight="1">
      <c r="A22" s="29" t="s">
        <v>60</v>
      </c>
      <c r="B22" s="19" t="s">
        <v>50</v>
      </c>
      <c r="C22" s="20">
        <f>日次_ザック!B37</f>
        <v>5441.4</v>
      </c>
      <c r="D22" s="20">
        <f>日次_ザック!C37</f>
        <v>278050</v>
      </c>
      <c r="E22" s="20">
        <f>日次_ザック!D37</f>
        <v>-272608.59999999998</v>
      </c>
      <c r="F22" s="20">
        <f>日次_ザック!E37</f>
        <v>-272608.59999999998</v>
      </c>
      <c r="G22" s="21">
        <f>日次_ザック!F37</f>
        <v>0</v>
      </c>
      <c r="H22" s="22">
        <f>日次_ザック!G37</f>
        <v>-272608.59999999998</v>
      </c>
    </row>
    <row r="23" spans="1:8" ht="15" customHeight="1">
      <c r="A23" s="29" t="s">
        <v>60</v>
      </c>
      <c r="B23" s="19" t="s">
        <v>51</v>
      </c>
      <c r="C23" s="20">
        <f>日次_ザック!B70</f>
        <v>27207</v>
      </c>
      <c r="D23" s="20">
        <f>日次_ザック!C70</f>
        <v>272000</v>
      </c>
      <c r="E23" s="20">
        <f>日次_ザック!D70</f>
        <v>-244793</v>
      </c>
      <c r="F23" s="20">
        <f>日次_ザック!E70</f>
        <v>-517401.59999999998</v>
      </c>
      <c r="G23" s="21">
        <f>日次_ザック!F70</f>
        <v>0</v>
      </c>
      <c r="H23" s="22">
        <f>日次_ザック!G70</f>
        <v>-517401.59999999998</v>
      </c>
    </row>
    <row r="24" spans="1:8" ht="15" customHeight="1">
      <c r="A24" s="29" t="s">
        <v>60</v>
      </c>
      <c r="B24" s="19" t="s">
        <v>52</v>
      </c>
      <c r="C24" s="20">
        <f>日次_ザック!B104</f>
        <v>3627.6</v>
      </c>
      <c r="D24" s="20">
        <f>日次_ザック!C104</f>
        <v>272000</v>
      </c>
      <c r="E24" s="20">
        <f>日次_ザック!D104</f>
        <v>-268372.40000000002</v>
      </c>
      <c r="F24" s="20">
        <f>日次_ザック!E104</f>
        <v>-785774</v>
      </c>
      <c r="G24" s="21">
        <f>日次_ザック!F104</f>
        <v>0</v>
      </c>
      <c r="H24" s="22">
        <f>日次_ザック!G104</f>
        <v>-785774</v>
      </c>
    </row>
    <row r="25" spans="1:8" ht="15" customHeight="1">
      <c r="A25" s="29" t="s">
        <v>60</v>
      </c>
      <c r="B25" s="19" t="s">
        <v>53</v>
      </c>
      <c r="C25" s="20">
        <f>日次_ザック!B138</f>
        <v>0</v>
      </c>
      <c r="D25" s="20">
        <f>日次_ザック!C138</f>
        <v>0</v>
      </c>
      <c r="E25" s="20">
        <f>日次_ザック!D138</f>
        <v>0</v>
      </c>
      <c r="F25" s="20">
        <f>日次_ザック!E138</f>
        <v>-785774</v>
      </c>
      <c r="G25" s="21">
        <f>日次_ザック!F138</f>
        <v>0</v>
      </c>
      <c r="H25" s="22">
        <f>日次_ザック!G138</f>
        <v>-785774</v>
      </c>
    </row>
    <row r="26" spans="1:8" ht="15" customHeight="1">
      <c r="A26" s="26" t="s">
        <v>60</v>
      </c>
      <c r="B26" s="23" t="s">
        <v>54</v>
      </c>
      <c r="C26" s="24">
        <f>SUM(C22:C25)</f>
        <v>36276</v>
      </c>
      <c r="D26" s="24">
        <f>SUM(D22:D25)</f>
        <v>822050</v>
      </c>
      <c r="E26" s="24">
        <f>SUM(E22:E25)</f>
        <v>-785774</v>
      </c>
      <c r="F26" s="24">
        <f>F25</f>
        <v>-785774</v>
      </c>
      <c r="G26" s="24">
        <f>SUM(G22:G25)</f>
        <v>0</v>
      </c>
      <c r="H26" s="24">
        <f>H25</f>
        <v>-785774</v>
      </c>
    </row>
    <row r="28" spans="1:8" ht="15" customHeight="1">
      <c r="A28" s="30" t="s">
        <v>61</v>
      </c>
      <c r="B28" s="19" t="s">
        <v>50</v>
      </c>
      <c r="C28" s="20">
        <f>日次_ワールド・レイ!B37</f>
        <v>863000</v>
      </c>
      <c r="D28" s="20">
        <f>日次_ワールド・レイ!C37</f>
        <v>2163774</v>
      </c>
      <c r="E28" s="20">
        <f>日次_ワールド・レイ!D37</f>
        <v>-1300774</v>
      </c>
      <c r="F28" s="20">
        <f>日次_ワールド・レイ!E37</f>
        <v>-1300774</v>
      </c>
      <c r="G28" s="21">
        <f>日次_ワールド・レイ!F37</f>
        <v>0</v>
      </c>
      <c r="H28" s="22">
        <f>日次_ワールド・レイ!G37</f>
        <v>-1300774</v>
      </c>
    </row>
    <row r="29" spans="1:8" ht="15" customHeight="1">
      <c r="A29" s="30" t="s">
        <v>61</v>
      </c>
      <c r="B29" s="19" t="s">
        <v>51</v>
      </c>
      <c r="C29" s="20">
        <f>日次_ワールド・レイ!B70</f>
        <v>300000</v>
      </c>
      <c r="D29" s="20">
        <f>日次_ワールド・レイ!C70</f>
        <v>1441937</v>
      </c>
      <c r="E29" s="20">
        <f>日次_ワールド・レイ!D70</f>
        <v>-1141937</v>
      </c>
      <c r="F29" s="20">
        <f>日次_ワールド・レイ!E70</f>
        <v>-2442711</v>
      </c>
      <c r="G29" s="21">
        <f>日次_ワールド・レイ!F70</f>
        <v>0</v>
      </c>
      <c r="H29" s="22">
        <f>日次_ワールド・レイ!G70</f>
        <v>-2442711</v>
      </c>
    </row>
    <row r="30" spans="1:8" ht="15" customHeight="1">
      <c r="A30" s="30" t="s">
        <v>61</v>
      </c>
      <c r="B30" s="19" t="s">
        <v>52</v>
      </c>
      <c r="C30" s="20">
        <f>日次_ワールド・レイ!B104</f>
        <v>300000</v>
      </c>
      <c r="D30" s="20">
        <f>日次_ワールド・レイ!C104</f>
        <v>1441937</v>
      </c>
      <c r="E30" s="20">
        <f>日次_ワールド・レイ!D104</f>
        <v>-1141937</v>
      </c>
      <c r="F30" s="20">
        <f>日次_ワールド・レイ!E104</f>
        <v>-3584648</v>
      </c>
      <c r="G30" s="21">
        <f>日次_ワールド・レイ!F104</f>
        <v>0</v>
      </c>
      <c r="H30" s="22">
        <f>日次_ワールド・レイ!G104</f>
        <v>-3584648</v>
      </c>
    </row>
    <row r="31" spans="1:8" ht="15" customHeight="1">
      <c r="A31" s="30" t="s">
        <v>61</v>
      </c>
      <c r="B31" s="19" t="s">
        <v>53</v>
      </c>
      <c r="C31" s="20">
        <f>日次_ワールド・レイ!B138</f>
        <v>300000</v>
      </c>
      <c r="D31" s="20">
        <f>日次_ワールド・レイ!C138</f>
        <v>1441937</v>
      </c>
      <c r="E31" s="20">
        <f>日次_ワールド・レイ!D138</f>
        <v>-1141937</v>
      </c>
      <c r="F31" s="20">
        <f>日次_ワールド・レイ!E138</f>
        <v>-4726585</v>
      </c>
      <c r="G31" s="21">
        <f>日次_ワールド・レイ!F138</f>
        <v>0</v>
      </c>
      <c r="H31" s="22">
        <f>日次_ワールド・レイ!G138</f>
        <v>-4726585</v>
      </c>
    </row>
    <row r="32" spans="1:8" ht="27.75" customHeight="1">
      <c r="A32" s="26" t="s">
        <v>61</v>
      </c>
      <c r="B32" s="23" t="s">
        <v>54</v>
      </c>
      <c r="C32" s="24">
        <f>SUM(C28:C31)</f>
        <v>1763000</v>
      </c>
      <c r="D32" s="24">
        <f>SUM(D28:D31)</f>
        <v>6489585</v>
      </c>
      <c r="E32" s="24">
        <f>SUM(E28:E31)</f>
        <v>-4726585</v>
      </c>
      <c r="F32" s="24">
        <f>F31</f>
        <v>-4726585</v>
      </c>
      <c r="G32" s="24">
        <f>SUM(G28:G31)</f>
        <v>0</v>
      </c>
      <c r="H32" s="24">
        <f>H31</f>
        <v>-4726585</v>
      </c>
    </row>
    <row r="34" spans="1:8" ht="23.25" customHeight="1">
      <c r="A34" s="31" t="s">
        <v>62</v>
      </c>
      <c r="B34" s="19" t="s">
        <v>50</v>
      </c>
      <c r="C34" s="20">
        <f>日次_ココ・ユニバース!B37</f>
        <v>2255000</v>
      </c>
      <c r="D34" s="20">
        <f>日次_ココ・ユニバース!C37</f>
        <v>3103566</v>
      </c>
      <c r="E34" s="20">
        <f>日次_ココ・ユニバース!D37</f>
        <v>-848566</v>
      </c>
      <c r="F34" s="20">
        <f>日次_ココ・ユニバース!E37</f>
        <v>-848566</v>
      </c>
      <c r="G34" s="21">
        <f>日次_ココ・ユニバース!F37</f>
        <v>0</v>
      </c>
      <c r="H34" s="22">
        <f>日次_ココ・ユニバース!G37</f>
        <v>-848566</v>
      </c>
    </row>
    <row r="35" spans="1:8" ht="23.25" customHeight="1">
      <c r="A35" s="31" t="s">
        <v>62</v>
      </c>
      <c r="B35" s="19" t="s">
        <v>51</v>
      </c>
      <c r="C35" s="20">
        <f>日次_ココ・ユニバース!B70</f>
        <v>3576800</v>
      </c>
      <c r="D35" s="20">
        <f>日次_ココ・ユニバース!C70</f>
        <v>1115248</v>
      </c>
      <c r="E35" s="20">
        <f>日次_ココ・ユニバース!D70</f>
        <v>2461552</v>
      </c>
      <c r="F35" s="20">
        <f>日次_ココ・ユニバース!E70</f>
        <v>1612986</v>
      </c>
      <c r="G35" s="21">
        <f>日次_ココ・ユニバース!F70</f>
        <v>0</v>
      </c>
      <c r="H35" s="22">
        <f>日次_ココ・ユニバース!G70</f>
        <v>1612986</v>
      </c>
    </row>
    <row r="36" spans="1:8" ht="23.25" customHeight="1">
      <c r="A36" s="31" t="s">
        <v>62</v>
      </c>
      <c r="B36" s="19" t="s">
        <v>52</v>
      </c>
      <c r="C36" s="20">
        <f>日次_ココ・ユニバース!B104</f>
        <v>3576800</v>
      </c>
      <c r="D36" s="20">
        <f>日次_ココ・ユニバース!C104</f>
        <v>1115248</v>
      </c>
      <c r="E36" s="20">
        <f>日次_ココ・ユニバース!D104</f>
        <v>2461552</v>
      </c>
      <c r="F36" s="20">
        <f>日次_ココ・ユニバース!E104</f>
        <v>4074538</v>
      </c>
      <c r="G36" s="21">
        <f>日次_ココ・ユニバース!F104</f>
        <v>0</v>
      </c>
      <c r="H36" s="22">
        <f>日次_ココ・ユニバース!G104</f>
        <v>4074538</v>
      </c>
    </row>
    <row r="37" spans="1:8" ht="23.25" customHeight="1">
      <c r="A37" s="31" t="s">
        <v>62</v>
      </c>
      <c r="B37" s="19" t="s">
        <v>53</v>
      </c>
      <c r="C37" s="20">
        <f>日次_ココ・ユニバース!B138</f>
        <v>3576800</v>
      </c>
      <c r="D37" s="20">
        <f>日次_ココ・ユニバース!C138</f>
        <v>1115248</v>
      </c>
      <c r="E37" s="20">
        <f>日次_ココ・ユニバース!D138</f>
        <v>2461552</v>
      </c>
      <c r="F37" s="20">
        <f>日次_ココ・ユニバース!E138</f>
        <v>6536090</v>
      </c>
      <c r="G37" s="21">
        <f>日次_ココ・ユニバース!F138</f>
        <v>0</v>
      </c>
      <c r="H37" s="22">
        <f>日次_ココ・ユニバース!G138</f>
        <v>6536090</v>
      </c>
    </row>
    <row r="38" spans="1:8" ht="27.75" customHeight="1">
      <c r="A38" s="26" t="s">
        <v>62</v>
      </c>
      <c r="B38" s="23" t="s">
        <v>54</v>
      </c>
      <c r="C38" s="24">
        <f>SUM(C34:C37)</f>
        <v>12985400</v>
      </c>
      <c r="D38" s="24">
        <f>SUM(D34:D37)</f>
        <v>6449310</v>
      </c>
      <c r="E38" s="24">
        <f>SUM(E34:E37)</f>
        <v>6536090</v>
      </c>
      <c r="F38" s="24">
        <f>F37</f>
        <v>6536090</v>
      </c>
      <c r="G38" s="24">
        <f>SUM(G34:G37)</f>
        <v>0</v>
      </c>
      <c r="H38" s="24">
        <f>H37</f>
        <v>6536090</v>
      </c>
    </row>
    <row r="40" spans="1:8" ht="15" customHeight="1">
      <c r="A40" s="6" t="s">
        <v>63</v>
      </c>
      <c r="B40" s="6"/>
      <c r="C40" s="24">
        <f>SUM(C4:C7)+SUM(C10:C13)+SUM(C16:C19)+SUM(C22:C25)+SUM(C28:C31)+SUM(C34:C37)</f>
        <v>149968447.90000001</v>
      </c>
      <c r="D40" s="24">
        <f>SUM(D4:D7)+SUM(D10:D13)+SUM(D16:D19)+SUM(D22:D25)+SUM(D28:D31)+SUM(D34:D37)</f>
        <v>163724387</v>
      </c>
      <c r="E40" s="24">
        <f>SUM(E4:E7)+SUM(E10:E13)+SUM(E16:E19)+SUM(E22:E25)+SUM(E28:E31)+SUM(E34:E37)</f>
        <v>-19025939.099999998</v>
      </c>
      <c r="F40" s="24"/>
      <c r="G40" s="24">
        <f>SUM(G4:G7)+SUM(G10:G13)+SUM(G16:G19)+SUM(G22:G25)+SUM(G28:G31)+SUM(G34:G37)</f>
        <v>5270000</v>
      </c>
      <c r="H40" s="24"/>
    </row>
  </sheetData>
  <mergeCells count="2">
    <mergeCell ref="A1:H1"/>
    <mergeCell ref="A40:B40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zoomScaleNormal="100" workbookViewId="0">
      <pane ySplit="5" topLeftCell="A12" activePane="bottomLeft" state="frozen"/>
      <selection pane="bottomLeft" sqref="A1:H1"/>
    </sheetView>
  </sheetViews>
  <sheetFormatPr defaultColWidth="8.7109375" defaultRowHeight="15"/>
  <cols>
    <col min="1" max="1" width="6" customWidth="1"/>
    <col min="2" max="2" width="14" customWidth="1"/>
    <col min="3" max="3" width="12" customWidth="1"/>
    <col min="4" max="4" width="44.140625" bestFit="1" customWidth="1"/>
    <col min="5" max="5" width="16" customWidth="1"/>
    <col min="6" max="6" width="10" customWidth="1"/>
    <col min="7" max="7" width="18" customWidth="1"/>
    <col min="8" max="8" width="14" customWidth="1"/>
  </cols>
  <sheetData>
    <row r="1" spans="1:8" ht="31.5" customHeight="1">
      <c r="A1" s="14" t="s">
        <v>64</v>
      </c>
      <c r="B1" s="14"/>
      <c r="C1" s="14"/>
      <c r="D1" s="14"/>
      <c r="E1" s="14"/>
      <c r="F1" s="14"/>
      <c r="G1" s="14"/>
      <c r="H1" s="14"/>
    </row>
    <row r="2" spans="1:8" ht="15" customHeight="1">
      <c r="A2" s="5" t="s">
        <v>65</v>
      </c>
      <c r="B2" s="5"/>
      <c r="C2" s="5"/>
      <c r="D2" s="5"/>
      <c r="E2" s="5"/>
      <c r="F2" s="5"/>
      <c r="G2" s="5"/>
      <c r="H2" s="5"/>
    </row>
    <row r="4" spans="1:8" ht="15" customHeight="1">
      <c r="A4" s="4" t="s">
        <v>66</v>
      </c>
      <c r="B4" s="4"/>
      <c r="C4" s="4"/>
      <c r="D4" s="4"/>
      <c r="E4" s="4"/>
      <c r="F4" s="4"/>
      <c r="G4" s="4"/>
      <c r="H4" s="4"/>
    </row>
    <row r="5" spans="1:8" ht="23.25" customHeight="1">
      <c r="A5" s="15" t="s">
        <v>43</v>
      </c>
      <c r="B5" s="15" t="s">
        <v>67</v>
      </c>
      <c r="C5" s="15" t="s">
        <v>68</v>
      </c>
      <c r="D5" s="15" t="s">
        <v>69</v>
      </c>
      <c r="E5" s="15" t="s">
        <v>70</v>
      </c>
      <c r="F5" s="15" t="s">
        <v>71</v>
      </c>
      <c r="G5" s="15" t="s">
        <v>72</v>
      </c>
      <c r="H5" s="15" t="s">
        <v>73</v>
      </c>
    </row>
    <row r="6" spans="1:8" ht="15" customHeight="1">
      <c r="A6" s="19" t="s">
        <v>50</v>
      </c>
      <c r="B6" s="20">
        <f>全社合算サマリー!B6</f>
        <v>45366180.649999999</v>
      </c>
      <c r="C6" s="20">
        <f>全社合算サマリー!C6</f>
        <v>48481617</v>
      </c>
      <c r="D6" s="20">
        <f>B6-C6</f>
        <v>-3115436.3500000015</v>
      </c>
      <c r="E6" s="20">
        <f>全社合算サマリー!E6</f>
        <v>-8385436.3500000006</v>
      </c>
      <c r="F6" s="20">
        <f>全社合算サマリー!F6</f>
        <v>5270000</v>
      </c>
      <c r="G6" s="32">
        <f>全社合算サマリー!G6</f>
        <v>-3115436.350000001</v>
      </c>
      <c r="H6" s="33" t="str">
        <f>IF(G6&gt;=10000000,"◎ 余裕",IF(G6&gt;=0,"○ 適正",IF(G6&gt;=-5000000,"△ 注意","✕ 資金不足")))</f>
        <v>△ 注意</v>
      </c>
    </row>
    <row r="7" spans="1:8" ht="15" customHeight="1">
      <c r="A7" s="19" t="s">
        <v>51</v>
      </c>
      <c r="B7" s="20">
        <f>全社合算サマリー!B7</f>
        <v>34253665.700000003</v>
      </c>
      <c r="C7" s="20">
        <f>全社合算サマリー!C7</f>
        <v>39932206</v>
      </c>
      <c r="D7" s="20">
        <f>B7-C7</f>
        <v>-5678540.299999997</v>
      </c>
      <c r="E7" s="20">
        <f>全社合算サマリー!E7</f>
        <v>-14063976.65</v>
      </c>
      <c r="F7" s="20">
        <f>全社合算サマリー!F7</f>
        <v>0</v>
      </c>
      <c r="G7" s="32">
        <f>全社合算サマリー!G7</f>
        <v>-8793976.6500000004</v>
      </c>
      <c r="H7" s="33" t="str">
        <f>IF(G7&gt;=10000000,"◎ 余裕",IF(G7&gt;=0,"○ 適正",IF(G7&gt;=-5000000,"△ 注意","✕ 資金不足")))</f>
        <v>✕ 資金不足</v>
      </c>
    </row>
    <row r="8" spans="1:8" ht="15" customHeight="1">
      <c r="A8" s="19" t="s">
        <v>52</v>
      </c>
      <c r="B8" s="20">
        <f>全社合算サマリー!B8</f>
        <v>30777994.350000001</v>
      </c>
      <c r="C8" s="20">
        <f>全社合算サマリー!C8</f>
        <v>37223663</v>
      </c>
      <c r="D8" s="20">
        <f>B8-C8</f>
        <v>-6445668.6499999985</v>
      </c>
      <c r="E8" s="20">
        <f>全社合算サマリー!E8</f>
        <v>-20509645.300000001</v>
      </c>
      <c r="F8" s="20">
        <f>全社合算サマリー!F8</f>
        <v>0</v>
      </c>
      <c r="G8" s="32">
        <f>全社合算サマリー!G8</f>
        <v>-15239645.300000001</v>
      </c>
      <c r="H8" s="33" t="str">
        <f>IF(G8&gt;=10000000,"◎ 余裕",IF(G8&gt;=0,"○ 適正",IF(G8&gt;=-5000000,"△ 注意","✕ 資金不足")))</f>
        <v>✕ 資金不足</v>
      </c>
    </row>
    <row r="9" spans="1:8" ht="15" customHeight="1">
      <c r="A9" s="19" t="s">
        <v>53</v>
      </c>
      <c r="B9" s="20">
        <f>全社合算サマリー!B9</f>
        <v>39570607.200000003</v>
      </c>
      <c r="C9" s="20">
        <f>全社合算サマリー!C9</f>
        <v>38086901</v>
      </c>
      <c r="D9" s="20">
        <f>B9-C9</f>
        <v>1483706.200000003</v>
      </c>
      <c r="E9" s="20">
        <f>全社合算サマリー!E9</f>
        <v>-19025939.099999998</v>
      </c>
      <c r="F9" s="20">
        <f>全社合算サマリー!F9</f>
        <v>0</v>
      </c>
      <c r="G9" s="32">
        <f>全社合算サマリー!G9</f>
        <v>-13755939.099999998</v>
      </c>
      <c r="H9" s="33" t="str">
        <f>IF(G9&gt;=10000000,"◎ 余裕",IF(G9&gt;=0,"○ 適正",IF(G9&gt;=-5000000,"△ 注意","✕ 資金不足")))</f>
        <v>✕ 資金不足</v>
      </c>
    </row>
    <row r="11" spans="1:8" ht="15" customHeight="1">
      <c r="A11" s="9" t="s">
        <v>74</v>
      </c>
      <c r="B11" s="9"/>
      <c r="C11" s="9"/>
      <c r="D11" s="9"/>
      <c r="E11" s="9"/>
      <c r="F11" s="9"/>
      <c r="G11" s="9"/>
      <c r="H11" s="9"/>
    </row>
    <row r="12" spans="1:8" ht="15" customHeight="1">
      <c r="A12" s="34" t="s">
        <v>75</v>
      </c>
      <c r="B12" s="15" t="s">
        <v>56</v>
      </c>
      <c r="C12" s="15" t="s">
        <v>76</v>
      </c>
      <c r="D12" s="15" t="s">
        <v>77</v>
      </c>
      <c r="E12" s="15" t="s">
        <v>78</v>
      </c>
      <c r="F12" s="15" t="s">
        <v>79</v>
      </c>
      <c r="G12" s="15" t="s">
        <v>80</v>
      </c>
      <c r="H12" s="15" t="s">
        <v>81</v>
      </c>
    </row>
    <row r="13" spans="1:8" ht="15" customHeight="1">
      <c r="A13" s="35">
        <v>1</v>
      </c>
      <c r="B13" s="16" t="s">
        <v>58</v>
      </c>
      <c r="C13" s="16" t="s">
        <v>58</v>
      </c>
      <c r="D13" s="18" t="s">
        <v>82</v>
      </c>
      <c r="E13" s="20">
        <v>801900</v>
      </c>
      <c r="F13" s="36" t="s">
        <v>83</v>
      </c>
      <c r="G13" s="32">
        <f>E13</f>
        <v>801900</v>
      </c>
      <c r="H13" s="33" t="str">
        <f>IF(G13&lt;=$G9,"○ 支払可能","✕ 不足")</f>
        <v>✕ 不足</v>
      </c>
    </row>
    <row r="14" spans="1:8" ht="15" customHeight="1">
      <c r="A14" s="35">
        <v>2</v>
      </c>
      <c r="B14" s="16" t="s">
        <v>58</v>
      </c>
      <c r="C14" s="16" t="s">
        <v>58</v>
      </c>
      <c r="D14" s="18" t="s">
        <v>84</v>
      </c>
      <c r="E14" s="20">
        <v>488840</v>
      </c>
      <c r="F14" s="36" t="s">
        <v>83</v>
      </c>
      <c r="G14" s="32">
        <f t="shared" ref="G14:G33" si="0">G13+E14</f>
        <v>1290740</v>
      </c>
      <c r="H14" s="33" t="str">
        <f>IF(G14&lt;=$G9,"○ 支払可能","✕ 不足")</f>
        <v>✕ 不足</v>
      </c>
    </row>
    <row r="15" spans="1:8" ht="15" customHeight="1">
      <c r="A15" s="35">
        <v>3</v>
      </c>
      <c r="B15" s="16" t="s">
        <v>58</v>
      </c>
      <c r="C15" s="16" t="s">
        <v>58</v>
      </c>
      <c r="D15" s="18" t="s">
        <v>85</v>
      </c>
      <c r="E15" s="20">
        <v>187000</v>
      </c>
      <c r="F15" s="36" t="s">
        <v>83</v>
      </c>
      <c r="G15" s="32">
        <f t="shared" si="0"/>
        <v>1477740</v>
      </c>
      <c r="H15" s="33" t="str">
        <f>IF(G15&lt;=$G9,"○ 支払可能","✕ 不足")</f>
        <v>✕ 不足</v>
      </c>
    </row>
    <row r="16" spans="1:8" ht="15" customHeight="1">
      <c r="A16" s="37">
        <v>4</v>
      </c>
      <c r="B16" s="16" t="s">
        <v>58</v>
      </c>
      <c r="C16" s="16" t="s">
        <v>58</v>
      </c>
      <c r="D16" s="18" t="s">
        <v>86</v>
      </c>
      <c r="E16" s="38">
        <v>187000</v>
      </c>
      <c r="F16" s="36" t="s">
        <v>83</v>
      </c>
      <c r="G16" s="32">
        <f t="shared" si="0"/>
        <v>1664740</v>
      </c>
      <c r="H16" s="23" t="str">
        <f>IF(G16&lt;=$G9,"○ 支払可能","✕ 不足")</f>
        <v>✕ 不足</v>
      </c>
    </row>
    <row r="17" spans="1:8" ht="15" customHeight="1">
      <c r="A17" s="35">
        <v>5</v>
      </c>
      <c r="B17" s="16" t="s">
        <v>57</v>
      </c>
      <c r="C17" s="16" t="s">
        <v>57</v>
      </c>
      <c r="D17" s="18" t="s">
        <v>87</v>
      </c>
      <c r="E17" s="20">
        <v>132000</v>
      </c>
      <c r="F17" s="36" t="s">
        <v>83</v>
      </c>
      <c r="G17" s="32">
        <f t="shared" si="0"/>
        <v>1796740</v>
      </c>
      <c r="H17" s="33" t="str">
        <f>IF(G17&lt;=$G9,"○ 支払可能","✕ 不足")</f>
        <v>✕ 不足</v>
      </c>
    </row>
    <row r="18" spans="1:8" ht="15" customHeight="1">
      <c r="A18" s="39">
        <v>6</v>
      </c>
      <c r="B18" s="16" t="s">
        <v>58</v>
      </c>
      <c r="C18" s="16" t="s">
        <v>88</v>
      </c>
      <c r="D18" s="18" t="s">
        <v>89</v>
      </c>
      <c r="E18" s="20">
        <v>124300</v>
      </c>
      <c r="F18" s="36" t="s">
        <v>83</v>
      </c>
      <c r="G18" s="32">
        <f t="shared" si="0"/>
        <v>1921040</v>
      </c>
      <c r="H18" s="33" t="str">
        <f>IF(G18&lt;=$G9,"○ 支払可能","✕ 不足")</f>
        <v>✕ 不足</v>
      </c>
    </row>
    <row r="19" spans="1:8" ht="23.25" customHeight="1">
      <c r="A19" s="35">
        <v>7</v>
      </c>
      <c r="B19" s="16" t="s">
        <v>58</v>
      </c>
      <c r="C19" s="16" t="s">
        <v>58</v>
      </c>
      <c r="D19" s="18" t="s">
        <v>90</v>
      </c>
      <c r="E19" s="20">
        <v>110000</v>
      </c>
      <c r="F19" s="36" t="s">
        <v>83</v>
      </c>
      <c r="G19" s="32">
        <f t="shared" si="0"/>
        <v>2031040</v>
      </c>
      <c r="H19" s="33" t="str">
        <f>IF(G19&lt;=$G9,"○ 支払可能","✕ 不足")</f>
        <v>✕ 不足</v>
      </c>
    </row>
    <row r="20" spans="1:8" ht="15" customHeight="1">
      <c r="A20" s="35">
        <v>8</v>
      </c>
      <c r="B20" s="40" t="s">
        <v>58</v>
      </c>
      <c r="C20" s="16" t="s">
        <v>58</v>
      </c>
      <c r="D20" s="18" t="s">
        <v>91</v>
      </c>
      <c r="E20" s="20">
        <v>92400</v>
      </c>
      <c r="F20" s="36" t="s">
        <v>83</v>
      </c>
      <c r="G20" s="32">
        <f t="shared" si="0"/>
        <v>2123440</v>
      </c>
      <c r="H20" s="33" t="str">
        <f>IF(G20&lt;=$G9,"○ 支払可能","✕ 不足")</f>
        <v>✕ 不足</v>
      </c>
    </row>
    <row r="21" spans="1:8" ht="15" customHeight="1">
      <c r="A21" s="35">
        <v>9</v>
      </c>
      <c r="B21" s="40" t="s">
        <v>58</v>
      </c>
      <c r="C21" s="16" t="s">
        <v>58</v>
      </c>
      <c r="D21" s="18" t="s">
        <v>92</v>
      </c>
      <c r="E21" s="20">
        <v>88000</v>
      </c>
      <c r="F21" s="36" t="s">
        <v>83</v>
      </c>
      <c r="G21" s="32">
        <f t="shared" si="0"/>
        <v>2211440</v>
      </c>
      <c r="H21" s="33" t="str">
        <f>IF(G21&lt;=$G9,"○ 支払可能","✕ 不足")</f>
        <v>✕ 不足</v>
      </c>
    </row>
    <row r="22" spans="1:8" ht="15" customHeight="1">
      <c r="A22" s="35">
        <v>10</v>
      </c>
      <c r="B22" s="40" t="s">
        <v>58</v>
      </c>
      <c r="C22" s="16" t="s">
        <v>58</v>
      </c>
      <c r="D22" s="18" t="s">
        <v>93</v>
      </c>
      <c r="E22" s="20">
        <v>70400</v>
      </c>
      <c r="F22" s="36" t="s">
        <v>83</v>
      </c>
      <c r="G22" s="32">
        <f t="shared" si="0"/>
        <v>2281840</v>
      </c>
      <c r="H22" s="33" t="str">
        <f>IF(G22&lt;=$G9,"○ 支払可能","✕ 不足")</f>
        <v>✕ 不足</v>
      </c>
    </row>
    <row r="23" spans="1:8" ht="15" customHeight="1">
      <c r="A23" s="35">
        <v>11</v>
      </c>
      <c r="B23" s="40" t="s">
        <v>58</v>
      </c>
      <c r="C23" s="16" t="s">
        <v>58</v>
      </c>
      <c r="D23" s="18" t="s">
        <v>94</v>
      </c>
      <c r="E23" s="20">
        <v>66000</v>
      </c>
      <c r="F23" s="36" t="s">
        <v>83</v>
      </c>
      <c r="G23" s="32">
        <f t="shared" si="0"/>
        <v>2347840</v>
      </c>
      <c r="H23" s="33" t="str">
        <f>IF(G23&lt;=$G9,"○ 支払可能","✕ 不足")</f>
        <v>✕ 不足</v>
      </c>
    </row>
    <row r="24" spans="1:8" ht="15" customHeight="1">
      <c r="A24" s="35">
        <v>12</v>
      </c>
      <c r="B24" s="16" t="s">
        <v>58</v>
      </c>
      <c r="C24" s="16" t="s">
        <v>58</v>
      </c>
      <c r="D24" s="18" t="s">
        <v>95</v>
      </c>
      <c r="E24" s="20">
        <v>486420</v>
      </c>
      <c r="F24" s="41" t="s">
        <v>96</v>
      </c>
      <c r="G24" s="32">
        <f t="shared" si="0"/>
        <v>2834260</v>
      </c>
      <c r="H24" s="33" t="str">
        <f>IF(G24&lt;=$G9,"○ 支払可能","✕ 不足")</f>
        <v>✕ 不足</v>
      </c>
    </row>
    <row r="25" spans="1:8" ht="15" customHeight="1">
      <c r="A25" s="35">
        <v>13</v>
      </c>
      <c r="B25" s="16" t="s">
        <v>58</v>
      </c>
      <c r="C25" s="42" t="s">
        <v>58</v>
      </c>
      <c r="D25" s="18" t="s">
        <v>87</v>
      </c>
      <c r="E25" s="20">
        <v>264000</v>
      </c>
      <c r="F25" s="41" t="s">
        <v>96</v>
      </c>
      <c r="G25" s="32">
        <f t="shared" si="0"/>
        <v>3098260</v>
      </c>
      <c r="H25" s="33" t="str">
        <f>IF(G25&lt;=$G9,"○ 支払可能","✕ 不足")</f>
        <v>✕ 不足</v>
      </c>
    </row>
    <row r="26" spans="1:8" ht="23.25" customHeight="1">
      <c r="A26" s="35">
        <v>14</v>
      </c>
      <c r="B26" s="16" t="s">
        <v>58</v>
      </c>
      <c r="C26" s="16" t="s">
        <v>58</v>
      </c>
      <c r="D26" s="18" t="s">
        <v>97</v>
      </c>
      <c r="E26" s="20">
        <v>92495</v>
      </c>
      <c r="F26" s="41" t="s">
        <v>96</v>
      </c>
      <c r="G26" s="32">
        <f t="shared" si="0"/>
        <v>3190755</v>
      </c>
      <c r="H26" s="33" t="str">
        <f>IF(G26&lt;=$G9,"○ 支払可能","✕ 不足")</f>
        <v>✕ 不足</v>
      </c>
    </row>
    <row r="27" spans="1:8" ht="23.25" customHeight="1">
      <c r="A27" s="35">
        <v>15</v>
      </c>
      <c r="B27" s="16" t="s">
        <v>58</v>
      </c>
      <c r="C27" s="16" t="s">
        <v>58</v>
      </c>
      <c r="D27" s="18" t="s">
        <v>97</v>
      </c>
      <c r="E27" s="20">
        <v>48540</v>
      </c>
      <c r="F27" s="41" t="s">
        <v>96</v>
      </c>
      <c r="G27" s="32">
        <f t="shared" si="0"/>
        <v>3239295</v>
      </c>
      <c r="H27" s="33" t="str">
        <f>IF(G27&lt;=$G9,"○ 支払可能","✕ 不足")</f>
        <v>✕ 不足</v>
      </c>
    </row>
    <row r="28" spans="1:8" ht="15" customHeight="1">
      <c r="A28" s="35">
        <v>16</v>
      </c>
      <c r="B28" s="16" t="s">
        <v>59</v>
      </c>
      <c r="C28" s="16" t="s">
        <v>59</v>
      </c>
      <c r="D28" s="18" t="s">
        <v>98</v>
      </c>
      <c r="E28" s="20">
        <v>25651</v>
      </c>
      <c r="F28" s="41" t="s">
        <v>96</v>
      </c>
      <c r="G28" s="32">
        <f t="shared" si="0"/>
        <v>3264946</v>
      </c>
      <c r="H28" s="33" t="str">
        <f>IF(G28&lt;=$G9,"○ 支払可能","✕ 不足")</f>
        <v>✕ 不足</v>
      </c>
    </row>
    <row r="29" spans="1:8" ht="15" customHeight="1">
      <c r="A29" s="35">
        <v>17</v>
      </c>
      <c r="B29" s="16" t="s">
        <v>58</v>
      </c>
      <c r="C29" s="16" t="s">
        <v>58</v>
      </c>
      <c r="D29" s="18" t="s">
        <v>99</v>
      </c>
      <c r="E29" s="20">
        <v>24486</v>
      </c>
      <c r="F29" s="41" t="s">
        <v>96</v>
      </c>
      <c r="G29" s="32">
        <f t="shared" si="0"/>
        <v>3289432</v>
      </c>
      <c r="H29" s="33" t="str">
        <f>IF(G29&lt;=$G9,"○ 支払可能","✕ 不足")</f>
        <v>✕ 不足</v>
      </c>
    </row>
    <row r="30" spans="1:8" ht="15" customHeight="1">
      <c r="A30" s="35">
        <v>18</v>
      </c>
      <c r="B30" s="16" t="s">
        <v>58</v>
      </c>
      <c r="C30" s="16" t="s">
        <v>58</v>
      </c>
      <c r="D30" s="18" t="s">
        <v>100</v>
      </c>
      <c r="E30" s="20">
        <v>23702</v>
      </c>
      <c r="F30" s="41" t="s">
        <v>96</v>
      </c>
      <c r="G30" s="32">
        <f t="shared" si="0"/>
        <v>3313134</v>
      </c>
      <c r="H30" s="33" t="str">
        <f>IF(G30&lt;=$G9,"○ 支払可能","✕ 不足")</f>
        <v>✕ 不足</v>
      </c>
    </row>
    <row r="31" spans="1:8" ht="15" customHeight="1">
      <c r="A31" s="35">
        <v>19</v>
      </c>
      <c r="B31" s="16" t="s">
        <v>59</v>
      </c>
      <c r="C31" s="16" t="s">
        <v>59</v>
      </c>
      <c r="D31" s="18" t="s">
        <v>101</v>
      </c>
      <c r="E31" s="20">
        <v>22000</v>
      </c>
      <c r="F31" s="41" t="s">
        <v>96</v>
      </c>
      <c r="G31" s="32">
        <f t="shared" si="0"/>
        <v>3335134</v>
      </c>
      <c r="H31" s="33" t="str">
        <f>IF(G31&lt;=$G9,"○ 支払可能","✕ 不足")</f>
        <v>✕ 不足</v>
      </c>
    </row>
    <row r="32" spans="1:8" ht="15" customHeight="1">
      <c r="A32" s="35">
        <v>20</v>
      </c>
      <c r="B32" s="16" t="s">
        <v>58</v>
      </c>
      <c r="C32" s="16" t="s">
        <v>88</v>
      </c>
      <c r="D32" s="18" t="s">
        <v>102</v>
      </c>
      <c r="E32" s="20">
        <v>18648</v>
      </c>
      <c r="F32" s="41" t="s">
        <v>96</v>
      </c>
      <c r="G32" s="32">
        <f t="shared" si="0"/>
        <v>3353782</v>
      </c>
      <c r="H32" s="33" t="str">
        <f>IF(G32&lt;=$G9,"○ 支払可能","✕ 不足")</f>
        <v>✕ 不足</v>
      </c>
    </row>
    <row r="33" spans="1:8" ht="15" customHeight="1">
      <c r="A33" s="35">
        <v>21</v>
      </c>
      <c r="B33" s="16" t="s">
        <v>59</v>
      </c>
      <c r="C33" s="16" t="s">
        <v>59</v>
      </c>
      <c r="D33" s="43" t="s">
        <v>103</v>
      </c>
      <c r="E33" s="20">
        <v>15932</v>
      </c>
      <c r="F33" s="27" t="s">
        <v>104</v>
      </c>
      <c r="G33" s="32">
        <f t="shared" si="0"/>
        <v>3369714</v>
      </c>
      <c r="H33" s="33" t="str">
        <f>IF(G33&lt;=$G9,"○ 支払可能","✕ 不足")</f>
        <v>✕ 不足</v>
      </c>
    </row>
    <row r="35" spans="1:8" ht="15" customHeight="1">
      <c r="A35" s="6" t="s">
        <v>105</v>
      </c>
      <c r="B35" s="6"/>
      <c r="C35" s="6"/>
      <c r="D35" s="6"/>
      <c r="E35" s="24">
        <f>SUM(E13:E33)</f>
        <v>3369714</v>
      </c>
      <c r="F35" s="44"/>
      <c r="G35" s="24">
        <f>G33</f>
        <v>3369714</v>
      </c>
      <c r="H35" s="23"/>
    </row>
    <row r="37" spans="1:8" ht="15" customHeight="1">
      <c r="A37" s="4" t="s">
        <v>106</v>
      </c>
      <c r="B37" s="4"/>
      <c r="C37" s="4"/>
      <c r="D37" s="4"/>
      <c r="E37" s="4"/>
      <c r="F37" s="4"/>
      <c r="G37" s="4"/>
      <c r="H37" s="4"/>
    </row>
    <row r="39" spans="1:8" ht="15" customHeight="1">
      <c r="A39" s="45" t="s">
        <v>107</v>
      </c>
      <c r="B39" s="46">
        <f>G9</f>
        <v>-13755939.099999998</v>
      </c>
    </row>
    <row r="40" spans="1:8" ht="15" customHeight="1">
      <c r="A40" s="47" t="s">
        <v>108</v>
      </c>
      <c r="B40" s="48">
        <f ca="1">SUMPRODUCT((未払予定一覧!$B$4:$B$803="未払繰越")*(未払予定一覧!$M$4:$M$803="高")*(未払予定一覧!$P$4:$P$803&lt;&gt;"済")*(未払予定一覧!$P$4:$P$803&lt;&gt;"取消")*未払予定一覧!$L$4:$L$803)</f>
        <v>2499640</v>
      </c>
    </row>
    <row r="41" spans="1:8" ht="15" customHeight="1">
      <c r="A41" s="47" t="s">
        <v>109</v>
      </c>
      <c r="B41" s="48">
        <f ca="1">SUMPRODUCT((未払予定一覧!$B$4:$B$803="未払繰越")*(未払予定一覧!$M$4:$M$803="中")*(未払予定一覧!$P$4:$P$803&lt;&gt;"済")*(未払予定一覧!$P$4:$P$803&lt;&gt;"取消")*未払予定一覧!$L$4:$L$803)</f>
        <v>1242347</v>
      </c>
    </row>
    <row r="42" spans="1:8" ht="15" customHeight="1">
      <c r="A42" s="47" t="s">
        <v>110</v>
      </c>
      <c r="B42" s="48">
        <f ca="1">SUMPRODUCT((未払予定一覧!$B$4:$B$803="未払繰越")*(未払予定一覧!$M$4:$M$803="低")*(未払予定一覧!$P$4:$P$803&lt;&gt;"済")*(未払予定一覧!$P$4:$P$803&lt;&gt;"取消")*未払予定一覧!$L$4:$L$803)</f>
        <v>15932</v>
      </c>
    </row>
    <row r="44" spans="1:8" ht="15" customHeight="1">
      <c r="A44" s="3" t="s">
        <v>111</v>
      </c>
      <c r="B44" s="3"/>
      <c r="C44" s="46">
        <f ca="1">G9-B40</f>
        <v>-16255579.1</v>
      </c>
      <c r="D44" s="50" t="str">
        <f ca="1">IF(C44&gt;=0,"◎ 「高」全件支払可能","✕ 「高」一部支払不可")</f>
        <v>✕ 「高」一部支払不可</v>
      </c>
    </row>
    <row r="45" spans="1:8" ht="15" customHeight="1">
      <c r="A45" s="3" t="s">
        <v>112</v>
      </c>
      <c r="B45" s="3"/>
      <c r="C45" s="51">
        <f ca="1">G9-B40-B41</f>
        <v>-17497926.100000001</v>
      </c>
      <c r="D45" s="50" t="str">
        <f ca="1">IF(C45&gt;=0,"○ 「中」まで全件可","✕ 「中」一部支払不可")</f>
        <v>✕ 「中」一部支払不可</v>
      </c>
    </row>
    <row r="46" spans="1:8" ht="15" customHeight="1">
      <c r="A46" s="3" t="s">
        <v>113</v>
      </c>
      <c r="B46" s="3"/>
      <c r="C46" s="52">
        <f ca="1">G9-B40-B41-B42</f>
        <v>-17513858.100000001</v>
      </c>
      <c r="D46" s="50" t="str">
        <f ca="1">IF(C46&gt;=0,"◎ 全件支払可","✕ 一部支払不可")</f>
        <v>✕ 一部支払不可</v>
      </c>
    </row>
  </sheetData>
  <mergeCells count="9">
    <mergeCell ref="A37:H37"/>
    <mergeCell ref="A44:B44"/>
    <mergeCell ref="A45:B45"/>
    <mergeCell ref="A46:B46"/>
    <mergeCell ref="A1:H1"/>
    <mergeCell ref="A2:H2"/>
    <mergeCell ref="A4:H4"/>
    <mergeCell ref="A11:H11"/>
    <mergeCell ref="A35:D3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1"/>
  <sheetViews>
    <sheetView zoomScaleNormal="100" workbookViewId="0">
      <pane xSplit="2" ySplit="4" topLeftCell="C29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7109375" defaultRowHeight="15"/>
  <cols>
    <col min="1" max="1" width="22" customWidth="1"/>
    <col min="2" max="2" width="16" customWidth="1"/>
    <col min="3" max="14" width="12" customWidth="1"/>
    <col min="15" max="15" width="14" customWidth="1"/>
  </cols>
  <sheetData>
    <row r="1" spans="1:15" ht="27.75" customHeight="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1.25" customHeight="1">
      <c r="A2" s="1" t="s">
        <v>115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15" customHeight="1">
      <c r="A4" s="53" t="s">
        <v>116</v>
      </c>
      <c r="B4" s="53" t="s">
        <v>117</v>
      </c>
      <c r="C4" s="54" t="s">
        <v>118</v>
      </c>
      <c r="D4" s="54" t="s">
        <v>119</v>
      </c>
      <c r="E4" s="54" t="s">
        <v>120</v>
      </c>
      <c r="F4" s="54" t="s">
        <v>121</v>
      </c>
      <c r="G4" s="54" t="s">
        <v>122</v>
      </c>
      <c r="H4" s="54" t="s">
        <v>123</v>
      </c>
      <c r="I4" s="54" t="s">
        <v>124</v>
      </c>
      <c r="J4" s="54" t="s">
        <v>125</v>
      </c>
      <c r="K4" s="54" t="s">
        <v>126</v>
      </c>
      <c r="L4" s="54" t="s">
        <v>127</v>
      </c>
      <c r="M4" s="54" t="s">
        <v>128</v>
      </c>
      <c r="N4" s="54" t="s">
        <v>129</v>
      </c>
      <c r="O4" s="53" t="s">
        <v>130</v>
      </c>
    </row>
    <row r="5" spans="1:15" ht="15" customHeight="1">
      <c r="A5" s="55" t="s">
        <v>131</v>
      </c>
      <c r="B5" s="55" t="s">
        <v>132</v>
      </c>
      <c r="C5" s="20">
        <v>7261662</v>
      </c>
      <c r="D5" s="20">
        <v>5866776</v>
      </c>
      <c r="E5" s="20">
        <v>10663661</v>
      </c>
      <c r="F5" s="20">
        <v>8372542</v>
      </c>
      <c r="G5" s="20">
        <v>10091773</v>
      </c>
      <c r="H5" s="20">
        <v>6020957</v>
      </c>
      <c r="I5" s="20">
        <v>10861148</v>
      </c>
      <c r="J5" s="20">
        <v>13339294</v>
      </c>
      <c r="K5" s="20">
        <v>8976175</v>
      </c>
      <c r="L5" s="20">
        <v>12967689</v>
      </c>
      <c r="M5" s="20">
        <v>13075844</v>
      </c>
      <c r="N5" s="20">
        <v>6830956</v>
      </c>
      <c r="O5" s="20">
        <v>114328477</v>
      </c>
    </row>
    <row r="6" spans="1:15" ht="15" customHeight="1">
      <c r="A6" s="55"/>
      <c r="B6" s="55" t="s">
        <v>133</v>
      </c>
      <c r="C6" s="20">
        <v>0</v>
      </c>
      <c r="D6" s="20">
        <v>0</v>
      </c>
      <c r="E6" s="20">
        <v>0</v>
      </c>
      <c r="F6" s="20">
        <v>8310821</v>
      </c>
      <c r="G6" s="20">
        <v>9120696</v>
      </c>
      <c r="H6" s="20">
        <v>2157347</v>
      </c>
      <c r="I6" s="20">
        <v>869144</v>
      </c>
      <c r="J6" s="20">
        <v>1477233</v>
      </c>
      <c r="K6" s="20">
        <v>468498</v>
      </c>
      <c r="L6" s="20">
        <v>601121</v>
      </c>
      <c r="M6" s="20">
        <v>142650</v>
      </c>
      <c r="N6" s="20">
        <v>145700</v>
      </c>
      <c r="O6" s="20">
        <v>23293210</v>
      </c>
    </row>
    <row r="7" spans="1:15" ht="15" customHeight="1">
      <c r="A7" s="56"/>
      <c r="B7" s="57" t="s">
        <v>134</v>
      </c>
      <c r="C7" s="58">
        <v>0</v>
      </c>
      <c r="D7" s="58">
        <v>0</v>
      </c>
      <c r="E7" s="58">
        <v>0</v>
      </c>
      <c r="F7" s="59">
        <v>0.99262816477958604</v>
      </c>
      <c r="G7" s="59">
        <v>0.90377538218507303</v>
      </c>
      <c r="H7" s="60">
        <v>0.35830632904370502</v>
      </c>
      <c r="I7" s="58">
        <v>8.0023216698640001E-2</v>
      </c>
      <c r="J7" s="58">
        <v>0.110742967356443</v>
      </c>
      <c r="K7" s="58">
        <v>5.2193501129378601E-2</v>
      </c>
      <c r="L7" s="58">
        <v>4.63552912164997E-2</v>
      </c>
      <c r="M7" s="58">
        <v>1.09094296322287E-2</v>
      </c>
      <c r="N7" s="58">
        <v>2.1329371759970399E-2</v>
      </c>
      <c r="O7" s="61">
        <v>0.20373935358204801</v>
      </c>
    </row>
    <row r="9" spans="1:15" ht="15" customHeight="1">
      <c r="A9" s="55" t="s">
        <v>135</v>
      </c>
      <c r="B9" s="55" t="s">
        <v>132</v>
      </c>
      <c r="C9" s="20">
        <v>2143056</v>
      </c>
      <c r="D9" s="20">
        <v>1559909</v>
      </c>
      <c r="E9" s="20">
        <v>2743253</v>
      </c>
      <c r="F9" s="20">
        <v>2602903</v>
      </c>
      <c r="G9" s="20">
        <v>2606733</v>
      </c>
      <c r="H9" s="20">
        <v>1341712</v>
      </c>
      <c r="I9" s="20">
        <v>3302659</v>
      </c>
      <c r="J9" s="20">
        <v>4469894</v>
      </c>
      <c r="K9" s="20">
        <v>2740428</v>
      </c>
      <c r="L9" s="20">
        <v>3669167</v>
      </c>
      <c r="M9" s="20">
        <v>3942044</v>
      </c>
      <c r="N9" s="20">
        <v>1966245</v>
      </c>
      <c r="O9" s="20">
        <v>33088003</v>
      </c>
    </row>
    <row r="10" spans="1:15" ht="15" customHeight="1">
      <c r="A10" s="55"/>
      <c r="B10" s="55" t="s">
        <v>133</v>
      </c>
      <c r="C10" s="20">
        <v>0</v>
      </c>
      <c r="D10" s="20">
        <v>0</v>
      </c>
      <c r="E10" s="20">
        <v>0</v>
      </c>
      <c r="F10" s="20">
        <v>2904045</v>
      </c>
      <c r="G10" s="20">
        <v>2785752</v>
      </c>
      <c r="H10" s="20">
        <v>613130</v>
      </c>
      <c r="I10" s="20">
        <v>320289</v>
      </c>
      <c r="J10" s="20">
        <v>312594</v>
      </c>
      <c r="K10" s="20">
        <v>492830</v>
      </c>
      <c r="L10" s="20">
        <v>112580</v>
      </c>
      <c r="M10" s="20">
        <v>0</v>
      </c>
      <c r="N10" s="20">
        <v>0</v>
      </c>
      <c r="O10" s="20">
        <v>7541220</v>
      </c>
    </row>
    <row r="11" spans="1:15" ht="15" customHeight="1">
      <c r="A11" s="56"/>
      <c r="B11" s="57" t="s">
        <v>134</v>
      </c>
      <c r="C11" s="58">
        <v>0</v>
      </c>
      <c r="D11" s="58">
        <v>0</v>
      </c>
      <c r="E11" s="58">
        <v>0</v>
      </c>
      <c r="F11" s="59">
        <v>1.1156946686065501</v>
      </c>
      <c r="G11" s="59">
        <v>1.06867561810128</v>
      </c>
      <c r="H11" s="60">
        <v>0.456975863672681</v>
      </c>
      <c r="I11" s="58">
        <v>9.6979131057732607E-2</v>
      </c>
      <c r="J11" s="58">
        <v>6.9933201995394101E-2</v>
      </c>
      <c r="K11" s="58">
        <v>0.17983687219660599</v>
      </c>
      <c r="L11" s="58">
        <v>3.0682713542338098E-2</v>
      </c>
      <c r="M11" s="58">
        <v>0</v>
      </c>
      <c r="N11" s="58">
        <v>0</v>
      </c>
      <c r="O11" s="61">
        <v>0.22791402672442901</v>
      </c>
    </row>
    <row r="13" spans="1:15" ht="15" customHeight="1">
      <c r="A13" s="62" t="s">
        <v>136</v>
      </c>
      <c r="B13" s="55" t="s">
        <v>132</v>
      </c>
      <c r="C13" s="20">
        <v>901976</v>
      </c>
      <c r="D13" s="20">
        <v>970534</v>
      </c>
      <c r="E13" s="20">
        <v>1394853</v>
      </c>
      <c r="F13" s="20">
        <v>1600536</v>
      </c>
      <c r="G13" s="20">
        <v>2028098</v>
      </c>
      <c r="H13" s="20">
        <v>1051016</v>
      </c>
      <c r="I13" s="20">
        <v>1110194</v>
      </c>
      <c r="J13" s="20">
        <v>2097316</v>
      </c>
      <c r="K13" s="20">
        <v>1566778</v>
      </c>
      <c r="L13" s="20">
        <v>2477290</v>
      </c>
      <c r="M13" s="20">
        <v>2350836</v>
      </c>
      <c r="N13" s="20">
        <v>1139100</v>
      </c>
      <c r="O13" s="20">
        <v>18688527</v>
      </c>
    </row>
    <row r="14" spans="1:15" ht="15" customHeight="1">
      <c r="A14" s="62"/>
      <c r="B14" s="55" t="s">
        <v>133</v>
      </c>
      <c r="C14" s="20">
        <v>0</v>
      </c>
      <c r="D14" s="20">
        <v>0</v>
      </c>
      <c r="E14" s="20">
        <v>0</v>
      </c>
      <c r="F14" s="20">
        <v>1955058</v>
      </c>
      <c r="G14" s="20">
        <v>1560292</v>
      </c>
      <c r="H14" s="20">
        <v>249824</v>
      </c>
      <c r="I14" s="20">
        <v>396582</v>
      </c>
      <c r="J14" s="20">
        <v>411126</v>
      </c>
      <c r="K14" s="20">
        <v>109252</v>
      </c>
      <c r="L14" s="20">
        <v>159276</v>
      </c>
      <c r="M14" s="20">
        <v>0</v>
      </c>
      <c r="N14" s="20">
        <v>0</v>
      </c>
      <c r="O14" s="20">
        <v>4841410</v>
      </c>
    </row>
    <row r="15" spans="1:15" ht="15" customHeight="1">
      <c r="A15" s="56"/>
      <c r="B15" s="57" t="s">
        <v>134</v>
      </c>
      <c r="C15" s="58">
        <v>0</v>
      </c>
      <c r="D15" s="58">
        <v>0</v>
      </c>
      <c r="E15" s="58">
        <v>0</v>
      </c>
      <c r="F15" s="59">
        <v>1.2215020468143201</v>
      </c>
      <c r="G15" s="60">
        <v>0.769337576389307</v>
      </c>
      <c r="H15" s="58">
        <v>0.237697618304574</v>
      </c>
      <c r="I15" s="60">
        <v>0.357218648272284</v>
      </c>
      <c r="J15" s="58">
        <v>0.19602482410852701</v>
      </c>
      <c r="K15" s="58">
        <v>6.9730363842229096E-2</v>
      </c>
      <c r="L15" s="58">
        <v>6.4294450790985294E-2</v>
      </c>
      <c r="M15" s="58">
        <v>0</v>
      </c>
      <c r="N15" s="58">
        <v>0</v>
      </c>
      <c r="O15" s="61">
        <v>0.25905787010394099</v>
      </c>
    </row>
    <row r="17" spans="1:15" ht="15" customHeight="1">
      <c r="A17" s="62" t="s">
        <v>137</v>
      </c>
      <c r="B17" s="55" t="s">
        <v>132</v>
      </c>
      <c r="C17" s="20">
        <v>32400</v>
      </c>
      <c r="D17" s="20">
        <v>174440</v>
      </c>
      <c r="E17" s="20">
        <v>247060</v>
      </c>
      <c r="F17" s="20">
        <v>115860</v>
      </c>
      <c r="G17" s="20">
        <v>270500</v>
      </c>
      <c r="H17" s="20">
        <v>85200</v>
      </c>
      <c r="I17" s="20">
        <v>214180</v>
      </c>
      <c r="J17" s="20">
        <v>318420</v>
      </c>
      <c r="K17" s="20">
        <v>53469</v>
      </c>
      <c r="L17" s="20">
        <v>261170</v>
      </c>
      <c r="M17" s="20">
        <v>349410</v>
      </c>
      <c r="N17" s="20">
        <v>179120</v>
      </c>
      <c r="O17" s="20">
        <v>2301229</v>
      </c>
    </row>
    <row r="18" spans="1:15" ht="15" customHeight="1">
      <c r="A18" s="62"/>
      <c r="B18" s="55" t="s">
        <v>133</v>
      </c>
      <c r="C18" s="20">
        <v>0</v>
      </c>
      <c r="D18" s="20">
        <v>0</v>
      </c>
      <c r="E18" s="20">
        <v>0</v>
      </c>
      <c r="F18" s="20">
        <v>56700</v>
      </c>
      <c r="G18" s="20">
        <v>176080</v>
      </c>
      <c r="H18" s="20">
        <v>32400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265180</v>
      </c>
    </row>
    <row r="19" spans="1:15" ht="15" customHeight="1">
      <c r="A19" s="56"/>
      <c r="B19" s="57" t="s">
        <v>134</v>
      </c>
      <c r="C19" s="58">
        <v>0</v>
      </c>
      <c r="D19" s="58">
        <v>0</v>
      </c>
      <c r="E19" s="58">
        <v>0</v>
      </c>
      <c r="F19" s="60">
        <v>0.48938373899533899</v>
      </c>
      <c r="G19" s="60">
        <v>0.6509426987061</v>
      </c>
      <c r="H19" s="60">
        <v>0.38028169014084501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61">
        <v>0.115234077095326</v>
      </c>
    </row>
    <row r="21" spans="1:15" ht="15" customHeight="1">
      <c r="A21" s="62" t="s">
        <v>138</v>
      </c>
      <c r="B21" s="55" t="s">
        <v>132</v>
      </c>
      <c r="C21" s="20">
        <v>327400</v>
      </c>
      <c r="D21" s="20">
        <v>369900</v>
      </c>
      <c r="E21" s="20">
        <v>730100</v>
      </c>
      <c r="F21" s="20">
        <v>460700</v>
      </c>
      <c r="G21" s="20">
        <v>431900</v>
      </c>
      <c r="H21" s="20">
        <v>183300</v>
      </c>
      <c r="I21" s="20">
        <v>218250</v>
      </c>
      <c r="J21" s="20">
        <v>793250</v>
      </c>
      <c r="K21" s="20">
        <v>246500</v>
      </c>
      <c r="L21" s="20">
        <v>418500</v>
      </c>
      <c r="M21" s="20">
        <v>476700</v>
      </c>
      <c r="N21" s="20">
        <v>275000</v>
      </c>
      <c r="O21" s="20">
        <v>4931500</v>
      </c>
    </row>
    <row r="22" spans="1:15" ht="15" customHeight="1">
      <c r="A22" s="62"/>
      <c r="B22" s="55" t="s">
        <v>133</v>
      </c>
      <c r="C22" s="20">
        <v>0</v>
      </c>
      <c r="D22" s="20">
        <v>0</v>
      </c>
      <c r="E22" s="20">
        <v>0</v>
      </c>
      <c r="F22" s="20">
        <v>331500</v>
      </c>
      <c r="G22" s="20">
        <v>280500</v>
      </c>
      <c r="H22" s="20">
        <v>190750</v>
      </c>
      <c r="I22" s="20">
        <v>96000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898750</v>
      </c>
    </row>
    <row r="23" spans="1:15" ht="15" customHeight="1">
      <c r="A23" s="56"/>
      <c r="B23" s="57" t="s">
        <v>134</v>
      </c>
      <c r="C23" s="58">
        <v>0</v>
      </c>
      <c r="D23" s="58">
        <v>0</v>
      </c>
      <c r="E23" s="58">
        <v>0</v>
      </c>
      <c r="F23" s="60">
        <v>0.71955719557195597</v>
      </c>
      <c r="G23" s="60">
        <v>0.64945589256772396</v>
      </c>
      <c r="H23" s="59">
        <v>1.0406437534097099</v>
      </c>
      <c r="I23" s="60">
        <v>0.43986254295532701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61">
        <v>0.18224678089830701</v>
      </c>
    </row>
    <row r="25" spans="1:15" ht="15" customHeight="1">
      <c r="A25" s="62" t="s">
        <v>139</v>
      </c>
      <c r="B25" s="55" t="s">
        <v>132</v>
      </c>
      <c r="C25" s="20">
        <v>3701096</v>
      </c>
      <c r="D25" s="20">
        <v>2980174</v>
      </c>
      <c r="E25" s="20">
        <v>5584201</v>
      </c>
      <c r="F25" s="20">
        <v>5487259</v>
      </c>
      <c r="G25" s="20">
        <v>6761527</v>
      </c>
      <c r="H25" s="20">
        <v>3942572</v>
      </c>
      <c r="I25" s="20">
        <v>5866719</v>
      </c>
      <c r="J25" s="20">
        <v>9564791</v>
      </c>
      <c r="K25" s="20">
        <v>5465630</v>
      </c>
      <c r="L25" s="20">
        <v>8958395</v>
      </c>
      <c r="M25" s="20">
        <v>8362200</v>
      </c>
      <c r="N25" s="20">
        <v>5672113</v>
      </c>
      <c r="O25" s="20">
        <v>72346677</v>
      </c>
    </row>
    <row r="26" spans="1:15" ht="15" customHeight="1">
      <c r="A26" s="62"/>
      <c r="B26" s="55" t="s">
        <v>133</v>
      </c>
      <c r="C26" s="20">
        <v>0</v>
      </c>
      <c r="D26" s="20">
        <v>0</v>
      </c>
      <c r="E26" s="20">
        <v>0</v>
      </c>
      <c r="F26" s="20">
        <v>4004248</v>
      </c>
      <c r="G26" s="20">
        <v>5707582</v>
      </c>
      <c r="H26" s="20">
        <v>1940810</v>
      </c>
      <c r="I26" s="20">
        <v>593347</v>
      </c>
      <c r="J26" s="20">
        <v>1509171</v>
      </c>
      <c r="K26" s="20">
        <v>362863</v>
      </c>
      <c r="L26" s="20">
        <v>533648</v>
      </c>
      <c r="M26" s="20">
        <v>237410</v>
      </c>
      <c r="N26" s="20">
        <v>20000</v>
      </c>
      <c r="O26" s="20">
        <v>14909079</v>
      </c>
    </row>
    <row r="27" spans="1:15" ht="15" customHeight="1">
      <c r="A27" s="56"/>
      <c r="B27" s="57" t="s">
        <v>134</v>
      </c>
      <c r="C27" s="58">
        <v>0</v>
      </c>
      <c r="D27" s="58">
        <v>0</v>
      </c>
      <c r="E27" s="58">
        <v>0</v>
      </c>
      <c r="F27" s="60">
        <v>0.72973555649551103</v>
      </c>
      <c r="G27" s="59">
        <v>0.84412618628898495</v>
      </c>
      <c r="H27" s="60">
        <v>0.49227002068700298</v>
      </c>
      <c r="I27" s="58">
        <v>0.10113779098675101</v>
      </c>
      <c r="J27" s="58">
        <v>0.15778400176229701</v>
      </c>
      <c r="K27" s="58">
        <v>6.6389967853660095E-2</v>
      </c>
      <c r="L27" s="58">
        <v>5.9569599241828503E-2</v>
      </c>
      <c r="M27" s="58">
        <v>2.8390854081461799E-2</v>
      </c>
      <c r="N27" s="58">
        <v>3.52602284192857E-3</v>
      </c>
      <c r="O27" s="61">
        <v>0.20607828331908001</v>
      </c>
    </row>
    <row r="29" spans="1:15" ht="15" customHeight="1">
      <c r="A29" s="62" t="s">
        <v>140</v>
      </c>
      <c r="B29" s="55" t="s">
        <v>132</v>
      </c>
      <c r="C29" s="20">
        <v>3022505</v>
      </c>
      <c r="D29" s="20">
        <v>4261675</v>
      </c>
      <c r="E29" s="20">
        <v>3738314</v>
      </c>
      <c r="F29" s="20">
        <v>2113091</v>
      </c>
      <c r="G29" s="20">
        <v>3281694</v>
      </c>
      <c r="H29" s="20">
        <v>2228827</v>
      </c>
      <c r="I29" s="20">
        <v>5237483</v>
      </c>
      <c r="J29" s="20">
        <v>6962206</v>
      </c>
      <c r="K29" s="20">
        <v>4111027</v>
      </c>
      <c r="L29" s="20">
        <v>5703514</v>
      </c>
      <c r="M29" s="20">
        <v>5651540</v>
      </c>
      <c r="N29" s="20">
        <v>4532837</v>
      </c>
      <c r="O29" s="20">
        <v>50844713</v>
      </c>
    </row>
    <row r="30" spans="1:15" ht="15" customHeight="1">
      <c r="A30" s="62"/>
      <c r="B30" s="55" t="s">
        <v>133</v>
      </c>
      <c r="C30" s="20">
        <v>0</v>
      </c>
      <c r="D30" s="20">
        <v>0</v>
      </c>
      <c r="E30" s="20">
        <v>0</v>
      </c>
      <c r="F30" s="20">
        <v>2330934</v>
      </c>
      <c r="G30" s="20">
        <v>4564062</v>
      </c>
      <c r="H30" s="20">
        <v>1719708</v>
      </c>
      <c r="I30" s="20">
        <v>1045292</v>
      </c>
      <c r="J30" s="20">
        <v>1433757</v>
      </c>
      <c r="K30" s="20">
        <v>83838</v>
      </c>
      <c r="L30" s="20">
        <v>66600</v>
      </c>
      <c r="M30" s="20">
        <v>0</v>
      </c>
      <c r="N30" s="20">
        <v>0</v>
      </c>
      <c r="O30" s="20">
        <v>11244191</v>
      </c>
    </row>
    <row r="31" spans="1:15" ht="15" customHeight="1">
      <c r="A31" s="56"/>
      <c r="B31" s="57" t="s">
        <v>134</v>
      </c>
      <c r="C31" s="58">
        <v>0</v>
      </c>
      <c r="D31" s="58">
        <v>0</v>
      </c>
      <c r="E31" s="58">
        <v>0</v>
      </c>
      <c r="F31" s="59">
        <v>1.1030921053565601</v>
      </c>
      <c r="G31" s="59">
        <v>1.3907640383289901</v>
      </c>
      <c r="H31" s="60">
        <v>0.77157536228697898</v>
      </c>
      <c r="I31" s="58">
        <v>0.19957907261942401</v>
      </c>
      <c r="J31" s="58">
        <v>0.20593429726152901</v>
      </c>
      <c r="K31" s="58">
        <v>2.0393444265873199E-2</v>
      </c>
      <c r="L31" s="58">
        <v>1.16770117510012E-2</v>
      </c>
      <c r="M31" s="58">
        <v>0</v>
      </c>
      <c r="N31" s="58">
        <v>0</v>
      </c>
      <c r="O31" s="61">
        <v>0.22114769336980999</v>
      </c>
    </row>
    <row r="33" spans="1:15" ht="15" customHeight="1">
      <c r="A33" s="62" t="s">
        <v>141</v>
      </c>
      <c r="B33" s="55" t="s">
        <v>132</v>
      </c>
      <c r="C33" s="20">
        <v>0</v>
      </c>
      <c r="D33" s="20">
        <v>0</v>
      </c>
      <c r="E33" s="20">
        <v>0</v>
      </c>
      <c r="F33" s="20">
        <v>5067080</v>
      </c>
      <c r="G33" s="20">
        <v>5172360</v>
      </c>
      <c r="H33" s="20">
        <v>5590656</v>
      </c>
      <c r="I33" s="20">
        <v>8590205</v>
      </c>
      <c r="J33" s="20">
        <v>14720394</v>
      </c>
      <c r="K33" s="20">
        <v>5111672</v>
      </c>
      <c r="L33" s="20">
        <v>5445149</v>
      </c>
      <c r="M33" s="20">
        <v>5263750</v>
      </c>
      <c r="N33" s="20">
        <v>4624660</v>
      </c>
      <c r="O33" s="20">
        <v>59585926</v>
      </c>
    </row>
    <row r="34" spans="1:15" ht="15" customHeight="1">
      <c r="A34" s="62"/>
      <c r="B34" s="55" t="s">
        <v>133</v>
      </c>
      <c r="C34" s="20">
        <v>0</v>
      </c>
      <c r="D34" s="20">
        <v>0</v>
      </c>
      <c r="E34" s="20">
        <v>0</v>
      </c>
      <c r="F34" s="20">
        <v>6092392</v>
      </c>
      <c r="G34" s="20">
        <v>2928671</v>
      </c>
      <c r="H34" s="20">
        <v>1212724</v>
      </c>
      <c r="I34" s="20">
        <v>1777188</v>
      </c>
      <c r="J34" s="20">
        <v>963416</v>
      </c>
      <c r="K34" s="20">
        <v>1722323</v>
      </c>
      <c r="L34" s="20">
        <v>405410</v>
      </c>
      <c r="M34" s="20">
        <v>0</v>
      </c>
      <c r="N34" s="20">
        <v>0</v>
      </c>
      <c r="O34" s="20">
        <v>15102124</v>
      </c>
    </row>
    <row r="35" spans="1:15" ht="15" customHeight="1">
      <c r="A35" s="56"/>
      <c r="B35" s="57" t="s">
        <v>134</v>
      </c>
      <c r="C35" s="63"/>
      <c r="D35" s="63"/>
      <c r="E35" s="63"/>
      <c r="F35" s="59">
        <v>1.20234770321369</v>
      </c>
      <c r="G35" s="60">
        <v>0.56621561530906594</v>
      </c>
      <c r="H35" s="58">
        <v>0.216919803328983</v>
      </c>
      <c r="I35" s="58">
        <v>0.20688540029021399</v>
      </c>
      <c r="J35" s="58">
        <v>6.5447704728555503E-2</v>
      </c>
      <c r="K35" s="60">
        <v>0.33693926370862598</v>
      </c>
      <c r="L35" s="58">
        <v>7.4453426343337903E-2</v>
      </c>
      <c r="M35" s="58">
        <v>0</v>
      </c>
      <c r="N35" s="58">
        <v>0</v>
      </c>
      <c r="O35" s="61">
        <v>0.25345119248461501</v>
      </c>
    </row>
    <row r="37" spans="1:15" ht="15" customHeight="1">
      <c r="A37" s="55" t="s">
        <v>142</v>
      </c>
      <c r="B37" s="55" t="s">
        <v>132</v>
      </c>
      <c r="C37" s="20">
        <v>142000</v>
      </c>
      <c r="D37" s="20">
        <v>506000</v>
      </c>
      <c r="E37" s="20">
        <v>517000</v>
      </c>
      <c r="F37" s="20">
        <v>636000</v>
      </c>
      <c r="G37" s="20">
        <v>441000</v>
      </c>
      <c r="H37" s="20">
        <v>421980</v>
      </c>
      <c r="I37" s="20">
        <v>310000</v>
      </c>
      <c r="J37" s="20">
        <v>246000</v>
      </c>
      <c r="K37" s="20">
        <v>96000</v>
      </c>
      <c r="L37" s="20">
        <v>228000</v>
      </c>
      <c r="M37" s="20">
        <v>450000</v>
      </c>
      <c r="N37" s="20">
        <v>323000</v>
      </c>
      <c r="O37" s="20">
        <v>4316980</v>
      </c>
    </row>
    <row r="38" spans="1:15" ht="15" customHeight="1">
      <c r="A38" s="62"/>
      <c r="B38" s="55" t="s">
        <v>133</v>
      </c>
      <c r="C38" s="20">
        <v>0</v>
      </c>
      <c r="D38" s="20">
        <v>0</v>
      </c>
      <c r="E38" s="20">
        <v>0</v>
      </c>
      <c r="F38" s="20">
        <v>455000</v>
      </c>
      <c r="G38" s="20">
        <v>272000</v>
      </c>
      <c r="H38" s="20">
        <v>195000</v>
      </c>
      <c r="I38" s="20">
        <v>78000</v>
      </c>
      <c r="J38" s="20">
        <v>120000</v>
      </c>
      <c r="K38" s="20">
        <v>0</v>
      </c>
      <c r="L38" s="20">
        <v>0</v>
      </c>
      <c r="M38" s="20">
        <v>0</v>
      </c>
      <c r="N38" s="20">
        <v>0</v>
      </c>
      <c r="O38" s="20">
        <v>1120000</v>
      </c>
    </row>
    <row r="39" spans="1:15" ht="15" customHeight="1">
      <c r="A39" s="56"/>
      <c r="B39" s="57" t="s">
        <v>134</v>
      </c>
      <c r="C39" s="58">
        <v>0</v>
      </c>
      <c r="D39" s="58">
        <v>0</v>
      </c>
      <c r="E39" s="58">
        <v>0</v>
      </c>
      <c r="F39" s="60">
        <v>0.71540880503144699</v>
      </c>
      <c r="G39" s="60">
        <v>0.61678004535147402</v>
      </c>
      <c r="H39" s="60">
        <v>0.46210720887245799</v>
      </c>
      <c r="I39" s="58">
        <v>0.25161290322580598</v>
      </c>
      <c r="J39" s="60">
        <v>0.48780487804878098</v>
      </c>
      <c r="K39" s="58">
        <v>0</v>
      </c>
      <c r="L39" s="58">
        <v>0</v>
      </c>
      <c r="M39" s="58">
        <v>0</v>
      </c>
      <c r="N39" s="58">
        <v>0</v>
      </c>
      <c r="O39" s="61">
        <v>0.25944062747568902</v>
      </c>
    </row>
    <row r="41" spans="1:15" ht="15" customHeight="1">
      <c r="A41" s="62" t="s">
        <v>143</v>
      </c>
      <c r="B41" s="55" t="s">
        <v>132</v>
      </c>
      <c r="C41" s="20">
        <v>276000</v>
      </c>
      <c r="D41" s="20">
        <v>162000</v>
      </c>
      <c r="E41" s="20">
        <v>189000</v>
      </c>
      <c r="F41" s="20">
        <v>103500</v>
      </c>
      <c r="G41" s="20">
        <v>164000</v>
      </c>
      <c r="H41" s="20">
        <v>165000</v>
      </c>
      <c r="I41" s="20">
        <v>127500</v>
      </c>
      <c r="J41" s="20">
        <v>217000</v>
      </c>
      <c r="K41" s="20">
        <v>142500</v>
      </c>
      <c r="L41" s="20">
        <v>0</v>
      </c>
      <c r="M41" s="20">
        <v>183000</v>
      </c>
      <c r="N41" s="20">
        <v>78000</v>
      </c>
      <c r="O41" s="20">
        <v>1807500</v>
      </c>
    </row>
    <row r="42" spans="1:15" ht="15" customHeight="1">
      <c r="A42" s="62"/>
      <c r="B42" s="55" t="s">
        <v>133</v>
      </c>
      <c r="C42" s="20">
        <v>0</v>
      </c>
      <c r="D42" s="20">
        <v>0</v>
      </c>
      <c r="E42" s="20">
        <v>0</v>
      </c>
      <c r="F42" s="20">
        <v>101400</v>
      </c>
      <c r="G42" s="20">
        <v>24000</v>
      </c>
      <c r="H42" s="20">
        <v>45000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170400</v>
      </c>
    </row>
    <row r="43" spans="1:15" ht="15" customHeight="1">
      <c r="A43" s="56"/>
      <c r="B43" s="57" t="s">
        <v>134</v>
      </c>
      <c r="C43" s="58">
        <v>0</v>
      </c>
      <c r="D43" s="58">
        <v>0</v>
      </c>
      <c r="E43" s="58">
        <v>0</v>
      </c>
      <c r="F43" s="59">
        <v>0.97971014492753605</v>
      </c>
      <c r="G43" s="58">
        <v>0.146341463414634</v>
      </c>
      <c r="H43" s="58">
        <v>0.27272727272727298</v>
      </c>
      <c r="I43" s="58">
        <v>0</v>
      </c>
      <c r="J43" s="58">
        <v>0</v>
      </c>
      <c r="K43" s="58">
        <v>0</v>
      </c>
      <c r="L43" s="63"/>
      <c r="M43" s="58">
        <v>0</v>
      </c>
      <c r="N43" s="58">
        <v>0</v>
      </c>
      <c r="O43" s="61">
        <v>9.4273858921161802E-2</v>
      </c>
    </row>
    <row r="45" spans="1:15" ht="15" customHeight="1">
      <c r="A45" s="62" t="s">
        <v>144</v>
      </c>
      <c r="B45" s="55" t="s">
        <v>132</v>
      </c>
      <c r="C45" s="20">
        <v>60000</v>
      </c>
      <c r="D45" s="20">
        <v>121500</v>
      </c>
      <c r="E45" s="20">
        <v>69000</v>
      </c>
      <c r="F45" s="20">
        <v>58000</v>
      </c>
      <c r="G45" s="20">
        <v>9000</v>
      </c>
      <c r="H45" s="20">
        <v>108000</v>
      </c>
      <c r="I45" s="20">
        <v>63000</v>
      </c>
      <c r="J45" s="20">
        <v>56500</v>
      </c>
      <c r="K45" s="20">
        <v>44000</v>
      </c>
      <c r="L45" s="20">
        <v>57000</v>
      </c>
      <c r="M45" s="20">
        <v>48000</v>
      </c>
      <c r="N45" s="20">
        <v>54500</v>
      </c>
      <c r="O45" s="20">
        <v>748500</v>
      </c>
    </row>
    <row r="46" spans="1:15" ht="15" customHeight="1">
      <c r="A46" s="62"/>
      <c r="B46" s="55" t="s">
        <v>133</v>
      </c>
      <c r="C46" s="20">
        <v>0</v>
      </c>
      <c r="D46" s="20">
        <v>0</v>
      </c>
      <c r="E46" s="20">
        <v>0</v>
      </c>
      <c r="F46" s="20">
        <v>90000</v>
      </c>
      <c r="G46" s="20">
        <v>0</v>
      </c>
      <c r="H46" s="20">
        <v>0</v>
      </c>
      <c r="I46" s="20">
        <v>0</v>
      </c>
      <c r="J46" s="20">
        <v>75000</v>
      </c>
      <c r="K46" s="20">
        <v>0</v>
      </c>
      <c r="L46" s="20">
        <v>0</v>
      </c>
      <c r="M46" s="20">
        <v>0</v>
      </c>
      <c r="N46" s="20">
        <v>0</v>
      </c>
      <c r="O46" s="20">
        <v>165000</v>
      </c>
    </row>
    <row r="47" spans="1:15" ht="15" customHeight="1">
      <c r="A47" s="56"/>
      <c r="B47" s="57" t="s">
        <v>134</v>
      </c>
      <c r="C47" s="58">
        <v>0</v>
      </c>
      <c r="D47" s="58">
        <v>0</v>
      </c>
      <c r="E47" s="58">
        <v>0</v>
      </c>
      <c r="F47" s="59">
        <v>1.55172413793103</v>
      </c>
      <c r="G47" s="58">
        <v>0</v>
      </c>
      <c r="H47" s="58">
        <v>0</v>
      </c>
      <c r="I47" s="58">
        <v>0</v>
      </c>
      <c r="J47" s="59">
        <v>1.3274336283185799</v>
      </c>
      <c r="K47" s="58">
        <v>0</v>
      </c>
      <c r="L47" s="58">
        <v>0</v>
      </c>
      <c r="M47" s="58">
        <v>0</v>
      </c>
      <c r="N47" s="58">
        <v>0</v>
      </c>
      <c r="O47" s="61">
        <v>0.220440881763527</v>
      </c>
    </row>
    <row r="49" spans="1:15" ht="15" customHeight="1">
      <c r="A49" s="55" t="s">
        <v>145</v>
      </c>
      <c r="B49" s="55" t="s">
        <v>132</v>
      </c>
      <c r="C49" s="20">
        <v>0</v>
      </c>
      <c r="D49" s="20">
        <v>0</v>
      </c>
      <c r="E49" s="20">
        <v>0</v>
      </c>
      <c r="F49" s="20">
        <v>0</v>
      </c>
      <c r="G49" s="20">
        <v>15000</v>
      </c>
      <c r="H49" s="20">
        <v>0</v>
      </c>
      <c r="I49" s="20">
        <v>0</v>
      </c>
      <c r="J49" s="20">
        <v>77500</v>
      </c>
      <c r="K49" s="20">
        <v>132500</v>
      </c>
      <c r="L49" s="20">
        <v>75000</v>
      </c>
      <c r="M49" s="20">
        <v>35000</v>
      </c>
      <c r="N49" s="20">
        <v>77500</v>
      </c>
      <c r="O49" s="20">
        <v>412500</v>
      </c>
    </row>
    <row r="50" spans="1:15" ht="15" customHeight="1">
      <c r="A50" s="62"/>
      <c r="B50" s="55" t="s">
        <v>133</v>
      </c>
      <c r="C50" s="20">
        <v>0</v>
      </c>
      <c r="D50" s="20">
        <v>0</v>
      </c>
      <c r="E50" s="20">
        <v>0</v>
      </c>
      <c r="F50" s="20">
        <v>105000</v>
      </c>
      <c r="G50" s="20">
        <v>77500</v>
      </c>
      <c r="H50" s="20">
        <v>72500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255000</v>
      </c>
    </row>
    <row r="51" spans="1:15" ht="15" customHeight="1">
      <c r="A51" s="56"/>
      <c r="B51" s="57" t="s">
        <v>134</v>
      </c>
      <c r="C51" s="63"/>
      <c r="D51" s="63"/>
      <c r="E51" s="63"/>
      <c r="F51" s="63"/>
      <c r="G51" s="59">
        <v>5.1666666666666696</v>
      </c>
      <c r="H51" s="63"/>
      <c r="I51" s="63"/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61">
        <v>0.61818181818181805</v>
      </c>
    </row>
    <row r="53" spans="1:15" ht="15" customHeight="1">
      <c r="A53" s="62" t="s">
        <v>146</v>
      </c>
      <c r="B53" s="55" t="s">
        <v>132</v>
      </c>
      <c r="C53" s="20">
        <v>1568869</v>
      </c>
      <c r="D53" s="20">
        <v>1184756</v>
      </c>
      <c r="E53" s="20">
        <v>1834990</v>
      </c>
      <c r="F53" s="20">
        <v>3032420</v>
      </c>
      <c r="G53" s="20">
        <v>1954383</v>
      </c>
      <c r="H53" s="20">
        <v>1736192</v>
      </c>
      <c r="I53" s="20">
        <v>1423207</v>
      </c>
      <c r="J53" s="20">
        <v>1213337</v>
      </c>
      <c r="K53" s="20">
        <v>1539082</v>
      </c>
      <c r="L53" s="20">
        <v>1127424</v>
      </c>
      <c r="M53" s="20">
        <v>593424</v>
      </c>
      <c r="N53" s="20">
        <v>593424</v>
      </c>
      <c r="O53" s="20">
        <v>17801508</v>
      </c>
    </row>
    <row r="54" spans="1:15" ht="15" customHeight="1">
      <c r="A54" s="62"/>
      <c r="B54" s="55" t="s">
        <v>133</v>
      </c>
      <c r="C54" s="20">
        <v>0</v>
      </c>
      <c r="D54" s="20">
        <v>0</v>
      </c>
      <c r="E54" s="20">
        <v>0</v>
      </c>
      <c r="F54" s="20">
        <v>1202444</v>
      </c>
      <c r="G54" s="20">
        <v>789000</v>
      </c>
      <c r="H54" s="20">
        <v>683000</v>
      </c>
      <c r="I54" s="20">
        <v>683000</v>
      </c>
      <c r="J54" s="20">
        <v>683000</v>
      </c>
      <c r="K54" s="20">
        <v>683000</v>
      </c>
      <c r="L54" s="20">
        <v>683000</v>
      </c>
      <c r="M54" s="20">
        <v>683000</v>
      </c>
      <c r="N54" s="20">
        <v>683000</v>
      </c>
      <c r="O54" s="20">
        <v>6772444</v>
      </c>
    </row>
    <row r="55" spans="1:15" ht="15" customHeight="1">
      <c r="A55" s="56"/>
      <c r="B55" s="57" t="s">
        <v>134</v>
      </c>
      <c r="C55" s="58">
        <v>0</v>
      </c>
      <c r="D55" s="58">
        <v>0</v>
      </c>
      <c r="E55" s="58">
        <v>0</v>
      </c>
      <c r="F55" s="60">
        <v>0.39652950448816499</v>
      </c>
      <c r="G55" s="60">
        <v>0.40370797330922298</v>
      </c>
      <c r="H55" s="60">
        <v>0.39338967118843998</v>
      </c>
      <c r="I55" s="60">
        <v>0.47990208030174097</v>
      </c>
      <c r="J55" s="60">
        <v>0.56291038680927097</v>
      </c>
      <c r="K55" s="60">
        <v>0.44377102714475303</v>
      </c>
      <c r="L55" s="60">
        <v>0.60580580154405095</v>
      </c>
      <c r="M55" s="59">
        <v>1.15094772034835</v>
      </c>
      <c r="N55" s="59">
        <v>1.15094772034835</v>
      </c>
      <c r="O55" s="61">
        <v>0.380442151305384</v>
      </c>
    </row>
    <row r="57" spans="1:15" ht="15" customHeight="1">
      <c r="A57" s="62" t="s">
        <v>147</v>
      </c>
      <c r="B57" s="55" t="s">
        <v>132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40000</v>
      </c>
      <c r="J57" s="20">
        <v>600770</v>
      </c>
      <c r="K57" s="20">
        <v>193228</v>
      </c>
      <c r="L57" s="20">
        <v>558820</v>
      </c>
      <c r="M57" s="20">
        <v>1559105</v>
      </c>
      <c r="N57" s="20">
        <v>1643365</v>
      </c>
      <c r="O57" s="20">
        <v>4595288</v>
      </c>
    </row>
    <row r="58" spans="1:15" ht="15" customHeight="1">
      <c r="A58" s="62"/>
      <c r="B58" s="55" t="s">
        <v>133</v>
      </c>
      <c r="C58" s="20">
        <v>0</v>
      </c>
      <c r="D58" s="20">
        <v>0</v>
      </c>
      <c r="E58" s="20">
        <v>0</v>
      </c>
      <c r="F58" s="20">
        <v>5535949</v>
      </c>
      <c r="G58" s="20">
        <v>7143323</v>
      </c>
      <c r="H58" s="20">
        <v>5391573</v>
      </c>
      <c r="I58" s="20">
        <v>4875243</v>
      </c>
      <c r="J58" s="20">
        <v>5265522</v>
      </c>
      <c r="K58" s="20">
        <v>4758433</v>
      </c>
      <c r="L58" s="20">
        <v>4621833</v>
      </c>
      <c r="M58" s="20">
        <v>4696833</v>
      </c>
      <c r="N58" s="20">
        <v>4621833</v>
      </c>
      <c r="O58" s="20">
        <v>46910542</v>
      </c>
    </row>
    <row r="59" spans="1:15" ht="15" customHeight="1">
      <c r="A59" s="56"/>
      <c r="B59" s="57" t="s">
        <v>134</v>
      </c>
      <c r="C59" s="63"/>
      <c r="D59" s="63"/>
      <c r="E59" s="63"/>
      <c r="F59" s="63"/>
      <c r="G59" s="63"/>
      <c r="H59" s="63"/>
      <c r="I59" s="59">
        <v>121.881075</v>
      </c>
      <c r="J59" s="59">
        <v>8.76462206834562</v>
      </c>
      <c r="K59" s="59">
        <v>24.626001407663502</v>
      </c>
      <c r="L59" s="59">
        <v>8.2707007623206099</v>
      </c>
      <c r="M59" s="59">
        <v>3.0125187206762898</v>
      </c>
      <c r="N59" s="59">
        <v>2.81242024748002</v>
      </c>
      <c r="O59" s="61">
        <v>10.2084008662787</v>
      </c>
    </row>
    <row r="61" spans="1:15" ht="15" customHeight="1">
      <c r="A61" s="62" t="s">
        <v>148</v>
      </c>
      <c r="B61" s="55" t="s">
        <v>132</v>
      </c>
      <c r="C61" s="20">
        <v>0</v>
      </c>
      <c r="D61" s="20">
        <v>0</v>
      </c>
      <c r="E61" s="20">
        <v>0</v>
      </c>
      <c r="F61" s="20">
        <v>461140</v>
      </c>
      <c r="G61" s="20">
        <v>783440</v>
      </c>
      <c r="H61" s="20">
        <v>442970</v>
      </c>
      <c r="I61" s="20">
        <v>505440</v>
      </c>
      <c r="J61" s="20">
        <v>550560</v>
      </c>
      <c r="K61" s="20">
        <v>529680</v>
      </c>
      <c r="L61" s="20">
        <v>896640</v>
      </c>
      <c r="M61" s="20">
        <v>1183910</v>
      </c>
      <c r="N61" s="20">
        <v>0</v>
      </c>
      <c r="O61" s="20">
        <v>5353780</v>
      </c>
    </row>
    <row r="62" spans="1:15" ht="15" customHeight="1">
      <c r="A62" s="62"/>
      <c r="B62" s="55" t="s">
        <v>133</v>
      </c>
      <c r="C62" s="20">
        <v>0</v>
      </c>
      <c r="D62" s="20">
        <v>0</v>
      </c>
      <c r="E62" s="20">
        <v>0</v>
      </c>
      <c r="F62" s="20">
        <v>626997</v>
      </c>
      <c r="G62" s="20">
        <v>248917</v>
      </c>
      <c r="H62" s="20">
        <v>248917</v>
      </c>
      <c r="I62" s="20">
        <v>248917</v>
      </c>
      <c r="J62" s="20">
        <v>248917</v>
      </c>
      <c r="K62" s="20">
        <v>248917</v>
      </c>
      <c r="L62" s="20">
        <v>248917</v>
      </c>
      <c r="M62" s="20">
        <v>248917</v>
      </c>
      <c r="N62" s="20">
        <v>248917</v>
      </c>
      <c r="O62" s="20">
        <v>2618333</v>
      </c>
    </row>
    <row r="63" spans="1:15" ht="15" customHeight="1">
      <c r="A63" s="56"/>
      <c r="B63" s="57" t="s">
        <v>134</v>
      </c>
      <c r="C63" s="63"/>
      <c r="D63" s="63"/>
      <c r="E63" s="63"/>
      <c r="F63" s="59">
        <v>1.35966734614217</v>
      </c>
      <c r="G63" s="60">
        <v>0.31772311855406898</v>
      </c>
      <c r="H63" s="60">
        <v>0.56192744429645403</v>
      </c>
      <c r="I63" s="60">
        <v>0.49247586261475201</v>
      </c>
      <c r="J63" s="60">
        <v>0.45211602731764</v>
      </c>
      <c r="K63" s="60">
        <v>0.46993845340583001</v>
      </c>
      <c r="L63" s="58">
        <v>0.27761085831548898</v>
      </c>
      <c r="M63" s="58">
        <v>0.210249934538943</v>
      </c>
      <c r="N63" s="63"/>
      <c r="O63" s="61">
        <v>0.48906249416300301</v>
      </c>
    </row>
    <row r="65" spans="1:15" ht="15" customHeight="1">
      <c r="A65" s="55" t="s">
        <v>149</v>
      </c>
      <c r="B65" s="55" t="s">
        <v>132</v>
      </c>
      <c r="C65" s="20">
        <v>0</v>
      </c>
      <c r="D65" s="20">
        <v>134014</v>
      </c>
      <c r="E65" s="20">
        <v>118994</v>
      </c>
      <c r="F65" s="20">
        <v>83911</v>
      </c>
      <c r="G65" s="20">
        <v>90367</v>
      </c>
      <c r="H65" s="20">
        <v>116684</v>
      </c>
      <c r="I65" s="20">
        <v>101322</v>
      </c>
      <c r="J65" s="20">
        <v>186370</v>
      </c>
      <c r="K65" s="20">
        <v>56609</v>
      </c>
      <c r="L65" s="20">
        <v>156028</v>
      </c>
      <c r="M65" s="20">
        <v>71628</v>
      </c>
      <c r="N65" s="20">
        <v>153076</v>
      </c>
      <c r="O65" s="20">
        <v>1269003</v>
      </c>
    </row>
    <row r="66" spans="1:15" ht="15" customHeight="1">
      <c r="A66" s="62"/>
      <c r="B66" s="55" t="s">
        <v>133</v>
      </c>
      <c r="C66" s="20">
        <v>0</v>
      </c>
      <c r="D66" s="20">
        <v>0</v>
      </c>
      <c r="E66" s="20">
        <v>0</v>
      </c>
      <c r="F66" s="20">
        <v>121831</v>
      </c>
      <c r="G66" s="20">
        <v>36276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158107</v>
      </c>
    </row>
    <row r="67" spans="1:15" ht="15" customHeight="1">
      <c r="A67" s="56"/>
      <c r="B67" s="57" t="s">
        <v>134</v>
      </c>
      <c r="C67" s="63"/>
      <c r="D67" s="58">
        <v>0</v>
      </c>
      <c r="E67" s="58">
        <v>0</v>
      </c>
      <c r="F67" s="59">
        <v>1.45190737805532</v>
      </c>
      <c r="G67" s="60">
        <v>0.40142972545287597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61">
        <v>0.12459151002795101</v>
      </c>
    </row>
    <row r="69" spans="1:15" ht="15" customHeight="1">
      <c r="A69" s="64" t="s">
        <v>150</v>
      </c>
      <c r="B69" s="65" t="s">
        <v>151</v>
      </c>
      <c r="C69" s="24">
        <v>19436964</v>
      </c>
      <c r="D69" s="24">
        <v>18291678</v>
      </c>
      <c r="E69" s="24">
        <v>27830426</v>
      </c>
      <c r="F69" s="24">
        <v>30194942</v>
      </c>
      <c r="G69" s="24">
        <v>34101775</v>
      </c>
      <c r="H69" s="24">
        <v>23435066</v>
      </c>
      <c r="I69" s="24">
        <v>37971307</v>
      </c>
      <c r="J69" s="24">
        <v>55413602</v>
      </c>
      <c r="K69" s="24">
        <v>31005278</v>
      </c>
      <c r="L69" s="24">
        <v>42999786</v>
      </c>
      <c r="M69" s="24">
        <v>43596391</v>
      </c>
      <c r="N69" s="24">
        <v>28142896</v>
      </c>
      <c r="O69" s="24">
        <v>392420111</v>
      </c>
    </row>
    <row r="70" spans="1:15" ht="15" customHeight="1">
      <c r="A70" s="65"/>
      <c r="B70" s="65" t="s">
        <v>152</v>
      </c>
      <c r="C70" s="24">
        <v>0</v>
      </c>
      <c r="D70" s="24">
        <v>0</v>
      </c>
      <c r="E70" s="24">
        <v>0</v>
      </c>
      <c r="F70" s="24">
        <v>34224319</v>
      </c>
      <c r="G70" s="24">
        <v>35714651</v>
      </c>
      <c r="H70" s="24">
        <v>14752683</v>
      </c>
      <c r="I70" s="24">
        <v>10983002</v>
      </c>
      <c r="J70" s="24">
        <v>12499736</v>
      </c>
      <c r="K70" s="24">
        <v>8929954</v>
      </c>
      <c r="L70" s="24">
        <v>7432385</v>
      </c>
      <c r="M70" s="24">
        <v>6008810</v>
      </c>
      <c r="N70" s="24">
        <v>5719450</v>
      </c>
      <c r="O70" s="24">
        <v>136264990</v>
      </c>
    </row>
    <row r="71" spans="1:15" ht="15" customHeight="1">
      <c r="A71" s="65"/>
      <c r="B71" s="64" t="s">
        <v>134</v>
      </c>
      <c r="C71" s="66">
        <v>0</v>
      </c>
      <c r="D71" s="66">
        <v>0</v>
      </c>
      <c r="E71" s="66">
        <v>0</v>
      </c>
      <c r="F71" s="66">
        <v>1.13344542937026</v>
      </c>
      <c r="G71" s="66">
        <v>1.04729595453609</v>
      </c>
      <c r="H71" s="66">
        <v>0.62951318336376805</v>
      </c>
      <c r="I71" s="66">
        <v>0.28924477105831498</v>
      </c>
      <c r="J71" s="66">
        <v>0.225571620484083</v>
      </c>
      <c r="K71" s="66">
        <v>0.28801399555262802</v>
      </c>
      <c r="L71" s="66">
        <v>0.17284702300611501</v>
      </c>
      <c r="M71" s="66">
        <v>0.13782815187615</v>
      </c>
      <c r="N71" s="66">
        <v>0.20322890721694001</v>
      </c>
      <c r="O71" s="66">
        <v>0.34724262641065301</v>
      </c>
    </row>
  </sheetData>
  <mergeCells count="2">
    <mergeCell ref="A1:O1"/>
    <mergeCell ref="A2:O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Normal="100" workbookViewId="0">
      <selection sqref="A1:C1"/>
    </sheetView>
  </sheetViews>
  <sheetFormatPr defaultColWidth="8.7109375" defaultRowHeight="15"/>
  <cols>
    <col min="1" max="1" width="18" customWidth="1"/>
    <col min="2" max="2" width="16" customWidth="1"/>
    <col min="3" max="3" width="30" customWidth="1"/>
  </cols>
  <sheetData>
    <row r="1" spans="1:3" ht="27.75" customHeight="1">
      <c r="A1" s="14" t="s">
        <v>153</v>
      </c>
      <c r="B1" s="14"/>
      <c r="C1" s="14"/>
    </row>
    <row r="3" spans="1:3" ht="15" customHeight="1">
      <c r="A3" s="15" t="s">
        <v>154</v>
      </c>
      <c r="B3" s="15" t="s">
        <v>155</v>
      </c>
      <c r="C3" s="15" t="s">
        <v>156</v>
      </c>
    </row>
    <row r="4" spans="1:3" ht="15" customHeight="1">
      <c r="A4" s="16" t="s">
        <v>58</v>
      </c>
      <c r="B4" s="67" t="s">
        <v>58</v>
      </c>
      <c r="C4" s="68"/>
    </row>
    <row r="5" spans="1:3" ht="15" customHeight="1">
      <c r="A5" s="16" t="s">
        <v>157</v>
      </c>
      <c r="B5" s="67" t="s">
        <v>58</v>
      </c>
      <c r="C5" s="68"/>
    </row>
    <row r="6" spans="1:3" ht="15" customHeight="1">
      <c r="A6" s="16" t="s">
        <v>88</v>
      </c>
      <c r="B6" s="67" t="s">
        <v>58</v>
      </c>
      <c r="C6" s="68"/>
    </row>
    <row r="7" spans="1:3" ht="15" customHeight="1">
      <c r="A7" s="16" t="s">
        <v>158</v>
      </c>
      <c r="B7" s="67" t="s">
        <v>58</v>
      </c>
      <c r="C7" s="68"/>
    </row>
    <row r="8" spans="1:3" ht="15" customHeight="1">
      <c r="A8" s="16" t="s">
        <v>159</v>
      </c>
      <c r="B8" s="67" t="s">
        <v>58</v>
      </c>
      <c r="C8" s="68"/>
    </row>
    <row r="9" spans="1:3" ht="15" customHeight="1">
      <c r="A9" s="16" t="s">
        <v>59</v>
      </c>
      <c r="B9" s="69" t="s">
        <v>59</v>
      </c>
      <c r="C9" s="68"/>
    </row>
    <row r="10" spans="1:3" ht="15" customHeight="1">
      <c r="A10" s="16" t="s">
        <v>57</v>
      </c>
      <c r="B10" s="70" t="s">
        <v>57</v>
      </c>
      <c r="C10" s="68"/>
    </row>
    <row r="11" spans="1:3" ht="15" customHeight="1">
      <c r="A11" s="16" t="s">
        <v>160</v>
      </c>
      <c r="B11" s="71" t="s">
        <v>60</v>
      </c>
      <c r="C11" s="68"/>
    </row>
  </sheetData>
  <mergeCells count="1">
    <mergeCell ref="A1:C1"/>
  </mergeCells>
  <phoneticPr fontId="45"/>
  <dataValidations count="1">
    <dataValidation type="list" sqref="B4:B11" xr:uid="{00000000-0002-0000-0500-000000000000}">
      <formula1>"レジデンス,リゾート,モーテル,ザック,ワールド・レイ,ココ・ユニバース"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"/>
  <sheetViews>
    <sheetView topLeftCell="A3" zoomScaleNormal="100" workbookViewId="0">
      <selection sqref="A1:C1"/>
    </sheetView>
  </sheetViews>
  <sheetFormatPr defaultColWidth="8.7109375" defaultRowHeight="15"/>
  <cols>
    <col min="1" max="1" width="20" customWidth="1"/>
    <col min="2" max="2" width="22" customWidth="1"/>
    <col min="3" max="3" width="30" customWidth="1"/>
  </cols>
  <sheetData>
    <row r="1" spans="1:3" ht="27.75" customHeight="1">
      <c r="A1" s="14" t="s">
        <v>161</v>
      </c>
      <c r="B1" s="14"/>
      <c r="C1" s="14"/>
    </row>
    <row r="3" spans="1:3" ht="15" customHeight="1">
      <c r="A3" s="15" t="s">
        <v>162</v>
      </c>
      <c r="B3" s="15" t="s">
        <v>163</v>
      </c>
      <c r="C3" s="15" t="s">
        <v>156</v>
      </c>
    </row>
    <row r="4" spans="1:3" ht="15" customHeight="1">
      <c r="A4" s="16" t="s">
        <v>164</v>
      </c>
      <c r="B4" s="72" t="s">
        <v>165</v>
      </c>
      <c r="C4" s="68"/>
    </row>
    <row r="5" spans="1:3" ht="15" customHeight="1">
      <c r="A5" s="16" t="s">
        <v>166</v>
      </c>
      <c r="B5" s="72" t="s">
        <v>165</v>
      </c>
      <c r="C5" s="68"/>
    </row>
    <row r="6" spans="1:3" ht="15" customHeight="1">
      <c r="A6" s="16" t="s">
        <v>167</v>
      </c>
      <c r="B6" s="72" t="s">
        <v>165</v>
      </c>
      <c r="C6" s="68"/>
    </row>
    <row r="7" spans="1:3" ht="15" customHeight="1">
      <c r="A7" s="16" t="s">
        <v>168</v>
      </c>
      <c r="B7" s="72" t="s">
        <v>165</v>
      </c>
      <c r="C7" s="68"/>
    </row>
    <row r="8" spans="1:3" ht="15" customHeight="1">
      <c r="A8" s="16" t="s">
        <v>169</v>
      </c>
      <c r="B8" s="72" t="s">
        <v>165</v>
      </c>
      <c r="C8" s="68"/>
    </row>
    <row r="9" spans="1:3" ht="15" customHeight="1">
      <c r="A9" s="16" t="s">
        <v>170</v>
      </c>
      <c r="B9" s="72" t="s">
        <v>165</v>
      </c>
      <c r="C9" s="68"/>
    </row>
    <row r="10" spans="1:3" ht="15" customHeight="1">
      <c r="A10" s="16" t="s">
        <v>171</v>
      </c>
      <c r="B10" s="72" t="s">
        <v>165</v>
      </c>
      <c r="C10" s="68"/>
    </row>
    <row r="11" spans="1:3" ht="15" customHeight="1">
      <c r="A11" s="16" t="s">
        <v>172</v>
      </c>
      <c r="B11" s="72" t="s">
        <v>165</v>
      </c>
      <c r="C11" s="68"/>
    </row>
    <row r="12" spans="1:3" ht="15" customHeight="1">
      <c r="A12" s="16" t="s">
        <v>173</v>
      </c>
      <c r="B12" s="72" t="s">
        <v>165</v>
      </c>
      <c r="C12" s="68"/>
    </row>
    <row r="13" spans="1:3" ht="15" customHeight="1">
      <c r="A13" s="16" t="s">
        <v>174</v>
      </c>
      <c r="B13" s="72" t="s">
        <v>175</v>
      </c>
      <c r="C13" s="68"/>
    </row>
    <row r="14" spans="1:3" ht="15" customHeight="1">
      <c r="A14" s="16" t="s">
        <v>176</v>
      </c>
      <c r="B14" s="72" t="s">
        <v>177</v>
      </c>
      <c r="C14" s="68"/>
    </row>
    <row r="15" spans="1:3" ht="15" customHeight="1">
      <c r="A15" s="16" t="s">
        <v>178</v>
      </c>
      <c r="B15" s="72" t="s">
        <v>177</v>
      </c>
      <c r="C15" s="68"/>
    </row>
    <row r="16" spans="1:3" ht="15" customHeight="1">
      <c r="A16" s="16" t="s">
        <v>179</v>
      </c>
      <c r="B16" s="72" t="s">
        <v>177</v>
      </c>
      <c r="C16" s="68"/>
    </row>
    <row r="17" spans="1:3" ht="15" customHeight="1">
      <c r="A17" s="16" t="s">
        <v>180</v>
      </c>
      <c r="B17" s="72" t="s">
        <v>177</v>
      </c>
      <c r="C17" s="68"/>
    </row>
    <row r="18" spans="1:3" ht="15" customHeight="1">
      <c r="A18" s="16" t="s">
        <v>181</v>
      </c>
      <c r="B18" s="72" t="s">
        <v>181</v>
      </c>
      <c r="C18" s="68"/>
    </row>
    <row r="19" spans="1:3" ht="15" customHeight="1">
      <c r="A19" s="16" t="s">
        <v>182</v>
      </c>
      <c r="B19" s="72" t="s">
        <v>182</v>
      </c>
      <c r="C19" s="68"/>
    </row>
    <row r="20" spans="1:3" ht="15" customHeight="1">
      <c r="A20" s="16" t="s">
        <v>183</v>
      </c>
      <c r="B20" s="72" t="s">
        <v>183</v>
      </c>
      <c r="C20" s="68"/>
    </row>
    <row r="21" spans="1:3" ht="15" customHeight="1">
      <c r="A21" s="16" t="s">
        <v>184</v>
      </c>
      <c r="B21" s="72" t="s">
        <v>184</v>
      </c>
      <c r="C21" s="68"/>
    </row>
    <row r="22" spans="1:3" ht="15" customHeight="1">
      <c r="A22" s="16" t="s">
        <v>185</v>
      </c>
      <c r="B22" s="72" t="s">
        <v>182</v>
      </c>
      <c r="C22" s="68"/>
    </row>
    <row r="23" spans="1:3" ht="15" customHeight="1">
      <c r="A23" s="73"/>
      <c r="B23" s="72"/>
      <c r="C23" s="68"/>
    </row>
    <row r="24" spans="1:3" ht="15" customHeight="1">
      <c r="A24" s="73"/>
      <c r="B24" s="72"/>
      <c r="C24" s="68"/>
    </row>
    <row r="25" spans="1:3" ht="15" customHeight="1">
      <c r="A25" s="73"/>
      <c r="B25" s="72"/>
      <c r="C25" s="68"/>
    </row>
    <row r="26" spans="1:3" ht="15" customHeight="1">
      <c r="A26" s="73"/>
      <c r="B26" s="72"/>
      <c r="C26" s="68"/>
    </row>
    <row r="27" spans="1:3" ht="15" customHeight="1">
      <c r="A27" s="73"/>
      <c r="B27" s="72"/>
      <c r="C27" s="68"/>
    </row>
    <row r="28" spans="1:3" ht="15" customHeight="1">
      <c r="A28" s="73"/>
      <c r="B28" s="72"/>
      <c r="C28" s="68"/>
    </row>
    <row r="29" spans="1:3" ht="15" customHeight="1">
      <c r="A29" s="73"/>
      <c r="B29" s="72"/>
      <c r="C29" s="68"/>
    </row>
    <row r="30" spans="1:3" ht="15" customHeight="1">
      <c r="A30" s="73"/>
      <c r="B30" s="72"/>
      <c r="C30" s="68"/>
    </row>
    <row r="31" spans="1:3" ht="15" customHeight="1">
      <c r="A31" s="73"/>
      <c r="B31" s="72"/>
      <c r="C31" s="68"/>
    </row>
    <row r="32" spans="1:3" ht="15" customHeight="1">
      <c r="A32" s="73"/>
      <c r="B32" s="72"/>
      <c r="C32" s="68"/>
    </row>
  </sheetData>
  <mergeCells count="1">
    <mergeCell ref="A1:C1"/>
  </mergeCells>
  <phoneticPr fontId="45"/>
  <dataValidations count="1">
    <dataValidation type="list" allowBlank="1" sqref="B4:B32" xr:uid="{00000000-0002-0000-0600-000000000000}">
      <formula1>"買掛金支払,手形決済,役員報酬,従業員給与,地代家賃,支払利息,税金・社会保険料,その他経費,借入金返済,設備購入等"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zoomScaleNormal="100" workbookViewId="0">
      <pane ySplit="3" topLeftCell="A4" activePane="bottomLeft" state="frozen"/>
      <selection pane="bottomLeft" sqref="A1:G1"/>
    </sheetView>
  </sheetViews>
  <sheetFormatPr defaultColWidth="8.7109375" defaultRowHeight="15"/>
  <cols>
    <col min="1" max="1" width="16" customWidth="1"/>
    <col min="2" max="3" width="12" customWidth="1"/>
    <col min="4" max="7" width="14" customWidth="1"/>
  </cols>
  <sheetData>
    <row r="1" spans="1:7" ht="27.75" customHeight="1">
      <c r="A1" s="143" t="s">
        <v>186</v>
      </c>
      <c r="B1" s="143"/>
      <c r="C1" s="143"/>
      <c r="D1" s="143"/>
      <c r="E1" s="143"/>
      <c r="F1" s="143"/>
      <c r="G1" s="143"/>
    </row>
    <row r="2" spans="1:7" ht="15" customHeight="1">
      <c r="A2" s="5" t="s">
        <v>187</v>
      </c>
      <c r="B2" s="5"/>
      <c r="C2" s="5"/>
      <c r="D2" s="5"/>
      <c r="E2" s="5"/>
      <c r="F2" s="5"/>
      <c r="G2" s="5"/>
    </row>
    <row r="3" spans="1:7" ht="27.75" customHeight="1">
      <c r="A3" s="34" t="s">
        <v>188</v>
      </c>
      <c r="B3" s="15" t="s">
        <v>189</v>
      </c>
      <c r="C3" s="15" t="s">
        <v>190</v>
      </c>
      <c r="D3" s="15" t="s">
        <v>191</v>
      </c>
      <c r="E3" s="15" t="s">
        <v>192</v>
      </c>
      <c r="F3" s="15" t="s">
        <v>193</v>
      </c>
      <c r="G3" s="15" t="s">
        <v>194</v>
      </c>
    </row>
    <row r="4" spans="1:7" ht="15" customHeight="1">
      <c r="A4" s="55" t="s">
        <v>195</v>
      </c>
      <c r="B4" s="74">
        <v>0</v>
      </c>
      <c r="C4" s="74">
        <v>100</v>
      </c>
      <c r="D4" s="74">
        <v>0</v>
      </c>
      <c r="E4" s="75"/>
      <c r="F4" s="75">
        <v>5</v>
      </c>
      <c r="G4" s="75"/>
    </row>
    <row r="5" spans="1:7" ht="15" customHeight="1">
      <c r="A5" s="62" t="s">
        <v>196</v>
      </c>
      <c r="B5" s="74">
        <v>0</v>
      </c>
      <c r="C5" s="74">
        <v>100</v>
      </c>
      <c r="D5" s="74">
        <v>0</v>
      </c>
      <c r="E5" s="75"/>
      <c r="F5" s="75">
        <v>10</v>
      </c>
      <c r="G5" s="75"/>
    </row>
    <row r="6" spans="1:7" ht="15" customHeight="1">
      <c r="A6" s="62" t="s">
        <v>197</v>
      </c>
      <c r="B6" s="74">
        <v>0</v>
      </c>
      <c r="C6" s="74">
        <v>100</v>
      </c>
      <c r="D6" s="74">
        <v>0</v>
      </c>
      <c r="E6" s="75"/>
      <c r="F6" s="75">
        <v>25</v>
      </c>
      <c r="G6" s="75"/>
    </row>
    <row r="7" spans="1:7" ht="15" customHeight="1">
      <c r="A7" s="62" t="s">
        <v>198</v>
      </c>
      <c r="B7" s="74">
        <v>0</v>
      </c>
      <c r="C7" s="74">
        <v>100</v>
      </c>
      <c r="D7" s="74">
        <v>0</v>
      </c>
      <c r="E7" s="75"/>
      <c r="F7" s="75">
        <v>25</v>
      </c>
      <c r="G7" s="75"/>
    </row>
    <row r="8" spans="1:7" ht="15" customHeight="1">
      <c r="A8" s="62" t="s">
        <v>199</v>
      </c>
      <c r="B8" s="74">
        <v>0</v>
      </c>
      <c r="C8" s="74">
        <v>100</v>
      </c>
      <c r="D8" s="74">
        <v>0</v>
      </c>
      <c r="E8" s="75"/>
      <c r="F8" s="75">
        <v>28</v>
      </c>
      <c r="G8" s="75"/>
    </row>
    <row r="9" spans="1:7" ht="15" customHeight="1">
      <c r="A9" s="55" t="s">
        <v>200</v>
      </c>
      <c r="B9" s="74">
        <v>0</v>
      </c>
      <c r="C9" s="74">
        <v>100</v>
      </c>
      <c r="D9" s="74">
        <v>0</v>
      </c>
      <c r="E9" s="75"/>
      <c r="F9" s="75">
        <v>25</v>
      </c>
      <c r="G9" s="75"/>
    </row>
    <row r="10" spans="1:7" ht="15" customHeight="1">
      <c r="A10" s="55" t="s">
        <v>201</v>
      </c>
      <c r="B10" s="74">
        <v>0</v>
      </c>
      <c r="C10" s="74">
        <v>100</v>
      </c>
      <c r="D10" s="74">
        <v>0</v>
      </c>
      <c r="E10" s="75"/>
      <c r="F10" s="75">
        <v>25</v>
      </c>
      <c r="G10" s="75"/>
    </row>
    <row r="11" spans="1:7" ht="15" customHeight="1">
      <c r="A11" s="62" t="s">
        <v>202</v>
      </c>
      <c r="B11" s="74">
        <v>0</v>
      </c>
      <c r="C11" s="74">
        <v>100</v>
      </c>
      <c r="D11" s="74">
        <v>0</v>
      </c>
      <c r="E11" s="75"/>
      <c r="F11" s="75">
        <v>23</v>
      </c>
      <c r="G11" s="75"/>
    </row>
    <row r="12" spans="1:7" ht="15" customHeight="1">
      <c r="A12" s="55" t="s">
        <v>203</v>
      </c>
      <c r="B12" s="74">
        <v>0</v>
      </c>
      <c r="C12" s="74">
        <v>100</v>
      </c>
      <c r="D12" s="74">
        <v>0</v>
      </c>
      <c r="E12" s="75"/>
      <c r="F12" s="75">
        <v>23</v>
      </c>
      <c r="G12" s="75"/>
    </row>
    <row r="13" spans="1:7" ht="15" customHeight="1">
      <c r="A13" s="55" t="s">
        <v>204</v>
      </c>
      <c r="B13" s="74">
        <v>0</v>
      </c>
      <c r="C13" s="74">
        <v>100</v>
      </c>
      <c r="D13" s="74">
        <v>0</v>
      </c>
      <c r="E13" s="75"/>
      <c r="F13" s="75">
        <v>23</v>
      </c>
      <c r="G13" s="75"/>
    </row>
    <row r="14" spans="1:7" ht="15" customHeight="1">
      <c r="A14" s="55" t="s">
        <v>205</v>
      </c>
      <c r="B14" s="74">
        <v>0</v>
      </c>
      <c r="C14" s="74">
        <v>100</v>
      </c>
      <c r="D14" s="74">
        <v>0</v>
      </c>
      <c r="E14" s="75"/>
      <c r="F14" s="75">
        <v>23</v>
      </c>
      <c r="G14" s="75"/>
    </row>
    <row r="15" spans="1:7" ht="15" customHeight="1">
      <c r="A15" s="55" t="s">
        <v>206</v>
      </c>
      <c r="B15" s="74">
        <v>0</v>
      </c>
      <c r="C15" s="74">
        <v>100</v>
      </c>
      <c r="D15" s="74">
        <v>0</v>
      </c>
      <c r="E15" s="75"/>
      <c r="F15" s="75">
        <v>5</v>
      </c>
      <c r="G15" s="75"/>
    </row>
    <row r="16" spans="1:7" ht="15" customHeight="1">
      <c r="A16" s="62" t="s">
        <v>207</v>
      </c>
      <c r="B16" s="74">
        <v>0</v>
      </c>
      <c r="C16" s="74">
        <v>100</v>
      </c>
      <c r="D16" s="74">
        <v>0</v>
      </c>
      <c r="E16" s="75"/>
      <c r="F16" s="75">
        <v>25</v>
      </c>
      <c r="G16" s="75"/>
    </row>
    <row r="17" spans="1:7" ht="15" customHeight="1">
      <c r="A17" s="62" t="s">
        <v>208</v>
      </c>
      <c r="B17" s="74">
        <v>100</v>
      </c>
      <c r="C17" s="74">
        <v>0</v>
      </c>
      <c r="D17" s="74">
        <v>0</v>
      </c>
      <c r="E17" s="75">
        <v>20</v>
      </c>
      <c r="F17" s="75"/>
      <c r="G17" s="75"/>
    </row>
    <row r="18" spans="1:7" ht="15" customHeight="1">
      <c r="A18" s="62" t="s">
        <v>209</v>
      </c>
      <c r="B18" s="74">
        <v>15</v>
      </c>
      <c r="C18" s="74">
        <v>75</v>
      </c>
      <c r="D18" s="74">
        <v>10</v>
      </c>
      <c r="E18" s="75">
        <v>20</v>
      </c>
      <c r="F18" s="75">
        <v>10</v>
      </c>
      <c r="G18" s="75">
        <v>25</v>
      </c>
    </row>
    <row r="19" spans="1:7" ht="15" customHeight="1">
      <c r="A19" s="62" t="s">
        <v>210</v>
      </c>
      <c r="B19" s="74">
        <v>0</v>
      </c>
      <c r="C19" s="74">
        <v>100</v>
      </c>
      <c r="D19" s="74">
        <v>0</v>
      </c>
      <c r="E19" s="75"/>
      <c r="F19" s="75">
        <v>15</v>
      </c>
      <c r="G19" s="75"/>
    </row>
    <row r="20" spans="1:7" ht="15" customHeight="1">
      <c r="A20" s="62" t="s">
        <v>211</v>
      </c>
      <c r="B20" s="74">
        <v>15</v>
      </c>
      <c r="C20" s="74">
        <v>75</v>
      </c>
      <c r="D20" s="74">
        <v>10</v>
      </c>
      <c r="E20" s="75">
        <v>20</v>
      </c>
      <c r="F20" s="75">
        <v>10</v>
      </c>
      <c r="G20" s="75">
        <v>25</v>
      </c>
    </row>
    <row r="21" spans="1:7" ht="15" customHeight="1">
      <c r="A21" s="62" t="s">
        <v>212</v>
      </c>
      <c r="B21" s="74">
        <v>0</v>
      </c>
      <c r="C21" s="74">
        <v>100</v>
      </c>
      <c r="D21" s="74">
        <v>0</v>
      </c>
      <c r="E21" s="75"/>
      <c r="F21" s="75">
        <v>15</v>
      </c>
      <c r="G21" s="75"/>
    </row>
    <row r="22" spans="1:7" ht="15" customHeight="1">
      <c r="A22" s="62" t="s">
        <v>213</v>
      </c>
      <c r="B22" s="74">
        <v>0</v>
      </c>
      <c r="C22" s="74">
        <v>100</v>
      </c>
      <c r="D22" s="74">
        <v>0</v>
      </c>
      <c r="E22" s="75"/>
      <c r="F22" s="75">
        <v>25</v>
      </c>
      <c r="G22" s="75"/>
    </row>
    <row r="23" spans="1:7" ht="15" customHeight="1">
      <c r="A23" s="62" t="s">
        <v>214</v>
      </c>
      <c r="B23" s="74">
        <v>0</v>
      </c>
      <c r="C23" s="74">
        <v>100</v>
      </c>
      <c r="D23" s="74">
        <v>0</v>
      </c>
      <c r="E23" s="75"/>
      <c r="F23" s="75">
        <v>28</v>
      </c>
      <c r="G23" s="75"/>
    </row>
    <row r="24" spans="1:7" ht="15" customHeight="1">
      <c r="A24" s="62" t="s">
        <v>215</v>
      </c>
      <c r="B24" s="74">
        <v>0</v>
      </c>
      <c r="C24" s="74">
        <v>100</v>
      </c>
      <c r="D24" s="74">
        <v>0</v>
      </c>
      <c r="E24" s="75"/>
      <c r="F24" s="75">
        <v>20</v>
      </c>
      <c r="G24" s="75"/>
    </row>
    <row r="25" spans="1:7" ht="15" customHeight="1">
      <c r="A25" s="55" t="s">
        <v>216</v>
      </c>
      <c r="B25" s="74">
        <v>0</v>
      </c>
      <c r="C25" s="74">
        <v>100</v>
      </c>
      <c r="D25" s="74">
        <v>0</v>
      </c>
      <c r="E25" s="75"/>
      <c r="F25" s="75">
        <v>25</v>
      </c>
      <c r="G25" s="75"/>
    </row>
    <row r="26" spans="1:7" ht="15" customHeight="1">
      <c r="A26" s="62" t="s">
        <v>217</v>
      </c>
      <c r="B26" s="74">
        <v>0</v>
      </c>
      <c r="C26" s="74">
        <v>100</v>
      </c>
      <c r="D26" s="74">
        <v>0</v>
      </c>
      <c r="E26" s="75"/>
      <c r="F26" s="75">
        <v>10</v>
      </c>
      <c r="G26" s="75"/>
    </row>
    <row r="27" spans="1:7" ht="15" customHeight="1">
      <c r="A27" s="62" t="s">
        <v>218</v>
      </c>
      <c r="B27" s="74">
        <v>0</v>
      </c>
      <c r="C27" s="74">
        <v>100</v>
      </c>
      <c r="D27" s="74">
        <v>0</v>
      </c>
      <c r="E27" s="75"/>
      <c r="F27" s="75">
        <v>25</v>
      </c>
      <c r="G27" s="75"/>
    </row>
    <row r="28" spans="1:7" ht="15" customHeight="1">
      <c r="A28" s="62" t="s">
        <v>219</v>
      </c>
      <c r="B28" s="74">
        <v>0</v>
      </c>
      <c r="C28" s="74">
        <v>100</v>
      </c>
      <c r="D28" s="74">
        <v>0</v>
      </c>
      <c r="E28" s="75"/>
      <c r="F28" s="75">
        <v>2</v>
      </c>
      <c r="G28" s="75"/>
    </row>
    <row r="29" spans="1:7" ht="15" customHeight="1">
      <c r="A29" s="62" t="s">
        <v>220</v>
      </c>
      <c r="B29" s="74">
        <v>100</v>
      </c>
      <c r="C29" s="74">
        <v>0</v>
      </c>
      <c r="D29" s="74">
        <v>0</v>
      </c>
      <c r="E29" s="75">
        <v>5</v>
      </c>
      <c r="F29" s="75"/>
      <c r="G29" s="75"/>
    </row>
  </sheetData>
  <mergeCells count="2">
    <mergeCell ref="A1:G1"/>
    <mergeCell ref="A2:G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5"/>
  <sheetViews>
    <sheetView zoomScaleNormal="100" workbookViewId="0">
      <pane ySplit="3" topLeftCell="A349" activePane="bottomLeft" state="frozen"/>
      <selection pane="bottomLeft" sqref="A1:G1"/>
    </sheetView>
  </sheetViews>
  <sheetFormatPr defaultColWidth="8.7109375" defaultRowHeight="15"/>
  <cols>
    <col min="1" max="2" width="14" customWidth="1"/>
    <col min="3" max="3" width="24" customWidth="1"/>
    <col min="4" max="4" width="14" customWidth="1"/>
    <col min="5" max="5" width="16" customWidth="1"/>
    <col min="6" max="6" width="24" customWidth="1"/>
    <col min="7" max="7" width="12" customWidth="1"/>
  </cols>
  <sheetData>
    <row r="1" spans="1:7" ht="27.75" customHeight="1">
      <c r="A1" s="14" t="s">
        <v>221</v>
      </c>
      <c r="B1" s="14"/>
      <c r="C1" s="14"/>
      <c r="D1" s="14"/>
      <c r="E1" s="14"/>
      <c r="F1" s="14"/>
      <c r="G1" s="14"/>
    </row>
    <row r="2" spans="1:7" ht="15" customHeight="1">
      <c r="A2" s="5" t="s">
        <v>222</v>
      </c>
      <c r="B2" s="5"/>
      <c r="C2" s="5"/>
      <c r="D2" s="5"/>
      <c r="E2" s="5"/>
      <c r="F2" s="5"/>
      <c r="G2" s="5"/>
    </row>
    <row r="3" spans="1:7" ht="15" customHeight="1">
      <c r="A3" s="15" t="s">
        <v>56</v>
      </c>
      <c r="B3" s="15" t="s">
        <v>223</v>
      </c>
      <c r="C3" s="15" t="s">
        <v>224</v>
      </c>
      <c r="D3" s="15" t="s">
        <v>225</v>
      </c>
      <c r="E3" s="15" t="s">
        <v>226</v>
      </c>
      <c r="F3" s="15" t="s">
        <v>156</v>
      </c>
      <c r="G3" s="15" t="s">
        <v>227</v>
      </c>
    </row>
    <row r="4" spans="1:7" ht="15" customHeight="1">
      <c r="A4" s="76" t="s">
        <v>62</v>
      </c>
      <c r="B4" s="77">
        <v>46120</v>
      </c>
      <c r="C4" s="78" t="s">
        <v>228</v>
      </c>
      <c r="D4" s="72" t="s">
        <v>208</v>
      </c>
      <c r="E4" s="79">
        <v>1900000</v>
      </c>
      <c r="F4" s="78" t="s">
        <v>229</v>
      </c>
      <c r="G4" s="16" t="s">
        <v>230</v>
      </c>
    </row>
    <row r="5" spans="1:7" ht="15" customHeight="1">
      <c r="A5" s="76" t="s">
        <v>62</v>
      </c>
      <c r="B5" s="77">
        <v>46125</v>
      </c>
      <c r="C5" s="78" t="s">
        <v>231</v>
      </c>
      <c r="D5" s="72" t="s">
        <v>208</v>
      </c>
      <c r="E5" s="79">
        <v>150000</v>
      </c>
      <c r="F5" s="78" t="s">
        <v>229</v>
      </c>
      <c r="G5" s="16" t="s">
        <v>230</v>
      </c>
    </row>
    <row r="6" spans="1:7" ht="15" customHeight="1">
      <c r="A6" s="76" t="s">
        <v>62</v>
      </c>
      <c r="B6" s="77">
        <v>46125</v>
      </c>
      <c r="C6" s="78" t="s">
        <v>232</v>
      </c>
      <c r="D6" s="72" t="s">
        <v>208</v>
      </c>
      <c r="E6" s="79">
        <v>700000</v>
      </c>
      <c r="F6" s="78" t="s">
        <v>233</v>
      </c>
      <c r="G6" s="16" t="s">
        <v>230</v>
      </c>
    </row>
    <row r="7" spans="1:7" ht="15" customHeight="1">
      <c r="A7" s="76" t="s">
        <v>62</v>
      </c>
      <c r="B7" s="77">
        <v>46127</v>
      </c>
      <c r="C7" s="78" t="s">
        <v>234</v>
      </c>
      <c r="D7" s="72" t="s">
        <v>208</v>
      </c>
      <c r="E7" s="79">
        <v>730900</v>
      </c>
      <c r="F7" s="78" t="s">
        <v>229</v>
      </c>
      <c r="G7" s="16" t="s">
        <v>230</v>
      </c>
    </row>
    <row r="8" spans="1:7" ht="15" customHeight="1">
      <c r="A8" s="76" t="s">
        <v>62</v>
      </c>
      <c r="B8" s="77">
        <v>46133</v>
      </c>
      <c r="C8" s="78" t="s">
        <v>235</v>
      </c>
      <c r="D8" s="72" t="s">
        <v>208</v>
      </c>
      <c r="E8" s="79">
        <v>401500</v>
      </c>
      <c r="F8" s="78" t="s">
        <v>229</v>
      </c>
      <c r="G8" s="16" t="s">
        <v>230</v>
      </c>
    </row>
    <row r="9" spans="1:7" ht="15" customHeight="1">
      <c r="A9" s="76" t="s">
        <v>62</v>
      </c>
      <c r="B9" s="77">
        <v>46133</v>
      </c>
      <c r="C9" s="78" t="s">
        <v>228</v>
      </c>
      <c r="D9" s="72" t="s">
        <v>208</v>
      </c>
      <c r="E9" s="79">
        <v>921800</v>
      </c>
      <c r="F9" s="78" t="s">
        <v>229</v>
      </c>
      <c r="G9" s="16" t="s">
        <v>230</v>
      </c>
    </row>
    <row r="10" spans="1:7" ht="15" customHeight="1">
      <c r="A10" s="76" t="s">
        <v>62</v>
      </c>
      <c r="B10" s="77">
        <v>46137</v>
      </c>
      <c r="C10" s="78" t="s">
        <v>232</v>
      </c>
      <c r="D10" s="72" t="s">
        <v>208</v>
      </c>
      <c r="E10" s="79">
        <v>560000</v>
      </c>
      <c r="F10" s="78" t="s">
        <v>233</v>
      </c>
      <c r="G10" s="16" t="s">
        <v>230</v>
      </c>
    </row>
    <row r="11" spans="1:7" ht="15" customHeight="1">
      <c r="A11" s="76" t="s">
        <v>62</v>
      </c>
      <c r="B11" s="77">
        <v>46144</v>
      </c>
      <c r="C11" s="78" t="s">
        <v>232</v>
      </c>
      <c r="D11" s="72" t="s">
        <v>208</v>
      </c>
      <c r="E11" s="79">
        <v>300000</v>
      </c>
      <c r="F11" s="78" t="s">
        <v>233</v>
      </c>
      <c r="G11" s="16" t="s">
        <v>230</v>
      </c>
    </row>
    <row r="12" spans="1:7" ht="15" customHeight="1">
      <c r="A12" s="76" t="s">
        <v>62</v>
      </c>
      <c r="B12" s="77">
        <v>46153</v>
      </c>
      <c r="C12" s="78" t="s">
        <v>228</v>
      </c>
      <c r="D12" s="72" t="s">
        <v>208</v>
      </c>
      <c r="E12" s="79">
        <v>1900000</v>
      </c>
      <c r="F12" s="78" t="s">
        <v>229</v>
      </c>
      <c r="G12" s="16" t="s">
        <v>230</v>
      </c>
    </row>
    <row r="13" spans="1:7" ht="15" customHeight="1">
      <c r="A13" s="76" t="s">
        <v>62</v>
      </c>
      <c r="B13" s="77">
        <v>46181</v>
      </c>
      <c r="C13" s="78" t="s">
        <v>236</v>
      </c>
      <c r="D13" s="72" t="s">
        <v>208</v>
      </c>
      <c r="E13" s="79">
        <v>1900000</v>
      </c>
      <c r="F13" s="78" t="s">
        <v>237</v>
      </c>
      <c r="G13" s="16" t="s">
        <v>238</v>
      </c>
    </row>
    <row r="14" spans="1:7" ht="15" customHeight="1">
      <c r="A14" s="76" t="s">
        <v>62</v>
      </c>
      <c r="B14" s="77">
        <v>46194</v>
      </c>
      <c r="C14" s="78" t="s">
        <v>236</v>
      </c>
      <c r="D14" s="72" t="s">
        <v>208</v>
      </c>
      <c r="E14" s="79">
        <v>921800</v>
      </c>
      <c r="F14" s="78" t="s">
        <v>237</v>
      </c>
      <c r="G14" s="16" t="s">
        <v>238</v>
      </c>
    </row>
    <row r="15" spans="1:7" ht="15" customHeight="1">
      <c r="A15" s="76" t="s">
        <v>62</v>
      </c>
      <c r="B15" s="77">
        <v>46188</v>
      </c>
      <c r="C15" s="78" t="s">
        <v>239</v>
      </c>
      <c r="D15" s="72" t="s">
        <v>208</v>
      </c>
      <c r="E15" s="79">
        <v>700000</v>
      </c>
      <c r="F15" s="78" t="s">
        <v>240</v>
      </c>
      <c r="G15" s="16" t="s">
        <v>238</v>
      </c>
    </row>
    <row r="16" spans="1:7" ht="15" customHeight="1">
      <c r="A16" s="76" t="s">
        <v>62</v>
      </c>
      <c r="B16" s="77">
        <v>46211</v>
      </c>
      <c r="C16" s="78" t="s">
        <v>236</v>
      </c>
      <c r="D16" s="72" t="s">
        <v>208</v>
      </c>
      <c r="E16" s="79">
        <v>1900000</v>
      </c>
      <c r="F16" s="78" t="s">
        <v>237</v>
      </c>
      <c r="G16" s="16" t="s">
        <v>238</v>
      </c>
    </row>
    <row r="17" spans="1:7" ht="15" customHeight="1">
      <c r="A17" s="76" t="s">
        <v>62</v>
      </c>
      <c r="B17" s="77">
        <v>46224</v>
      </c>
      <c r="C17" s="78" t="s">
        <v>236</v>
      </c>
      <c r="D17" s="72" t="s">
        <v>208</v>
      </c>
      <c r="E17" s="79">
        <v>921800</v>
      </c>
      <c r="F17" s="78" t="s">
        <v>237</v>
      </c>
      <c r="G17" s="16" t="s">
        <v>238</v>
      </c>
    </row>
    <row r="18" spans="1:7" ht="15" customHeight="1">
      <c r="A18" s="76" t="s">
        <v>62</v>
      </c>
      <c r="B18" s="77">
        <v>46218</v>
      </c>
      <c r="C18" s="78" t="s">
        <v>239</v>
      </c>
      <c r="D18" s="72" t="s">
        <v>208</v>
      </c>
      <c r="E18" s="79">
        <v>700000</v>
      </c>
      <c r="F18" s="78" t="s">
        <v>240</v>
      </c>
      <c r="G18" s="16" t="s">
        <v>238</v>
      </c>
    </row>
    <row r="19" spans="1:7" ht="15" customHeight="1">
      <c r="A19" s="76" t="s">
        <v>62</v>
      </c>
      <c r="B19" s="77">
        <v>46242</v>
      </c>
      <c r="C19" s="78" t="s">
        <v>236</v>
      </c>
      <c r="D19" s="72" t="s">
        <v>208</v>
      </c>
      <c r="E19" s="79">
        <v>1900000</v>
      </c>
      <c r="F19" s="78" t="s">
        <v>237</v>
      </c>
      <c r="G19" s="16" t="s">
        <v>238</v>
      </c>
    </row>
    <row r="20" spans="1:7" ht="15" customHeight="1">
      <c r="A20" s="76" t="s">
        <v>62</v>
      </c>
      <c r="B20" s="77">
        <v>46255</v>
      </c>
      <c r="C20" s="78" t="s">
        <v>236</v>
      </c>
      <c r="D20" s="72" t="s">
        <v>208</v>
      </c>
      <c r="E20" s="79">
        <v>921800</v>
      </c>
      <c r="F20" s="78" t="s">
        <v>237</v>
      </c>
      <c r="G20" s="16" t="s">
        <v>238</v>
      </c>
    </row>
    <row r="21" spans="1:7" ht="15" customHeight="1">
      <c r="A21" s="76" t="s">
        <v>62</v>
      </c>
      <c r="B21" s="77">
        <v>46249</v>
      </c>
      <c r="C21" s="78" t="s">
        <v>239</v>
      </c>
      <c r="D21" s="72" t="s">
        <v>208</v>
      </c>
      <c r="E21" s="79">
        <v>700000</v>
      </c>
      <c r="F21" s="78" t="s">
        <v>240</v>
      </c>
      <c r="G21" s="16" t="s">
        <v>238</v>
      </c>
    </row>
    <row r="22" spans="1:7" ht="15" customHeight="1">
      <c r="A22" s="76" t="s">
        <v>57</v>
      </c>
      <c r="B22" s="77">
        <v>46024</v>
      </c>
      <c r="C22" s="78" t="s">
        <v>241</v>
      </c>
      <c r="D22" s="72" t="s">
        <v>242</v>
      </c>
      <c r="E22" s="79">
        <v>250800</v>
      </c>
      <c r="F22" s="80" t="s">
        <v>243</v>
      </c>
      <c r="G22" s="16" t="s">
        <v>230</v>
      </c>
    </row>
    <row r="23" spans="1:7" ht="15" customHeight="1">
      <c r="A23" s="76" t="s">
        <v>57</v>
      </c>
      <c r="B23" s="77">
        <v>46027</v>
      </c>
      <c r="C23" s="78" t="s">
        <v>244</v>
      </c>
      <c r="D23" s="72" t="s">
        <v>245</v>
      </c>
      <c r="E23" s="79">
        <v>10000000</v>
      </c>
      <c r="F23" s="80" t="s">
        <v>246</v>
      </c>
      <c r="G23" s="16" t="s">
        <v>230</v>
      </c>
    </row>
    <row r="24" spans="1:7" ht="15" customHeight="1">
      <c r="A24" s="76" t="s">
        <v>57</v>
      </c>
      <c r="B24" s="77">
        <v>46031</v>
      </c>
      <c r="C24" s="78" t="s">
        <v>247</v>
      </c>
      <c r="D24" s="72" t="s">
        <v>245</v>
      </c>
      <c r="E24" s="79">
        <v>3000000</v>
      </c>
      <c r="F24" s="80" t="s">
        <v>248</v>
      </c>
      <c r="G24" s="16" t="s">
        <v>230</v>
      </c>
    </row>
    <row r="25" spans="1:7" ht="15" customHeight="1">
      <c r="A25" s="76" t="s">
        <v>57</v>
      </c>
      <c r="B25" s="77">
        <v>46031</v>
      </c>
      <c r="C25" s="78" t="s">
        <v>249</v>
      </c>
      <c r="D25" s="72" t="s">
        <v>245</v>
      </c>
      <c r="E25" s="79">
        <v>1700000</v>
      </c>
      <c r="F25" s="80" t="s">
        <v>250</v>
      </c>
      <c r="G25" s="16" t="s">
        <v>230</v>
      </c>
    </row>
    <row r="26" spans="1:7" ht="15" customHeight="1">
      <c r="A26" s="76" t="s">
        <v>57</v>
      </c>
      <c r="B26" s="77">
        <v>46031</v>
      </c>
      <c r="C26" s="78" t="s">
        <v>249</v>
      </c>
      <c r="D26" s="72" t="s">
        <v>245</v>
      </c>
      <c r="E26" s="79">
        <v>2000000</v>
      </c>
      <c r="F26" s="80" t="s">
        <v>251</v>
      </c>
      <c r="G26" s="16" t="s">
        <v>230</v>
      </c>
    </row>
    <row r="27" spans="1:7" ht="15" customHeight="1">
      <c r="A27" s="76" t="s">
        <v>57</v>
      </c>
      <c r="B27" s="77">
        <v>46031</v>
      </c>
      <c r="C27" s="78" t="s">
        <v>249</v>
      </c>
      <c r="D27" s="72" t="s">
        <v>245</v>
      </c>
      <c r="E27" s="79">
        <v>1000000</v>
      </c>
      <c r="F27" s="80" t="s">
        <v>252</v>
      </c>
      <c r="G27" s="16" t="s">
        <v>230</v>
      </c>
    </row>
    <row r="28" spans="1:7" ht="15" customHeight="1">
      <c r="A28" s="76" t="s">
        <v>57</v>
      </c>
      <c r="B28" s="77">
        <v>46036</v>
      </c>
      <c r="C28" s="78" t="s">
        <v>249</v>
      </c>
      <c r="D28" s="72" t="s">
        <v>245</v>
      </c>
      <c r="E28" s="79">
        <v>1990000</v>
      </c>
      <c r="F28" s="80" t="s">
        <v>253</v>
      </c>
      <c r="G28" s="16" t="s">
        <v>230</v>
      </c>
    </row>
    <row r="29" spans="1:7" ht="15" customHeight="1">
      <c r="A29" s="76" t="s">
        <v>57</v>
      </c>
      <c r="B29" s="77">
        <v>46036</v>
      </c>
      <c r="C29" s="78" t="s">
        <v>249</v>
      </c>
      <c r="D29" s="72" t="s">
        <v>245</v>
      </c>
      <c r="E29" s="79">
        <v>1010000</v>
      </c>
      <c r="F29" s="80" t="s">
        <v>254</v>
      </c>
      <c r="G29" s="16" t="s">
        <v>230</v>
      </c>
    </row>
    <row r="30" spans="1:7" ht="15" customHeight="1">
      <c r="A30" s="76" t="s">
        <v>57</v>
      </c>
      <c r="B30" s="77">
        <v>46037</v>
      </c>
      <c r="C30" s="78" t="s">
        <v>244</v>
      </c>
      <c r="D30" s="72" t="s">
        <v>245</v>
      </c>
      <c r="E30" s="79">
        <v>4000000</v>
      </c>
      <c r="F30" s="80" t="s">
        <v>255</v>
      </c>
      <c r="G30" s="16" t="s">
        <v>230</v>
      </c>
    </row>
    <row r="31" spans="1:7" ht="15" customHeight="1">
      <c r="A31" s="76" t="s">
        <v>57</v>
      </c>
      <c r="B31" s="77">
        <v>46037</v>
      </c>
      <c r="C31" s="78" t="s">
        <v>244</v>
      </c>
      <c r="D31" s="72" t="s">
        <v>245</v>
      </c>
      <c r="E31" s="79">
        <v>2500000</v>
      </c>
      <c r="F31" s="80" t="s">
        <v>256</v>
      </c>
      <c r="G31" s="16" t="s">
        <v>230</v>
      </c>
    </row>
    <row r="32" spans="1:7" ht="15" customHeight="1">
      <c r="A32" s="76" t="s">
        <v>57</v>
      </c>
      <c r="B32" s="77">
        <v>46037</v>
      </c>
      <c r="C32" s="78" t="s">
        <v>249</v>
      </c>
      <c r="D32" s="72" t="s">
        <v>245</v>
      </c>
      <c r="E32" s="79">
        <v>400000</v>
      </c>
      <c r="F32" s="80" t="s">
        <v>257</v>
      </c>
      <c r="G32" s="16" t="s">
        <v>230</v>
      </c>
    </row>
    <row r="33" spans="1:7" ht="15" customHeight="1">
      <c r="A33" s="76" t="s">
        <v>57</v>
      </c>
      <c r="B33" s="77">
        <v>46037</v>
      </c>
      <c r="C33" s="78" t="s">
        <v>258</v>
      </c>
      <c r="D33" s="72" t="s">
        <v>245</v>
      </c>
      <c r="E33" s="79">
        <v>500000</v>
      </c>
      <c r="F33" s="80" t="s">
        <v>259</v>
      </c>
      <c r="G33" s="16" t="s">
        <v>230</v>
      </c>
    </row>
    <row r="34" spans="1:7" ht="15" customHeight="1">
      <c r="A34" s="76" t="s">
        <v>57</v>
      </c>
      <c r="B34" s="77">
        <v>46037</v>
      </c>
      <c r="C34" s="78" t="s">
        <v>258</v>
      </c>
      <c r="D34" s="72" t="s">
        <v>245</v>
      </c>
      <c r="E34" s="79">
        <v>100000</v>
      </c>
      <c r="F34" s="80" t="s">
        <v>260</v>
      </c>
      <c r="G34" s="16" t="s">
        <v>230</v>
      </c>
    </row>
    <row r="35" spans="1:7" ht="15" customHeight="1">
      <c r="A35" s="76" t="s">
        <v>57</v>
      </c>
      <c r="B35" s="77">
        <v>46041</v>
      </c>
      <c r="C35" s="78" t="s">
        <v>249</v>
      </c>
      <c r="D35" s="72" t="s">
        <v>245</v>
      </c>
      <c r="E35" s="79">
        <v>400000</v>
      </c>
      <c r="F35" s="80" t="s">
        <v>261</v>
      </c>
      <c r="G35" s="16" t="s">
        <v>230</v>
      </c>
    </row>
    <row r="36" spans="1:7" ht="15" customHeight="1">
      <c r="A36" s="76" t="s">
        <v>57</v>
      </c>
      <c r="B36" s="77">
        <v>46044</v>
      </c>
      <c r="C36" s="78" t="s">
        <v>262</v>
      </c>
      <c r="D36" s="72" t="s">
        <v>242</v>
      </c>
      <c r="E36" s="79">
        <v>6534000</v>
      </c>
      <c r="F36" s="80" t="s">
        <v>263</v>
      </c>
      <c r="G36" s="16" t="s">
        <v>230</v>
      </c>
    </row>
    <row r="37" spans="1:7" ht="15" customHeight="1">
      <c r="A37" s="76" t="s">
        <v>57</v>
      </c>
      <c r="B37" s="77">
        <v>46048</v>
      </c>
      <c r="C37" s="78" t="s">
        <v>247</v>
      </c>
      <c r="D37" s="72" t="s">
        <v>245</v>
      </c>
      <c r="E37" s="79">
        <v>3500000</v>
      </c>
      <c r="F37" s="80" t="s">
        <v>264</v>
      </c>
      <c r="G37" s="16" t="s">
        <v>230</v>
      </c>
    </row>
    <row r="38" spans="1:7" ht="15" customHeight="1">
      <c r="A38" s="76" t="s">
        <v>57</v>
      </c>
      <c r="B38" s="77">
        <v>46049</v>
      </c>
      <c r="C38" s="78" t="s">
        <v>265</v>
      </c>
      <c r="D38" s="72" t="s">
        <v>242</v>
      </c>
      <c r="E38" s="79">
        <v>54000</v>
      </c>
      <c r="F38" s="80" t="s">
        <v>266</v>
      </c>
      <c r="G38" s="16" t="s">
        <v>230</v>
      </c>
    </row>
    <row r="39" spans="1:7" ht="15" customHeight="1">
      <c r="A39" s="76" t="s">
        <v>57</v>
      </c>
      <c r="B39" s="77">
        <v>46052</v>
      </c>
      <c r="C39" s="78" t="s">
        <v>249</v>
      </c>
      <c r="D39" s="72" t="s">
        <v>245</v>
      </c>
      <c r="E39" s="79">
        <v>2000000</v>
      </c>
      <c r="F39" s="80" t="s">
        <v>267</v>
      </c>
      <c r="G39" s="16" t="s">
        <v>230</v>
      </c>
    </row>
    <row r="40" spans="1:7" ht="15" customHeight="1">
      <c r="A40" s="76" t="s">
        <v>57</v>
      </c>
      <c r="B40" s="77">
        <v>46052</v>
      </c>
      <c r="C40" s="78" t="s">
        <v>249</v>
      </c>
      <c r="D40" s="72" t="s">
        <v>245</v>
      </c>
      <c r="E40" s="79">
        <v>880000</v>
      </c>
      <c r="F40" s="80" t="s">
        <v>268</v>
      </c>
      <c r="G40" s="16" t="s">
        <v>230</v>
      </c>
    </row>
    <row r="41" spans="1:7" ht="15" customHeight="1">
      <c r="A41" s="76" t="s">
        <v>57</v>
      </c>
      <c r="B41" s="77">
        <v>46054</v>
      </c>
      <c r="C41" s="78" t="s">
        <v>269</v>
      </c>
      <c r="D41" s="72" t="s">
        <v>245</v>
      </c>
      <c r="E41" s="79">
        <v>40</v>
      </c>
      <c r="F41" s="80" t="s">
        <v>270</v>
      </c>
      <c r="G41" s="16" t="s">
        <v>230</v>
      </c>
    </row>
    <row r="42" spans="1:7" ht="15" customHeight="1">
      <c r="A42" s="76" t="s">
        <v>57</v>
      </c>
      <c r="B42" s="77">
        <v>46054</v>
      </c>
      <c r="C42" s="80" t="s">
        <v>271</v>
      </c>
      <c r="D42" s="72" t="s">
        <v>245</v>
      </c>
      <c r="E42" s="79">
        <v>4479</v>
      </c>
      <c r="F42" s="80" t="s">
        <v>272</v>
      </c>
      <c r="G42" s="16" t="s">
        <v>230</v>
      </c>
    </row>
    <row r="43" spans="1:7" ht="15" customHeight="1">
      <c r="A43" s="76" t="s">
        <v>57</v>
      </c>
      <c r="B43" s="77">
        <v>46055</v>
      </c>
      <c r="C43" s="78" t="s">
        <v>249</v>
      </c>
      <c r="D43" s="72" t="s">
        <v>245</v>
      </c>
      <c r="E43" s="79">
        <v>150000</v>
      </c>
      <c r="F43" s="80" t="s">
        <v>273</v>
      </c>
      <c r="G43" s="16" t="s">
        <v>230</v>
      </c>
    </row>
    <row r="44" spans="1:7" ht="15" customHeight="1">
      <c r="A44" s="76" t="s">
        <v>57</v>
      </c>
      <c r="B44" s="77">
        <v>46063</v>
      </c>
      <c r="C44" s="78" t="s">
        <v>244</v>
      </c>
      <c r="D44" s="72" t="s">
        <v>245</v>
      </c>
      <c r="E44" s="79">
        <v>400000</v>
      </c>
      <c r="F44" s="80" t="s">
        <v>274</v>
      </c>
      <c r="G44" s="16" t="s">
        <v>230</v>
      </c>
    </row>
    <row r="45" spans="1:7" ht="15" customHeight="1">
      <c r="A45" s="76" t="s">
        <v>57</v>
      </c>
      <c r="B45" s="77">
        <v>46071</v>
      </c>
      <c r="C45" s="78" t="s">
        <v>275</v>
      </c>
      <c r="D45" s="72" t="s">
        <v>242</v>
      </c>
      <c r="E45" s="79">
        <v>5000000</v>
      </c>
      <c r="F45" s="80" t="s">
        <v>276</v>
      </c>
      <c r="G45" s="16" t="s">
        <v>230</v>
      </c>
    </row>
    <row r="46" spans="1:7" ht="15" customHeight="1">
      <c r="A46" s="76" t="s">
        <v>57</v>
      </c>
      <c r="B46" s="77">
        <v>46072</v>
      </c>
      <c r="C46" s="78" t="s">
        <v>249</v>
      </c>
      <c r="D46" s="72" t="s">
        <v>245</v>
      </c>
      <c r="E46" s="79">
        <v>80000</v>
      </c>
      <c r="F46" s="80" t="s">
        <v>277</v>
      </c>
      <c r="G46" s="16" t="s">
        <v>230</v>
      </c>
    </row>
    <row r="47" spans="1:7" ht="15" customHeight="1">
      <c r="A47" s="76" t="s">
        <v>57</v>
      </c>
      <c r="B47" s="77">
        <v>46082</v>
      </c>
      <c r="C47" s="78" t="s">
        <v>278</v>
      </c>
      <c r="D47" s="72" t="s">
        <v>245</v>
      </c>
      <c r="E47" s="79">
        <v>40</v>
      </c>
      <c r="F47" s="80" t="s">
        <v>279</v>
      </c>
      <c r="G47" s="16" t="s">
        <v>230</v>
      </c>
    </row>
    <row r="48" spans="1:7" ht="15" customHeight="1">
      <c r="A48" s="76" t="s">
        <v>57</v>
      </c>
      <c r="B48" s="77">
        <v>46082</v>
      </c>
      <c r="C48" s="80" t="s">
        <v>280</v>
      </c>
      <c r="D48" s="72" t="s">
        <v>245</v>
      </c>
      <c r="E48" s="79">
        <v>12</v>
      </c>
      <c r="F48" s="80" t="s">
        <v>281</v>
      </c>
      <c r="G48" s="16" t="s">
        <v>230</v>
      </c>
    </row>
    <row r="49" spans="1:7" ht="15" customHeight="1">
      <c r="A49" s="76" t="s">
        <v>57</v>
      </c>
      <c r="B49" s="77">
        <v>46099</v>
      </c>
      <c r="C49" s="78" t="s">
        <v>249</v>
      </c>
      <c r="D49" s="72" t="s">
        <v>245</v>
      </c>
      <c r="E49" s="79">
        <v>650000</v>
      </c>
      <c r="F49" s="80" t="s">
        <v>282</v>
      </c>
      <c r="G49" s="16" t="s">
        <v>230</v>
      </c>
    </row>
    <row r="50" spans="1:7" ht="15" customHeight="1">
      <c r="A50" s="76" t="s">
        <v>57</v>
      </c>
      <c r="B50" s="77">
        <v>46105</v>
      </c>
      <c r="C50" s="78" t="s">
        <v>249</v>
      </c>
      <c r="D50" s="72" t="s">
        <v>245</v>
      </c>
      <c r="E50" s="79">
        <v>1800000</v>
      </c>
      <c r="F50" s="80" t="s">
        <v>283</v>
      </c>
      <c r="G50" s="16" t="s">
        <v>230</v>
      </c>
    </row>
    <row r="51" spans="1:7" ht="15" customHeight="1">
      <c r="A51" s="76" t="s">
        <v>57</v>
      </c>
      <c r="B51" s="77">
        <v>46107</v>
      </c>
      <c r="C51" s="78" t="s">
        <v>284</v>
      </c>
      <c r="D51" s="72" t="s">
        <v>242</v>
      </c>
      <c r="E51" s="79">
        <v>600000</v>
      </c>
      <c r="F51" s="80" t="s">
        <v>285</v>
      </c>
      <c r="G51" s="16" t="s">
        <v>230</v>
      </c>
    </row>
    <row r="52" spans="1:7" ht="15" customHeight="1">
      <c r="A52" s="76" t="s">
        <v>57</v>
      </c>
      <c r="B52" s="77">
        <v>46113</v>
      </c>
      <c r="C52" s="78" t="s">
        <v>286</v>
      </c>
      <c r="D52" s="72" t="s">
        <v>245</v>
      </c>
      <c r="E52" s="79">
        <v>16</v>
      </c>
      <c r="F52" s="80" t="s">
        <v>287</v>
      </c>
      <c r="G52" s="16" t="s">
        <v>230</v>
      </c>
    </row>
    <row r="53" spans="1:7" ht="15" customHeight="1">
      <c r="A53" s="76" t="s">
        <v>57</v>
      </c>
      <c r="B53" s="77">
        <v>46113</v>
      </c>
      <c r="C53" s="80" t="s">
        <v>288</v>
      </c>
      <c r="D53" s="72" t="s">
        <v>245</v>
      </c>
      <c r="E53" s="79">
        <v>2981</v>
      </c>
      <c r="F53" s="80" t="s">
        <v>289</v>
      </c>
      <c r="G53" s="16" t="s">
        <v>230</v>
      </c>
    </row>
    <row r="54" spans="1:7" ht="15" customHeight="1">
      <c r="A54" s="76" t="s">
        <v>57</v>
      </c>
      <c r="B54" s="77">
        <v>46115</v>
      </c>
      <c r="C54" s="78" t="s">
        <v>249</v>
      </c>
      <c r="D54" s="72" t="s">
        <v>245</v>
      </c>
      <c r="E54" s="79">
        <v>350000</v>
      </c>
      <c r="F54" s="80" t="s">
        <v>290</v>
      </c>
      <c r="G54" s="16" t="s">
        <v>230</v>
      </c>
    </row>
    <row r="55" spans="1:7" ht="15" customHeight="1">
      <c r="A55" s="76" t="s">
        <v>57</v>
      </c>
      <c r="B55" s="77">
        <v>46132</v>
      </c>
      <c r="C55" s="78" t="s">
        <v>291</v>
      </c>
      <c r="D55" s="72" t="s">
        <v>242</v>
      </c>
      <c r="E55" s="79">
        <v>250000</v>
      </c>
      <c r="F55" s="80" t="s">
        <v>292</v>
      </c>
      <c r="G55" s="16" t="s">
        <v>230</v>
      </c>
    </row>
    <row r="56" spans="1:7" ht="15" customHeight="1">
      <c r="A56" s="76" t="s">
        <v>57</v>
      </c>
      <c r="B56" s="77">
        <v>46143</v>
      </c>
      <c r="C56" s="78" t="s">
        <v>293</v>
      </c>
      <c r="D56" s="72" t="s">
        <v>245</v>
      </c>
      <c r="E56" s="79">
        <v>17</v>
      </c>
      <c r="F56" s="80" t="s">
        <v>294</v>
      </c>
      <c r="G56" s="16" t="s">
        <v>230</v>
      </c>
    </row>
    <row r="57" spans="1:7" ht="15" customHeight="1">
      <c r="A57" s="76" t="s">
        <v>57</v>
      </c>
      <c r="B57" s="77">
        <v>46143</v>
      </c>
      <c r="C57" s="80" t="s">
        <v>295</v>
      </c>
      <c r="D57" s="72" t="s">
        <v>245</v>
      </c>
      <c r="E57" s="79">
        <v>1083</v>
      </c>
      <c r="F57" s="80" t="s">
        <v>296</v>
      </c>
      <c r="G57" s="16" t="s">
        <v>230</v>
      </c>
    </row>
    <row r="58" spans="1:7" ht="15" customHeight="1">
      <c r="A58" s="81" t="s">
        <v>58</v>
      </c>
      <c r="B58" s="82">
        <v>46028</v>
      </c>
      <c r="C58" s="83" t="s">
        <v>297</v>
      </c>
      <c r="D58" s="84" t="s">
        <v>208</v>
      </c>
      <c r="E58" s="79">
        <v>125144</v>
      </c>
      <c r="F58" s="85" t="s">
        <v>298</v>
      </c>
      <c r="G58" s="62" t="s">
        <v>230</v>
      </c>
    </row>
    <row r="59" spans="1:7" ht="15" customHeight="1">
      <c r="A59" s="81" t="s">
        <v>59</v>
      </c>
      <c r="B59" s="82">
        <v>46028</v>
      </c>
      <c r="C59" s="83" t="s">
        <v>297</v>
      </c>
      <c r="D59" s="84" t="s">
        <v>208</v>
      </c>
      <c r="E59" s="79">
        <v>1514</v>
      </c>
      <c r="F59" s="85" t="s">
        <v>298</v>
      </c>
      <c r="G59" s="62" t="s">
        <v>230</v>
      </c>
    </row>
    <row r="60" spans="1:7" ht="15" customHeight="1">
      <c r="A60" s="81" t="s">
        <v>59</v>
      </c>
      <c r="B60" s="82">
        <v>46028</v>
      </c>
      <c r="C60" s="83" t="s">
        <v>195</v>
      </c>
      <c r="D60" s="84" t="s">
        <v>208</v>
      </c>
      <c r="E60" s="79">
        <v>192924</v>
      </c>
      <c r="F60" s="85" t="s">
        <v>298</v>
      </c>
      <c r="G60" s="62" t="s">
        <v>230</v>
      </c>
    </row>
    <row r="61" spans="1:7" ht="15" customHeight="1">
      <c r="A61" s="81" t="s">
        <v>58</v>
      </c>
      <c r="B61" s="82">
        <v>46028</v>
      </c>
      <c r="C61" s="83" t="s">
        <v>195</v>
      </c>
      <c r="D61" s="84" t="s">
        <v>208</v>
      </c>
      <c r="E61" s="79">
        <v>258244</v>
      </c>
      <c r="F61" s="85" t="s">
        <v>298</v>
      </c>
      <c r="G61" s="62" t="s">
        <v>230</v>
      </c>
    </row>
    <row r="62" spans="1:7" ht="15" customHeight="1">
      <c r="A62" s="81" t="s">
        <v>58</v>
      </c>
      <c r="B62" s="82">
        <v>46028</v>
      </c>
      <c r="C62" s="83" t="s">
        <v>195</v>
      </c>
      <c r="D62" s="84" t="s">
        <v>208</v>
      </c>
      <c r="E62" s="79">
        <v>344885</v>
      </c>
      <c r="F62" s="85" t="s">
        <v>298</v>
      </c>
      <c r="G62" s="62" t="s">
        <v>230</v>
      </c>
    </row>
    <row r="63" spans="1:7" ht="15" customHeight="1">
      <c r="A63" s="81" t="s">
        <v>58</v>
      </c>
      <c r="B63" s="82">
        <v>46028</v>
      </c>
      <c r="C63" s="83" t="s">
        <v>195</v>
      </c>
      <c r="D63" s="84" t="s">
        <v>208</v>
      </c>
      <c r="E63" s="79">
        <v>213140</v>
      </c>
      <c r="F63" s="85" t="s">
        <v>298</v>
      </c>
      <c r="G63" s="62" t="s">
        <v>230</v>
      </c>
    </row>
    <row r="64" spans="1:7" ht="15" customHeight="1">
      <c r="A64" s="81" t="s">
        <v>58</v>
      </c>
      <c r="B64" s="82">
        <v>46028</v>
      </c>
      <c r="C64" s="83" t="s">
        <v>195</v>
      </c>
      <c r="D64" s="84" t="s">
        <v>208</v>
      </c>
      <c r="E64" s="79">
        <v>367991</v>
      </c>
      <c r="F64" s="85" t="s">
        <v>298</v>
      </c>
      <c r="G64" s="62" t="s">
        <v>230</v>
      </c>
    </row>
    <row r="65" spans="1:7" ht="15" customHeight="1">
      <c r="A65" s="81" t="s">
        <v>58</v>
      </c>
      <c r="B65" s="82">
        <v>46028</v>
      </c>
      <c r="C65" s="83" t="s">
        <v>195</v>
      </c>
      <c r="D65" s="84" t="s">
        <v>208</v>
      </c>
      <c r="E65" s="79">
        <v>422152</v>
      </c>
      <c r="F65" s="85" t="s">
        <v>298</v>
      </c>
      <c r="G65" s="62" t="s">
        <v>230</v>
      </c>
    </row>
    <row r="66" spans="1:7" ht="15" customHeight="1">
      <c r="A66" s="81" t="s">
        <v>58</v>
      </c>
      <c r="B66" s="82">
        <v>46028</v>
      </c>
      <c r="C66" s="83" t="s">
        <v>195</v>
      </c>
      <c r="D66" s="84" t="s">
        <v>208</v>
      </c>
      <c r="E66" s="79">
        <v>194539</v>
      </c>
      <c r="F66" s="85" t="s">
        <v>298</v>
      </c>
      <c r="G66" s="62" t="s">
        <v>230</v>
      </c>
    </row>
    <row r="67" spans="1:7" ht="15" customHeight="1">
      <c r="A67" s="81" t="s">
        <v>59</v>
      </c>
      <c r="B67" s="82">
        <v>46031</v>
      </c>
      <c r="C67" s="85" t="s">
        <v>212</v>
      </c>
      <c r="D67" s="84" t="s">
        <v>208</v>
      </c>
      <c r="E67" s="79">
        <v>37380</v>
      </c>
      <c r="F67" s="85" t="s">
        <v>298</v>
      </c>
      <c r="G67" s="62" t="s">
        <v>230</v>
      </c>
    </row>
    <row r="68" spans="1:7" ht="15" customHeight="1">
      <c r="A68" s="81" t="s">
        <v>59</v>
      </c>
      <c r="B68" s="82">
        <v>46031</v>
      </c>
      <c r="C68" s="85" t="s">
        <v>217</v>
      </c>
      <c r="D68" s="84" t="s">
        <v>208</v>
      </c>
      <c r="E68" s="79">
        <v>26025</v>
      </c>
      <c r="F68" s="85" t="s">
        <v>298</v>
      </c>
      <c r="G68" s="62" t="s">
        <v>230</v>
      </c>
    </row>
    <row r="69" spans="1:7" ht="15" customHeight="1">
      <c r="A69" s="81" t="s">
        <v>58</v>
      </c>
      <c r="B69" s="82">
        <v>46032</v>
      </c>
      <c r="C69" s="85" t="s">
        <v>208</v>
      </c>
      <c r="D69" s="84" t="s">
        <v>208</v>
      </c>
      <c r="E69" s="79">
        <v>388831</v>
      </c>
      <c r="F69" s="85" t="s">
        <v>298</v>
      </c>
      <c r="G69" s="62" t="s">
        <v>230</v>
      </c>
    </row>
    <row r="70" spans="1:7" ht="15" customHeight="1">
      <c r="A70" s="81" t="s">
        <v>58</v>
      </c>
      <c r="B70" s="82">
        <v>46032</v>
      </c>
      <c r="C70" s="85" t="s">
        <v>208</v>
      </c>
      <c r="D70" s="84" t="s">
        <v>208</v>
      </c>
      <c r="E70" s="79">
        <v>208501</v>
      </c>
      <c r="F70" s="85" t="s">
        <v>298</v>
      </c>
      <c r="G70" s="62" t="s">
        <v>230</v>
      </c>
    </row>
    <row r="71" spans="1:7" ht="15" customHeight="1">
      <c r="A71" s="81" t="s">
        <v>59</v>
      </c>
      <c r="B71" s="82">
        <v>46032</v>
      </c>
      <c r="C71" s="85" t="s">
        <v>208</v>
      </c>
      <c r="D71" s="84" t="s">
        <v>208</v>
      </c>
      <c r="E71" s="79">
        <v>164419</v>
      </c>
      <c r="F71" s="85" t="s">
        <v>298</v>
      </c>
      <c r="G71" s="62" t="s">
        <v>230</v>
      </c>
    </row>
    <row r="72" spans="1:7" ht="15" customHeight="1">
      <c r="A72" s="81" t="s">
        <v>58</v>
      </c>
      <c r="B72" s="82">
        <v>46035</v>
      </c>
      <c r="C72" s="85" t="s">
        <v>196</v>
      </c>
      <c r="D72" s="84" t="s">
        <v>208</v>
      </c>
      <c r="E72" s="79">
        <v>1592408</v>
      </c>
      <c r="F72" s="85" t="s">
        <v>298</v>
      </c>
      <c r="G72" s="62" t="s">
        <v>230</v>
      </c>
    </row>
    <row r="73" spans="1:7" ht="15" customHeight="1">
      <c r="A73" s="81" t="s">
        <v>58</v>
      </c>
      <c r="B73" s="82">
        <v>46035</v>
      </c>
      <c r="C73" s="85" t="s">
        <v>196</v>
      </c>
      <c r="D73" s="84" t="s">
        <v>208</v>
      </c>
      <c r="E73" s="79">
        <v>1464702</v>
      </c>
      <c r="F73" s="85" t="s">
        <v>298</v>
      </c>
      <c r="G73" s="62" t="s">
        <v>230</v>
      </c>
    </row>
    <row r="74" spans="1:7" ht="15" customHeight="1">
      <c r="A74" s="81" t="s">
        <v>58</v>
      </c>
      <c r="B74" s="82">
        <v>46035</v>
      </c>
      <c r="C74" s="85" t="s">
        <v>196</v>
      </c>
      <c r="D74" s="84" t="s">
        <v>208</v>
      </c>
      <c r="E74" s="79">
        <v>120442</v>
      </c>
      <c r="F74" s="85" t="s">
        <v>298</v>
      </c>
      <c r="G74" s="62" t="s">
        <v>230</v>
      </c>
    </row>
    <row r="75" spans="1:7" ht="15" customHeight="1">
      <c r="A75" s="81" t="s">
        <v>58</v>
      </c>
      <c r="B75" s="82">
        <v>46035</v>
      </c>
      <c r="C75" s="85" t="s">
        <v>196</v>
      </c>
      <c r="D75" s="84" t="s">
        <v>208</v>
      </c>
      <c r="E75" s="79">
        <v>497462</v>
      </c>
      <c r="F75" s="85" t="s">
        <v>298</v>
      </c>
      <c r="G75" s="62" t="s">
        <v>230</v>
      </c>
    </row>
    <row r="76" spans="1:7" ht="15" customHeight="1">
      <c r="A76" s="81" t="s">
        <v>58</v>
      </c>
      <c r="B76" s="82">
        <v>46037</v>
      </c>
      <c r="C76" s="85" t="s">
        <v>202</v>
      </c>
      <c r="D76" s="84" t="s">
        <v>208</v>
      </c>
      <c r="E76" s="79">
        <v>1880496</v>
      </c>
      <c r="F76" s="85" t="s">
        <v>298</v>
      </c>
      <c r="G76" s="62" t="s">
        <v>230</v>
      </c>
    </row>
    <row r="77" spans="1:7" ht="15" customHeight="1">
      <c r="A77" s="81" t="s">
        <v>58</v>
      </c>
      <c r="B77" s="82">
        <v>46037</v>
      </c>
      <c r="C77" s="83" t="s">
        <v>203</v>
      </c>
      <c r="D77" s="84" t="s">
        <v>208</v>
      </c>
      <c r="E77" s="79">
        <v>216438</v>
      </c>
      <c r="F77" s="85" t="s">
        <v>298</v>
      </c>
      <c r="G77" s="62" t="s">
        <v>230</v>
      </c>
    </row>
    <row r="78" spans="1:7" ht="15" customHeight="1">
      <c r="A78" s="81" t="s">
        <v>58</v>
      </c>
      <c r="B78" s="82">
        <v>46037</v>
      </c>
      <c r="C78" s="83" t="s">
        <v>203</v>
      </c>
      <c r="D78" s="84" t="s">
        <v>208</v>
      </c>
      <c r="E78" s="79">
        <v>145835</v>
      </c>
      <c r="F78" s="85" t="s">
        <v>298</v>
      </c>
      <c r="G78" s="62" t="s">
        <v>230</v>
      </c>
    </row>
    <row r="79" spans="1:7" ht="15" customHeight="1">
      <c r="A79" s="81" t="s">
        <v>59</v>
      </c>
      <c r="B79" s="82">
        <v>46037</v>
      </c>
      <c r="C79" s="83" t="s">
        <v>203</v>
      </c>
      <c r="D79" s="84" t="s">
        <v>208</v>
      </c>
      <c r="E79" s="79">
        <v>221903</v>
      </c>
      <c r="F79" s="85" t="s">
        <v>298</v>
      </c>
      <c r="G79" s="62" t="s">
        <v>230</v>
      </c>
    </row>
    <row r="80" spans="1:7" ht="15" customHeight="1">
      <c r="A80" s="81" t="s">
        <v>58</v>
      </c>
      <c r="B80" s="82">
        <v>46037</v>
      </c>
      <c r="C80" s="83" t="s">
        <v>204</v>
      </c>
      <c r="D80" s="84" t="s">
        <v>208</v>
      </c>
      <c r="E80" s="79">
        <v>827003</v>
      </c>
      <c r="F80" s="85" t="s">
        <v>298</v>
      </c>
      <c r="G80" s="62" t="s">
        <v>230</v>
      </c>
    </row>
    <row r="81" spans="1:7" ht="15" customHeight="1">
      <c r="A81" s="81" t="s">
        <v>59</v>
      </c>
      <c r="B81" s="82">
        <v>46037</v>
      </c>
      <c r="C81" s="83" t="s">
        <v>204</v>
      </c>
      <c r="D81" s="84" t="s">
        <v>208</v>
      </c>
      <c r="E81" s="79">
        <v>716508</v>
      </c>
      <c r="F81" s="85" t="s">
        <v>298</v>
      </c>
      <c r="G81" s="62" t="s">
        <v>230</v>
      </c>
    </row>
    <row r="82" spans="1:7" ht="15" customHeight="1">
      <c r="A82" s="81" t="s">
        <v>58</v>
      </c>
      <c r="B82" s="82">
        <v>46037</v>
      </c>
      <c r="C82" s="83" t="s">
        <v>205</v>
      </c>
      <c r="D82" s="84" t="s">
        <v>208</v>
      </c>
      <c r="E82" s="79">
        <v>18288</v>
      </c>
      <c r="F82" s="85" t="s">
        <v>298</v>
      </c>
      <c r="G82" s="62" t="s">
        <v>230</v>
      </c>
    </row>
    <row r="83" spans="1:7" ht="15" customHeight="1">
      <c r="A83" s="81" t="s">
        <v>58</v>
      </c>
      <c r="B83" s="82">
        <v>46037</v>
      </c>
      <c r="C83" s="83" t="s">
        <v>205</v>
      </c>
      <c r="D83" s="84" t="s">
        <v>208</v>
      </c>
      <c r="E83" s="79">
        <v>573310</v>
      </c>
      <c r="F83" s="85" t="s">
        <v>298</v>
      </c>
      <c r="G83" s="62" t="s">
        <v>230</v>
      </c>
    </row>
    <row r="84" spans="1:7" ht="15" customHeight="1">
      <c r="A84" s="81" t="s">
        <v>59</v>
      </c>
      <c r="B84" s="82">
        <v>46037</v>
      </c>
      <c r="C84" s="85" t="s">
        <v>212</v>
      </c>
      <c r="D84" s="84" t="s">
        <v>208</v>
      </c>
      <c r="E84" s="79">
        <v>178124</v>
      </c>
      <c r="F84" s="85" t="s">
        <v>298</v>
      </c>
      <c r="G84" s="62" t="s">
        <v>230</v>
      </c>
    </row>
    <row r="85" spans="1:7" ht="15" customHeight="1">
      <c r="A85" s="81" t="s">
        <v>58</v>
      </c>
      <c r="B85" s="82">
        <v>46042</v>
      </c>
      <c r="C85" s="85" t="s">
        <v>215</v>
      </c>
      <c r="D85" s="84" t="s">
        <v>208</v>
      </c>
      <c r="E85" s="79">
        <v>105310</v>
      </c>
      <c r="F85" s="85" t="s">
        <v>298</v>
      </c>
      <c r="G85" s="62" t="s">
        <v>230</v>
      </c>
    </row>
    <row r="86" spans="1:7" ht="15" customHeight="1">
      <c r="A86" s="81" t="s">
        <v>58</v>
      </c>
      <c r="B86" s="82">
        <v>46042</v>
      </c>
      <c r="C86" s="85" t="s">
        <v>208</v>
      </c>
      <c r="D86" s="84" t="s">
        <v>208</v>
      </c>
      <c r="E86" s="79">
        <v>287840</v>
      </c>
      <c r="F86" s="85" t="s">
        <v>298</v>
      </c>
      <c r="G86" s="62" t="s">
        <v>230</v>
      </c>
    </row>
    <row r="87" spans="1:7" ht="15" customHeight="1">
      <c r="A87" s="81" t="s">
        <v>58</v>
      </c>
      <c r="B87" s="82">
        <v>46042</v>
      </c>
      <c r="C87" s="85" t="s">
        <v>208</v>
      </c>
      <c r="D87" s="84" t="s">
        <v>208</v>
      </c>
      <c r="E87" s="79">
        <v>217530</v>
      </c>
      <c r="F87" s="85" t="s">
        <v>298</v>
      </c>
      <c r="G87" s="62" t="s">
        <v>230</v>
      </c>
    </row>
    <row r="88" spans="1:7" ht="15" customHeight="1">
      <c r="A88" s="81" t="s">
        <v>59</v>
      </c>
      <c r="B88" s="82">
        <v>46042</v>
      </c>
      <c r="C88" s="85" t="s">
        <v>208</v>
      </c>
      <c r="D88" s="84" t="s">
        <v>208</v>
      </c>
      <c r="E88" s="79">
        <v>246955</v>
      </c>
      <c r="F88" s="85" t="s">
        <v>298</v>
      </c>
      <c r="G88" s="62" t="s">
        <v>230</v>
      </c>
    </row>
    <row r="89" spans="1:7" ht="15" customHeight="1">
      <c r="A89" s="81" t="s">
        <v>58</v>
      </c>
      <c r="B89" s="82">
        <v>46042</v>
      </c>
      <c r="C89" s="85" t="s">
        <v>208</v>
      </c>
      <c r="D89" s="84" t="s">
        <v>208</v>
      </c>
      <c r="E89" s="79">
        <v>91735</v>
      </c>
      <c r="F89" s="85" t="s">
        <v>298</v>
      </c>
      <c r="G89" s="62" t="s">
        <v>230</v>
      </c>
    </row>
    <row r="90" spans="1:7" ht="15" customHeight="1">
      <c r="A90" s="81" t="s">
        <v>58</v>
      </c>
      <c r="B90" s="82">
        <v>46045</v>
      </c>
      <c r="C90" s="85" t="s">
        <v>218</v>
      </c>
      <c r="D90" s="84" t="s">
        <v>208</v>
      </c>
      <c r="E90" s="79">
        <v>676069</v>
      </c>
      <c r="F90" s="85" t="s">
        <v>298</v>
      </c>
      <c r="G90" s="62" t="s">
        <v>230</v>
      </c>
    </row>
    <row r="91" spans="1:7" ht="15" customHeight="1">
      <c r="A91" s="81" t="s">
        <v>59</v>
      </c>
      <c r="B91" s="82">
        <v>46048</v>
      </c>
      <c r="C91" s="85" t="s">
        <v>299</v>
      </c>
      <c r="D91" s="84" t="s">
        <v>208</v>
      </c>
      <c r="E91" s="79">
        <v>621172</v>
      </c>
      <c r="F91" s="85" t="s">
        <v>298</v>
      </c>
      <c r="G91" s="62" t="s">
        <v>230</v>
      </c>
    </row>
    <row r="92" spans="1:7" ht="15" customHeight="1">
      <c r="A92" s="81" t="s">
        <v>58</v>
      </c>
      <c r="B92" s="82">
        <v>46048</v>
      </c>
      <c r="C92" s="85" t="s">
        <v>299</v>
      </c>
      <c r="D92" s="84" t="s">
        <v>208</v>
      </c>
      <c r="E92" s="79">
        <v>494271</v>
      </c>
      <c r="F92" s="85" t="s">
        <v>298</v>
      </c>
      <c r="G92" s="62" t="s">
        <v>230</v>
      </c>
    </row>
    <row r="93" spans="1:7" ht="15" customHeight="1">
      <c r="A93" s="81" t="s">
        <v>58</v>
      </c>
      <c r="B93" s="82">
        <v>46048</v>
      </c>
      <c r="C93" s="85" t="s">
        <v>299</v>
      </c>
      <c r="D93" s="84" t="s">
        <v>208</v>
      </c>
      <c r="E93" s="79">
        <v>510166</v>
      </c>
      <c r="F93" s="85" t="s">
        <v>298</v>
      </c>
      <c r="G93" s="62" t="s">
        <v>230</v>
      </c>
    </row>
    <row r="94" spans="1:7" ht="15" customHeight="1">
      <c r="A94" s="81" t="s">
        <v>58</v>
      </c>
      <c r="B94" s="82">
        <v>46048</v>
      </c>
      <c r="C94" s="85" t="s">
        <v>213</v>
      </c>
      <c r="D94" s="84" t="s">
        <v>208</v>
      </c>
      <c r="E94" s="79">
        <v>121340</v>
      </c>
      <c r="F94" s="85" t="s">
        <v>298</v>
      </c>
      <c r="G94" s="62" t="s">
        <v>230</v>
      </c>
    </row>
    <row r="95" spans="1:7" ht="15" customHeight="1">
      <c r="A95" s="81" t="s">
        <v>58</v>
      </c>
      <c r="B95" s="82">
        <v>46048</v>
      </c>
      <c r="C95" s="85" t="s">
        <v>213</v>
      </c>
      <c r="D95" s="84" t="s">
        <v>208</v>
      </c>
      <c r="E95" s="79">
        <v>260640</v>
      </c>
      <c r="F95" s="85" t="s">
        <v>298</v>
      </c>
      <c r="G95" s="62" t="s">
        <v>230</v>
      </c>
    </row>
    <row r="96" spans="1:7" ht="15" customHeight="1">
      <c r="A96" s="81" t="s">
        <v>59</v>
      </c>
      <c r="B96" s="82">
        <v>46048</v>
      </c>
      <c r="C96" s="85" t="s">
        <v>213</v>
      </c>
      <c r="D96" s="84" t="s">
        <v>208</v>
      </c>
      <c r="E96" s="79">
        <v>24100</v>
      </c>
      <c r="F96" s="85" t="s">
        <v>298</v>
      </c>
      <c r="G96" s="62" t="s">
        <v>230</v>
      </c>
    </row>
    <row r="97" spans="1:7" ht="15" customHeight="1">
      <c r="A97" s="81" t="s">
        <v>58</v>
      </c>
      <c r="B97" s="82">
        <v>46048</v>
      </c>
      <c r="C97" s="85" t="s">
        <v>213</v>
      </c>
      <c r="D97" s="84" t="s">
        <v>208</v>
      </c>
      <c r="E97" s="79">
        <v>22300</v>
      </c>
      <c r="F97" s="85" t="s">
        <v>298</v>
      </c>
      <c r="G97" s="62" t="s">
        <v>230</v>
      </c>
    </row>
    <row r="98" spans="1:7" ht="15" customHeight="1">
      <c r="A98" s="81" t="s">
        <v>58</v>
      </c>
      <c r="B98" s="82">
        <v>46051</v>
      </c>
      <c r="C98" s="85" t="s">
        <v>208</v>
      </c>
      <c r="D98" s="84" t="s">
        <v>208</v>
      </c>
      <c r="E98" s="79">
        <v>113530</v>
      </c>
      <c r="F98" s="85" t="s">
        <v>298</v>
      </c>
      <c r="G98" s="62" t="s">
        <v>230</v>
      </c>
    </row>
    <row r="99" spans="1:7" ht="15" customHeight="1">
      <c r="A99" s="81" t="s">
        <v>58</v>
      </c>
      <c r="B99" s="82">
        <v>46051</v>
      </c>
      <c r="C99" s="85" t="s">
        <v>208</v>
      </c>
      <c r="D99" s="84" t="s">
        <v>208</v>
      </c>
      <c r="E99" s="79">
        <v>338090</v>
      </c>
      <c r="F99" s="85" t="s">
        <v>298</v>
      </c>
      <c r="G99" s="62" t="s">
        <v>230</v>
      </c>
    </row>
    <row r="100" spans="1:7" ht="15" customHeight="1">
      <c r="A100" s="81" t="s">
        <v>58</v>
      </c>
      <c r="B100" s="82">
        <v>46052</v>
      </c>
      <c r="C100" s="83" t="s">
        <v>203</v>
      </c>
      <c r="D100" s="84" t="s">
        <v>208</v>
      </c>
      <c r="E100" s="79">
        <v>183199</v>
      </c>
      <c r="F100" s="85" t="s">
        <v>298</v>
      </c>
      <c r="G100" s="62" t="s">
        <v>230</v>
      </c>
    </row>
    <row r="101" spans="1:7" ht="15" customHeight="1">
      <c r="A101" s="81" t="s">
        <v>59</v>
      </c>
      <c r="B101" s="82">
        <v>46052</v>
      </c>
      <c r="C101" s="83" t="s">
        <v>203</v>
      </c>
      <c r="D101" s="84" t="s">
        <v>208</v>
      </c>
      <c r="E101" s="79">
        <v>37135</v>
      </c>
      <c r="F101" s="85" t="s">
        <v>298</v>
      </c>
      <c r="G101" s="62" t="s">
        <v>230</v>
      </c>
    </row>
    <row r="102" spans="1:7" ht="15" customHeight="1">
      <c r="A102" s="81" t="s">
        <v>58</v>
      </c>
      <c r="B102" s="82">
        <v>46052</v>
      </c>
      <c r="C102" s="83" t="s">
        <v>203</v>
      </c>
      <c r="D102" s="84" t="s">
        <v>208</v>
      </c>
      <c r="E102" s="79">
        <v>39199</v>
      </c>
      <c r="F102" s="85" t="s">
        <v>298</v>
      </c>
      <c r="G102" s="62" t="s">
        <v>230</v>
      </c>
    </row>
    <row r="103" spans="1:7" ht="15" customHeight="1">
      <c r="A103" s="81" t="s">
        <v>58</v>
      </c>
      <c r="B103" s="82">
        <v>46052</v>
      </c>
      <c r="C103" s="83" t="s">
        <v>204</v>
      </c>
      <c r="D103" s="84" t="s">
        <v>208</v>
      </c>
      <c r="E103" s="79">
        <v>485729</v>
      </c>
      <c r="F103" s="85" t="s">
        <v>298</v>
      </c>
      <c r="G103" s="62" t="s">
        <v>230</v>
      </c>
    </row>
    <row r="104" spans="1:7" ht="15" customHeight="1">
      <c r="A104" s="81" t="s">
        <v>59</v>
      </c>
      <c r="B104" s="82">
        <v>46052</v>
      </c>
      <c r="C104" s="83" t="s">
        <v>204</v>
      </c>
      <c r="D104" s="84" t="s">
        <v>208</v>
      </c>
      <c r="E104" s="79">
        <v>233728</v>
      </c>
      <c r="F104" s="85" t="s">
        <v>298</v>
      </c>
      <c r="G104" s="62" t="s">
        <v>230</v>
      </c>
    </row>
    <row r="105" spans="1:7" ht="15" customHeight="1">
      <c r="A105" s="81" t="s">
        <v>58</v>
      </c>
      <c r="B105" s="82">
        <v>46052</v>
      </c>
      <c r="C105" s="85" t="s">
        <v>214</v>
      </c>
      <c r="D105" s="84" t="s">
        <v>208</v>
      </c>
      <c r="E105" s="79">
        <v>234970</v>
      </c>
      <c r="F105" s="85" t="s">
        <v>298</v>
      </c>
      <c r="G105" s="62" t="s">
        <v>230</v>
      </c>
    </row>
    <row r="106" spans="1:7" ht="15" customHeight="1">
      <c r="A106" s="81" t="s">
        <v>58</v>
      </c>
      <c r="B106" s="82">
        <v>46052</v>
      </c>
      <c r="C106" s="85" t="s">
        <v>214</v>
      </c>
      <c r="D106" s="84" t="s">
        <v>208</v>
      </c>
      <c r="E106" s="79">
        <v>113108</v>
      </c>
      <c r="F106" s="85" t="s">
        <v>298</v>
      </c>
      <c r="G106" s="62" t="s">
        <v>230</v>
      </c>
    </row>
    <row r="107" spans="1:7" ht="15" customHeight="1">
      <c r="A107" s="81" t="s">
        <v>59</v>
      </c>
      <c r="B107" s="82">
        <v>46052</v>
      </c>
      <c r="C107" s="85" t="s">
        <v>214</v>
      </c>
      <c r="D107" s="84" t="s">
        <v>208</v>
      </c>
      <c r="E107" s="79">
        <v>665448</v>
      </c>
      <c r="F107" s="85" t="s">
        <v>298</v>
      </c>
      <c r="G107" s="62" t="s">
        <v>230</v>
      </c>
    </row>
    <row r="108" spans="1:7" ht="15" customHeight="1">
      <c r="A108" s="81" t="s">
        <v>58</v>
      </c>
      <c r="B108" s="82">
        <v>46052</v>
      </c>
      <c r="C108" s="83" t="s">
        <v>205</v>
      </c>
      <c r="D108" s="84" t="s">
        <v>208</v>
      </c>
      <c r="E108" s="79">
        <v>191067</v>
      </c>
      <c r="F108" s="85" t="s">
        <v>298</v>
      </c>
      <c r="G108" s="62" t="s">
        <v>230</v>
      </c>
    </row>
    <row r="109" spans="1:7" ht="15" customHeight="1">
      <c r="A109" s="81" t="s">
        <v>58</v>
      </c>
      <c r="B109" s="82">
        <v>46052</v>
      </c>
      <c r="C109" s="85" t="s">
        <v>202</v>
      </c>
      <c r="D109" s="84" t="s">
        <v>208</v>
      </c>
      <c r="E109" s="79">
        <v>3436236</v>
      </c>
      <c r="F109" s="85" t="s">
        <v>298</v>
      </c>
      <c r="G109" s="62" t="s">
        <v>230</v>
      </c>
    </row>
    <row r="110" spans="1:7" ht="15" customHeight="1">
      <c r="A110" s="81" t="s">
        <v>58</v>
      </c>
      <c r="B110" s="82">
        <v>46053</v>
      </c>
      <c r="C110" s="85" t="s">
        <v>208</v>
      </c>
      <c r="D110" s="84" t="s">
        <v>208</v>
      </c>
      <c r="E110" s="79">
        <v>612930</v>
      </c>
      <c r="F110" s="85" t="s">
        <v>298</v>
      </c>
      <c r="G110" s="62" t="s">
        <v>230</v>
      </c>
    </row>
    <row r="111" spans="1:7" ht="15" customHeight="1">
      <c r="A111" s="81" t="s">
        <v>58</v>
      </c>
      <c r="B111" s="82">
        <v>46053</v>
      </c>
      <c r="C111" s="85" t="s">
        <v>208</v>
      </c>
      <c r="D111" s="84" t="s">
        <v>208</v>
      </c>
      <c r="E111" s="79">
        <v>41142</v>
      </c>
      <c r="F111" s="85" t="s">
        <v>298</v>
      </c>
      <c r="G111" s="62" t="s">
        <v>230</v>
      </c>
    </row>
    <row r="112" spans="1:7" ht="15" customHeight="1">
      <c r="A112" s="81" t="s">
        <v>58</v>
      </c>
      <c r="B112" s="82">
        <v>46053</v>
      </c>
      <c r="C112" s="85" t="s">
        <v>208</v>
      </c>
      <c r="D112" s="84" t="s">
        <v>208</v>
      </c>
      <c r="E112" s="79">
        <v>99121</v>
      </c>
      <c r="F112" s="85" t="s">
        <v>298</v>
      </c>
      <c r="G112" s="62" t="s">
        <v>230</v>
      </c>
    </row>
    <row r="113" spans="1:7" ht="15" customHeight="1">
      <c r="A113" s="81" t="s">
        <v>59</v>
      </c>
      <c r="B113" s="82">
        <v>46053</v>
      </c>
      <c r="C113" s="85" t="s">
        <v>208</v>
      </c>
      <c r="D113" s="84" t="s">
        <v>208</v>
      </c>
      <c r="E113" s="79">
        <v>250320</v>
      </c>
      <c r="F113" s="85" t="s">
        <v>298</v>
      </c>
      <c r="G113" s="62" t="s">
        <v>230</v>
      </c>
    </row>
    <row r="114" spans="1:7" ht="15" customHeight="1">
      <c r="A114" s="81" t="s">
        <v>58</v>
      </c>
      <c r="B114" s="82">
        <v>46055</v>
      </c>
      <c r="C114" s="85" t="s">
        <v>219</v>
      </c>
      <c r="D114" s="84" t="s">
        <v>208</v>
      </c>
      <c r="E114" s="79">
        <v>81267</v>
      </c>
      <c r="F114" s="85" t="s">
        <v>298</v>
      </c>
      <c r="G114" s="62" t="s">
        <v>230</v>
      </c>
    </row>
    <row r="115" spans="1:7" ht="15" customHeight="1">
      <c r="A115" s="81" t="s">
        <v>58</v>
      </c>
      <c r="B115" s="82">
        <v>46056</v>
      </c>
      <c r="C115" s="83" t="s">
        <v>206</v>
      </c>
      <c r="D115" s="84" t="s">
        <v>208</v>
      </c>
      <c r="E115" s="79">
        <v>104094</v>
      </c>
      <c r="F115" s="85" t="s">
        <v>298</v>
      </c>
      <c r="G115" s="62" t="s">
        <v>230</v>
      </c>
    </row>
    <row r="116" spans="1:7" ht="15" customHeight="1">
      <c r="A116" s="81" t="s">
        <v>59</v>
      </c>
      <c r="B116" s="82">
        <v>46056</v>
      </c>
      <c r="C116" s="83" t="s">
        <v>206</v>
      </c>
      <c r="D116" s="84" t="s">
        <v>208</v>
      </c>
      <c r="E116" s="79">
        <v>5663</v>
      </c>
      <c r="F116" s="85" t="s">
        <v>298</v>
      </c>
      <c r="G116" s="62" t="s">
        <v>230</v>
      </c>
    </row>
    <row r="117" spans="1:7" ht="15" customHeight="1">
      <c r="A117" s="81" t="s">
        <v>58</v>
      </c>
      <c r="B117" s="82">
        <v>46057</v>
      </c>
      <c r="C117" s="83" t="s">
        <v>195</v>
      </c>
      <c r="D117" s="84" t="s">
        <v>208</v>
      </c>
      <c r="E117" s="79">
        <v>1452802</v>
      </c>
      <c r="F117" s="85" t="s">
        <v>298</v>
      </c>
      <c r="G117" s="62" t="s">
        <v>230</v>
      </c>
    </row>
    <row r="118" spans="1:7" ht="15" customHeight="1">
      <c r="A118" s="81" t="s">
        <v>58</v>
      </c>
      <c r="B118" s="82">
        <v>46057</v>
      </c>
      <c r="C118" s="83" t="s">
        <v>195</v>
      </c>
      <c r="D118" s="84" t="s">
        <v>208</v>
      </c>
      <c r="E118" s="79">
        <v>160045</v>
      </c>
      <c r="F118" s="85" t="s">
        <v>298</v>
      </c>
      <c r="G118" s="62" t="s">
        <v>230</v>
      </c>
    </row>
    <row r="119" spans="1:7" ht="15" customHeight="1">
      <c r="A119" s="81" t="s">
        <v>58</v>
      </c>
      <c r="B119" s="82">
        <v>46057</v>
      </c>
      <c r="C119" s="83" t="s">
        <v>195</v>
      </c>
      <c r="D119" s="84" t="s">
        <v>208</v>
      </c>
      <c r="E119" s="79">
        <v>88075</v>
      </c>
      <c r="F119" s="85" t="s">
        <v>298</v>
      </c>
      <c r="G119" s="62" t="s">
        <v>230</v>
      </c>
    </row>
    <row r="120" spans="1:7" ht="15" customHeight="1">
      <c r="A120" s="81" t="s">
        <v>58</v>
      </c>
      <c r="B120" s="82">
        <v>46057</v>
      </c>
      <c r="C120" s="83" t="s">
        <v>195</v>
      </c>
      <c r="D120" s="84" t="s">
        <v>208</v>
      </c>
      <c r="E120" s="79">
        <v>862595</v>
      </c>
      <c r="F120" s="85" t="s">
        <v>298</v>
      </c>
      <c r="G120" s="62" t="s">
        <v>230</v>
      </c>
    </row>
    <row r="121" spans="1:7" ht="15" customHeight="1">
      <c r="A121" s="81" t="s">
        <v>58</v>
      </c>
      <c r="B121" s="82">
        <v>46057</v>
      </c>
      <c r="C121" s="83" t="s">
        <v>195</v>
      </c>
      <c r="D121" s="84" t="s">
        <v>208</v>
      </c>
      <c r="E121" s="79">
        <v>100300</v>
      </c>
      <c r="F121" s="85" t="s">
        <v>298</v>
      </c>
      <c r="G121" s="62" t="s">
        <v>230</v>
      </c>
    </row>
    <row r="122" spans="1:7" ht="15" customHeight="1">
      <c r="A122" s="81" t="s">
        <v>58</v>
      </c>
      <c r="B122" s="82">
        <v>46057</v>
      </c>
      <c r="C122" s="83" t="s">
        <v>195</v>
      </c>
      <c r="D122" s="84" t="s">
        <v>208</v>
      </c>
      <c r="E122" s="79">
        <v>333634</v>
      </c>
      <c r="F122" s="85" t="s">
        <v>298</v>
      </c>
      <c r="G122" s="62" t="s">
        <v>230</v>
      </c>
    </row>
    <row r="123" spans="1:7" ht="15" customHeight="1">
      <c r="A123" s="81" t="s">
        <v>59</v>
      </c>
      <c r="B123" s="82">
        <v>46057</v>
      </c>
      <c r="C123" s="83" t="s">
        <v>195</v>
      </c>
      <c r="D123" s="84" t="s">
        <v>208</v>
      </c>
      <c r="E123" s="79">
        <v>135072</v>
      </c>
      <c r="F123" s="85" t="s">
        <v>298</v>
      </c>
      <c r="G123" s="62" t="s">
        <v>230</v>
      </c>
    </row>
    <row r="124" spans="1:7" ht="15" customHeight="1">
      <c r="A124" s="81" t="s">
        <v>58</v>
      </c>
      <c r="B124" s="82">
        <v>46058</v>
      </c>
      <c r="C124" s="85" t="s">
        <v>210</v>
      </c>
      <c r="D124" s="84" t="s">
        <v>208</v>
      </c>
      <c r="E124" s="79">
        <v>650000</v>
      </c>
      <c r="F124" s="85" t="s">
        <v>298</v>
      </c>
      <c r="G124" s="62" t="s">
        <v>230</v>
      </c>
    </row>
    <row r="125" spans="1:7" ht="15" customHeight="1">
      <c r="A125" s="81" t="s">
        <v>59</v>
      </c>
      <c r="B125" s="82">
        <v>46058</v>
      </c>
      <c r="C125" s="85" t="s">
        <v>212</v>
      </c>
      <c r="D125" s="84" t="s">
        <v>208</v>
      </c>
      <c r="E125" s="79">
        <v>38801</v>
      </c>
      <c r="F125" s="85" t="s">
        <v>298</v>
      </c>
      <c r="G125" s="62" t="s">
        <v>230</v>
      </c>
    </row>
    <row r="126" spans="1:7" ht="15" customHeight="1">
      <c r="A126" s="81" t="s">
        <v>58</v>
      </c>
      <c r="B126" s="82">
        <v>46063</v>
      </c>
      <c r="C126" s="85" t="s">
        <v>208</v>
      </c>
      <c r="D126" s="84" t="s">
        <v>208</v>
      </c>
      <c r="E126" s="79">
        <v>440209</v>
      </c>
      <c r="F126" s="85" t="s">
        <v>298</v>
      </c>
      <c r="G126" s="62" t="s">
        <v>230</v>
      </c>
    </row>
    <row r="127" spans="1:7" ht="15" customHeight="1">
      <c r="A127" s="81" t="s">
        <v>58</v>
      </c>
      <c r="B127" s="82">
        <v>46063</v>
      </c>
      <c r="C127" s="85" t="s">
        <v>208</v>
      </c>
      <c r="D127" s="84" t="s">
        <v>208</v>
      </c>
      <c r="E127" s="79">
        <v>153100</v>
      </c>
      <c r="F127" s="85" t="s">
        <v>298</v>
      </c>
      <c r="G127" s="62" t="s">
        <v>230</v>
      </c>
    </row>
    <row r="128" spans="1:7" ht="15" customHeight="1">
      <c r="A128" s="81" t="s">
        <v>59</v>
      </c>
      <c r="B128" s="82">
        <v>46063</v>
      </c>
      <c r="C128" s="85" t="s">
        <v>208</v>
      </c>
      <c r="D128" s="84" t="s">
        <v>208</v>
      </c>
      <c r="E128" s="79">
        <v>419470</v>
      </c>
      <c r="F128" s="85" t="s">
        <v>298</v>
      </c>
      <c r="G128" s="62" t="s">
        <v>230</v>
      </c>
    </row>
    <row r="129" spans="1:7" ht="15" customHeight="1">
      <c r="A129" s="81" t="s">
        <v>58</v>
      </c>
      <c r="B129" s="82">
        <v>46063</v>
      </c>
      <c r="C129" s="85" t="s">
        <v>196</v>
      </c>
      <c r="D129" s="84" t="s">
        <v>208</v>
      </c>
      <c r="E129" s="79">
        <v>1273687</v>
      </c>
      <c r="F129" s="85" t="s">
        <v>298</v>
      </c>
      <c r="G129" s="62" t="s">
        <v>230</v>
      </c>
    </row>
    <row r="130" spans="1:7" ht="15" customHeight="1">
      <c r="A130" s="81" t="s">
        <v>58</v>
      </c>
      <c r="B130" s="82">
        <v>46063</v>
      </c>
      <c r="C130" s="85" t="s">
        <v>196</v>
      </c>
      <c r="D130" s="84" t="s">
        <v>208</v>
      </c>
      <c r="E130" s="79">
        <v>1926151</v>
      </c>
      <c r="F130" s="85" t="s">
        <v>298</v>
      </c>
      <c r="G130" s="62" t="s">
        <v>230</v>
      </c>
    </row>
    <row r="131" spans="1:7" ht="15" customHeight="1">
      <c r="A131" s="81" t="s">
        <v>58</v>
      </c>
      <c r="B131" s="82">
        <v>46063</v>
      </c>
      <c r="C131" s="85" t="s">
        <v>196</v>
      </c>
      <c r="D131" s="84" t="s">
        <v>208</v>
      </c>
      <c r="E131" s="79">
        <v>136001</v>
      </c>
      <c r="F131" s="85" t="s">
        <v>298</v>
      </c>
      <c r="G131" s="62" t="s">
        <v>230</v>
      </c>
    </row>
    <row r="132" spans="1:7" ht="15" customHeight="1">
      <c r="A132" s="81" t="s">
        <v>58</v>
      </c>
      <c r="B132" s="82">
        <v>46063</v>
      </c>
      <c r="C132" s="85" t="s">
        <v>196</v>
      </c>
      <c r="D132" s="84" t="s">
        <v>208</v>
      </c>
      <c r="E132" s="79">
        <v>152240</v>
      </c>
      <c r="F132" s="85" t="s">
        <v>298</v>
      </c>
      <c r="G132" s="62" t="s">
        <v>230</v>
      </c>
    </row>
    <row r="133" spans="1:7" ht="15" customHeight="1">
      <c r="A133" s="81" t="s">
        <v>58</v>
      </c>
      <c r="B133" s="82">
        <v>46066</v>
      </c>
      <c r="C133" s="85" t="s">
        <v>210</v>
      </c>
      <c r="D133" s="84" t="s">
        <v>208</v>
      </c>
      <c r="E133" s="79">
        <v>650000</v>
      </c>
      <c r="F133" s="85" t="s">
        <v>298</v>
      </c>
      <c r="G133" s="62" t="s">
        <v>230</v>
      </c>
    </row>
    <row r="134" spans="1:7" ht="15" customHeight="1">
      <c r="A134" s="81" t="s">
        <v>58</v>
      </c>
      <c r="B134" s="82">
        <v>46069</v>
      </c>
      <c r="C134" s="85" t="s">
        <v>202</v>
      </c>
      <c r="D134" s="84" t="s">
        <v>208</v>
      </c>
      <c r="E134" s="79">
        <v>1354047</v>
      </c>
      <c r="F134" s="85" t="s">
        <v>298</v>
      </c>
      <c r="G134" s="62" t="s">
        <v>230</v>
      </c>
    </row>
    <row r="135" spans="1:7" ht="15" customHeight="1">
      <c r="A135" s="81" t="s">
        <v>58</v>
      </c>
      <c r="B135" s="82">
        <v>46069</v>
      </c>
      <c r="C135" s="83" t="s">
        <v>203</v>
      </c>
      <c r="D135" s="84" t="s">
        <v>208</v>
      </c>
      <c r="E135" s="79">
        <v>391286</v>
      </c>
      <c r="F135" s="85" t="s">
        <v>298</v>
      </c>
      <c r="G135" s="62" t="s">
        <v>230</v>
      </c>
    </row>
    <row r="136" spans="1:7" ht="15" customHeight="1">
      <c r="A136" s="81" t="s">
        <v>59</v>
      </c>
      <c r="B136" s="82">
        <v>46069</v>
      </c>
      <c r="C136" s="83" t="s">
        <v>203</v>
      </c>
      <c r="D136" s="84" t="s">
        <v>208</v>
      </c>
      <c r="E136" s="79">
        <v>50319</v>
      </c>
      <c r="F136" s="85" t="s">
        <v>298</v>
      </c>
      <c r="G136" s="62" t="s">
        <v>230</v>
      </c>
    </row>
    <row r="137" spans="1:7" ht="15" customHeight="1">
      <c r="A137" s="81" t="s">
        <v>58</v>
      </c>
      <c r="B137" s="82">
        <v>46069</v>
      </c>
      <c r="C137" s="83" t="s">
        <v>204</v>
      </c>
      <c r="D137" s="84" t="s">
        <v>208</v>
      </c>
      <c r="E137" s="79">
        <v>586193</v>
      </c>
      <c r="F137" s="85" t="s">
        <v>298</v>
      </c>
      <c r="G137" s="62" t="s">
        <v>230</v>
      </c>
    </row>
    <row r="138" spans="1:7" ht="15" customHeight="1">
      <c r="A138" s="81" t="s">
        <v>59</v>
      </c>
      <c r="B138" s="82">
        <v>46069</v>
      </c>
      <c r="C138" s="83" t="s">
        <v>204</v>
      </c>
      <c r="D138" s="84" t="s">
        <v>208</v>
      </c>
      <c r="E138" s="79">
        <v>120277</v>
      </c>
      <c r="F138" s="85" t="s">
        <v>298</v>
      </c>
      <c r="G138" s="62" t="s">
        <v>230</v>
      </c>
    </row>
    <row r="139" spans="1:7" ht="15" customHeight="1">
      <c r="A139" s="81" t="s">
        <v>58</v>
      </c>
      <c r="B139" s="82">
        <v>46069</v>
      </c>
      <c r="C139" s="83" t="s">
        <v>205</v>
      </c>
      <c r="D139" s="84" t="s">
        <v>208</v>
      </c>
      <c r="E139" s="79">
        <v>4838</v>
      </c>
      <c r="F139" s="85" t="s">
        <v>298</v>
      </c>
      <c r="G139" s="62" t="s">
        <v>230</v>
      </c>
    </row>
    <row r="140" spans="1:7" ht="15" customHeight="1">
      <c r="A140" s="81" t="s">
        <v>58</v>
      </c>
      <c r="B140" s="82">
        <v>46069</v>
      </c>
      <c r="C140" s="83" t="s">
        <v>205</v>
      </c>
      <c r="D140" s="84" t="s">
        <v>208</v>
      </c>
      <c r="E140" s="79">
        <v>694705</v>
      </c>
      <c r="F140" s="85" t="s">
        <v>298</v>
      </c>
      <c r="G140" s="62" t="s">
        <v>230</v>
      </c>
    </row>
    <row r="141" spans="1:7" ht="15" customHeight="1">
      <c r="A141" s="81" t="s">
        <v>58</v>
      </c>
      <c r="B141" s="82">
        <v>46069</v>
      </c>
      <c r="C141" s="83" t="s">
        <v>205</v>
      </c>
      <c r="D141" s="84" t="s">
        <v>208</v>
      </c>
      <c r="E141" s="79">
        <v>56082</v>
      </c>
      <c r="F141" s="85" t="s">
        <v>298</v>
      </c>
      <c r="G141" s="62" t="s">
        <v>230</v>
      </c>
    </row>
    <row r="142" spans="1:7" ht="15" customHeight="1">
      <c r="A142" s="81" t="s">
        <v>59</v>
      </c>
      <c r="B142" s="82">
        <v>46069</v>
      </c>
      <c r="C142" s="85" t="s">
        <v>212</v>
      </c>
      <c r="D142" s="84" t="s">
        <v>208</v>
      </c>
      <c r="E142" s="79">
        <v>64298</v>
      </c>
      <c r="F142" s="85" t="s">
        <v>298</v>
      </c>
      <c r="G142" s="62" t="s">
        <v>230</v>
      </c>
    </row>
    <row r="143" spans="1:7" ht="15" customHeight="1">
      <c r="A143" s="81" t="s">
        <v>58</v>
      </c>
      <c r="B143" s="82">
        <v>46073</v>
      </c>
      <c r="C143" s="85" t="s">
        <v>215</v>
      </c>
      <c r="D143" s="84" t="s">
        <v>208</v>
      </c>
      <c r="E143" s="79">
        <v>118015</v>
      </c>
      <c r="F143" s="85" t="s">
        <v>298</v>
      </c>
      <c r="G143" s="62" t="s">
        <v>230</v>
      </c>
    </row>
    <row r="144" spans="1:7" ht="15" customHeight="1">
      <c r="A144" s="81" t="s">
        <v>58</v>
      </c>
      <c r="B144" s="82">
        <v>46073</v>
      </c>
      <c r="C144" s="83" t="s">
        <v>216</v>
      </c>
      <c r="D144" s="84" t="s">
        <v>208</v>
      </c>
      <c r="E144" s="79">
        <v>3329</v>
      </c>
      <c r="F144" s="85" t="s">
        <v>298</v>
      </c>
      <c r="G144" s="62" t="s">
        <v>230</v>
      </c>
    </row>
    <row r="145" spans="1:7" ht="15" customHeight="1">
      <c r="A145" s="81" t="s">
        <v>58</v>
      </c>
      <c r="B145" s="82">
        <v>46073</v>
      </c>
      <c r="C145" s="85" t="s">
        <v>208</v>
      </c>
      <c r="D145" s="84" t="s">
        <v>208</v>
      </c>
      <c r="E145" s="79">
        <v>563840</v>
      </c>
      <c r="F145" s="85" t="s">
        <v>298</v>
      </c>
      <c r="G145" s="62" t="s">
        <v>230</v>
      </c>
    </row>
    <row r="146" spans="1:7" ht="15" customHeight="1">
      <c r="A146" s="81" t="s">
        <v>58</v>
      </c>
      <c r="B146" s="82">
        <v>46073</v>
      </c>
      <c r="C146" s="85" t="s">
        <v>208</v>
      </c>
      <c r="D146" s="84" t="s">
        <v>208</v>
      </c>
      <c r="E146" s="79">
        <v>146331</v>
      </c>
      <c r="F146" s="85" t="s">
        <v>298</v>
      </c>
      <c r="G146" s="62" t="s">
        <v>230</v>
      </c>
    </row>
    <row r="147" spans="1:7" ht="15" customHeight="1">
      <c r="A147" s="81" t="s">
        <v>59</v>
      </c>
      <c r="B147" s="82">
        <v>46073</v>
      </c>
      <c r="C147" s="85" t="s">
        <v>208</v>
      </c>
      <c r="D147" s="84" t="s">
        <v>208</v>
      </c>
      <c r="E147" s="79">
        <v>533245</v>
      </c>
      <c r="F147" s="85" t="s">
        <v>298</v>
      </c>
      <c r="G147" s="62" t="s">
        <v>230</v>
      </c>
    </row>
    <row r="148" spans="1:7" ht="15" customHeight="1">
      <c r="A148" s="81" t="s">
        <v>58</v>
      </c>
      <c r="B148" s="82">
        <v>46073</v>
      </c>
      <c r="C148" s="85" t="s">
        <v>208</v>
      </c>
      <c r="D148" s="84" t="s">
        <v>208</v>
      </c>
      <c r="E148" s="79">
        <v>237195</v>
      </c>
      <c r="F148" s="85" t="s">
        <v>298</v>
      </c>
      <c r="G148" s="62" t="s">
        <v>230</v>
      </c>
    </row>
    <row r="149" spans="1:7" ht="15" customHeight="1">
      <c r="A149" s="81" t="s">
        <v>59</v>
      </c>
      <c r="B149" s="82">
        <v>46078</v>
      </c>
      <c r="C149" s="85" t="s">
        <v>299</v>
      </c>
      <c r="D149" s="84" t="s">
        <v>208</v>
      </c>
      <c r="E149" s="79">
        <v>488610</v>
      </c>
      <c r="F149" s="85" t="s">
        <v>298</v>
      </c>
      <c r="G149" s="62" t="s">
        <v>230</v>
      </c>
    </row>
    <row r="150" spans="1:7" ht="15" customHeight="1">
      <c r="A150" s="81" t="s">
        <v>58</v>
      </c>
      <c r="B150" s="82">
        <v>46078</v>
      </c>
      <c r="C150" s="85" t="s">
        <v>299</v>
      </c>
      <c r="D150" s="84" t="s">
        <v>208</v>
      </c>
      <c r="E150" s="79">
        <v>613684</v>
      </c>
      <c r="F150" s="85" t="s">
        <v>298</v>
      </c>
      <c r="G150" s="62" t="s">
        <v>230</v>
      </c>
    </row>
    <row r="151" spans="1:7" ht="15" customHeight="1">
      <c r="A151" s="81" t="s">
        <v>58</v>
      </c>
      <c r="B151" s="82">
        <v>46078</v>
      </c>
      <c r="C151" s="85" t="s">
        <v>299</v>
      </c>
      <c r="D151" s="84" t="s">
        <v>208</v>
      </c>
      <c r="E151" s="79">
        <v>902211</v>
      </c>
      <c r="F151" s="85" t="s">
        <v>298</v>
      </c>
      <c r="G151" s="62" t="s">
        <v>230</v>
      </c>
    </row>
    <row r="152" spans="1:7" ht="15" customHeight="1">
      <c r="A152" s="81" t="s">
        <v>58</v>
      </c>
      <c r="B152" s="82">
        <v>46078</v>
      </c>
      <c r="C152" s="85" t="s">
        <v>299</v>
      </c>
      <c r="D152" s="84" t="s">
        <v>208</v>
      </c>
      <c r="E152" s="79">
        <v>13340</v>
      </c>
      <c r="F152" s="85" t="s">
        <v>298</v>
      </c>
      <c r="G152" s="62" t="s">
        <v>230</v>
      </c>
    </row>
    <row r="153" spans="1:7" ht="15" customHeight="1">
      <c r="A153" s="81" t="s">
        <v>58</v>
      </c>
      <c r="B153" s="82">
        <v>46078</v>
      </c>
      <c r="C153" s="85" t="s">
        <v>198</v>
      </c>
      <c r="D153" s="84" t="s">
        <v>208</v>
      </c>
      <c r="E153" s="79">
        <v>27630</v>
      </c>
      <c r="F153" s="85" t="s">
        <v>298</v>
      </c>
      <c r="G153" s="62" t="s">
        <v>230</v>
      </c>
    </row>
    <row r="154" spans="1:7" ht="15" customHeight="1">
      <c r="A154" s="81" t="s">
        <v>59</v>
      </c>
      <c r="B154" s="82">
        <v>46078</v>
      </c>
      <c r="C154" s="85" t="s">
        <v>198</v>
      </c>
      <c r="D154" s="84" t="s">
        <v>208</v>
      </c>
      <c r="E154" s="79">
        <v>24000</v>
      </c>
      <c r="F154" s="85" t="s">
        <v>298</v>
      </c>
      <c r="G154" s="62" t="s">
        <v>230</v>
      </c>
    </row>
    <row r="155" spans="1:7" ht="15" customHeight="1">
      <c r="A155" s="81" t="s">
        <v>58</v>
      </c>
      <c r="B155" s="82">
        <v>46078</v>
      </c>
      <c r="C155" s="85" t="s">
        <v>213</v>
      </c>
      <c r="D155" s="84" t="s">
        <v>208</v>
      </c>
      <c r="E155" s="79">
        <v>37182</v>
      </c>
      <c r="F155" s="85" t="s">
        <v>298</v>
      </c>
      <c r="G155" s="62" t="s">
        <v>230</v>
      </c>
    </row>
    <row r="156" spans="1:7" ht="15" customHeight="1">
      <c r="A156" s="81" t="s">
        <v>58</v>
      </c>
      <c r="B156" s="82">
        <v>46078</v>
      </c>
      <c r="C156" s="85" t="s">
        <v>213</v>
      </c>
      <c r="D156" s="84" t="s">
        <v>208</v>
      </c>
      <c r="E156" s="79">
        <v>32800</v>
      </c>
      <c r="F156" s="85" t="s">
        <v>298</v>
      </c>
      <c r="G156" s="62" t="s">
        <v>230</v>
      </c>
    </row>
    <row r="157" spans="1:7" ht="15" customHeight="1">
      <c r="A157" s="81" t="s">
        <v>58</v>
      </c>
      <c r="B157" s="82">
        <v>46078</v>
      </c>
      <c r="C157" s="85" t="s">
        <v>213</v>
      </c>
      <c r="D157" s="84" t="s">
        <v>208</v>
      </c>
      <c r="E157" s="79">
        <v>7600</v>
      </c>
      <c r="F157" s="85" t="s">
        <v>298</v>
      </c>
      <c r="G157" s="62" t="s">
        <v>230</v>
      </c>
    </row>
    <row r="158" spans="1:7" ht="15" customHeight="1">
      <c r="A158" s="81" t="s">
        <v>58</v>
      </c>
      <c r="B158" s="82">
        <v>46078</v>
      </c>
      <c r="C158" s="85" t="s">
        <v>213</v>
      </c>
      <c r="D158" s="84" t="s">
        <v>208</v>
      </c>
      <c r="E158" s="79">
        <v>47100</v>
      </c>
      <c r="F158" s="85" t="s">
        <v>298</v>
      </c>
      <c r="G158" s="62" t="s">
        <v>230</v>
      </c>
    </row>
    <row r="159" spans="1:7" ht="15" customHeight="1">
      <c r="A159" s="81" t="s">
        <v>58</v>
      </c>
      <c r="B159" s="82">
        <v>46078</v>
      </c>
      <c r="C159" s="85" t="s">
        <v>218</v>
      </c>
      <c r="D159" s="84" t="s">
        <v>208</v>
      </c>
      <c r="E159" s="79">
        <v>506663</v>
      </c>
      <c r="F159" s="85" t="s">
        <v>298</v>
      </c>
      <c r="G159" s="62" t="s">
        <v>230</v>
      </c>
    </row>
    <row r="160" spans="1:7" ht="15" customHeight="1">
      <c r="A160" s="81" t="s">
        <v>58</v>
      </c>
      <c r="B160" s="82">
        <v>46080</v>
      </c>
      <c r="C160" s="83" t="s">
        <v>203</v>
      </c>
      <c r="D160" s="84" t="s">
        <v>208</v>
      </c>
      <c r="E160" s="79">
        <v>73159</v>
      </c>
      <c r="F160" s="85" t="s">
        <v>298</v>
      </c>
      <c r="G160" s="62" t="s">
        <v>230</v>
      </c>
    </row>
    <row r="161" spans="1:7" ht="15" customHeight="1">
      <c r="A161" s="81" t="s">
        <v>59</v>
      </c>
      <c r="B161" s="82">
        <v>46080</v>
      </c>
      <c r="C161" s="83" t="s">
        <v>203</v>
      </c>
      <c r="D161" s="84" t="s">
        <v>208</v>
      </c>
      <c r="E161" s="79">
        <v>39992</v>
      </c>
      <c r="F161" s="85" t="s">
        <v>298</v>
      </c>
      <c r="G161" s="62" t="s">
        <v>230</v>
      </c>
    </row>
    <row r="162" spans="1:7" ht="15" customHeight="1">
      <c r="A162" s="81" t="s">
        <v>58</v>
      </c>
      <c r="B162" s="82">
        <v>46080</v>
      </c>
      <c r="C162" s="83" t="s">
        <v>203</v>
      </c>
      <c r="D162" s="84" t="s">
        <v>208</v>
      </c>
      <c r="E162" s="79">
        <v>18710</v>
      </c>
      <c r="F162" s="85" t="s">
        <v>298</v>
      </c>
      <c r="G162" s="62" t="s">
        <v>230</v>
      </c>
    </row>
    <row r="163" spans="1:7" ht="15" customHeight="1">
      <c r="A163" s="81" t="s">
        <v>58</v>
      </c>
      <c r="B163" s="82">
        <v>46080</v>
      </c>
      <c r="C163" s="83" t="s">
        <v>204</v>
      </c>
      <c r="D163" s="84" t="s">
        <v>208</v>
      </c>
      <c r="E163" s="79">
        <v>413626</v>
      </c>
      <c r="F163" s="85" t="s">
        <v>298</v>
      </c>
      <c r="G163" s="62" t="s">
        <v>230</v>
      </c>
    </row>
    <row r="164" spans="1:7" ht="15" customHeight="1">
      <c r="A164" s="81" t="s">
        <v>59</v>
      </c>
      <c r="B164" s="82">
        <v>46080</v>
      </c>
      <c r="C164" s="83" t="s">
        <v>204</v>
      </c>
      <c r="D164" s="84" t="s">
        <v>208</v>
      </c>
      <c r="E164" s="79">
        <v>96271</v>
      </c>
      <c r="F164" s="85" t="s">
        <v>298</v>
      </c>
      <c r="G164" s="62" t="s">
        <v>230</v>
      </c>
    </row>
    <row r="165" spans="1:7" ht="15" customHeight="1">
      <c r="A165" s="81" t="s">
        <v>58</v>
      </c>
      <c r="B165" s="82">
        <v>46080</v>
      </c>
      <c r="C165" s="85" t="s">
        <v>214</v>
      </c>
      <c r="D165" s="84" t="s">
        <v>208</v>
      </c>
      <c r="E165" s="79">
        <v>314661</v>
      </c>
      <c r="F165" s="85" t="s">
        <v>298</v>
      </c>
      <c r="G165" s="62" t="s">
        <v>230</v>
      </c>
    </row>
    <row r="166" spans="1:7" ht="15" customHeight="1">
      <c r="A166" s="81" t="s">
        <v>58</v>
      </c>
      <c r="B166" s="82">
        <v>46080</v>
      </c>
      <c r="C166" s="85" t="s">
        <v>214</v>
      </c>
      <c r="D166" s="84" t="s">
        <v>208</v>
      </c>
      <c r="E166" s="79">
        <v>69765</v>
      </c>
      <c r="F166" s="85" t="s">
        <v>298</v>
      </c>
      <c r="G166" s="62" t="s">
        <v>230</v>
      </c>
    </row>
    <row r="167" spans="1:7" ht="15" customHeight="1">
      <c r="A167" s="81" t="s">
        <v>59</v>
      </c>
      <c r="B167" s="82">
        <v>46080</v>
      </c>
      <c r="C167" s="85" t="s">
        <v>214</v>
      </c>
      <c r="D167" s="84" t="s">
        <v>208</v>
      </c>
      <c r="E167" s="79">
        <v>427601</v>
      </c>
      <c r="F167" s="85" t="s">
        <v>298</v>
      </c>
      <c r="G167" s="62" t="s">
        <v>230</v>
      </c>
    </row>
    <row r="168" spans="1:7" ht="15" customHeight="1">
      <c r="A168" s="81" t="s">
        <v>58</v>
      </c>
      <c r="B168" s="82">
        <v>46080</v>
      </c>
      <c r="C168" s="83" t="s">
        <v>205</v>
      </c>
      <c r="D168" s="84" t="s">
        <v>208</v>
      </c>
      <c r="E168" s="79">
        <v>7160</v>
      </c>
      <c r="F168" s="85" t="s">
        <v>298</v>
      </c>
      <c r="G168" s="62" t="s">
        <v>230</v>
      </c>
    </row>
    <row r="169" spans="1:7" ht="15" customHeight="1">
      <c r="A169" s="81" t="s">
        <v>58</v>
      </c>
      <c r="B169" s="82">
        <v>46080</v>
      </c>
      <c r="C169" s="83" t="s">
        <v>205</v>
      </c>
      <c r="D169" s="84" t="s">
        <v>208</v>
      </c>
      <c r="E169" s="79">
        <v>666580</v>
      </c>
      <c r="F169" s="85" t="s">
        <v>298</v>
      </c>
      <c r="G169" s="62" t="s">
        <v>230</v>
      </c>
    </row>
    <row r="170" spans="1:7" ht="15" customHeight="1">
      <c r="A170" s="81" t="s">
        <v>58</v>
      </c>
      <c r="B170" s="82">
        <v>46080</v>
      </c>
      <c r="C170" s="85" t="s">
        <v>202</v>
      </c>
      <c r="D170" s="84" t="s">
        <v>208</v>
      </c>
      <c r="E170" s="79">
        <v>3532279</v>
      </c>
      <c r="F170" s="85" t="s">
        <v>298</v>
      </c>
      <c r="G170" s="62" t="s">
        <v>230</v>
      </c>
    </row>
    <row r="171" spans="1:7" ht="15" customHeight="1">
      <c r="A171" s="81" t="s">
        <v>58</v>
      </c>
      <c r="B171" s="82">
        <v>46080</v>
      </c>
      <c r="C171" s="85" t="s">
        <v>208</v>
      </c>
      <c r="D171" s="84" t="s">
        <v>208</v>
      </c>
      <c r="E171" s="79">
        <v>589819</v>
      </c>
      <c r="F171" s="85" t="s">
        <v>298</v>
      </c>
      <c r="G171" s="62" t="s">
        <v>230</v>
      </c>
    </row>
    <row r="172" spans="1:7" ht="15" customHeight="1">
      <c r="A172" s="81" t="s">
        <v>58</v>
      </c>
      <c r="B172" s="82">
        <v>46080</v>
      </c>
      <c r="C172" s="85" t="s">
        <v>208</v>
      </c>
      <c r="D172" s="84" t="s">
        <v>208</v>
      </c>
      <c r="E172" s="79">
        <v>50920</v>
      </c>
      <c r="F172" s="85" t="s">
        <v>298</v>
      </c>
      <c r="G172" s="62" t="s">
        <v>230</v>
      </c>
    </row>
    <row r="173" spans="1:7" ht="15" customHeight="1">
      <c r="A173" s="81" t="s">
        <v>59</v>
      </c>
      <c r="B173" s="82">
        <v>46080</v>
      </c>
      <c r="C173" s="85" t="s">
        <v>208</v>
      </c>
      <c r="D173" s="84" t="s">
        <v>208</v>
      </c>
      <c r="E173" s="79">
        <v>613830</v>
      </c>
      <c r="F173" s="85" t="s">
        <v>298</v>
      </c>
      <c r="G173" s="62" t="s">
        <v>230</v>
      </c>
    </row>
    <row r="174" spans="1:7" ht="15" customHeight="1">
      <c r="A174" s="81" t="s">
        <v>58</v>
      </c>
      <c r="B174" s="82">
        <v>46080</v>
      </c>
      <c r="C174" s="85" t="s">
        <v>208</v>
      </c>
      <c r="D174" s="84" t="s">
        <v>208</v>
      </c>
      <c r="E174" s="79">
        <v>7974</v>
      </c>
      <c r="F174" s="85" t="s">
        <v>298</v>
      </c>
      <c r="G174" s="62" t="s">
        <v>230</v>
      </c>
    </row>
    <row r="175" spans="1:7" ht="15" customHeight="1">
      <c r="A175" s="81" t="s">
        <v>58</v>
      </c>
      <c r="B175" s="82">
        <v>46084</v>
      </c>
      <c r="C175" s="83" t="s">
        <v>206</v>
      </c>
      <c r="D175" s="84" t="s">
        <v>208</v>
      </c>
      <c r="E175" s="79">
        <v>5663</v>
      </c>
      <c r="F175" s="85" t="s">
        <v>298</v>
      </c>
      <c r="G175" s="62" t="s">
        <v>230</v>
      </c>
    </row>
    <row r="176" spans="1:7" ht="15" customHeight="1">
      <c r="A176" s="81" t="s">
        <v>58</v>
      </c>
      <c r="B176" s="82">
        <v>46084</v>
      </c>
      <c r="C176" s="83" t="s">
        <v>206</v>
      </c>
      <c r="D176" s="84" t="s">
        <v>208</v>
      </c>
      <c r="E176" s="79">
        <v>159105</v>
      </c>
      <c r="F176" s="85" t="s">
        <v>298</v>
      </c>
      <c r="G176" s="62" t="s">
        <v>230</v>
      </c>
    </row>
    <row r="177" spans="1:7" ht="15" customHeight="1">
      <c r="A177" s="81" t="s">
        <v>59</v>
      </c>
      <c r="B177" s="82">
        <v>46084</v>
      </c>
      <c r="C177" s="83" t="s">
        <v>206</v>
      </c>
      <c r="D177" s="84" t="s">
        <v>208</v>
      </c>
      <c r="E177" s="79">
        <v>22049</v>
      </c>
      <c r="F177" s="85" t="s">
        <v>298</v>
      </c>
      <c r="G177" s="62" t="s">
        <v>230</v>
      </c>
    </row>
    <row r="178" spans="1:7" ht="15" customHeight="1">
      <c r="A178" s="81" t="s">
        <v>58</v>
      </c>
      <c r="B178" s="82">
        <v>46086</v>
      </c>
      <c r="C178" s="85" t="s">
        <v>220</v>
      </c>
      <c r="D178" s="84" t="s">
        <v>208</v>
      </c>
      <c r="E178" s="79">
        <v>10134000</v>
      </c>
      <c r="F178" s="85" t="s">
        <v>298</v>
      </c>
      <c r="G178" s="62" t="s">
        <v>230</v>
      </c>
    </row>
    <row r="179" spans="1:7" ht="15" customHeight="1">
      <c r="A179" s="81" t="s">
        <v>58</v>
      </c>
      <c r="B179" s="82">
        <v>46087</v>
      </c>
      <c r="C179" s="83" t="s">
        <v>195</v>
      </c>
      <c r="D179" s="84" t="s">
        <v>208</v>
      </c>
      <c r="E179" s="79">
        <v>622555</v>
      </c>
      <c r="F179" s="85" t="s">
        <v>298</v>
      </c>
      <c r="G179" s="62" t="s">
        <v>230</v>
      </c>
    </row>
    <row r="180" spans="1:7" ht="15" customHeight="1">
      <c r="A180" s="81" t="s">
        <v>58</v>
      </c>
      <c r="B180" s="82">
        <v>46087</v>
      </c>
      <c r="C180" s="83" t="s">
        <v>195</v>
      </c>
      <c r="D180" s="84" t="s">
        <v>208</v>
      </c>
      <c r="E180" s="79">
        <v>473047</v>
      </c>
      <c r="F180" s="85" t="s">
        <v>298</v>
      </c>
      <c r="G180" s="62" t="s">
        <v>230</v>
      </c>
    </row>
    <row r="181" spans="1:7" ht="15" customHeight="1">
      <c r="A181" s="81" t="s">
        <v>58</v>
      </c>
      <c r="B181" s="82">
        <v>46087</v>
      </c>
      <c r="C181" s="83" t="s">
        <v>195</v>
      </c>
      <c r="D181" s="84" t="s">
        <v>208</v>
      </c>
      <c r="E181" s="79">
        <v>113262</v>
      </c>
      <c r="F181" s="85" t="s">
        <v>298</v>
      </c>
      <c r="G181" s="62" t="s">
        <v>230</v>
      </c>
    </row>
    <row r="182" spans="1:7" ht="15" customHeight="1">
      <c r="A182" s="81" t="s">
        <v>58</v>
      </c>
      <c r="B182" s="82">
        <v>46087</v>
      </c>
      <c r="C182" s="83" t="s">
        <v>195</v>
      </c>
      <c r="D182" s="84" t="s">
        <v>208</v>
      </c>
      <c r="E182" s="79">
        <v>385400</v>
      </c>
      <c r="F182" s="85" t="s">
        <v>298</v>
      </c>
      <c r="G182" s="62" t="s">
        <v>230</v>
      </c>
    </row>
    <row r="183" spans="1:7" ht="15" customHeight="1">
      <c r="A183" s="81" t="s">
        <v>58</v>
      </c>
      <c r="B183" s="82">
        <v>46087</v>
      </c>
      <c r="C183" s="83" t="s">
        <v>195</v>
      </c>
      <c r="D183" s="84" t="s">
        <v>208</v>
      </c>
      <c r="E183" s="79">
        <v>310661</v>
      </c>
      <c r="F183" s="85" t="s">
        <v>298</v>
      </c>
      <c r="G183" s="62" t="s">
        <v>230</v>
      </c>
    </row>
    <row r="184" spans="1:7" ht="15" customHeight="1">
      <c r="A184" s="81" t="s">
        <v>58</v>
      </c>
      <c r="B184" s="82">
        <v>46087</v>
      </c>
      <c r="C184" s="83" t="s">
        <v>195</v>
      </c>
      <c r="D184" s="84" t="s">
        <v>208</v>
      </c>
      <c r="E184" s="79">
        <v>108270</v>
      </c>
      <c r="F184" s="85" t="s">
        <v>298</v>
      </c>
      <c r="G184" s="62" t="s">
        <v>230</v>
      </c>
    </row>
    <row r="185" spans="1:7" ht="15" customHeight="1">
      <c r="A185" s="81" t="s">
        <v>59</v>
      </c>
      <c r="B185" s="82">
        <v>46087</v>
      </c>
      <c r="C185" s="83" t="s">
        <v>195</v>
      </c>
      <c r="D185" s="84" t="s">
        <v>208</v>
      </c>
      <c r="E185" s="79">
        <v>83614</v>
      </c>
      <c r="F185" s="85" t="s">
        <v>298</v>
      </c>
      <c r="G185" s="62" t="s">
        <v>230</v>
      </c>
    </row>
    <row r="186" spans="1:7" ht="15" customHeight="1">
      <c r="A186" s="81" t="s">
        <v>58</v>
      </c>
      <c r="B186" s="82">
        <v>46091</v>
      </c>
      <c r="C186" s="85" t="s">
        <v>208</v>
      </c>
      <c r="D186" s="84" t="s">
        <v>208</v>
      </c>
      <c r="E186" s="79">
        <v>263568</v>
      </c>
      <c r="F186" s="85" t="s">
        <v>298</v>
      </c>
      <c r="G186" s="62" t="s">
        <v>230</v>
      </c>
    </row>
    <row r="187" spans="1:7" ht="15" customHeight="1">
      <c r="A187" s="81" t="s">
        <v>58</v>
      </c>
      <c r="B187" s="82">
        <v>46091</v>
      </c>
      <c r="C187" s="85" t="s">
        <v>208</v>
      </c>
      <c r="D187" s="84" t="s">
        <v>208</v>
      </c>
      <c r="E187" s="79">
        <v>25400</v>
      </c>
      <c r="F187" s="85" t="s">
        <v>298</v>
      </c>
      <c r="G187" s="62" t="s">
        <v>230</v>
      </c>
    </row>
    <row r="188" spans="1:7" ht="15" customHeight="1">
      <c r="A188" s="81" t="s">
        <v>59</v>
      </c>
      <c r="B188" s="82">
        <v>46091</v>
      </c>
      <c r="C188" s="85" t="s">
        <v>208</v>
      </c>
      <c r="D188" s="84" t="s">
        <v>208</v>
      </c>
      <c r="E188" s="79">
        <v>224150</v>
      </c>
      <c r="F188" s="85" t="s">
        <v>298</v>
      </c>
      <c r="G188" s="62" t="s">
        <v>230</v>
      </c>
    </row>
    <row r="189" spans="1:7" ht="15" customHeight="1">
      <c r="A189" s="81" t="s">
        <v>58</v>
      </c>
      <c r="B189" s="82">
        <v>46091</v>
      </c>
      <c r="C189" s="85" t="s">
        <v>196</v>
      </c>
      <c r="D189" s="84" t="s">
        <v>208</v>
      </c>
      <c r="E189" s="79">
        <v>841682</v>
      </c>
      <c r="F189" s="85" t="s">
        <v>298</v>
      </c>
      <c r="G189" s="62" t="s">
        <v>230</v>
      </c>
    </row>
    <row r="190" spans="1:7" ht="15" customHeight="1">
      <c r="A190" s="81" t="s">
        <v>58</v>
      </c>
      <c r="B190" s="82">
        <v>46091</v>
      </c>
      <c r="C190" s="85" t="s">
        <v>196</v>
      </c>
      <c r="D190" s="84" t="s">
        <v>208</v>
      </c>
      <c r="E190" s="79">
        <v>2191138</v>
      </c>
      <c r="F190" s="85" t="s">
        <v>298</v>
      </c>
      <c r="G190" s="62" t="s">
        <v>230</v>
      </c>
    </row>
    <row r="191" spans="1:7" ht="15" customHeight="1">
      <c r="A191" s="81" t="s">
        <v>58</v>
      </c>
      <c r="B191" s="82">
        <v>46091</v>
      </c>
      <c r="C191" s="85" t="s">
        <v>196</v>
      </c>
      <c r="D191" s="84" t="s">
        <v>208</v>
      </c>
      <c r="E191" s="79">
        <v>75619</v>
      </c>
      <c r="F191" s="85" t="s">
        <v>298</v>
      </c>
      <c r="G191" s="62" t="s">
        <v>230</v>
      </c>
    </row>
    <row r="192" spans="1:7" ht="15" customHeight="1">
      <c r="A192" s="81" t="s">
        <v>58</v>
      </c>
      <c r="B192" s="82">
        <v>46091</v>
      </c>
      <c r="C192" s="85" t="s">
        <v>196</v>
      </c>
      <c r="D192" s="84" t="s">
        <v>208</v>
      </c>
      <c r="E192" s="79">
        <v>407783</v>
      </c>
      <c r="F192" s="85" t="s">
        <v>298</v>
      </c>
      <c r="G192" s="62" t="s">
        <v>230</v>
      </c>
    </row>
    <row r="193" spans="1:7" ht="15" customHeight="1">
      <c r="A193" s="81" t="s">
        <v>58</v>
      </c>
      <c r="B193" s="82">
        <v>46091</v>
      </c>
      <c r="C193" s="85" t="s">
        <v>196</v>
      </c>
      <c r="D193" s="84" t="s">
        <v>208</v>
      </c>
      <c r="E193" s="79">
        <v>13499</v>
      </c>
      <c r="F193" s="85" t="s">
        <v>298</v>
      </c>
      <c r="G193" s="62" t="s">
        <v>230</v>
      </c>
    </row>
    <row r="194" spans="1:7" ht="15" customHeight="1">
      <c r="A194" s="81" t="s">
        <v>58</v>
      </c>
      <c r="B194" s="82">
        <v>46094</v>
      </c>
      <c r="C194" s="85" t="s">
        <v>210</v>
      </c>
      <c r="D194" s="84" t="s">
        <v>208</v>
      </c>
      <c r="E194" s="79">
        <v>650000</v>
      </c>
      <c r="F194" s="85" t="s">
        <v>298</v>
      </c>
      <c r="G194" s="62" t="s">
        <v>230</v>
      </c>
    </row>
    <row r="195" spans="1:7" ht="15" customHeight="1">
      <c r="A195" s="81" t="s">
        <v>58</v>
      </c>
      <c r="B195" s="82">
        <v>46097</v>
      </c>
      <c r="C195" s="83" t="s">
        <v>203</v>
      </c>
      <c r="D195" s="84" t="s">
        <v>208</v>
      </c>
      <c r="E195" s="79">
        <v>163008</v>
      </c>
      <c r="F195" s="85" t="s">
        <v>298</v>
      </c>
      <c r="G195" s="62" t="s">
        <v>230</v>
      </c>
    </row>
    <row r="196" spans="1:7" ht="15" customHeight="1">
      <c r="A196" s="81" t="s">
        <v>58</v>
      </c>
      <c r="B196" s="82">
        <v>46097</v>
      </c>
      <c r="C196" s="83" t="s">
        <v>203</v>
      </c>
      <c r="D196" s="84" t="s">
        <v>208</v>
      </c>
      <c r="E196" s="79">
        <v>35353</v>
      </c>
      <c r="F196" s="85" t="s">
        <v>298</v>
      </c>
      <c r="G196" s="62" t="s">
        <v>230</v>
      </c>
    </row>
    <row r="197" spans="1:7" ht="15" customHeight="1">
      <c r="A197" s="81" t="s">
        <v>59</v>
      </c>
      <c r="B197" s="82">
        <v>46097</v>
      </c>
      <c r="C197" s="83" t="s">
        <v>203</v>
      </c>
      <c r="D197" s="84" t="s">
        <v>208</v>
      </c>
      <c r="E197" s="79">
        <v>10535</v>
      </c>
      <c r="F197" s="85" t="s">
        <v>298</v>
      </c>
      <c r="G197" s="62" t="s">
        <v>230</v>
      </c>
    </row>
    <row r="198" spans="1:7" ht="15" customHeight="1">
      <c r="A198" s="81" t="s">
        <v>58</v>
      </c>
      <c r="B198" s="82">
        <v>46097</v>
      </c>
      <c r="C198" s="83" t="s">
        <v>204</v>
      </c>
      <c r="D198" s="84" t="s">
        <v>208</v>
      </c>
      <c r="E198" s="79">
        <v>1022855</v>
      </c>
      <c r="F198" s="85" t="s">
        <v>298</v>
      </c>
      <c r="G198" s="62" t="s">
        <v>230</v>
      </c>
    </row>
    <row r="199" spans="1:7" ht="15" customHeight="1">
      <c r="A199" s="81" t="s">
        <v>59</v>
      </c>
      <c r="B199" s="82">
        <v>46097</v>
      </c>
      <c r="C199" s="83" t="s">
        <v>204</v>
      </c>
      <c r="D199" s="84" t="s">
        <v>208</v>
      </c>
      <c r="E199" s="79">
        <v>130801</v>
      </c>
      <c r="F199" s="85" t="s">
        <v>298</v>
      </c>
      <c r="G199" s="62" t="s">
        <v>230</v>
      </c>
    </row>
    <row r="200" spans="1:7" ht="15" customHeight="1">
      <c r="A200" s="81" t="s">
        <v>58</v>
      </c>
      <c r="B200" s="82">
        <v>46097</v>
      </c>
      <c r="C200" s="83" t="s">
        <v>205</v>
      </c>
      <c r="D200" s="84" t="s">
        <v>208</v>
      </c>
      <c r="E200" s="79">
        <v>17127</v>
      </c>
      <c r="F200" s="85" t="s">
        <v>298</v>
      </c>
      <c r="G200" s="62" t="s">
        <v>230</v>
      </c>
    </row>
    <row r="201" spans="1:7" ht="15" customHeight="1">
      <c r="A201" s="81" t="s">
        <v>58</v>
      </c>
      <c r="B201" s="82">
        <v>46097</v>
      </c>
      <c r="C201" s="83" t="s">
        <v>205</v>
      </c>
      <c r="D201" s="84" t="s">
        <v>208</v>
      </c>
      <c r="E201" s="79">
        <v>203265</v>
      </c>
      <c r="F201" s="85" t="s">
        <v>298</v>
      </c>
      <c r="G201" s="62" t="s">
        <v>230</v>
      </c>
    </row>
    <row r="202" spans="1:7" ht="15" customHeight="1">
      <c r="A202" s="81" t="s">
        <v>59</v>
      </c>
      <c r="B202" s="82">
        <v>46097</v>
      </c>
      <c r="C202" s="85" t="s">
        <v>212</v>
      </c>
      <c r="D202" s="84" t="s">
        <v>208</v>
      </c>
      <c r="E202" s="79">
        <v>42056</v>
      </c>
      <c r="F202" s="85" t="s">
        <v>298</v>
      </c>
      <c r="G202" s="62" t="s">
        <v>230</v>
      </c>
    </row>
    <row r="203" spans="1:7" ht="15" customHeight="1">
      <c r="A203" s="81" t="s">
        <v>58</v>
      </c>
      <c r="B203" s="82">
        <v>46097</v>
      </c>
      <c r="C203" s="85" t="s">
        <v>202</v>
      </c>
      <c r="D203" s="84" t="s">
        <v>208</v>
      </c>
      <c r="E203" s="79">
        <v>1401096</v>
      </c>
      <c r="F203" s="85" t="s">
        <v>298</v>
      </c>
      <c r="G203" s="62" t="s">
        <v>230</v>
      </c>
    </row>
    <row r="204" spans="1:7" ht="15" customHeight="1">
      <c r="A204" s="81" t="s">
        <v>58</v>
      </c>
      <c r="B204" s="82">
        <v>46100</v>
      </c>
      <c r="C204" s="85" t="s">
        <v>215</v>
      </c>
      <c r="D204" s="84" t="s">
        <v>208</v>
      </c>
      <c r="E204" s="79">
        <v>82156</v>
      </c>
      <c r="F204" s="85" t="s">
        <v>298</v>
      </c>
      <c r="G204" s="62" t="s">
        <v>230</v>
      </c>
    </row>
    <row r="205" spans="1:7" ht="15" customHeight="1">
      <c r="A205" s="81" t="s">
        <v>58</v>
      </c>
      <c r="B205" s="82">
        <v>46100</v>
      </c>
      <c r="C205" s="83" t="s">
        <v>216</v>
      </c>
      <c r="D205" s="84" t="s">
        <v>208</v>
      </c>
      <c r="E205" s="79">
        <v>13947</v>
      </c>
      <c r="F205" s="85" t="s">
        <v>298</v>
      </c>
      <c r="G205" s="62" t="s">
        <v>230</v>
      </c>
    </row>
    <row r="206" spans="1:7" ht="15" customHeight="1">
      <c r="A206" s="81" t="s">
        <v>58</v>
      </c>
      <c r="B206" s="82">
        <v>46101</v>
      </c>
      <c r="C206" s="85" t="s">
        <v>208</v>
      </c>
      <c r="D206" s="84" t="s">
        <v>208</v>
      </c>
      <c r="E206" s="79">
        <v>376910</v>
      </c>
      <c r="F206" s="85" t="s">
        <v>298</v>
      </c>
      <c r="G206" s="62" t="s">
        <v>230</v>
      </c>
    </row>
    <row r="207" spans="1:7" ht="15" customHeight="1">
      <c r="A207" s="81" t="s">
        <v>58</v>
      </c>
      <c r="B207" s="82">
        <v>46101</v>
      </c>
      <c r="C207" s="85" t="s">
        <v>208</v>
      </c>
      <c r="D207" s="84" t="s">
        <v>208</v>
      </c>
      <c r="E207" s="79">
        <v>57606</v>
      </c>
      <c r="F207" s="85" t="s">
        <v>298</v>
      </c>
      <c r="G207" s="62" t="s">
        <v>230</v>
      </c>
    </row>
    <row r="208" spans="1:7" ht="15" customHeight="1">
      <c r="A208" s="81" t="s">
        <v>59</v>
      </c>
      <c r="B208" s="82">
        <v>46101</v>
      </c>
      <c r="C208" s="85" t="s">
        <v>208</v>
      </c>
      <c r="D208" s="84" t="s">
        <v>208</v>
      </c>
      <c r="E208" s="79">
        <v>417860</v>
      </c>
      <c r="F208" s="85" t="s">
        <v>298</v>
      </c>
      <c r="G208" s="62" t="s">
        <v>230</v>
      </c>
    </row>
    <row r="209" spans="1:7" ht="15" customHeight="1">
      <c r="A209" s="81" t="s">
        <v>58</v>
      </c>
      <c r="B209" s="82">
        <v>46101</v>
      </c>
      <c r="C209" s="85" t="s">
        <v>208</v>
      </c>
      <c r="D209" s="84" t="s">
        <v>208</v>
      </c>
      <c r="E209" s="79">
        <v>115844</v>
      </c>
      <c r="F209" s="85" t="s">
        <v>298</v>
      </c>
      <c r="G209" s="62" t="s">
        <v>230</v>
      </c>
    </row>
    <row r="210" spans="1:7" ht="15" customHeight="1">
      <c r="A210" s="81" t="s">
        <v>59</v>
      </c>
      <c r="B210" s="82">
        <v>46106</v>
      </c>
      <c r="C210" s="85" t="s">
        <v>299</v>
      </c>
      <c r="D210" s="84" t="s">
        <v>208</v>
      </c>
      <c r="E210" s="79">
        <v>479958</v>
      </c>
      <c r="F210" s="85" t="s">
        <v>298</v>
      </c>
      <c r="G210" s="62" t="s">
        <v>230</v>
      </c>
    </row>
    <row r="211" spans="1:7" ht="15" customHeight="1">
      <c r="A211" s="81" t="s">
        <v>58</v>
      </c>
      <c r="B211" s="82">
        <v>46106</v>
      </c>
      <c r="C211" s="85" t="s">
        <v>299</v>
      </c>
      <c r="D211" s="84" t="s">
        <v>208</v>
      </c>
      <c r="E211" s="79">
        <v>226849</v>
      </c>
      <c r="F211" s="85" t="s">
        <v>298</v>
      </c>
      <c r="G211" s="62" t="s">
        <v>230</v>
      </c>
    </row>
    <row r="212" spans="1:7" ht="15" customHeight="1">
      <c r="A212" s="81" t="s">
        <v>58</v>
      </c>
      <c r="B212" s="82">
        <v>46106</v>
      </c>
      <c r="C212" s="85" t="s">
        <v>299</v>
      </c>
      <c r="D212" s="84" t="s">
        <v>208</v>
      </c>
      <c r="E212" s="79">
        <v>388251</v>
      </c>
      <c r="F212" s="85" t="s">
        <v>298</v>
      </c>
      <c r="G212" s="62" t="s">
        <v>230</v>
      </c>
    </row>
    <row r="213" spans="1:7" ht="15" customHeight="1">
      <c r="A213" s="81" t="s">
        <v>58</v>
      </c>
      <c r="B213" s="82">
        <v>46106</v>
      </c>
      <c r="C213" s="85" t="s">
        <v>198</v>
      </c>
      <c r="D213" s="84" t="s">
        <v>208</v>
      </c>
      <c r="E213" s="79">
        <v>67444</v>
      </c>
      <c r="F213" s="85" t="s">
        <v>298</v>
      </c>
      <c r="G213" s="62" t="s">
        <v>230</v>
      </c>
    </row>
    <row r="214" spans="1:7" ht="15" customHeight="1">
      <c r="A214" s="81" t="s">
        <v>59</v>
      </c>
      <c r="B214" s="82">
        <v>46106</v>
      </c>
      <c r="C214" s="85" t="s">
        <v>198</v>
      </c>
      <c r="D214" s="84" t="s">
        <v>208</v>
      </c>
      <c r="E214" s="79">
        <v>8350</v>
      </c>
      <c r="F214" s="85" t="s">
        <v>298</v>
      </c>
      <c r="G214" s="62" t="s">
        <v>230</v>
      </c>
    </row>
    <row r="215" spans="1:7" ht="15" customHeight="1">
      <c r="A215" s="81" t="s">
        <v>58</v>
      </c>
      <c r="B215" s="82">
        <v>46106</v>
      </c>
      <c r="C215" s="85" t="s">
        <v>213</v>
      </c>
      <c r="D215" s="84" t="s">
        <v>208</v>
      </c>
      <c r="E215" s="79">
        <v>32300</v>
      </c>
      <c r="F215" s="85" t="s">
        <v>298</v>
      </c>
      <c r="G215" s="62" t="s">
        <v>230</v>
      </c>
    </row>
    <row r="216" spans="1:7" ht="15" customHeight="1">
      <c r="A216" s="81" t="s">
        <v>58</v>
      </c>
      <c r="B216" s="82">
        <v>46106</v>
      </c>
      <c r="C216" s="85" t="s">
        <v>213</v>
      </c>
      <c r="D216" s="84" t="s">
        <v>208</v>
      </c>
      <c r="E216" s="79">
        <v>48800</v>
      </c>
      <c r="F216" s="85" t="s">
        <v>298</v>
      </c>
      <c r="G216" s="62" t="s">
        <v>230</v>
      </c>
    </row>
    <row r="217" spans="1:7" ht="15" customHeight="1">
      <c r="A217" s="81" t="s">
        <v>58</v>
      </c>
      <c r="B217" s="82">
        <v>46106</v>
      </c>
      <c r="C217" s="85" t="s">
        <v>213</v>
      </c>
      <c r="D217" s="84" t="s">
        <v>208</v>
      </c>
      <c r="E217" s="79">
        <v>2500</v>
      </c>
      <c r="F217" s="85" t="s">
        <v>298</v>
      </c>
      <c r="G217" s="62" t="s">
        <v>230</v>
      </c>
    </row>
    <row r="218" spans="1:7" ht="15" customHeight="1">
      <c r="A218" s="81" t="s">
        <v>59</v>
      </c>
      <c r="B218" s="82">
        <v>46106</v>
      </c>
      <c r="C218" s="85" t="s">
        <v>213</v>
      </c>
      <c r="D218" s="84" t="s">
        <v>208</v>
      </c>
      <c r="E218" s="79">
        <v>15400</v>
      </c>
      <c r="F218" s="85" t="s">
        <v>298</v>
      </c>
      <c r="G218" s="62" t="s">
        <v>230</v>
      </c>
    </row>
    <row r="219" spans="1:7" ht="15" customHeight="1">
      <c r="A219" s="81" t="s">
        <v>58</v>
      </c>
      <c r="B219" s="82">
        <v>46106</v>
      </c>
      <c r="C219" s="85" t="s">
        <v>218</v>
      </c>
      <c r="D219" s="84" t="s">
        <v>208</v>
      </c>
      <c r="E219" s="79">
        <v>706786</v>
      </c>
      <c r="F219" s="85" t="s">
        <v>298</v>
      </c>
      <c r="G219" s="62" t="s">
        <v>230</v>
      </c>
    </row>
    <row r="220" spans="1:7" ht="15" customHeight="1">
      <c r="A220" s="81" t="s">
        <v>59</v>
      </c>
      <c r="B220" s="82">
        <v>46106</v>
      </c>
      <c r="C220" s="85" t="s">
        <v>212</v>
      </c>
      <c r="D220" s="84" t="s">
        <v>208</v>
      </c>
      <c r="E220" s="79">
        <v>163289</v>
      </c>
      <c r="F220" s="85" t="s">
        <v>298</v>
      </c>
      <c r="G220" s="62" t="s">
        <v>230</v>
      </c>
    </row>
    <row r="221" spans="1:7" ht="15" customHeight="1">
      <c r="A221" s="81" t="s">
        <v>58</v>
      </c>
      <c r="B221" s="82">
        <v>46112</v>
      </c>
      <c r="C221" s="83" t="s">
        <v>203</v>
      </c>
      <c r="D221" s="84" t="s">
        <v>208</v>
      </c>
      <c r="E221" s="79">
        <v>305113</v>
      </c>
      <c r="F221" s="85" t="s">
        <v>298</v>
      </c>
      <c r="G221" s="62" t="s">
        <v>230</v>
      </c>
    </row>
    <row r="222" spans="1:7" ht="15" customHeight="1">
      <c r="A222" s="81" t="s">
        <v>59</v>
      </c>
      <c r="B222" s="82">
        <v>46112</v>
      </c>
      <c r="C222" s="83" t="s">
        <v>203</v>
      </c>
      <c r="D222" s="84" t="s">
        <v>208</v>
      </c>
      <c r="E222" s="79">
        <v>112078</v>
      </c>
      <c r="F222" s="85" t="s">
        <v>298</v>
      </c>
      <c r="G222" s="62" t="s">
        <v>230</v>
      </c>
    </row>
    <row r="223" spans="1:7" ht="15" customHeight="1">
      <c r="A223" s="81" t="s">
        <v>58</v>
      </c>
      <c r="B223" s="82">
        <v>46112</v>
      </c>
      <c r="C223" s="83" t="s">
        <v>203</v>
      </c>
      <c r="D223" s="84" t="s">
        <v>208</v>
      </c>
      <c r="E223" s="79">
        <v>17075</v>
      </c>
      <c r="F223" s="85" t="s">
        <v>298</v>
      </c>
      <c r="G223" s="62" t="s">
        <v>230</v>
      </c>
    </row>
    <row r="224" spans="1:7" ht="15" customHeight="1">
      <c r="A224" s="81" t="s">
        <v>58</v>
      </c>
      <c r="B224" s="82">
        <v>46112</v>
      </c>
      <c r="C224" s="83" t="s">
        <v>204</v>
      </c>
      <c r="D224" s="84" t="s">
        <v>208</v>
      </c>
      <c r="E224" s="79">
        <v>727353</v>
      </c>
      <c r="F224" s="85" t="s">
        <v>298</v>
      </c>
      <c r="G224" s="62" t="s">
        <v>230</v>
      </c>
    </row>
    <row r="225" spans="1:7" ht="15" customHeight="1">
      <c r="A225" s="81" t="s">
        <v>59</v>
      </c>
      <c r="B225" s="82">
        <v>46112</v>
      </c>
      <c r="C225" s="83" t="s">
        <v>204</v>
      </c>
      <c r="D225" s="84" t="s">
        <v>208</v>
      </c>
      <c r="E225" s="79">
        <v>151850</v>
      </c>
      <c r="F225" s="85" t="s">
        <v>298</v>
      </c>
      <c r="G225" s="62" t="s">
        <v>230</v>
      </c>
    </row>
    <row r="226" spans="1:7" ht="15" customHeight="1">
      <c r="A226" s="81" t="s">
        <v>58</v>
      </c>
      <c r="B226" s="82">
        <v>46112</v>
      </c>
      <c r="C226" s="85" t="s">
        <v>214</v>
      </c>
      <c r="D226" s="84" t="s">
        <v>208</v>
      </c>
      <c r="E226" s="79">
        <v>517401</v>
      </c>
      <c r="F226" s="85" t="s">
        <v>298</v>
      </c>
      <c r="G226" s="62" t="s">
        <v>230</v>
      </c>
    </row>
    <row r="227" spans="1:7" ht="15" customHeight="1">
      <c r="A227" s="81" t="s">
        <v>58</v>
      </c>
      <c r="B227" s="82">
        <v>46112</v>
      </c>
      <c r="C227" s="85" t="s">
        <v>214</v>
      </c>
      <c r="D227" s="84" t="s">
        <v>208</v>
      </c>
      <c r="E227" s="79">
        <v>33144</v>
      </c>
      <c r="F227" s="85" t="s">
        <v>298</v>
      </c>
      <c r="G227" s="62" t="s">
        <v>230</v>
      </c>
    </row>
    <row r="228" spans="1:7" ht="15" customHeight="1">
      <c r="A228" s="81" t="s">
        <v>59</v>
      </c>
      <c r="B228" s="82">
        <v>46112</v>
      </c>
      <c r="C228" s="85" t="s">
        <v>214</v>
      </c>
      <c r="D228" s="84" t="s">
        <v>208</v>
      </c>
      <c r="E228" s="79">
        <v>375888</v>
      </c>
      <c r="F228" s="85" t="s">
        <v>298</v>
      </c>
      <c r="G228" s="62" t="s">
        <v>230</v>
      </c>
    </row>
    <row r="229" spans="1:7" ht="15" customHeight="1">
      <c r="A229" s="81" t="s">
        <v>58</v>
      </c>
      <c r="B229" s="82">
        <v>46112</v>
      </c>
      <c r="C229" s="83" t="s">
        <v>205</v>
      </c>
      <c r="D229" s="84" t="s">
        <v>208</v>
      </c>
      <c r="E229" s="79">
        <v>110655</v>
      </c>
      <c r="F229" s="85" t="s">
        <v>298</v>
      </c>
      <c r="G229" s="62" t="s">
        <v>230</v>
      </c>
    </row>
    <row r="230" spans="1:7" ht="15" customHeight="1">
      <c r="A230" s="81" t="s">
        <v>58</v>
      </c>
      <c r="B230" s="82">
        <v>46112</v>
      </c>
      <c r="C230" s="83" t="s">
        <v>205</v>
      </c>
      <c r="D230" s="84" t="s">
        <v>208</v>
      </c>
      <c r="E230" s="79">
        <v>369237</v>
      </c>
      <c r="F230" s="85" t="s">
        <v>298</v>
      </c>
      <c r="G230" s="62" t="s">
        <v>230</v>
      </c>
    </row>
    <row r="231" spans="1:7" ht="15" customHeight="1">
      <c r="A231" s="81" t="s">
        <v>58</v>
      </c>
      <c r="B231" s="82">
        <v>46112</v>
      </c>
      <c r="C231" s="83" t="s">
        <v>205</v>
      </c>
      <c r="D231" s="84" t="s">
        <v>208</v>
      </c>
      <c r="E231" s="79">
        <v>54142</v>
      </c>
      <c r="F231" s="85" t="s">
        <v>298</v>
      </c>
      <c r="G231" s="62" t="s">
        <v>230</v>
      </c>
    </row>
    <row r="232" spans="1:7" ht="15" customHeight="1">
      <c r="A232" s="81" t="s">
        <v>58</v>
      </c>
      <c r="B232" s="82">
        <v>46112</v>
      </c>
      <c r="C232" s="85" t="s">
        <v>202</v>
      </c>
      <c r="D232" s="84" t="s">
        <v>208</v>
      </c>
      <c r="E232" s="79">
        <v>1827900</v>
      </c>
      <c r="F232" s="85" t="s">
        <v>298</v>
      </c>
      <c r="G232" s="62" t="s">
        <v>230</v>
      </c>
    </row>
    <row r="233" spans="1:7" ht="15" customHeight="1">
      <c r="A233" s="81" t="s">
        <v>58</v>
      </c>
      <c r="B233" s="82">
        <v>46112</v>
      </c>
      <c r="C233" s="85" t="s">
        <v>208</v>
      </c>
      <c r="D233" s="84" t="s">
        <v>208</v>
      </c>
      <c r="E233" s="79">
        <v>967938</v>
      </c>
      <c r="F233" s="85" t="s">
        <v>298</v>
      </c>
      <c r="G233" s="62" t="s">
        <v>230</v>
      </c>
    </row>
    <row r="234" spans="1:7" ht="15" customHeight="1">
      <c r="A234" s="81" t="s">
        <v>58</v>
      </c>
      <c r="B234" s="82">
        <v>46112</v>
      </c>
      <c r="C234" s="85" t="s">
        <v>208</v>
      </c>
      <c r="D234" s="84" t="s">
        <v>208</v>
      </c>
      <c r="E234" s="79">
        <v>94311</v>
      </c>
      <c r="F234" s="85" t="s">
        <v>298</v>
      </c>
      <c r="G234" s="62" t="s">
        <v>230</v>
      </c>
    </row>
    <row r="235" spans="1:7" ht="15" customHeight="1">
      <c r="A235" s="81" t="s">
        <v>59</v>
      </c>
      <c r="B235" s="82">
        <v>46112</v>
      </c>
      <c r="C235" s="85" t="s">
        <v>208</v>
      </c>
      <c r="D235" s="84" t="s">
        <v>208</v>
      </c>
      <c r="E235" s="79">
        <v>514499</v>
      </c>
      <c r="F235" s="85" t="s">
        <v>298</v>
      </c>
      <c r="G235" s="62" t="s">
        <v>230</v>
      </c>
    </row>
    <row r="236" spans="1:7" ht="15" customHeight="1">
      <c r="A236" s="81" t="s">
        <v>58</v>
      </c>
      <c r="B236" s="82">
        <v>46112</v>
      </c>
      <c r="C236" s="85" t="s">
        <v>208</v>
      </c>
      <c r="D236" s="84" t="s">
        <v>208</v>
      </c>
      <c r="E236" s="79">
        <v>234147</v>
      </c>
      <c r="F236" s="85" t="s">
        <v>298</v>
      </c>
      <c r="G236" s="62" t="s">
        <v>230</v>
      </c>
    </row>
    <row r="237" spans="1:7" ht="15" customHeight="1">
      <c r="A237" s="81" t="s">
        <v>58</v>
      </c>
      <c r="B237" s="82">
        <v>46114</v>
      </c>
      <c r="C237" s="83" t="s">
        <v>206</v>
      </c>
      <c r="D237" s="84" t="s">
        <v>208</v>
      </c>
      <c r="E237" s="79">
        <v>313363</v>
      </c>
      <c r="F237" s="85" t="s">
        <v>298</v>
      </c>
      <c r="G237" s="62" t="s">
        <v>230</v>
      </c>
    </row>
    <row r="238" spans="1:7" ht="15" customHeight="1">
      <c r="A238" s="81" t="s">
        <v>59</v>
      </c>
      <c r="B238" s="82">
        <v>46114</v>
      </c>
      <c r="C238" s="83" t="s">
        <v>206</v>
      </c>
      <c r="D238" s="84" t="s">
        <v>208</v>
      </c>
      <c r="E238" s="79">
        <v>53343</v>
      </c>
      <c r="F238" s="85" t="s">
        <v>298</v>
      </c>
      <c r="G238" s="62" t="s">
        <v>230</v>
      </c>
    </row>
    <row r="239" spans="1:7" ht="15" customHeight="1">
      <c r="A239" s="81" t="s">
        <v>58</v>
      </c>
      <c r="B239" s="82">
        <v>46115</v>
      </c>
      <c r="C239" s="83" t="s">
        <v>195</v>
      </c>
      <c r="D239" s="84" t="s">
        <v>208</v>
      </c>
      <c r="E239" s="79">
        <v>663832</v>
      </c>
      <c r="F239" s="85" t="s">
        <v>298</v>
      </c>
      <c r="G239" s="62" t="s">
        <v>230</v>
      </c>
    </row>
    <row r="240" spans="1:7" ht="15" customHeight="1">
      <c r="A240" s="81" t="s">
        <v>58</v>
      </c>
      <c r="B240" s="82">
        <v>46115</v>
      </c>
      <c r="C240" s="83" t="s">
        <v>195</v>
      </c>
      <c r="D240" s="84" t="s">
        <v>208</v>
      </c>
      <c r="E240" s="79">
        <v>311116</v>
      </c>
      <c r="F240" s="85" t="s">
        <v>298</v>
      </c>
      <c r="G240" s="62" t="s">
        <v>230</v>
      </c>
    </row>
    <row r="241" spans="1:7" ht="15" customHeight="1">
      <c r="A241" s="81" t="s">
        <v>58</v>
      </c>
      <c r="B241" s="82">
        <v>46115</v>
      </c>
      <c r="C241" s="83" t="s">
        <v>195</v>
      </c>
      <c r="D241" s="84" t="s">
        <v>208</v>
      </c>
      <c r="E241" s="79">
        <v>682184</v>
      </c>
      <c r="F241" s="85" t="s">
        <v>298</v>
      </c>
      <c r="G241" s="62" t="s">
        <v>230</v>
      </c>
    </row>
    <row r="242" spans="1:7" ht="15" customHeight="1">
      <c r="A242" s="81" t="s">
        <v>58</v>
      </c>
      <c r="B242" s="82">
        <v>46115</v>
      </c>
      <c r="C242" s="83" t="s">
        <v>195</v>
      </c>
      <c r="D242" s="84" t="s">
        <v>208</v>
      </c>
      <c r="E242" s="79">
        <v>189640</v>
      </c>
      <c r="F242" s="85" t="s">
        <v>298</v>
      </c>
      <c r="G242" s="62" t="s">
        <v>230</v>
      </c>
    </row>
    <row r="243" spans="1:7" ht="15" customHeight="1">
      <c r="A243" s="81" t="s">
        <v>58</v>
      </c>
      <c r="B243" s="82">
        <v>46115</v>
      </c>
      <c r="C243" s="83" t="s">
        <v>195</v>
      </c>
      <c r="D243" s="84" t="s">
        <v>208</v>
      </c>
      <c r="E243" s="79">
        <v>815165</v>
      </c>
      <c r="F243" s="85" t="s">
        <v>298</v>
      </c>
      <c r="G243" s="62" t="s">
        <v>230</v>
      </c>
    </row>
    <row r="244" spans="1:7" ht="15" customHeight="1">
      <c r="A244" s="81" t="s">
        <v>58</v>
      </c>
      <c r="B244" s="82">
        <v>46115</v>
      </c>
      <c r="C244" s="83" t="s">
        <v>195</v>
      </c>
      <c r="D244" s="84" t="s">
        <v>208</v>
      </c>
      <c r="E244" s="79">
        <v>370572</v>
      </c>
      <c r="F244" s="85" t="s">
        <v>298</v>
      </c>
      <c r="G244" s="62" t="s">
        <v>230</v>
      </c>
    </row>
    <row r="245" spans="1:7" ht="15" customHeight="1">
      <c r="A245" s="81" t="s">
        <v>59</v>
      </c>
      <c r="B245" s="82">
        <v>46115</v>
      </c>
      <c r="C245" s="83" t="s">
        <v>195</v>
      </c>
      <c r="D245" s="84" t="s">
        <v>208</v>
      </c>
      <c r="E245" s="79">
        <v>197389</v>
      </c>
      <c r="F245" s="85" t="s">
        <v>298</v>
      </c>
      <c r="G245" s="62" t="s">
        <v>230</v>
      </c>
    </row>
    <row r="246" spans="1:7" ht="15" customHeight="1">
      <c r="A246" s="81" t="s">
        <v>58</v>
      </c>
      <c r="B246" s="82">
        <v>46122</v>
      </c>
      <c r="C246" s="85" t="s">
        <v>196</v>
      </c>
      <c r="D246" s="84" t="s">
        <v>208</v>
      </c>
      <c r="E246" s="79">
        <v>1388399</v>
      </c>
      <c r="F246" s="85" t="s">
        <v>298</v>
      </c>
      <c r="G246" s="62" t="s">
        <v>230</v>
      </c>
    </row>
    <row r="247" spans="1:7" ht="15" customHeight="1">
      <c r="A247" s="81" t="s">
        <v>58</v>
      </c>
      <c r="B247" s="82">
        <v>46122</v>
      </c>
      <c r="C247" s="85" t="s">
        <v>196</v>
      </c>
      <c r="D247" s="84" t="s">
        <v>208</v>
      </c>
      <c r="E247" s="79">
        <v>1613621</v>
      </c>
      <c r="F247" s="85" t="s">
        <v>298</v>
      </c>
      <c r="G247" s="62" t="s">
        <v>230</v>
      </c>
    </row>
    <row r="248" spans="1:7" ht="15" customHeight="1">
      <c r="A248" s="81" t="s">
        <v>58</v>
      </c>
      <c r="B248" s="82">
        <v>46122</v>
      </c>
      <c r="C248" s="85" t="s">
        <v>196</v>
      </c>
      <c r="D248" s="84" t="s">
        <v>208</v>
      </c>
      <c r="E248" s="79">
        <v>214786</v>
      </c>
      <c r="F248" s="85" t="s">
        <v>298</v>
      </c>
      <c r="G248" s="62" t="s">
        <v>230</v>
      </c>
    </row>
    <row r="249" spans="1:7" ht="15" customHeight="1">
      <c r="A249" s="81" t="s">
        <v>58</v>
      </c>
      <c r="B249" s="82">
        <v>46122</v>
      </c>
      <c r="C249" s="85" t="s">
        <v>196</v>
      </c>
      <c r="D249" s="84" t="s">
        <v>208</v>
      </c>
      <c r="E249" s="79">
        <v>622145</v>
      </c>
      <c r="F249" s="85" t="s">
        <v>298</v>
      </c>
      <c r="G249" s="62" t="s">
        <v>230</v>
      </c>
    </row>
    <row r="250" spans="1:7" ht="15" customHeight="1">
      <c r="A250" s="81" t="s">
        <v>58</v>
      </c>
      <c r="B250" s="82">
        <v>46127</v>
      </c>
      <c r="C250" s="83" t="s">
        <v>203</v>
      </c>
      <c r="D250" s="84" t="s">
        <v>208</v>
      </c>
      <c r="E250" s="79">
        <v>307440</v>
      </c>
      <c r="F250" s="85" t="s">
        <v>298</v>
      </c>
      <c r="G250" s="62" t="s">
        <v>230</v>
      </c>
    </row>
    <row r="251" spans="1:7" ht="15" customHeight="1">
      <c r="A251" s="81" t="s">
        <v>58</v>
      </c>
      <c r="B251" s="82">
        <v>46127</v>
      </c>
      <c r="C251" s="83" t="s">
        <v>203</v>
      </c>
      <c r="D251" s="84" t="s">
        <v>208</v>
      </c>
      <c r="E251" s="79">
        <v>160211</v>
      </c>
      <c r="F251" s="85" t="s">
        <v>298</v>
      </c>
      <c r="G251" s="62" t="s">
        <v>230</v>
      </c>
    </row>
    <row r="252" spans="1:7" ht="15" customHeight="1">
      <c r="A252" s="81" t="s">
        <v>59</v>
      </c>
      <c r="B252" s="82">
        <v>46127</v>
      </c>
      <c r="C252" s="83" t="s">
        <v>203</v>
      </c>
      <c r="D252" s="84" t="s">
        <v>208</v>
      </c>
      <c r="E252" s="79">
        <v>107782</v>
      </c>
      <c r="F252" s="85" t="s">
        <v>298</v>
      </c>
      <c r="G252" s="62" t="s">
        <v>230</v>
      </c>
    </row>
    <row r="253" spans="1:7" ht="15" customHeight="1">
      <c r="A253" s="81" t="s">
        <v>58</v>
      </c>
      <c r="B253" s="82">
        <v>46127</v>
      </c>
      <c r="C253" s="83" t="s">
        <v>204</v>
      </c>
      <c r="D253" s="84" t="s">
        <v>208</v>
      </c>
      <c r="E253" s="79">
        <v>1415030</v>
      </c>
      <c r="F253" s="85" t="s">
        <v>298</v>
      </c>
      <c r="G253" s="62" t="s">
        <v>230</v>
      </c>
    </row>
    <row r="254" spans="1:7" ht="15" customHeight="1">
      <c r="A254" s="81" t="s">
        <v>59</v>
      </c>
      <c r="B254" s="82">
        <v>46127</v>
      </c>
      <c r="C254" s="83" t="s">
        <v>204</v>
      </c>
      <c r="D254" s="84" t="s">
        <v>208</v>
      </c>
      <c r="E254" s="79">
        <v>485902</v>
      </c>
      <c r="F254" s="85" t="s">
        <v>298</v>
      </c>
      <c r="G254" s="62" t="s">
        <v>230</v>
      </c>
    </row>
    <row r="255" spans="1:7" ht="15" customHeight="1">
      <c r="A255" s="81" t="s">
        <v>58</v>
      </c>
      <c r="B255" s="82">
        <v>46127</v>
      </c>
      <c r="C255" s="83" t="s">
        <v>205</v>
      </c>
      <c r="D255" s="84" t="s">
        <v>208</v>
      </c>
      <c r="E255" s="79">
        <v>47587</v>
      </c>
      <c r="F255" s="85" t="s">
        <v>298</v>
      </c>
      <c r="G255" s="62" t="s">
        <v>230</v>
      </c>
    </row>
    <row r="256" spans="1:7" ht="15" customHeight="1">
      <c r="A256" s="81" t="s">
        <v>58</v>
      </c>
      <c r="B256" s="82">
        <v>46127</v>
      </c>
      <c r="C256" s="83" t="s">
        <v>205</v>
      </c>
      <c r="D256" s="84" t="s">
        <v>208</v>
      </c>
      <c r="E256" s="79">
        <v>374232</v>
      </c>
      <c r="F256" s="85" t="s">
        <v>298</v>
      </c>
      <c r="G256" s="62" t="s">
        <v>230</v>
      </c>
    </row>
    <row r="257" spans="1:7" ht="15" customHeight="1">
      <c r="A257" s="81" t="s">
        <v>59</v>
      </c>
      <c r="B257" s="82">
        <v>46127</v>
      </c>
      <c r="C257" s="85" t="s">
        <v>212</v>
      </c>
      <c r="D257" s="84" t="s">
        <v>208</v>
      </c>
      <c r="E257" s="79">
        <v>157071</v>
      </c>
      <c r="F257" s="85" t="s">
        <v>298</v>
      </c>
      <c r="G257" s="62" t="s">
        <v>230</v>
      </c>
    </row>
    <row r="258" spans="1:7" ht="15" customHeight="1">
      <c r="A258" s="81" t="s">
        <v>58</v>
      </c>
      <c r="B258" s="82">
        <v>46127</v>
      </c>
      <c r="C258" s="85" t="s">
        <v>202</v>
      </c>
      <c r="D258" s="84" t="s">
        <v>208</v>
      </c>
      <c r="E258" s="79">
        <v>1036928</v>
      </c>
      <c r="F258" s="85" t="s">
        <v>298</v>
      </c>
      <c r="G258" s="62" t="s">
        <v>230</v>
      </c>
    </row>
    <row r="259" spans="1:7" ht="15" customHeight="1">
      <c r="A259" s="81" t="s">
        <v>58</v>
      </c>
      <c r="B259" s="82">
        <v>46132</v>
      </c>
      <c r="C259" s="85" t="s">
        <v>215</v>
      </c>
      <c r="D259" s="84" t="s">
        <v>208</v>
      </c>
      <c r="E259" s="79">
        <v>93560</v>
      </c>
      <c r="F259" s="85" t="s">
        <v>298</v>
      </c>
      <c r="G259" s="62" t="s">
        <v>230</v>
      </c>
    </row>
    <row r="260" spans="1:7" ht="15" customHeight="1">
      <c r="A260" s="81" t="s">
        <v>58</v>
      </c>
      <c r="B260" s="82">
        <v>46132</v>
      </c>
      <c r="C260" s="85" t="s">
        <v>208</v>
      </c>
      <c r="D260" s="84" t="s">
        <v>208</v>
      </c>
      <c r="E260" s="79">
        <v>383639</v>
      </c>
      <c r="F260" s="85" t="s">
        <v>298</v>
      </c>
      <c r="G260" s="62" t="s">
        <v>230</v>
      </c>
    </row>
    <row r="261" spans="1:7" ht="15" customHeight="1">
      <c r="A261" s="81" t="s">
        <v>58</v>
      </c>
      <c r="B261" s="82">
        <v>46132</v>
      </c>
      <c r="C261" s="85" t="s">
        <v>208</v>
      </c>
      <c r="D261" s="84" t="s">
        <v>208</v>
      </c>
      <c r="E261" s="79">
        <v>44400</v>
      </c>
      <c r="F261" s="85" t="s">
        <v>298</v>
      </c>
      <c r="G261" s="62" t="s">
        <v>230</v>
      </c>
    </row>
    <row r="262" spans="1:7" ht="15" customHeight="1">
      <c r="A262" s="81" t="s">
        <v>59</v>
      </c>
      <c r="B262" s="82">
        <v>46132</v>
      </c>
      <c r="C262" s="85" t="s">
        <v>208</v>
      </c>
      <c r="D262" s="84" t="s">
        <v>208</v>
      </c>
      <c r="E262" s="79">
        <v>589340</v>
      </c>
      <c r="F262" s="85" t="s">
        <v>298</v>
      </c>
      <c r="G262" s="62" t="s">
        <v>230</v>
      </c>
    </row>
    <row r="263" spans="1:7" ht="15" customHeight="1">
      <c r="A263" s="81" t="s">
        <v>58</v>
      </c>
      <c r="B263" s="82">
        <v>46132</v>
      </c>
      <c r="C263" s="85" t="s">
        <v>208</v>
      </c>
      <c r="D263" s="84" t="s">
        <v>208</v>
      </c>
      <c r="E263" s="79">
        <v>283482</v>
      </c>
      <c r="F263" s="85" t="s">
        <v>298</v>
      </c>
      <c r="G263" s="62" t="s">
        <v>230</v>
      </c>
    </row>
    <row r="264" spans="1:7" ht="15" customHeight="1">
      <c r="A264" s="81" t="s">
        <v>58</v>
      </c>
      <c r="B264" s="82">
        <v>46136</v>
      </c>
      <c r="C264" s="85" t="s">
        <v>218</v>
      </c>
      <c r="D264" s="84" t="s">
        <v>208</v>
      </c>
      <c r="E264" s="79">
        <v>1159100</v>
      </c>
      <c r="F264" s="85" t="s">
        <v>298</v>
      </c>
      <c r="G264" s="62" t="s">
        <v>230</v>
      </c>
    </row>
    <row r="265" spans="1:7" ht="15" customHeight="1">
      <c r="A265" s="81" t="s">
        <v>58</v>
      </c>
      <c r="B265" s="82">
        <v>46136</v>
      </c>
      <c r="C265" s="85" t="s">
        <v>210</v>
      </c>
      <c r="D265" s="84" t="s">
        <v>208</v>
      </c>
      <c r="E265" s="79">
        <v>650000</v>
      </c>
      <c r="F265" s="85" t="s">
        <v>298</v>
      </c>
      <c r="G265" s="62" t="s">
        <v>230</v>
      </c>
    </row>
    <row r="266" spans="1:7" ht="15" customHeight="1">
      <c r="A266" s="81" t="s">
        <v>59</v>
      </c>
      <c r="B266" s="82">
        <v>46139</v>
      </c>
      <c r="C266" s="85" t="s">
        <v>299</v>
      </c>
      <c r="D266" s="84" t="s">
        <v>208</v>
      </c>
      <c r="E266" s="79">
        <v>910445</v>
      </c>
      <c r="F266" s="85" t="s">
        <v>298</v>
      </c>
      <c r="G266" s="62" t="s">
        <v>230</v>
      </c>
    </row>
    <row r="267" spans="1:7" ht="15" customHeight="1">
      <c r="A267" s="81" t="s">
        <v>58</v>
      </c>
      <c r="B267" s="82">
        <v>46139</v>
      </c>
      <c r="C267" s="85" t="s">
        <v>299</v>
      </c>
      <c r="D267" s="84" t="s">
        <v>208</v>
      </c>
      <c r="E267" s="79">
        <v>787353</v>
      </c>
      <c r="F267" s="85" t="s">
        <v>298</v>
      </c>
      <c r="G267" s="62" t="s">
        <v>230</v>
      </c>
    </row>
    <row r="268" spans="1:7" ht="15" customHeight="1">
      <c r="A268" s="81" t="s">
        <v>58</v>
      </c>
      <c r="B268" s="82">
        <v>46139</v>
      </c>
      <c r="C268" s="85" t="s">
        <v>299</v>
      </c>
      <c r="D268" s="84" t="s">
        <v>208</v>
      </c>
      <c r="E268" s="79">
        <v>190127</v>
      </c>
      <c r="F268" s="85" t="s">
        <v>298</v>
      </c>
      <c r="G268" s="62" t="s">
        <v>230</v>
      </c>
    </row>
    <row r="269" spans="1:7" ht="15" customHeight="1">
      <c r="A269" s="81" t="s">
        <v>58</v>
      </c>
      <c r="B269" s="82">
        <v>46139</v>
      </c>
      <c r="C269" s="85" t="s">
        <v>198</v>
      </c>
      <c r="D269" s="84" t="s">
        <v>208</v>
      </c>
      <c r="E269" s="79">
        <v>312163</v>
      </c>
      <c r="F269" s="85" t="s">
        <v>298</v>
      </c>
      <c r="G269" s="62" t="s">
        <v>230</v>
      </c>
    </row>
    <row r="270" spans="1:7" ht="15" customHeight="1">
      <c r="A270" s="81" t="s">
        <v>59</v>
      </c>
      <c r="B270" s="82">
        <v>46139</v>
      </c>
      <c r="C270" s="85" t="s">
        <v>198</v>
      </c>
      <c r="D270" s="84" t="s">
        <v>208</v>
      </c>
      <c r="E270" s="79">
        <v>40025</v>
      </c>
      <c r="F270" s="85" t="s">
        <v>298</v>
      </c>
      <c r="G270" s="62" t="s">
        <v>230</v>
      </c>
    </row>
    <row r="271" spans="1:7" ht="15" customHeight="1">
      <c r="A271" s="81" t="s">
        <v>58</v>
      </c>
      <c r="B271" s="82">
        <v>46139</v>
      </c>
      <c r="C271" s="85" t="s">
        <v>213</v>
      </c>
      <c r="D271" s="84" t="s">
        <v>208</v>
      </c>
      <c r="E271" s="79">
        <v>186960</v>
      </c>
      <c r="F271" s="85" t="s">
        <v>298</v>
      </c>
      <c r="G271" s="62" t="s">
        <v>230</v>
      </c>
    </row>
    <row r="272" spans="1:7" ht="15" customHeight="1">
      <c r="A272" s="81" t="s">
        <v>59</v>
      </c>
      <c r="B272" s="82">
        <v>46139</v>
      </c>
      <c r="C272" s="85" t="s">
        <v>213</v>
      </c>
      <c r="D272" s="84" t="s">
        <v>208</v>
      </c>
      <c r="E272" s="79">
        <v>39804</v>
      </c>
      <c r="F272" s="85" t="s">
        <v>298</v>
      </c>
      <c r="G272" s="62" t="s">
        <v>230</v>
      </c>
    </row>
    <row r="273" spans="1:7" ht="15" customHeight="1">
      <c r="A273" s="81" t="s">
        <v>59</v>
      </c>
      <c r="B273" s="82">
        <v>46139</v>
      </c>
      <c r="C273" s="85" t="s">
        <v>212</v>
      </c>
      <c r="D273" s="84" t="s">
        <v>208</v>
      </c>
      <c r="E273" s="79">
        <v>11796</v>
      </c>
      <c r="F273" s="85" t="s">
        <v>298</v>
      </c>
      <c r="G273" s="62" t="s">
        <v>230</v>
      </c>
    </row>
    <row r="274" spans="1:7" ht="15" customHeight="1">
      <c r="A274" s="81" t="s">
        <v>58</v>
      </c>
      <c r="B274" s="82">
        <v>46142</v>
      </c>
      <c r="C274" s="83" t="s">
        <v>203</v>
      </c>
      <c r="D274" s="84" t="s">
        <v>208</v>
      </c>
      <c r="E274" s="79">
        <v>226309</v>
      </c>
      <c r="F274" s="85" t="s">
        <v>298</v>
      </c>
      <c r="G274" s="62" t="s">
        <v>230</v>
      </c>
    </row>
    <row r="275" spans="1:7" ht="15" customHeight="1">
      <c r="A275" s="81" t="s">
        <v>59</v>
      </c>
      <c r="B275" s="82">
        <v>46142</v>
      </c>
      <c r="C275" s="83" t="s">
        <v>203</v>
      </c>
      <c r="D275" s="84" t="s">
        <v>208</v>
      </c>
      <c r="E275" s="79">
        <v>48093</v>
      </c>
      <c r="F275" s="85" t="s">
        <v>298</v>
      </c>
      <c r="G275" s="62" t="s">
        <v>230</v>
      </c>
    </row>
    <row r="276" spans="1:7" ht="15" customHeight="1">
      <c r="A276" s="81" t="s">
        <v>58</v>
      </c>
      <c r="B276" s="82">
        <v>46142</v>
      </c>
      <c r="C276" s="83" t="s">
        <v>203</v>
      </c>
      <c r="D276" s="84" t="s">
        <v>208</v>
      </c>
      <c r="E276" s="79">
        <v>27611</v>
      </c>
      <c r="F276" s="85" t="s">
        <v>298</v>
      </c>
      <c r="G276" s="62" t="s">
        <v>230</v>
      </c>
    </row>
    <row r="277" spans="1:7" ht="15" customHeight="1">
      <c r="A277" s="81" t="s">
        <v>58</v>
      </c>
      <c r="B277" s="82">
        <v>46142</v>
      </c>
      <c r="C277" s="83" t="s">
        <v>204</v>
      </c>
      <c r="D277" s="84" t="s">
        <v>208</v>
      </c>
      <c r="E277" s="79">
        <v>1358790</v>
      </c>
      <c r="F277" s="85" t="s">
        <v>298</v>
      </c>
      <c r="G277" s="62" t="s">
        <v>230</v>
      </c>
    </row>
    <row r="278" spans="1:7" ht="15" customHeight="1">
      <c r="A278" s="81" t="s">
        <v>59</v>
      </c>
      <c r="B278" s="82">
        <v>46142</v>
      </c>
      <c r="C278" s="83" t="s">
        <v>204</v>
      </c>
      <c r="D278" s="84" t="s">
        <v>208</v>
      </c>
      <c r="E278" s="79">
        <v>280860</v>
      </c>
      <c r="F278" s="85" t="s">
        <v>298</v>
      </c>
      <c r="G278" s="62" t="s">
        <v>230</v>
      </c>
    </row>
    <row r="279" spans="1:7" ht="15" customHeight="1">
      <c r="A279" s="81" t="s">
        <v>58</v>
      </c>
      <c r="B279" s="82">
        <v>46142</v>
      </c>
      <c r="C279" s="85" t="s">
        <v>214</v>
      </c>
      <c r="D279" s="84" t="s">
        <v>208</v>
      </c>
      <c r="E279" s="79">
        <v>362418</v>
      </c>
      <c r="F279" s="85" t="s">
        <v>298</v>
      </c>
      <c r="G279" s="62" t="s">
        <v>230</v>
      </c>
    </row>
    <row r="280" spans="1:7" ht="15" customHeight="1">
      <c r="A280" s="81" t="s">
        <v>58</v>
      </c>
      <c r="B280" s="82">
        <v>46142</v>
      </c>
      <c r="C280" s="85" t="s">
        <v>214</v>
      </c>
      <c r="D280" s="84" t="s">
        <v>208</v>
      </c>
      <c r="E280" s="79">
        <v>134968</v>
      </c>
      <c r="F280" s="85" t="s">
        <v>298</v>
      </c>
      <c r="G280" s="62" t="s">
        <v>230</v>
      </c>
    </row>
    <row r="281" spans="1:7" ht="15" customHeight="1">
      <c r="A281" s="81" t="s">
        <v>59</v>
      </c>
      <c r="B281" s="82">
        <v>46142</v>
      </c>
      <c r="C281" s="85" t="s">
        <v>214</v>
      </c>
      <c r="D281" s="84" t="s">
        <v>208</v>
      </c>
      <c r="E281" s="79">
        <v>869364</v>
      </c>
      <c r="F281" s="85" t="s">
        <v>298</v>
      </c>
      <c r="G281" s="62" t="s">
        <v>230</v>
      </c>
    </row>
    <row r="282" spans="1:7" ht="15" customHeight="1">
      <c r="A282" s="81" t="s">
        <v>58</v>
      </c>
      <c r="B282" s="82">
        <v>46142</v>
      </c>
      <c r="C282" s="83" t="s">
        <v>205</v>
      </c>
      <c r="D282" s="84" t="s">
        <v>208</v>
      </c>
      <c r="E282" s="79">
        <v>21800</v>
      </c>
      <c r="F282" s="85" t="s">
        <v>298</v>
      </c>
      <c r="G282" s="62" t="s">
        <v>230</v>
      </c>
    </row>
    <row r="283" spans="1:7" ht="15" customHeight="1">
      <c r="A283" s="81" t="s">
        <v>58</v>
      </c>
      <c r="B283" s="82">
        <v>46142</v>
      </c>
      <c r="C283" s="83" t="s">
        <v>205</v>
      </c>
      <c r="D283" s="84" t="s">
        <v>208</v>
      </c>
      <c r="E283" s="79">
        <v>125883</v>
      </c>
      <c r="F283" s="85" t="s">
        <v>298</v>
      </c>
      <c r="G283" s="62" t="s">
        <v>230</v>
      </c>
    </row>
    <row r="284" spans="1:7" ht="15" customHeight="1">
      <c r="A284" s="81" t="s">
        <v>58</v>
      </c>
      <c r="B284" s="82">
        <v>46142</v>
      </c>
      <c r="C284" s="85" t="s">
        <v>202</v>
      </c>
      <c r="D284" s="84" t="s">
        <v>208</v>
      </c>
      <c r="E284" s="79">
        <v>650959</v>
      </c>
      <c r="F284" s="85" t="s">
        <v>298</v>
      </c>
      <c r="G284" s="62" t="s">
        <v>230</v>
      </c>
    </row>
    <row r="285" spans="1:7" ht="15" customHeight="1">
      <c r="A285" s="81" t="s">
        <v>58</v>
      </c>
      <c r="B285" s="82">
        <v>46142</v>
      </c>
      <c r="C285" s="85" t="s">
        <v>208</v>
      </c>
      <c r="D285" s="84" t="s">
        <v>208</v>
      </c>
      <c r="E285" s="79">
        <v>218775</v>
      </c>
      <c r="F285" s="85" t="s">
        <v>298</v>
      </c>
      <c r="G285" s="62" t="s">
        <v>230</v>
      </c>
    </row>
    <row r="286" spans="1:7" ht="15" customHeight="1">
      <c r="A286" s="81" t="s">
        <v>58</v>
      </c>
      <c r="B286" s="82">
        <v>46142</v>
      </c>
      <c r="C286" s="85" t="s">
        <v>208</v>
      </c>
      <c r="D286" s="84" t="s">
        <v>208</v>
      </c>
      <c r="E286" s="79">
        <v>7200</v>
      </c>
      <c r="F286" s="85" t="s">
        <v>298</v>
      </c>
      <c r="G286" s="62" t="s">
        <v>230</v>
      </c>
    </row>
    <row r="287" spans="1:7" ht="15" customHeight="1">
      <c r="A287" s="81" t="s">
        <v>59</v>
      </c>
      <c r="B287" s="82">
        <v>46142</v>
      </c>
      <c r="C287" s="85" t="s">
        <v>208</v>
      </c>
      <c r="D287" s="84" t="s">
        <v>208</v>
      </c>
      <c r="E287" s="79">
        <v>343513</v>
      </c>
      <c r="F287" s="85" t="s">
        <v>298</v>
      </c>
      <c r="G287" s="62" t="s">
        <v>230</v>
      </c>
    </row>
    <row r="288" spans="1:7" ht="15" customHeight="1">
      <c r="A288" s="81" t="s">
        <v>58</v>
      </c>
      <c r="B288" s="82">
        <v>46142</v>
      </c>
      <c r="C288" s="85" t="s">
        <v>208</v>
      </c>
      <c r="D288" s="84" t="s">
        <v>208</v>
      </c>
      <c r="E288" s="79">
        <v>75450</v>
      </c>
      <c r="F288" s="85" t="s">
        <v>298</v>
      </c>
      <c r="G288" s="62" t="s">
        <v>230</v>
      </c>
    </row>
    <row r="289" spans="1:7" ht="15" customHeight="1">
      <c r="A289" s="81" t="s">
        <v>58</v>
      </c>
      <c r="B289" s="82">
        <v>46149</v>
      </c>
      <c r="C289" s="83" t="s">
        <v>206</v>
      </c>
      <c r="D289" s="84" t="s">
        <v>208</v>
      </c>
      <c r="E289" s="79">
        <v>144038</v>
      </c>
      <c r="F289" s="85" t="s">
        <v>298</v>
      </c>
      <c r="G289" s="62" t="s">
        <v>230</v>
      </c>
    </row>
    <row r="290" spans="1:7" ht="15" customHeight="1">
      <c r="A290" s="81" t="s">
        <v>59</v>
      </c>
      <c r="B290" s="82">
        <v>46149</v>
      </c>
      <c r="C290" s="83" t="s">
        <v>206</v>
      </c>
      <c r="D290" s="84" t="s">
        <v>208</v>
      </c>
      <c r="E290" s="79">
        <v>56438</v>
      </c>
      <c r="F290" s="85" t="s">
        <v>298</v>
      </c>
      <c r="G290" s="62" t="s">
        <v>230</v>
      </c>
    </row>
    <row r="291" spans="1:7" ht="15" customHeight="1">
      <c r="A291" s="81" t="s">
        <v>58</v>
      </c>
      <c r="B291" s="82">
        <v>46149</v>
      </c>
      <c r="C291" s="85" t="s">
        <v>208</v>
      </c>
      <c r="D291" s="84" t="s">
        <v>208</v>
      </c>
      <c r="E291" s="79">
        <v>167890</v>
      </c>
      <c r="F291" s="85" t="s">
        <v>298</v>
      </c>
      <c r="G291" s="62" t="s">
        <v>230</v>
      </c>
    </row>
    <row r="292" spans="1:7" ht="15" customHeight="1">
      <c r="A292" s="81" t="s">
        <v>58</v>
      </c>
      <c r="B292" s="82">
        <v>46149</v>
      </c>
      <c r="C292" s="85" t="s">
        <v>208</v>
      </c>
      <c r="D292" s="84" t="s">
        <v>208</v>
      </c>
      <c r="E292" s="79">
        <v>2910</v>
      </c>
      <c r="F292" s="85" t="s">
        <v>298</v>
      </c>
      <c r="G292" s="62" t="s">
        <v>230</v>
      </c>
    </row>
    <row r="293" spans="1:7" ht="15" customHeight="1">
      <c r="A293" s="81" t="s">
        <v>59</v>
      </c>
      <c r="B293" s="82">
        <v>46149</v>
      </c>
      <c r="C293" s="85" t="s">
        <v>208</v>
      </c>
      <c r="D293" s="84" t="s">
        <v>208</v>
      </c>
      <c r="E293" s="79">
        <v>26700</v>
      </c>
      <c r="F293" s="85" t="s">
        <v>298</v>
      </c>
      <c r="G293" s="62" t="s">
        <v>230</v>
      </c>
    </row>
    <row r="294" spans="1:7" ht="15" customHeight="1">
      <c r="A294" s="81" t="s">
        <v>59</v>
      </c>
      <c r="B294" s="82">
        <v>46149</v>
      </c>
      <c r="C294" s="85" t="s">
        <v>208</v>
      </c>
      <c r="D294" s="84" t="s">
        <v>208</v>
      </c>
      <c r="E294" s="79">
        <v>412979</v>
      </c>
      <c r="F294" s="85" t="s">
        <v>298</v>
      </c>
      <c r="G294" s="62" t="s">
        <v>230</v>
      </c>
    </row>
    <row r="295" spans="1:7" ht="15" customHeight="1">
      <c r="A295" s="81" t="s">
        <v>58</v>
      </c>
      <c r="B295" s="82">
        <v>46149</v>
      </c>
      <c r="C295" s="85" t="s">
        <v>208</v>
      </c>
      <c r="D295" s="84" t="s">
        <v>208</v>
      </c>
      <c r="E295" s="79">
        <v>280018</v>
      </c>
      <c r="F295" s="85" t="s">
        <v>298</v>
      </c>
      <c r="G295" s="62" t="s">
        <v>230</v>
      </c>
    </row>
    <row r="296" spans="1:7" ht="15" customHeight="1">
      <c r="A296" s="81" t="s">
        <v>58</v>
      </c>
      <c r="B296" s="82">
        <v>46149</v>
      </c>
      <c r="C296" s="85" t="s">
        <v>208</v>
      </c>
      <c r="D296" s="84" t="s">
        <v>208</v>
      </c>
      <c r="E296" s="79">
        <v>775299</v>
      </c>
      <c r="F296" s="85" t="s">
        <v>298</v>
      </c>
      <c r="G296" s="62" t="s">
        <v>230</v>
      </c>
    </row>
    <row r="297" spans="1:7" ht="15" customHeight="1">
      <c r="A297" s="81" t="s">
        <v>59</v>
      </c>
      <c r="B297" s="82">
        <v>46150</v>
      </c>
      <c r="C297" s="85" t="s">
        <v>212</v>
      </c>
      <c r="D297" s="84" t="s">
        <v>208</v>
      </c>
      <c r="E297" s="79">
        <v>85963</v>
      </c>
      <c r="F297" s="85" t="s">
        <v>298</v>
      </c>
      <c r="G297" s="62" t="s">
        <v>230</v>
      </c>
    </row>
    <row r="298" spans="1:7" ht="15" customHeight="1">
      <c r="A298" s="81" t="s">
        <v>58</v>
      </c>
      <c r="B298" s="82">
        <v>46153</v>
      </c>
      <c r="C298" s="85" t="s">
        <v>196</v>
      </c>
      <c r="D298" s="84" t="s">
        <v>208</v>
      </c>
      <c r="E298" s="79">
        <v>1054961</v>
      </c>
      <c r="F298" s="85" t="s">
        <v>298</v>
      </c>
      <c r="G298" s="62" t="s">
        <v>230</v>
      </c>
    </row>
    <row r="299" spans="1:7" ht="15" customHeight="1">
      <c r="A299" s="81" t="s">
        <v>58</v>
      </c>
      <c r="B299" s="82">
        <v>46153</v>
      </c>
      <c r="C299" s="85" t="s">
        <v>196</v>
      </c>
      <c r="D299" s="84" t="s">
        <v>208</v>
      </c>
      <c r="E299" s="79">
        <v>1129717</v>
      </c>
      <c r="F299" s="85" t="s">
        <v>298</v>
      </c>
      <c r="G299" s="62" t="s">
        <v>230</v>
      </c>
    </row>
    <row r="300" spans="1:7" ht="15" customHeight="1">
      <c r="A300" s="81" t="s">
        <v>58</v>
      </c>
      <c r="B300" s="82">
        <v>46153</v>
      </c>
      <c r="C300" s="85" t="s">
        <v>196</v>
      </c>
      <c r="D300" s="84" t="s">
        <v>208</v>
      </c>
      <c r="E300" s="79">
        <v>236011</v>
      </c>
      <c r="F300" s="85" t="s">
        <v>298</v>
      </c>
      <c r="G300" s="62" t="s">
        <v>230</v>
      </c>
    </row>
    <row r="301" spans="1:7" ht="15" customHeight="1">
      <c r="A301" s="81" t="s">
        <v>58</v>
      </c>
      <c r="B301" s="82">
        <v>46153</v>
      </c>
      <c r="C301" s="85" t="s">
        <v>196</v>
      </c>
      <c r="D301" s="84" t="s">
        <v>208</v>
      </c>
      <c r="E301" s="79">
        <v>392854</v>
      </c>
      <c r="F301" s="85" t="s">
        <v>298</v>
      </c>
      <c r="G301" s="62" t="s">
        <v>230</v>
      </c>
    </row>
    <row r="302" spans="1:7" ht="15" customHeight="1">
      <c r="A302" s="81" t="s">
        <v>58</v>
      </c>
      <c r="B302" s="82">
        <v>46157</v>
      </c>
      <c r="C302" s="83" t="s">
        <v>205</v>
      </c>
      <c r="D302" s="84" t="s">
        <v>208</v>
      </c>
      <c r="E302" s="79">
        <v>42460</v>
      </c>
      <c r="F302" s="85" t="s">
        <v>298</v>
      </c>
      <c r="G302" s="62" t="s">
        <v>230</v>
      </c>
    </row>
    <row r="303" spans="1:7" ht="15" customHeight="1">
      <c r="A303" s="81" t="s">
        <v>58</v>
      </c>
      <c r="B303" s="82">
        <v>46157</v>
      </c>
      <c r="C303" s="83" t="s">
        <v>205</v>
      </c>
      <c r="D303" s="84" t="s">
        <v>208</v>
      </c>
      <c r="E303" s="79">
        <v>86337</v>
      </c>
      <c r="F303" s="85" t="s">
        <v>298</v>
      </c>
      <c r="G303" s="62" t="s">
        <v>230</v>
      </c>
    </row>
    <row r="304" spans="1:7" ht="15" customHeight="1">
      <c r="A304" s="81" t="s">
        <v>59</v>
      </c>
      <c r="B304" s="82">
        <v>46167</v>
      </c>
      <c r="C304" s="85" t="s">
        <v>299</v>
      </c>
      <c r="D304" s="84" t="s">
        <v>208</v>
      </c>
      <c r="E304" s="79">
        <v>517796</v>
      </c>
      <c r="F304" s="85" t="s">
        <v>298</v>
      </c>
      <c r="G304" s="62" t="s">
        <v>230</v>
      </c>
    </row>
    <row r="305" spans="1:7" ht="15" customHeight="1">
      <c r="A305" s="81" t="s">
        <v>58</v>
      </c>
      <c r="B305" s="82">
        <v>46167</v>
      </c>
      <c r="C305" s="85" t="s">
        <v>299</v>
      </c>
      <c r="D305" s="84" t="s">
        <v>208</v>
      </c>
      <c r="E305" s="79">
        <v>756923</v>
      </c>
      <c r="F305" s="85" t="s">
        <v>298</v>
      </c>
      <c r="G305" s="62" t="s">
        <v>230</v>
      </c>
    </row>
    <row r="306" spans="1:7" ht="15" customHeight="1">
      <c r="A306" s="81" t="s">
        <v>58</v>
      </c>
      <c r="B306" s="82">
        <v>46167</v>
      </c>
      <c r="C306" s="85" t="s">
        <v>299</v>
      </c>
      <c r="D306" s="84" t="s">
        <v>208</v>
      </c>
      <c r="E306" s="79">
        <v>115718</v>
      </c>
      <c r="F306" s="85" t="s">
        <v>298</v>
      </c>
      <c r="G306" s="62" t="s">
        <v>230</v>
      </c>
    </row>
    <row r="307" spans="1:7" ht="15" customHeight="1">
      <c r="A307" s="81" t="s">
        <v>58</v>
      </c>
      <c r="B307" s="82">
        <v>46136</v>
      </c>
      <c r="C307" s="85" t="s">
        <v>300</v>
      </c>
      <c r="D307" s="84" t="s">
        <v>245</v>
      </c>
      <c r="E307" s="79">
        <v>4696500</v>
      </c>
      <c r="F307" s="83" t="s">
        <v>301</v>
      </c>
      <c r="G307" s="62" t="s">
        <v>230</v>
      </c>
    </row>
    <row r="308" spans="1:7" ht="15" customHeight="1">
      <c r="A308" s="81" t="s">
        <v>62</v>
      </c>
      <c r="B308" s="82">
        <v>46044</v>
      </c>
      <c r="C308" s="83" t="s">
        <v>302</v>
      </c>
      <c r="D308" s="84" t="s">
        <v>245</v>
      </c>
      <c r="E308" s="79">
        <v>55000</v>
      </c>
      <c r="F308" s="83" t="s">
        <v>303</v>
      </c>
      <c r="G308" s="62" t="s">
        <v>230</v>
      </c>
    </row>
    <row r="309" spans="1:7" ht="15" customHeight="1">
      <c r="A309" s="81" t="s">
        <v>62</v>
      </c>
      <c r="B309" s="82">
        <v>46104</v>
      </c>
      <c r="C309" s="83" t="s">
        <v>302</v>
      </c>
      <c r="D309" s="84" t="s">
        <v>245</v>
      </c>
      <c r="E309" s="79">
        <v>55000</v>
      </c>
      <c r="F309" s="83" t="s">
        <v>303</v>
      </c>
      <c r="G309" s="62" t="s">
        <v>230</v>
      </c>
    </row>
    <row r="310" spans="1:7" ht="15" customHeight="1">
      <c r="A310" s="81" t="s">
        <v>62</v>
      </c>
      <c r="B310" s="82">
        <v>46112</v>
      </c>
      <c r="C310" s="83" t="s">
        <v>304</v>
      </c>
      <c r="D310" s="84" t="s">
        <v>245</v>
      </c>
      <c r="E310" s="79">
        <v>16</v>
      </c>
      <c r="F310" s="83" t="s">
        <v>303</v>
      </c>
      <c r="G310" s="62" t="s">
        <v>230</v>
      </c>
    </row>
    <row r="311" spans="1:7" ht="15" customHeight="1">
      <c r="A311" s="81" t="s">
        <v>62</v>
      </c>
      <c r="B311" s="82">
        <v>46126</v>
      </c>
      <c r="C311" s="83" t="s">
        <v>305</v>
      </c>
      <c r="D311" s="84" t="s">
        <v>245</v>
      </c>
      <c r="E311" s="79">
        <v>18000</v>
      </c>
      <c r="F311" s="83" t="s">
        <v>306</v>
      </c>
      <c r="G311" s="62" t="s">
        <v>230</v>
      </c>
    </row>
    <row r="312" spans="1:7" ht="15" customHeight="1">
      <c r="A312" s="81" t="s">
        <v>62</v>
      </c>
      <c r="B312" s="82">
        <v>46129</v>
      </c>
      <c r="C312" s="83" t="s">
        <v>302</v>
      </c>
      <c r="D312" s="84" t="s">
        <v>245</v>
      </c>
      <c r="E312" s="79">
        <v>55000</v>
      </c>
      <c r="F312" s="83" t="s">
        <v>303</v>
      </c>
      <c r="G312" s="62" t="s">
        <v>230</v>
      </c>
    </row>
    <row r="313" spans="1:7" ht="15" customHeight="1">
      <c r="A313" s="81" t="s">
        <v>62</v>
      </c>
      <c r="B313" s="82">
        <v>46157</v>
      </c>
      <c r="C313" s="83" t="s">
        <v>307</v>
      </c>
      <c r="D313" s="84" t="s">
        <v>245</v>
      </c>
      <c r="E313" s="79">
        <v>55000</v>
      </c>
      <c r="F313" s="85" t="s">
        <v>308</v>
      </c>
      <c r="G313" s="62" t="s">
        <v>238</v>
      </c>
    </row>
    <row r="314" spans="1:7" ht="15" customHeight="1">
      <c r="A314" s="81" t="s">
        <v>62</v>
      </c>
      <c r="B314" s="82">
        <v>46188</v>
      </c>
      <c r="C314" s="83" t="s">
        <v>307</v>
      </c>
      <c r="D314" s="84" t="s">
        <v>245</v>
      </c>
      <c r="E314" s="79">
        <v>55000</v>
      </c>
      <c r="F314" s="85" t="s">
        <v>308</v>
      </c>
      <c r="G314" s="62" t="s">
        <v>238</v>
      </c>
    </row>
    <row r="315" spans="1:7" ht="15" customHeight="1">
      <c r="A315" s="81" t="s">
        <v>62</v>
      </c>
      <c r="B315" s="82">
        <v>46218</v>
      </c>
      <c r="C315" s="83" t="s">
        <v>307</v>
      </c>
      <c r="D315" s="84" t="s">
        <v>245</v>
      </c>
      <c r="E315" s="79">
        <v>55000</v>
      </c>
      <c r="F315" s="85" t="s">
        <v>308</v>
      </c>
      <c r="G315" s="62" t="s">
        <v>238</v>
      </c>
    </row>
    <row r="316" spans="1:7" ht="15" customHeight="1">
      <c r="A316" s="81" t="s">
        <v>62</v>
      </c>
      <c r="B316" s="82">
        <v>46249</v>
      </c>
      <c r="C316" s="83" t="s">
        <v>307</v>
      </c>
      <c r="D316" s="84" t="s">
        <v>245</v>
      </c>
      <c r="E316" s="79">
        <v>55000</v>
      </c>
      <c r="F316" s="85" t="s">
        <v>308</v>
      </c>
      <c r="G316" s="62" t="s">
        <v>238</v>
      </c>
    </row>
    <row r="317" spans="1:7" ht="15" customHeight="1">
      <c r="A317" s="76" t="s">
        <v>61</v>
      </c>
      <c r="B317" s="77">
        <v>46118</v>
      </c>
      <c r="C317" s="78" t="s">
        <v>309</v>
      </c>
      <c r="D317" s="72" t="s">
        <v>245</v>
      </c>
      <c r="E317" s="79">
        <v>133750</v>
      </c>
      <c r="F317" s="78" t="s">
        <v>310</v>
      </c>
      <c r="G317" s="16" t="s">
        <v>230</v>
      </c>
    </row>
    <row r="318" spans="1:7" ht="15" customHeight="1">
      <c r="A318" s="76" t="s">
        <v>61</v>
      </c>
      <c r="B318" s="77">
        <v>46118</v>
      </c>
      <c r="C318" s="78" t="s">
        <v>309</v>
      </c>
      <c r="D318" s="72" t="s">
        <v>245</v>
      </c>
      <c r="E318" s="79">
        <v>14300</v>
      </c>
      <c r="F318" s="78" t="s">
        <v>310</v>
      </c>
      <c r="G318" s="16" t="s">
        <v>230</v>
      </c>
    </row>
    <row r="319" spans="1:7" ht="15" customHeight="1">
      <c r="A319" s="76" t="s">
        <v>61</v>
      </c>
      <c r="B319" s="77">
        <v>46127</v>
      </c>
      <c r="C319" s="78" t="s">
        <v>311</v>
      </c>
      <c r="D319" s="72" t="s">
        <v>245</v>
      </c>
      <c r="E319" s="79">
        <v>300000</v>
      </c>
      <c r="F319" s="78" t="s">
        <v>310</v>
      </c>
      <c r="G319" s="16" t="s">
        <v>230</v>
      </c>
    </row>
    <row r="320" spans="1:7" ht="15" customHeight="1">
      <c r="A320" s="76" t="s">
        <v>61</v>
      </c>
      <c r="B320" s="77">
        <v>46129</v>
      </c>
      <c r="C320" s="78" t="s">
        <v>312</v>
      </c>
      <c r="D320" s="72" t="s">
        <v>245</v>
      </c>
      <c r="E320" s="79">
        <v>40000</v>
      </c>
      <c r="F320" s="78" t="s">
        <v>310</v>
      </c>
      <c r="G320" s="16" t="s">
        <v>230</v>
      </c>
    </row>
    <row r="321" spans="1:7" ht="15" customHeight="1">
      <c r="A321" s="76" t="s">
        <v>61</v>
      </c>
      <c r="B321" s="77">
        <v>46132</v>
      </c>
      <c r="C321" s="78" t="s">
        <v>313</v>
      </c>
      <c r="D321" s="72" t="s">
        <v>245</v>
      </c>
      <c r="E321" s="79">
        <v>20000</v>
      </c>
      <c r="F321" s="78" t="s">
        <v>310</v>
      </c>
      <c r="G321" s="16" t="s">
        <v>230</v>
      </c>
    </row>
    <row r="322" spans="1:7" ht="15" customHeight="1">
      <c r="A322" s="76" t="s">
        <v>61</v>
      </c>
      <c r="B322" s="77">
        <v>46136</v>
      </c>
      <c r="C322" s="80" t="s">
        <v>314</v>
      </c>
      <c r="D322" s="72" t="s">
        <v>245</v>
      </c>
      <c r="E322" s="79">
        <v>93472</v>
      </c>
      <c r="F322" s="78" t="s">
        <v>310</v>
      </c>
      <c r="G322" s="16" t="s">
        <v>230</v>
      </c>
    </row>
    <row r="323" spans="1:7" ht="15" customHeight="1">
      <c r="A323" s="76" t="s">
        <v>61</v>
      </c>
      <c r="B323" s="77">
        <v>46137</v>
      </c>
      <c r="C323" s="78" t="s">
        <v>315</v>
      </c>
      <c r="D323" s="72" t="s">
        <v>245</v>
      </c>
      <c r="E323" s="79">
        <v>1480000</v>
      </c>
      <c r="F323" s="78" t="s">
        <v>310</v>
      </c>
      <c r="G323" s="16" t="s">
        <v>230</v>
      </c>
    </row>
    <row r="324" spans="1:7" ht="15" customHeight="1">
      <c r="A324" s="76" t="s">
        <v>61</v>
      </c>
      <c r="B324" s="77">
        <v>46137</v>
      </c>
      <c r="C324" s="78" t="s">
        <v>316</v>
      </c>
      <c r="D324" s="72" t="s">
        <v>245</v>
      </c>
      <c r="E324" s="79">
        <v>40000</v>
      </c>
      <c r="F324" s="78" t="s">
        <v>310</v>
      </c>
      <c r="G324" s="16" t="s">
        <v>230</v>
      </c>
    </row>
    <row r="325" spans="1:7" ht="15" customHeight="1">
      <c r="A325" s="76" t="s">
        <v>61</v>
      </c>
      <c r="B325" s="77">
        <v>46139</v>
      </c>
      <c r="C325" s="78" t="s">
        <v>317</v>
      </c>
      <c r="D325" s="72" t="s">
        <v>245</v>
      </c>
      <c r="E325" s="79">
        <v>1358933</v>
      </c>
      <c r="F325" s="78" t="s">
        <v>310</v>
      </c>
      <c r="G325" s="16" t="s">
        <v>230</v>
      </c>
    </row>
    <row r="326" spans="1:7" ht="15" customHeight="1">
      <c r="A326" s="76" t="s">
        <v>61</v>
      </c>
      <c r="B326" s="77">
        <v>46141</v>
      </c>
      <c r="C326" s="78" t="s">
        <v>318</v>
      </c>
      <c r="D326" s="72" t="s">
        <v>245</v>
      </c>
      <c r="E326" s="79">
        <v>39000</v>
      </c>
      <c r="F326" s="78" t="s">
        <v>310</v>
      </c>
      <c r="G326" s="16" t="s">
        <v>230</v>
      </c>
    </row>
    <row r="327" spans="1:7" ht="15" customHeight="1">
      <c r="A327" s="76" t="s">
        <v>61</v>
      </c>
      <c r="B327" s="77">
        <v>46142</v>
      </c>
      <c r="C327" s="78" t="s">
        <v>319</v>
      </c>
      <c r="D327" s="72" t="s">
        <v>245</v>
      </c>
      <c r="E327" s="79">
        <v>80000</v>
      </c>
      <c r="F327" s="78" t="s">
        <v>310</v>
      </c>
      <c r="G327" s="16" t="s">
        <v>230</v>
      </c>
    </row>
    <row r="328" spans="1:7" ht="15" customHeight="1">
      <c r="A328" s="76" t="s">
        <v>61</v>
      </c>
      <c r="B328" s="77">
        <v>46142</v>
      </c>
      <c r="C328" s="78" t="s">
        <v>315</v>
      </c>
      <c r="D328" s="72" t="s">
        <v>245</v>
      </c>
      <c r="E328" s="79">
        <v>170000</v>
      </c>
      <c r="F328" s="78" t="s">
        <v>320</v>
      </c>
      <c r="G328" s="16" t="s">
        <v>230</v>
      </c>
    </row>
    <row r="329" spans="1:7" ht="15" customHeight="1">
      <c r="A329" s="76" t="s">
        <v>61</v>
      </c>
      <c r="B329" s="77">
        <v>46142</v>
      </c>
      <c r="C329" s="78" t="s">
        <v>321</v>
      </c>
      <c r="D329" s="72" t="s">
        <v>245</v>
      </c>
      <c r="E329" s="79">
        <v>13000</v>
      </c>
      <c r="F329" s="78" t="s">
        <v>320</v>
      </c>
      <c r="G329" s="16" t="s">
        <v>230</v>
      </c>
    </row>
    <row r="330" spans="1:7" ht="15" customHeight="1">
      <c r="A330" s="76" t="s">
        <v>61</v>
      </c>
      <c r="B330" s="77">
        <v>46143</v>
      </c>
      <c r="C330" s="78" t="s">
        <v>322</v>
      </c>
      <c r="D330" s="72" t="s">
        <v>245</v>
      </c>
      <c r="E330" s="79">
        <v>30000</v>
      </c>
      <c r="F330" s="78" t="s">
        <v>310</v>
      </c>
      <c r="G330" s="16" t="s">
        <v>230</v>
      </c>
    </row>
    <row r="331" spans="1:7" ht="15" customHeight="1">
      <c r="A331" s="76" t="s">
        <v>61</v>
      </c>
      <c r="B331" s="77">
        <v>46144</v>
      </c>
      <c r="C331" s="80" t="s">
        <v>323</v>
      </c>
      <c r="D331" s="72" t="s">
        <v>245</v>
      </c>
      <c r="E331" s="79">
        <v>200000</v>
      </c>
      <c r="F331" s="78" t="s">
        <v>310</v>
      </c>
      <c r="G331" s="16" t="s">
        <v>230</v>
      </c>
    </row>
    <row r="332" spans="1:7" ht="15" customHeight="1">
      <c r="A332" s="76" t="s">
        <v>61</v>
      </c>
      <c r="B332" s="77">
        <v>46144</v>
      </c>
      <c r="C332" s="78" t="s">
        <v>315</v>
      </c>
      <c r="D332" s="72" t="s">
        <v>245</v>
      </c>
      <c r="E332" s="79">
        <v>50000</v>
      </c>
      <c r="F332" s="78" t="s">
        <v>310</v>
      </c>
      <c r="G332" s="16" t="s">
        <v>230</v>
      </c>
    </row>
    <row r="333" spans="1:7" ht="15" customHeight="1">
      <c r="A333" s="76" t="s">
        <v>61</v>
      </c>
      <c r="B333" s="77">
        <v>46144</v>
      </c>
      <c r="C333" s="78" t="s">
        <v>324</v>
      </c>
      <c r="D333" s="72" t="s">
        <v>245</v>
      </c>
      <c r="E333" s="79">
        <v>20000</v>
      </c>
      <c r="F333" s="78" t="s">
        <v>310</v>
      </c>
      <c r="G333" s="16" t="s">
        <v>230</v>
      </c>
    </row>
    <row r="334" spans="1:7" ht="15" customHeight="1">
      <c r="A334" s="76" t="s">
        <v>61</v>
      </c>
      <c r="B334" s="77">
        <v>46147</v>
      </c>
      <c r="C334" s="78" t="s">
        <v>325</v>
      </c>
      <c r="D334" s="72" t="s">
        <v>245</v>
      </c>
      <c r="E334" s="79">
        <v>100000</v>
      </c>
      <c r="F334" s="80" t="s">
        <v>326</v>
      </c>
      <c r="G334" s="16" t="s">
        <v>238</v>
      </c>
    </row>
    <row r="335" spans="1:7" ht="15" customHeight="1">
      <c r="A335" s="76" t="s">
        <v>61</v>
      </c>
      <c r="B335" s="77">
        <v>46178</v>
      </c>
      <c r="C335" s="78" t="s">
        <v>325</v>
      </c>
      <c r="D335" s="72" t="s">
        <v>245</v>
      </c>
      <c r="E335" s="79">
        <v>100000</v>
      </c>
      <c r="F335" s="80" t="s">
        <v>326</v>
      </c>
      <c r="G335" s="16" t="s">
        <v>238</v>
      </c>
    </row>
    <row r="336" spans="1:7" ht="15" customHeight="1">
      <c r="A336" s="76" t="s">
        <v>61</v>
      </c>
      <c r="B336" s="77">
        <v>46208</v>
      </c>
      <c r="C336" s="78" t="s">
        <v>325</v>
      </c>
      <c r="D336" s="72" t="s">
        <v>245</v>
      </c>
      <c r="E336" s="79">
        <v>100000</v>
      </c>
      <c r="F336" s="80" t="s">
        <v>326</v>
      </c>
      <c r="G336" s="16" t="s">
        <v>238</v>
      </c>
    </row>
    <row r="337" spans="1:7" ht="15" customHeight="1">
      <c r="A337" s="76" t="s">
        <v>61</v>
      </c>
      <c r="B337" s="77">
        <v>46239</v>
      </c>
      <c r="C337" s="78" t="s">
        <v>325</v>
      </c>
      <c r="D337" s="72" t="s">
        <v>245</v>
      </c>
      <c r="E337" s="79">
        <v>100000</v>
      </c>
      <c r="F337" s="80" t="s">
        <v>326</v>
      </c>
      <c r="G337" s="16" t="s">
        <v>238</v>
      </c>
    </row>
    <row r="338" spans="1:7" ht="15" customHeight="1">
      <c r="A338" s="76" t="s">
        <v>61</v>
      </c>
      <c r="B338" s="77">
        <v>46167</v>
      </c>
      <c r="C338" s="80" t="s">
        <v>327</v>
      </c>
      <c r="D338" s="72" t="s">
        <v>245</v>
      </c>
      <c r="E338" s="79">
        <v>200000</v>
      </c>
      <c r="F338" s="78" t="s">
        <v>328</v>
      </c>
      <c r="G338" s="16" t="s">
        <v>238</v>
      </c>
    </row>
    <row r="339" spans="1:7" ht="15" customHeight="1">
      <c r="A339" s="76" t="s">
        <v>61</v>
      </c>
      <c r="B339" s="77">
        <v>46198</v>
      </c>
      <c r="C339" s="80" t="s">
        <v>327</v>
      </c>
      <c r="D339" s="72" t="s">
        <v>245</v>
      </c>
      <c r="E339" s="79">
        <v>200000</v>
      </c>
      <c r="F339" s="78" t="s">
        <v>328</v>
      </c>
      <c r="G339" s="16" t="s">
        <v>238</v>
      </c>
    </row>
    <row r="340" spans="1:7" ht="15" customHeight="1">
      <c r="A340" s="76" t="s">
        <v>61</v>
      </c>
      <c r="B340" s="77">
        <v>46228</v>
      </c>
      <c r="C340" s="80" t="s">
        <v>327</v>
      </c>
      <c r="D340" s="72" t="s">
        <v>245</v>
      </c>
      <c r="E340" s="79">
        <v>200000</v>
      </c>
      <c r="F340" s="78" t="s">
        <v>328</v>
      </c>
      <c r="G340" s="16" t="s">
        <v>238</v>
      </c>
    </row>
    <row r="341" spans="1:7" ht="15" customHeight="1">
      <c r="A341" s="76" t="s">
        <v>61</v>
      </c>
      <c r="B341" s="77">
        <v>46259</v>
      </c>
      <c r="C341" s="80" t="s">
        <v>327</v>
      </c>
      <c r="D341" s="72" t="s">
        <v>245</v>
      </c>
      <c r="E341" s="79">
        <v>200000</v>
      </c>
      <c r="F341" s="78" t="s">
        <v>328</v>
      </c>
      <c r="G341" s="16" t="s">
        <v>238</v>
      </c>
    </row>
    <row r="342" spans="1:7" ht="15" customHeight="1">
      <c r="A342" s="81" t="s">
        <v>58</v>
      </c>
      <c r="B342" s="82">
        <v>46171</v>
      </c>
      <c r="C342" s="85" t="s">
        <v>329</v>
      </c>
      <c r="D342" s="84" t="s">
        <v>245</v>
      </c>
      <c r="E342" s="79">
        <v>1100000</v>
      </c>
      <c r="F342" s="85" t="s">
        <v>330</v>
      </c>
      <c r="G342" s="62" t="s">
        <v>230</v>
      </c>
    </row>
    <row r="343" spans="1:7" ht="15" customHeight="1">
      <c r="A343" s="76" t="s">
        <v>57</v>
      </c>
      <c r="B343" s="77">
        <v>46142</v>
      </c>
      <c r="C343" s="78" t="s">
        <v>331</v>
      </c>
      <c r="D343" s="72" t="s">
        <v>245</v>
      </c>
      <c r="E343" s="79">
        <v>39000</v>
      </c>
      <c r="F343" s="78" t="s">
        <v>332</v>
      </c>
      <c r="G343" s="16" t="s">
        <v>230</v>
      </c>
    </row>
    <row r="344" spans="1:7" ht="15" customHeight="1">
      <c r="A344" s="76" t="s">
        <v>57</v>
      </c>
      <c r="B344" s="77">
        <v>46142</v>
      </c>
      <c r="C344" s="78" t="s">
        <v>333</v>
      </c>
      <c r="D344" s="72" t="s">
        <v>242</v>
      </c>
      <c r="E344" s="79">
        <v>50000</v>
      </c>
      <c r="F344" s="78" t="s">
        <v>332</v>
      </c>
      <c r="G344" s="16" t="s">
        <v>230</v>
      </c>
    </row>
    <row r="345" spans="1:7" ht="15" customHeight="1">
      <c r="A345" s="76" t="s">
        <v>57</v>
      </c>
      <c r="B345" s="77">
        <v>46143</v>
      </c>
      <c r="C345" s="78" t="s">
        <v>334</v>
      </c>
      <c r="D345" s="72" t="s">
        <v>208</v>
      </c>
      <c r="E345" s="79">
        <v>14406</v>
      </c>
      <c r="F345" s="78" t="s">
        <v>332</v>
      </c>
      <c r="G345" s="16" t="s">
        <v>230</v>
      </c>
    </row>
    <row r="346" spans="1:7" ht="15" customHeight="1">
      <c r="A346" s="76" t="s">
        <v>57</v>
      </c>
      <c r="B346" s="77">
        <v>46143</v>
      </c>
      <c r="C346" s="78" t="s">
        <v>335</v>
      </c>
      <c r="D346" s="72" t="s">
        <v>242</v>
      </c>
      <c r="E346" s="79">
        <v>9000</v>
      </c>
      <c r="F346" s="78" t="s">
        <v>332</v>
      </c>
      <c r="G346" s="16" t="s">
        <v>230</v>
      </c>
    </row>
    <row r="347" spans="1:7" ht="15" customHeight="1">
      <c r="A347" s="76" t="s">
        <v>57</v>
      </c>
      <c r="B347" s="77">
        <v>46154</v>
      </c>
      <c r="C347" s="86" t="s">
        <v>336</v>
      </c>
      <c r="D347" s="72" t="s">
        <v>245</v>
      </c>
      <c r="E347" s="79">
        <v>8944000</v>
      </c>
      <c r="F347" s="78" t="s">
        <v>337</v>
      </c>
      <c r="G347" s="16" t="s">
        <v>230</v>
      </c>
    </row>
    <row r="348" spans="1:7" ht="15" customHeight="1">
      <c r="A348" s="76" t="s">
        <v>57</v>
      </c>
      <c r="B348" s="77">
        <v>46155</v>
      </c>
      <c r="C348" s="78" t="s">
        <v>335</v>
      </c>
      <c r="D348" s="72" t="s">
        <v>242</v>
      </c>
      <c r="E348" s="79">
        <v>15000</v>
      </c>
      <c r="F348" s="78" t="s">
        <v>332</v>
      </c>
      <c r="G348" s="16" t="s">
        <v>230</v>
      </c>
    </row>
    <row r="349" spans="1:7" ht="15" customHeight="1">
      <c r="A349" s="76" t="s">
        <v>57</v>
      </c>
      <c r="B349" s="77">
        <v>46157</v>
      </c>
      <c r="C349" s="78" t="s">
        <v>338</v>
      </c>
      <c r="D349" s="72" t="s">
        <v>242</v>
      </c>
      <c r="E349" s="79">
        <v>539575</v>
      </c>
      <c r="F349" s="78" t="s">
        <v>332</v>
      </c>
      <c r="G349" s="16" t="s">
        <v>230</v>
      </c>
    </row>
    <row r="350" spans="1:7" ht="15" customHeight="1">
      <c r="A350" s="76" t="s">
        <v>57</v>
      </c>
      <c r="B350" s="77">
        <v>46157</v>
      </c>
      <c r="C350" s="78" t="s">
        <v>334</v>
      </c>
      <c r="D350" s="72" t="s">
        <v>208</v>
      </c>
      <c r="E350" s="79">
        <v>80672</v>
      </c>
      <c r="F350" s="78" t="s">
        <v>332</v>
      </c>
      <c r="G350" s="16" t="s">
        <v>230</v>
      </c>
    </row>
    <row r="351" spans="1:7" ht="15" customHeight="1">
      <c r="A351" s="76" t="s">
        <v>58</v>
      </c>
      <c r="B351" s="77">
        <v>46157</v>
      </c>
      <c r="C351" s="86" t="s">
        <v>204</v>
      </c>
      <c r="D351" s="72" t="s">
        <v>208</v>
      </c>
      <c r="E351" s="79">
        <v>1556533</v>
      </c>
      <c r="F351" s="86" t="s">
        <v>339</v>
      </c>
      <c r="G351" s="16" t="s">
        <v>238</v>
      </c>
    </row>
    <row r="352" spans="1:7" ht="15" customHeight="1">
      <c r="A352" s="76" t="s">
        <v>58</v>
      </c>
      <c r="B352" s="77">
        <v>46157</v>
      </c>
      <c r="C352" s="78" t="s">
        <v>202</v>
      </c>
      <c r="D352" s="72" t="s">
        <v>208</v>
      </c>
      <c r="E352" s="79">
        <v>1140620</v>
      </c>
      <c r="F352" s="86" t="s">
        <v>339</v>
      </c>
      <c r="G352" s="16" t="s">
        <v>238</v>
      </c>
    </row>
    <row r="353" spans="1:7" ht="15" customHeight="1">
      <c r="A353" s="76" t="s">
        <v>58</v>
      </c>
      <c r="B353" s="77">
        <v>46157</v>
      </c>
      <c r="C353" s="86" t="s">
        <v>203</v>
      </c>
      <c r="D353" s="72" t="s">
        <v>208</v>
      </c>
      <c r="E353" s="79">
        <v>514416</v>
      </c>
      <c r="F353" s="86" t="s">
        <v>339</v>
      </c>
      <c r="G353" s="16" t="s">
        <v>238</v>
      </c>
    </row>
    <row r="354" spans="1:7" ht="15" customHeight="1">
      <c r="A354" s="76" t="s">
        <v>58</v>
      </c>
      <c r="B354" s="77">
        <v>46157</v>
      </c>
      <c r="C354" s="86" t="s">
        <v>205</v>
      </c>
      <c r="D354" s="72" t="s">
        <v>208</v>
      </c>
      <c r="E354" s="79">
        <v>464000</v>
      </c>
      <c r="F354" s="86" t="s">
        <v>339</v>
      </c>
      <c r="G354" s="16" t="s">
        <v>238</v>
      </c>
    </row>
    <row r="355" spans="1:7" ht="15" customHeight="1">
      <c r="A355" s="76" t="s">
        <v>58</v>
      </c>
      <c r="B355" s="77">
        <v>46162</v>
      </c>
      <c r="C355" s="78" t="s">
        <v>208</v>
      </c>
      <c r="D355" s="72" t="s">
        <v>208</v>
      </c>
      <c r="E355" s="79">
        <v>782673</v>
      </c>
      <c r="F355" s="86" t="s">
        <v>340</v>
      </c>
      <c r="G355" s="16" t="s">
        <v>238</v>
      </c>
    </row>
    <row r="356" spans="1:7" ht="15" customHeight="1">
      <c r="A356" s="76" t="s">
        <v>58</v>
      </c>
      <c r="B356" s="77">
        <v>46162</v>
      </c>
      <c r="C356" s="78" t="s">
        <v>215</v>
      </c>
      <c r="D356" s="72" t="s">
        <v>208</v>
      </c>
      <c r="E356" s="79">
        <v>102916</v>
      </c>
      <c r="F356" s="86" t="s">
        <v>340</v>
      </c>
      <c r="G356" s="16" t="s">
        <v>238</v>
      </c>
    </row>
    <row r="357" spans="1:7" ht="15" customHeight="1">
      <c r="A357" s="76" t="s">
        <v>58</v>
      </c>
      <c r="B357" s="77">
        <v>46167</v>
      </c>
      <c r="C357" s="78" t="s">
        <v>198</v>
      </c>
      <c r="D357" s="72" t="s">
        <v>208</v>
      </c>
      <c r="E357" s="79">
        <v>343379</v>
      </c>
      <c r="F357" s="86" t="s">
        <v>341</v>
      </c>
      <c r="G357" s="16" t="s">
        <v>238</v>
      </c>
    </row>
    <row r="358" spans="1:7" ht="15" customHeight="1">
      <c r="A358" s="76" t="s">
        <v>58</v>
      </c>
      <c r="B358" s="77">
        <v>46167</v>
      </c>
      <c r="C358" s="78" t="s">
        <v>213</v>
      </c>
      <c r="D358" s="72" t="s">
        <v>208</v>
      </c>
      <c r="E358" s="79">
        <v>205656</v>
      </c>
      <c r="F358" s="86" t="s">
        <v>341</v>
      </c>
      <c r="G358" s="16" t="s">
        <v>238</v>
      </c>
    </row>
    <row r="359" spans="1:7" ht="15" customHeight="1">
      <c r="A359" s="76" t="s">
        <v>58</v>
      </c>
      <c r="B359" s="77">
        <v>46168</v>
      </c>
      <c r="C359" s="78" t="s">
        <v>218</v>
      </c>
      <c r="D359" s="72" t="s">
        <v>208</v>
      </c>
      <c r="E359" s="79">
        <v>1275010</v>
      </c>
      <c r="F359" s="86" t="s">
        <v>342</v>
      </c>
      <c r="G359" s="16" t="s">
        <v>238</v>
      </c>
    </row>
    <row r="360" spans="1:7" ht="15" customHeight="1">
      <c r="A360" s="76" t="s">
        <v>58</v>
      </c>
      <c r="B360" s="77">
        <v>46168</v>
      </c>
      <c r="C360" s="78" t="s">
        <v>210</v>
      </c>
      <c r="D360" s="72" t="s">
        <v>208</v>
      </c>
      <c r="E360" s="79">
        <v>715000</v>
      </c>
      <c r="F360" s="86" t="s">
        <v>342</v>
      </c>
      <c r="G360" s="16" t="s">
        <v>238</v>
      </c>
    </row>
    <row r="361" spans="1:7" ht="15" customHeight="1">
      <c r="A361" s="76" t="s">
        <v>58</v>
      </c>
      <c r="B361" s="77">
        <v>46171</v>
      </c>
      <c r="C361" s="86" t="s">
        <v>204</v>
      </c>
      <c r="D361" s="72" t="s">
        <v>208</v>
      </c>
      <c r="E361" s="79">
        <v>1494669</v>
      </c>
      <c r="F361" s="86" t="s">
        <v>343</v>
      </c>
      <c r="G361" s="16" t="s">
        <v>238</v>
      </c>
    </row>
    <row r="362" spans="1:7" ht="15" customHeight="1">
      <c r="A362" s="76" t="s">
        <v>58</v>
      </c>
      <c r="B362" s="77">
        <v>46171</v>
      </c>
      <c r="C362" s="78" t="s">
        <v>202</v>
      </c>
      <c r="D362" s="72" t="s">
        <v>208</v>
      </c>
      <c r="E362" s="79">
        <v>716054</v>
      </c>
      <c r="F362" s="86" t="s">
        <v>343</v>
      </c>
      <c r="G362" s="16" t="s">
        <v>238</v>
      </c>
    </row>
    <row r="363" spans="1:7" ht="15" customHeight="1">
      <c r="A363" s="76" t="s">
        <v>58</v>
      </c>
      <c r="B363" s="77">
        <v>46171</v>
      </c>
      <c r="C363" s="78" t="s">
        <v>214</v>
      </c>
      <c r="D363" s="72" t="s">
        <v>208</v>
      </c>
      <c r="E363" s="79">
        <v>547124</v>
      </c>
      <c r="F363" s="86" t="s">
        <v>343</v>
      </c>
      <c r="G363" s="16" t="s">
        <v>238</v>
      </c>
    </row>
    <row r="364" spans="1:7" ht="15" customHeight="1">
      <c r="A364" s="76" t="s">
        <v>58</v>
      </c>
      <c r="B364" s="77">
        <v>46171</v>
      </c>
      <c r="C364" s="78" t="s">
        <v>208</v>
      </c>
      <c r="D364" s="72" t="s">
        <v>208</v>
      </c>
      <c r="E364" s="79">
        <v>331567</v>
      </c>
      <c r="F364" s="86" t="s">
        <v>343</v>
      </c>
      <c r="G364" s="16" t="s">
        <v>238</v>
      </c>
    </row>
    <row r="365" spans="1:7" ht="15" customHeight="1">
      <c r="A365" s="76" t="s">
        <v>58</v>
      </c>
      <c r="B365" s="77">
        <v>46171</v>
      </c>
      <c r="C365" s="86" t="s">
        <v>203</v>
      </c>
      <c r="D365" s="72" t="s">
        <v>208</v>
      </c>
      <c r="E365" s="79">
        <v>279312</v>
      </c>
      <c r="F365" s="86" t="s">
        <v>343</v>
      </c>
      <c r="G365" s="16" t="s">
        <v>238</v>
      </c>
    </row>
    <row r="366" spans="1:7" ht="15" customHeight="1">
      <c r="A366" s="76" t="s">
        <v>58</v>
      </c>
      <c r="B366" s="77">
        <v>46171</v>
      </c>
      <c r="C366" s="86" t="s">
        <v>205</v>
      </c>
      <c r="D366" s="72" t="s">
        <v>208</v>
      </c>
      <c r="E366" s="79">
        <v>162451</v>
      </c>
      <c r="F366" s="86" t="s">
        <v>343</v>
      </c>
      <c r="G366" s="16" t="s">
        <v>238</v>
      </c>
    </row>
    <row r="367" spans="1:7" ht="15" customHeight="1">
      <c r="A367" s="76" t="s">
        <v>59</v>
      </c>
      <c r="B367" s="77">
        <v>46144</v>
      </c>
      <c r="C367" s="86" t="s">
        <v>206</v>
      </c>
      <c r="D367" s="72" t="s">
        <v>208</v>
      </c>
      <c r="E367" s="79">
        <v>58677</v>
      </c>
      <c r="F367" s="86" t="s">
        <v>344</v>
      </c>
      <c r="G367" s="16" t="s">
        <v>238</v>
      </c>
    </row>
    <row r="368" spans="1:7" ht="15" customHeight="1">
      <c r="A368" s="76" t="s">
        <v>59</v>
      </c>
      <c r="B368" s="77">
        <v>46145</v>
      </c>
      <c r="C368" s="86" t="s">
        <v>195</v>
      </c>
      <c r="D368" s="72" t="s">
        <v>208</v>
      </c>
      <c r="E368" s="79">
        <v>217127</v>
      </c>
      <c r="F368" s="86" t="s">
        <v>345</v>
      </c>
      <c r="G368" s="16" t="s">
        <v>238</v>
      </c>
    </row>
    <row r="369" spans="1:7" ht="15" customHeight="1">
      <c r="A369" s="76" t="s">
        <v>59</v>
      </c>
      <c r="B369" s="77">
        <v>46157</v>
      </c>
      <c r="C369" s="86" t="s">
        <v>203</v>
      </c>
      <c r="D369" s="72" t="s">
        <v>208</v>
      </c>
      <c r="E369" s="79">
        <v>118560</v>
      </c>
      <c r="F369" s="86" t="s">
        <v>346</v>
      </c>
      <c r="G369" s="16" t="s">
        <v>238</v>
      </c>
    </row>
    <row r="370" spans="1:7" ht="15" customHeight="1">
      <c r="A370" s="76" t="s">
        <v>59</v>
      </c>
      <c r="B370" s="77">
        <v>46157</v>
      </c>
      <c r="C370" s="86" t="s">
        <v>204</v>
      </c>
      <c r="D370" s="72" t="s">
        <v>208</v>
      </c>
      <c r="E370" s="79">
        <v>534492</v>
      </c>
      <c r="F370" s="86" t="s">
        <v>346</v>
      </c>
      <c r="G370" s="16" t="s">
        <v>238</v>
      </c>
    </row>
    <row r="371" spans="1:7" ht="15" customHeight="1">
      <c r="A371" s="76" t="s">
        <v>59</v>
      </c>
      <c r="B371" s="77">
        <v>46157</v>
      </c>
      <c r="C371" s="78" t="s">
        <v>212</v>
      </c>
      <c r="D371" s="72" t="s">
        <v>208</v>
      </c>
      <c r="E371" s="79">
        <v>172778</v>
      </c>
      <c r="F371" s="86" t="s">
        <v>346</v>
      </c>
      <c r="G371" s="16" t="s">
        <v>238</v>
      </c>
    </row>
    <row r="372" spans="1:7" ht="15" customHeight="1">
      <c r="A372" s="76" t="s">
        <v>59</v>
      </c>
      <c r="B372" s="77">
        <v>46162</v>
      </c>
      <c r="C372" s="78" t="s">
        <v>208</v>
      </c>
      <c r="D372" s="72" t="s">
        <v>208</v>
      </c>
      <c r="E372" s="79">
        <v>648274</v>
      </c>
      <c r="F372" s="86" t="s">
        <v>347</v>
      </c>
      <c r="G372" s="16" t="s">
        <v>238</v>
      </c>
    </row>
    <row r="373" spans="1:7" ht="15" customHeight="1">
      <c r="A373" s="76" t="s">
        <v>59</v>
      </c>
      <c r="B373" s="77">
        <v>46169</v>
      </c>
      <c r="C373" s="78" t="s">
        <v>299</v>
      </c>
      <c r="D373" s="72" t="s">
        <v>208</v>
      </c>
      <c r="E373" s="79">
        <v>1001489</v>
      </c>
      <c r="F373" s="86" t="s">
        <v>348</v>
      </c>
      <c r="G373" s="16" t="s">
        <v>238</v>
      </c>
    </row>
    <row r="374" spans="1:7" ht="15" customHeight="1">
      <c r="A374" s="76" t="s">
        <v>59</v>
      </c>
      <c r="B374" s="77">
        <v>46169</v>
      </c>
      <c r="C374" s="78" t="s">
        <v>198</v>
      </c>
      <c r="D374" s="72" t="s">
        <v>208</v>
      </c>
      <c r="E374" s="79">
        <v>44027</v>
      </c>
      <c r="F374" s="86" t="s">
        <v>348</v>
      </c>
      <c r="G374" s="16" t="s">
        <v>238</v>
      </c>
    </row>
    <row r="375" spans="1:7" ht="15" customHeight="1">
      <c r="A375" s="76" t="s">
        <v>59</v>
      </c>
      <c r="B375" s="77">
        <v>46169</v>
      </c>
      <c r="C375" s="78" t="s">
        <v>213</v>
      </c>
      <c r="D375" s="72" t="s">
        <v>208</v>
      </c>
      <c r="E375" s="79">
        <v>43784</v>
      </c>
      <c r="F375" s="86" t="s">
        <v>348</v>
      </c>
      <c r="G375" s="16" t="s">
        <v>238</v>
      </c>
    </row>
    <row r="376" spans="1:7" ht="15" customHeight="1">
      <c r="A376" s="76" t="s">
        <v>59</v>
      </c>
      <c r="B376" s="77">
        <v>46169</v>
      </c>
      <c r="C376" s="78" t="s">
        <v>212</v>
      </c>
      <c r="D376" s="72" t="s">
        <v>208</v>
      </c>
      <c r="E376" s="79">
        <v>12975</v>
      </c>
      <c r="F376" s="86" t="s">
        <v>348</v>
      </c>
      <c r="G376" s="16" t="s">
        <v>238</v>
      </c>
    </row>
    <row r="377" spans="1:7" ht="15" customHeight="1">
      <c r="A377" s="76" t="s">
        <v>59</v>
      </c>
      <c r="B377" s="77">
        <v>46173</v>
      </c>
      <c r="C377" s="86" t="s">
        <v>203</v>
      </c>
      <c r="D377" s="72" t="s">
        <v>208</v>
      </c>
      <c r="E377" s="79">
        <v>52902</v>
      </c>
      <c r="F377" s="86" t="s">
        <v>349</v>
      </c>
      <c r="G377" s="16" t="s">
        <v>238</v>
      </c>
    </row>
    <row r="378" spans="1:7" ht="15" customHeight="1">
      <c r="A378" s="76" t="s">
        <v>59</v>
      </c>
      <c r="B378" s="77">
        <v>46173</v>
      </c>
      <c r="C378" s="86" t="s">
        <v>204</v>
      </c>
      <c r="D378" s="72" t="s">
        <v>208</v>
      </c>
      <c r="E378" s="79">
        <v>308946</v>
      </c>
      <c r="F378" s="86" t="s">
        <v>349</v>
      </c>
      <c r="G378" s="16" t="s">
        <v>238</v>
      </c>
    </row>
    <row r="379" spans="1:7" ht="15" customHeight="1">
      <c r="A379" s="76" t="s">
        <v>59</v>
      </c>
      <c r="B379" s="77">
        <v>46173</v>
      </c>
      <c r="C379" s="78" t="s">
        <v>214</v>
      </c>
      <c r="D379" s="72" t="s">
        <v>208</v>
      </c>
      <c r="E379" s="79">
        <v>956300</v>
      </c>
      <c r="F379" s="86" t="s">
        <v>349</v>
      </c>
      <c r="G379" s="16" t="s">
        <v>238</v>
      </c>
    </row>
    <row r="380" spans="1:7" ht="15" customHeight="1">
      <c r="A380" s="76" t="s">
        <v>59</v>
      </c>
      <c r="B380" s="77">
        <v>46173</v>
      </c>
      <c r="C380" s="78" t="s">
        <v>208</v>
      </c>
      <c r="D380" s="72" t="s">
        <v>208</v>
      </c>
      <c r="E380" s="79">
        <v>377864</v>
      </c>
      <c r="F380" s="86" t="s">
        <v>349</v>
      </c>
      <c r="G380" s="16" t="s">
        <v>238</v>
      </c>
    </row>
    <row r="381" spans="1:7" ht="15" customHeight="1">
      <c r="A381" s="76"/>
      <c r="B381" s="77"/>
      <c r="C381" s="78"/>
      <c r="D381" s="72"/>
      <c r="E381" s="79"/>
      <c r="F381" s="78"/>
      <c r="G381" s="16"/>
    </row>
    <row r="382" spans="1:7" ht="15" customHeight="1">
      <c r="A382" s="76"/>
      <c r="B382" s="77"/>
      <c r="C382" s="78"/>
      <c r="D382" s="72"/>
      <c r="E382" s="79"/>
      <c r="F382" s="78"/>
      <c r="G382" s="16"/>
    </row>
    <row r="383" spans="1:7" ht="15" customHeight="1">
      <c r="A383" s="76"/>
      <c r="B383" s="77"/>
      <c r="C383" s="78"/>
      <c r="D383" s="72"/>
      <c r="E383" s="79"/>
      <c r="F383" s="78"/>
      <c r="G383" s="16"/>
    </row>
    <row r="384" spans="1:7" ht="15" customHeight="1">
      <c r="A384" s="76"/>
      <c r="B384" s="77"/>
      <c r="C384" s="78"/>
      <c r="D384" s="72"/>
      <c r="E384" s="79"/>
      <c r="F384" s="78"/>
      <c r="G384" s="16"/>
    </row>
    <row r="385" spans="1:7" ht="15" customHeight="1">
      <c r="A385" s="76"/>
      <c r="B385" s="77"/>
      <c r="C385" s="78"/>
      <c r="D385" s="72"/>
      <c r="E385" s="79"/>
      <c r="F385" s="78"/>
      <c r="G385" s="16"/>
    </row>
    <row r="386" spans="1:7" ht="15" customHeight="1">
      <c r="A386" s="76"/>
      <c r="B386" s="77"/>
      <c r="C386" s="78"/>
      <c r="D386" s="72"/>
      <c r="E386" s="79"/>
      <c r="F386" s="78"/>
      <c r="G386" s="16"/>
    </row>
    <row r="387" spans="1:7" ht="15" customHeight="1">
      <c r="A387" s="76"/>
      <c r="B387" s="77"/>
      <c r="C387" s="78"/>
      <c r="D387" s="72"/>
      <c r="E387" s="79"/>
      <c r="F387" s="78"/>
      <c r="G387" s="16"/>
    </row>
    <row r="388" spans="1:7" ht="15" customHeight="1">
      <c r="A388" s="76"/>
      <c r="B388" s="77"/>
      <c r="C388" s="78"/>
      <c r="D388" s="72"/>
      <c r="E388" s="79"/>
      <c r="F388" s="78"/>
      <c r="G388" s="16"/>
    </row>
    <row r="389" spans="1:7" ht="15" customHeight="1">
      <c r="A389" s="76"/>
      <c r="B389" s="77"/>
      <c r="C389" s="78"/>
      <c r="D389" s="72"/>
      <c r="E389" s="79"/>
      <c r="F389" s="78"/>
      <c r="G389" s="16"/>
    </row>
    <row r="390" spans="1:7" ht="15" customHeight="1">
      <c r="A390" s="76"/>
      <c r="B390" s="77"/>
      <c r="C390" s="78"/>
      <c r="D390" s="72"/>
      <c r="E390" s="79"/>
      <c r="F390" s="78"/>
      <c r="G390" s="16"/>
    </row>
    <row r="391" spans="1:7" ht="15" customHeight="1">
      <c r="A391" s="76"/>
      <c r="B391" s="77"/>
      <c r="C391" s="78"/>
      <c r="D391" s="72"/>
      <c r="E391" s="79"/>
      <c r="F391" s="78"/>
      <c r="G391" s="16"/>
    </row>
    <row r="392" spans="1:7" ht="15" customHeight="1">
      <c r="A392" s="76"/>
      <c r="B392" s="77"/>
      <c r="C392" s="78"/>
      <c r="D392" s="72"/>
      <c r="E392" s="79"/>
      <c r="F392" s="78"/>
      <c r="G392" s="16"/>
    </row>
    <row r="393" spans="1:7" ht="15" customHeight="1">
      <c r="A393" s="76"/>
      <c r="B393" s="77"/>
      <c r="C393" s="78"/>
      <c r="D393" s="72"/>
      <c r="E393" s="79"/>
      <c r="F393" s="78"/>
      <c r="G393" s="16"/>
    </row>
    <row r="394" spans="1:7" ht="15" customHeight="1">
      <c r="A394" s="76"/>
      <c r="B394" s="77"/>
      <c r="C394" s="78"/>
      <c r="D394" s="72"/>
      <c r="E394" s="79"/>
      <c r="F394" s="78"/>
      <c r="G394" s="16"/>
    </row>
    <row r="395" spans="1:7" ht="15" customHeight="1">
      <c r="A395" s="76"/>
      <c r="B395" s="77"/>
      <c r="C395" s="78"/>
      <c r="D395" s="72"/>
      <c r="E395" s="79"/>
      <c r="F395" s="78"/>
      <c r="G395" s="16"/>
    </row>
    <row r="396" spans="1:7" ht="15" customHeight="1">
      <c r="A396" s="76"/>
      <c r="B396" s="77"/>
      <c r="C396" s="78"/>
      <c r="D396" s="72"/>
      <c r="E396" s="79"/>
      <c r="F396" s="78"/>
      <c r="G396" s="16"/>
    </row>
    <row r="397" spans="1:7" ht="15" customHeight="1">
      <c r="A397" s="76"/>
      <c r="B397" s="77"/>
      <c r="C397" s="78"/>
      <c r="D397" s="72"/>
      <c r="E397" s="79"/>
      <c r="F397" s="78"/>
      <c r="G397" s="16"/>
    </row>
    <row r="398" spans="1:7" ht="15" customHeight="1">
      <c r="A398" s="76"/>
      <c r="B398" s="77"/>
      <c r="C398" s="78"/>
      <c r="D398" s="72"/>
      <c r="E398" s="79"/>
      <c r="F398" s="78"/>
      <c r="G398" s="16"/>
    </row>
    <row r="399" spans="1:7" ht="15" customHeight="1">
      <c r="A399" s="76"/>
      <c r="B399" s="77"/>
      <c r="C399" s="78"/>
      <c r="D399" s="72"/>
      <c r="E399" s="79"/>
      <c r="F399" s="78"/>
      <c r="G399" s="16"/>
    </row>
    <row r="400" spans="1:7" ht="15" customHeight="1">
      <c r="A400" s="76"/>
      <c r="B400" s="77"/>
      <c r="C400" s="78"/>
      <c r="D400" s="72"/>
      <c r="E400" s="79"/>
      <c r="F400" s="78"/>
      <c r="G400" s="16"/>
    </row>
    <row r="401" spans="1:7" ht="15" customHeight="1">
      <c r="A401" s="76"/>
      <c r="B401" s="77"/>
      <c r="C401" s="78"/>
      <c r="D401" s="72"/>
      <c r="E401" s="79"/>
      <c r="F401" s="78"/>
      <c r="G401" s="16"/>
    </row>
    <row r="402" spans="1:7" ht="15" customHeight="1">
      <c r="A402" s="76"/>
      <c r="B402" s="77"/>
      <c r="C402" s="78"/>
      <c r="D402" s="72"/>
      <c r="E402" s="79"/>
      <c r="F402" s="78"/>
      <c r="G402" s="16"/>
    </row>
    <row r="403" spans="1:7" ht="15" customHeight="1">
      <c r="A403" s="76"/>
      <c r="B403" s="77"/>
      <c r="C403" s="78"/>
      <c r="D403" s="72"/>
      <c r="E403" s="79"/>
      <c r="F403" s="78"/>
      <c r="G403" s="16"/>
    </row>
    <row r="404" spans="1:7" ht="15" customHeight="1">
      <c r="A404" s="76"/>
      <c r="B404" s="77"/>
      <c r="C404" s="78"/>
      <c r="D404" s="72"/>
      <c r="E404" s="79"/>
      <c r="F404" s="78"/>
      <c r="G404" s="16"/>
    </row>
    <row r="405" spans="1:7" ht="15" customHeight="1">
      <c r="A405" s="76"/>
      <c r="B405" s="77"/>
      <c r="C405" s="78"/>
      <c r="D405" s="72"/>
      <c r="E405" s="79"/>
      <c r="F405" s="78"/>
      <c r="G405" s="16"/>
    </row>
    <row r="406" spans="1:7" ht="15" customHeight="1">
      <c r="A406" s="76"/>
      <c r="B406" s="77"/>
      <c r="C406" s="78"/>
      <c r="D406" s="72"/>
      <c r="E406" s="79"/>
      <c r="F406" s="78"/>
      <c r="G406" s="16"/>
    </row>
    <row r="407" spans="1:7" ht="15" customHeight="1">
      <c r="A407" s="76"/>
      <c r="B407" s="77"/>
      <c r="C407" s="78"/>
      <c r="D407" s="72"/>
      <c r="E407" s="79"/>
      <c r="F407" s="78"/>
      <c r="G407" s="16"/>
    </row>
    <row r="408" spans="1:7" ht="15" customHeight="1">
      <c r="A408" s="76"/>
      <c r="B408" s="77"/>
      <c r="C408" s="78"/>
      <c r="D408" s="72"/>
      <c r="E408" s="79"/>
      <c r="F408" s="78"/>
      <c r="G408" s="16"/>
    </row>
    <row r="409" spans="1:7" ht="15" customHeight="1">
      <c r="A409" s="76"/>
      <c r="B409" s="77"/>
      <c r="C409" s="78"/>
      <c r="D409" s="72"/>
      <c r="E409" s="79"/>
      <c r="F409" s="78"/>
      <c r="G409" s="16"/>
    </row>
    <row r="410" spans="1:7" ht="15" customHeight="1">
      <c r="A410" s="76"/>
      <c r="B410" s="77"/>
      <c r="C410" s="78"/>
      <c r="D410" s="72"/>
      <c r="E410" s="79"/>
      <c r="F410" s="78"/>
      <c r="G410" s="16"/>
    </row>
    <row r="411" spans="1:7" ht="15" customHeight="1">
      <c r="A411" s="76"/>
      <c r="B411" s="77"/>
      <c r="C411" s="78"/>
      <c r="D411" s="72"/>
      <c r="E411" s="79"/>
      <c r="F411" s="78"/>
      <c r="G411" s="16"/>
    </row>
    <row r="412" spans="1:7" ht="15" customHeight="1">
      <c r="A412" s="76"/>
      <c r="B412" s="77"/>
      <c r="C412" s="78"/>
      <c r="D412" s="72"/>
      <c r="E412" s="79"/>
      <c r="F412" s="78"/>
      <c r="G412" s="16"/>
    </row>
    <row r="413" spans="1:7" ht="15" customHeight="1">
      <c r="A413" s="76"/>
      <c r="B413" s="77"/>
      <c r="C413" s="78"/>
      <c r="D413" s="72"/>
      <c r="E413" s="79"/>
      <c r="F413" s="78"/>
      <c r="G413" s="16"/>
    </row>
    <row r="414" spans="1:7" ht="15" customHeight="1">
      <c r="A414" s="76"/>
      <c r="B414" s="77"/>
      <c r="C414" s="78"/>
      <c r="D414" s="72"/>
      <c r="E414" s="79"/>
      <c r="F414" s="78"/>
      <c r="G414" s="16"/>
    </row>
    <row r="415" spans="1:7" ht="15" customHeight="1">
      <c r="A415" s="76"/>
      <c r="B415" s="77"/>
      <c r="C415" s="78"/>
      <c r="D415" s="72"/>
      <c r="E415" s="79"/>
      <c r="F415" s="78"/>
      <c r="G415" s="16"/>
    </row>
    <row r="416" spans="1:7" ht="15" customHeight="1">
      <c r="A416" s="76"/>
      <c r="B416" s="77"/>
      <c r="C416" s="78"/>
      <c r="D416" s="72"/>
      <c r="E416" s="79"/>
      <c r="F416" s="78"/>
      <c r="G416" s="16"/>
    </row>
    <row r="417" spans="1:7" ht="15" customHeight="1">
      <c r="A417" s="76"/>
      <c r="B417" s="77"/>
      <c r="C417" s="78"/>
      <c r="D417" s="72"/>
      <c r="E417" s="79"/>
      <c r="F417" s="78"/>
      <c r="G417" s="16"/>
    </row>
    <row r="418" spans="1:7" ht="15" customHeight="1">
      <c r="A418" s="76"/>
      <c r="B418" s="77"/>
      <c r="C418" s="78"/>
      <c r="D418" s="72"/>
      <c r="E418" s="79"/>
      <c r="F418" s="78"/>
      <c r="G418" s="16"/>
    </row>
    <row r="419" spans="1:7" ht="15" customHeight="1">
      <c r="A419" s="76"/>
      <c r="B419" s="77"/>
      <c r="C419" s="78"/>
      <c r="D419" s="72"/>
      <c r="E419" s="79"/>
      <c r="F419" s="78"/>
      <c r="G419" s="16"/>
    </row>
    <row r="420" spans="1:7" ht="15" customHeight="1">
      <c r="A420" s="76"/>
      <c r="B420" s="77"/>
      <c r="C420" s="78"/>
      <c r="D420" s="72"/>
      <c r="E420" s="79"/>
      <c r="F420" s="78"/>
      <c r="G420" s="16"/>
    </row>
    <row r="421" spans="1:7" ht="15" customHeight="1">
      <c r="A421" s="76"/>
      <c r="B421" s="77"/>
      <c r="C421" s="78"/>
      <c r="D421" s="72"/>
      <c r="E421" s="79"/>
      <c r="F421" s="78"/>
      <c r="G421" s="16"/>
    </row>
    <row r="422" spans="1:7" ht="15" customHeight="1">
      <c r="A422" s="76"/>
      <c r="B422" s="77"/>
      <c r="C422" s="78"/>
      <c r="D422" s="72"/>
      <c r="E422" s="79"/>
      <c r="F422" s="78"/>
      <c r="G422" s="16"/>
    </row>
    <row r="423" spans="1:7" ht="15" customHeight="1">
      <c r="A423" s="76"/>
      <c r="B423" s="77"/>
      <c r="C423" s="78"/>
      <c r="D423" s="72"/>
      <c r="E423" s="79"/>
      <c r="F423" s="78"/>
      <c r="G423" s="16"/>
    </row>
    <row r="424" spans="1:7" ht="15" customHeight="1">
      <c r="A424" s="76"/>
      <c r="B424" s="77"/>
      <c r="C424" s="78"/>
      <c r="D424" s="72"/>
      <c r="E424" s="79"/>
      <c r="F424" s="78"/>
      <c r="G424" s="16"/>
    </row>
    <row r="425" spans="1:7" ht="15" customHeight="1">
      <c r="A425" s="76"/>
      <c r="B425" s="77"/>
      <c r="C425" s="78"/>
      <c r="D425" s="72"/>
      <c r="E425" s="79"/>
      <c r="F425" s="78"/>
      <c r="G425" s="16"/>
    </row>
    <row r="426" spans="1:7" ht="15" customHeight="1">
      <c r="A426" s="76"/>
      <c r="B426" s="77"/>
      <c r="C426" s="78"/>
      <c r="D426" s="72"/>
      <c r="E426" s="79"/>
      <c r="F426" s="78"/>
      <c r="G426" s="16"/>
    </row>
    <row r="427" spans="1:7" ht="15" customHeight="1">
      <c r="A427" s="76"/>
      <c r="B427" s="77"/>
      <c r="C427" s="78"/>
      <c r="D427" s="72"/>
      <c r="E427" s="79"/>
      <c r="F427" s="78"/>
      <c r="G427" s="16"/>
    </row>
    <row r="428" spans="1:7" ht="15" customHeight="1">
      <c r="A428" s="76"/>
      <c r="B428" s="77"/>
      <c r="C428" s="78"/>
      <c r="D428" s="72"/>
      <c r="E428" s="79"/>
      <c r="F428" s="78"/>
      <c r="G428" s="16"/>
    </row>
    <row r="429" spans="1:7" ht="15" customHeight="1">
      <c r="A429" s="76"/>
      <c r="B429" s="77"/>
      <c r="C429" s="78"/>
      <c r="D429" s="72"/>
      <c r="E429" s="79"/>
      <c r="F429" s="78"/>
      <c r="G429" s="16"/>
    </row>
    <row r="430" spans="1:7" ht="15" customHeight="1">
      <c r="A430" s="76"/>
      <c r="B430" s="77"/>
      <c r="C430" s="78"/>
      <c r="D430" s="72"/>
      <c r="E430" s="79"/>
      <c r="F430" s="78"/>
      <c r="G430" s="16"/>
    </row>
    <row r="431" spans="1:7" ht="15" customHeight="1">
      <c r="A431" s="76"/>
      <c r="B431" s="77"/>
      <c r="C431" s="78"/>
      <c r="D431" s="72"/>
      <c r="E431" s="79"/>
      <c r="F431" s="78"/>
      <c r="G431" s="16"/>
    </row>
    <row r="432" spans="1:7" ht="15" customHeight="1">
      <c r="A432" s="76"/>
      <c r="B432" s="77"/>
      <c r="C432" s="78"/>
      <c r="D432" s="72"/>
      <c r="E432" s="79"/>
      <c r="F432" s="78"/>
      <c r="G432" s="16"/>
    </row>
    <row r="433" spans="1:7" ht="15" customHeight="1">
      <c r="A433" s="76"/>
      <c r="B433" s="77"/>
      <c r="C433" s="78"/>
      <c r="D433" s="72"/>
      <c r="E433" s="79"/>
      <c r="F433" s="78"/>
      <c r="G433" s="16"/>
    </row>
    <row r="434" spans="1:7" ht="15" customHeight="1">
      <c r="A434" s="76"/>
      <c r="B434" s="77"/>
      <c r="C434" s="78"/>
      <c r="D434" s="72"/>
      <c r="E434" s="79"/>
      <c r="F434" s="78"/>
      <c r="G434" s="16"/>
    </row>
    <row r="435" spans="1:7" ht="15" customHeight="1">
      <c r="A435" s="76"/>
      <c r="B435" s="77"/>
      <c r="C435" s="78"/>
      <c r="D435" s="72"/>
      <c r="E435" s="79"/>
      <c r="F435" s="78"/>
      <c r="G435" s="16"/>
    </row>
    <row r="436" spans="1:7" ht="15" customHeight="1">
      <c r="A436" s="76"/>
      <c r="B436" s="77"/>
      <c r="C436" s="78"/>
      <c r="D436" s="72"/>
      <c r="E436" s="79"/>
      <c r="F436" s="78"/>
      <c r="G436" s="16"/>
    </row>
    <row r="437" spans="1:7" ht="15" customHeight="1">
      <c r="A437" s="76"/>
      <c r="B437" s="77"/>
      <c r="C437" s="78"/>
      <c r="D437" s="72"/>
      <c r="E437" s="79"/>
      <c r="F437" s="78"/>
      <c r="G437" s="16"/>
    </row>
    <row r="438" spans="1:7" ht="15" customHeight="1">
      <c r="A438" s="76"/>
      <c r="B438" s="77"/>
      <c r="C438" s="78"/>
      <c r="D438" s="72"/>
      <c r="E438" s="79"/>
      <c r="F438" s="78"/>
      <c r="G438" s="16"/>
    </row>
    <row r="439" spans="1:7" ht="15" customHeight="1">
      <c r="A439" s="76"/>
      <c r="B439" s="77"/>
      <c r="C439" s="78"/>
      <c r="D439" s="72"/>
      <c r="E439" s="79"/>
      <c r="F439" s="78"/>
      <c r="G439" s="16"/>
    </row>
    <row r="440" spans="1:7" ht="15" customHeight="1">
      <c r="A440" s="76"/>
      <c r="B440" s="77"/>
      <c r="C440" s="78"/>
      <c r="D440" s="72"/>
      <c r="E440" s="79"/>
      <c r="F440" s="78"/>
      <c r="G440" s="16"/>
    </row>
    <row r="441" spans="1:7" ht="15" customHeight="1">
      <c r="A441" s="76"/>
      <c r="B441" s="77"/>
      <c r="C441" s="78"/>
      <c r="D441" s="72"/>
      <c r="E441" s="79"/>
      <c r="F441" s="78"/>
      <c r="G441" s="16"/>
    </row>
    <row r="442" spans="1:7" ht="15" customHeight="1">
      <c r="A442" s="76"/>
      <c r="B442" s="77"/>
      <c r="C442" s="78"/>
      <c r="D442" s="72"/>
      <c r="E442" s="79"/>
      <c r="F442" s="78"/>
      <c r="G442" s="16"/>
    </row>
    <row r="443" spans="1:7" ht="15" customHeight="1">
      <c r="A443" s="76"/>
      <c r="B443" s="77"/>
      <c r="C443" s="78"/>
      <c r="D443" s="72"/>
      <c r="E443" s="79"/>
      <c r="F443" s="78"/>
      <c r="G443" s="16"/>
    </row>
    <row r="444" spans="1:7" ht="15" customHeight="1">
      <c r="A444" s="76"/>
      <c r="B444" s="77"/>
      <c r="C444" s="78"/>
      <c r="D444" s="72"/>
      <c r="E444" s="79"/>
      <c r="F444" s="78"/>
      <c r="G444" s="16"/>
    </row>
    <row r="445" spans="1:7" ht="15" customHeight="1">
      <c r="A445" s="76"/>
      <c r="B445" s="77"/>
      <c r="C445" s="78"/>
      <c r="D445" s="72"/>
      <c r="E445" s="79"/>
      <c r="F445" s="78"/>
      <c r="G445" s="16"/>
    </row>
    <row r="446" spans="1:7" ht="15" customHeight="1">
      <c r="A446" s="76"/>
      <c r="B446" s="77"/>
      <c r="C446" s="78"/>
      <c r="D446" s="72"/>
      <c r="E446" s="79"/>
      <c r="F446" s="78"/>
      <c r="G446" s="16"/>
    </row>
    <row r="447" spans="1:7" ht="15" customHeight="1">
      <c r="A447" s="76"/>
      <c r="B447" s="77"/>
      <c r="C447" s="78"/>
      <c r="D447" s="72"/>
      <c r="E447" s="79"/>
      <c r="F447" s="78"/>
      <c r="G447" s="16"/>
    </row>
    <row r="448" spans="1:7" ht="15" customHeight="1">
      <c r="A448" s="76"/>
      <c r="B448" s="77"/>
      <c r="C448" s="78"/>
      <c r="D448" s="72"/>
      <c r="E448" s="79"/>
      <c r="F448" s="78"/>
      <c r="G448" s="16"/>
    </row>
    <row r="449" spans="1:7" ht="15" customHeight="1">
      <c r="A449" s="76"/>
      <c r="B449" s="77"/>
      <c r="C449" s="78"/>
      <c r="D449" s="72"/>
      <c r="E449" s="79"/>
      <c r="F449" s="78"/>
      <c r="G449" s="16"/>
    </row>
    <row r="450" spans="1:7" ht="15" customHeight="1">
      <c r="A450" s="76"/>
      <c r="B450" s="77"/>
      <c r="C450" s="78"/>
      <c r="D450" s="72"/>
      <c r="E450" s="79"/>
      <c r="F450" s="78"/>
      <c r="G450" s="16"/>
    </row>
    <row r="451" spans="1:7" ht="15" customHeight="1">
      <c r="A451" s="76"/>
      <c r="B451" s="77"/>
      <c r="C451" s="78"/>
      <c r="D451" s="72"/>
      <c r="E451" s="79"/>
      <c r="F451" s="78"/>
      <c r="G451" s="16"/>
    </row>
    <row r="452" spans="1:7" ht="15" customHeight="1">
      <c r="A452" s="76"/>
      <c r="B452" s="77"/>
      <c r="C452" s="78"/>
      <c r="D452" s="72"/>
      <c r="E452" s="79"/>
      <c r="F452" s="78"/>
      <c r="G452" s="16"/>
    </row>
    <row r="453" spans="1:7" ht="15" customHeight="1">
      <c r="A453" s="76"/>
      <c r="B453" s="77"/>
      <c r="C453" s="78"/>
      <c r="D453" s="72"/>
      <c r="E453" s="79"/>
      <c r="F453" s="78"/>
      <c r="G453" s="16"/>
    </row>
    <row r="454" spans="1:7" ht="15" customHeight="1">
      <c r="A454" s="76"/>
      <c r="B454" s="77"/>
      <c r="C454" s="78"/>
      <c r="D454" s="72"/>
      <c r="E454" s="79"/>
      <c r="F454" s="78"/>
      <c r="G454" s="16"/>
    </row>
    <row r="455" spans="1:7" ht="15" customHeight="1">
      <c r="A455" s="76"/>
      <c r="B455" s="77"/>
      <c r="C455" s="78"/>
      <c r="D455" s="72"/>
      <c r="E455" s="79"/>
      <c r="F455" s="78"/>
      <c r="G455" s="16"/>
    </row>
    <row r="456" spans="1:7" ht="15" customHeight="1">
      <c r="A456" s="76"/>
      <c r="B456" s="77"/>
      <c r="C456" s="78"/>
      <c r="D456" s="72"/>
      <c r="E456" s="79"/>
      <c r="F456" s="78"/>
      <c r="G456" s="16"/>
    </row>
    <row r="457" spans="1:7" ht="15" customHeight="1">
      <c r="A457" s="76"/>
      <c r="B457" s="77"/>
      <c r="C457" s="78"/>
      <c r="D457" s="72"/>
      <c r="E457" s="79"/>
      <c r="F457" s="78"/>
      <c r="G457" s="16"/>
    </row>
    <row r="458" spans="1:7" ht="15" customHeight="1">
      <c r="A458" s="76"/>
      <c r="B458" s="77"/>
      <c r="C458" s="78"/>
      <c r="D458" s="72"/>
      <c r="E458" s="79"/>
      <c r="F458" s="78"/>
      <c r="G458" s="16"/>
    </row>
    <row r="459" spans="1:7" ht="15" customHeight="1">
      <c r="A459" s="76"/>
      <c r="B459" s="77"/>
      <c r="C459" s="78"/>
      <c r="D459" s="72"/>
      <c r="E459" s="79"/>
      <c r="F459" s="78"/>
      <c r="G459" s="16"/>
    </row>
    <row r="460" spans="1:7" ht="15" customHeight="1">
      <c r="A460" s="76"/>
      <c r="B460" s="77"/>
      <c r="C460" s="78"/>
      <c r="D460" s="72"/>
      <c r="E460" s="79"/>
      <c r="F460" s="78"/>
      <c r="G460" s="16"/>
    </row>
    <row r="461" spans="1:7" ht="15" customHeight="1">
      <c r="A461" s="76"/>
      <c r="B461" s="77"/>
      <c r="C461" s="78"/>
      <c r="D461" s="72"/>
      <c r="E461" s="79"/>
      <c r="F461" s="78"/>
      <c r="G461" s="16"/>
    </row>
    <row r="462" spans="1:7" ht="15" customHeight="1">
      <c r="A462" s="76"/>
      <c r="B462" s="77"/>
      <c r="C462" s="78"/>
      <c r="D462" s="72"/>
      <c r="E462" s="79"/>
      <c r="F462" s="78"/>
      <c r="G462" s="16"/>
    </row>
    <row r="463" spans="1:7" ht="15" customHeight="1">
      <c r="A463" s="76"/>
      <c r="B463" s="77"/>
      <c r="C463" s="78"/>
      <c r="D463" s="72"/>
      <c r="E463" s="79"/>
      <c r="F463" s="78"/>
      <c r="G463" s="16"/>
    </row>
    <row r="464" spans="1:7" ht="15" customHeight="1">
      <c r="A464" s="76"/>
      <c r="B464" s="77"/>
      <c r="C464" s="78"/>
      <c r="D464" s="72"/>
      <c r="E464" s="79"/>
      <c r="F464" s="78"/>
      <c r="G464" s="16"/>
    </row>
    <row r="465" spans="1:7" ht="15" customHeight="1">
      <c r="A465" s="76"/>
      <c r="B465" s="77"/>
      <c r="C465" s="78"/>
      <c r="D465" s="72"/>
      <c r="E465" s="79"/>
      <c r="F465" s="78"/>
      <c r="G465" s="16"/>
    </row>
    <row r="466" spans="1:7" ht="15" customHeight="1">
      <c r="A466" s="76"/>
      <c r="B466" s="77"/>
      <c r="C466" s="78"/>
      <c r="D466" s="72"/>
      <c r="E466" s="79"/>
      <c r="F466" s="78"/>
      <c r="G466" s="16"/>
    </row>
    <row r="467" spans="1:7" ht="15" customHeight="1">
      <c r="A467" s="76"/>
      <c r="B467" s="77"/>
      <c r="C467" s="78"/>
      <c r="D467" s="72"/>
      <c r="E467" s="79"/>
      <c r="F467" s="78"/>
      <c r="G467" s="16"/>
    </row>
    <row r="468" spans="1:7" ht="15" customHeight="1">
      <c r="A468" s="76"/>
      <c r="B468" s="77"/>
      <c r="C468" s="78"/>
      <c r="D468" s="72"/>
      <c r="E468" s="79"/>
      <c r="F468" s="78"/>
      <c r="G468" s="16"/>
    </row>
    <row r="469" spans="1:7" ht="15" customHeight="1">
      <c r="A469" s="76"/>
      <c r="B469" s="77"/>
      <c r="C469" s="78"/>
      <c r="D469" s="72"/>
      <c r="E469" s="79"/>
      <c r="F469" s="78"/>
      <c r="G469" s="16"/>
    </row>
    <row r="470" spans="1:7" ht="15" customHeight="1">
      <c r="A470" s="76"/>
      <c r="B470" s="77"/>
      <c r="C470" s="78"/>
      <c r="D470" s="72"/>
      <c r="E470" s="79"/>
      <c r="F470" s="78"/>
      <c r="G470" s="16"/>
    </row>
    <row r="471" spans="1:7" ht="15" customHeight="1">
      <c r="A471" s="76"/>
      <c r="B471" s="77"/>
      <c r="C471" s="78"/>
      <c r="D471" s="72"/>
      <c r="E471" s="79"/>
      <c r="F471" s="78"/>
      <c r="G471" s="16"/>
    </row>
    <row r="472" spans="1:7" ht="15" customHeight="1">
      <c r="A472" s="76"/>
      <c r="B472" s="77"/>
      <c r="C472" s="78"/>
      <c r="D472" s="72"/>
      <c r="E472" s="79"/>
      <c r="F472" s="78"/>
      <c r="G472" s="16"/>
    </row>
    <row r="473" spans="1:7" ht="15" customHeight="1">
      <c r="A473" s="76"/>
      <c r="B473" s="77"/>
      <c r="C473" s="78"/>
      <c r="D473" s="72"/>
      <c r="E473" s="79"/>
      <c r="F473" s="78"/>
      <c r="G473" s="16"/>
    </row>
    <row r="474" spans="1:7" ht="15" customHeight="1">
      <c r="A474" s="76"/>
      <c r="B474" s="77"/>
      <c r="C474" s="78"/>
      <c r="D474" s="72"/>
      <c r="E474" s="79"/>
      <c r="F474" s="78"/>
      <c r="G474" s="16"/>
    </row>
    <row r="475" spans="1:7" ht="15" customHeight="1">
      <c r="A475" s="76"/>
      <c r="B475" s="77"/>
      <c r="C475" s="78"/>
      <c r="D475" s="72"/>
      <c r="E475" s="79"/>
      <c r="F475" s="78"/>
      <c r="G475" s="16"/>
    </row>
    <row r="476" spans="1:7" ht="15" customHeight="1">
      <c r="A476" s="76"/>
      <c r="B476" s="77"/>
      <c r="C476" s="78"/>
      <c r="D476" s="72"/>
      <c r="E476" s="79"/>
      <c r="F476" s="78"/>
      <c r="G476" s="16"/>
    </row>
    <row r="477" spans="1:7" ht="15" customHeight="1">
      <c r="A477" s="76"/>
      <c r="B477" s="77"/>
      <c r="C477" s="78"/>
      <c r="D477" s="72"/>
      <c r="E477" s="79"/>
      <c r="F477" s="78"/>
      <c r="G477" s="16"/>
    </row>
    <row r="478" spans="1:7" ht="15" customHeight="1">
      <c r="A478" s="76"/>
      <c r="B478" s="77"/>
      <c r="C478" s="78"/>
      <c r="D478" s="72"/>
      <c r="E478" s="79"/>
      <c r="F478" s="78"/>
      <c r="G478" s="16"/>
    </row>
    <row r="479" spans="1:7" ht="15" customHeight="1">
      <c r="A479" s="76"/>
      <c r="B479" s="77"/>
      <c r="C479" s="78"/>
      <c r="D479" s="72"/>
      <c r="E479" s="79"/>
      <c r="F479" s="78"/>
      <c r="G479" s="16"/>
    </row>
    <row r="480" spans="1:7" ht="15" customHeight="1">
      <c r="A480" s="76"/>
      <c r="B480" s="77"/>
      <c r="C480" s="78"/>
      <c r="D480" s="72"/>
      <c r="E480" s="79"/>
      <c r="F480" s="78"/>
      <c r="G480" s="16"/>
    </row>
    <row r="481" spans="1:7" ht="15" customHeight="1">
      <c r="A481" s="76"/>
      <c r="B481" s="77"/>
      <c r="C481" s="78"/>
      <c r="D481" s="72"/>
      <c r="E481" s="79"/>
      <c r="F481" s="78"/>
      <c r="G481" s="16"/>
    </row>
    <row r="482" spans="1:7" ht="15" customHeight="1">
      <c r="A482" s="76"/>
      <c r="B482" s="77"/>
      <c r="C482" s="78"/>
      <c r="D482" s="72"/>
      <c r="E482" s="79"/>
      <c r="F482" s="78"/>
      <c r="G482" s="16"/>
    </row>
    <row r="483" spans="1:7" ht="15" customHeight="1">
      <c r="A483" s="76"/>
      <c r="B483" s="77"/>
      <c r="C483" s="78"/>
      <c r="D483" s="72"/>
      <c r="E483" s="79"/>
      <c r="F483" s="78"/>
      <c r="G483" s="16"/>
    </row>
    <row r="484" spans="1:7" ht="15" customHeight="1">
      <c r="A484" s="76"/>
      <c r="B484" s="77"/>
      <c r="C484" s="78"/>
      <c r="D484" s="72"/>
      <c r="E484" s="79"/>
      <c r="F484" s="78"/>
      <c r="G484" s="16"/>
    </row>
    <row r="485" spans="1:7" ht="15" customHeight="1">
      <c r="A485" s="76"/>
      <c r="B485" s="77"/>
      <c r="C485" s="78"/>
      <c r="D485" s="72"/>
      <c r="E485" s="79"/>
      <c r="F485" s="78"/>
      <c r="G485" s="16"/>
    </row>
    <row r="486" spans="1:7" ht="15" customHeight="1">
      <c r="A486" s="76"/>
      <c r="B486" s="77"/>
      <c r="C486" s="78"/>
      <c r="D486" s="72"/>
      <c r="E486" s="79"/>
      <c r="F486" s="78"/>
      <c r="G486" s="16"/>
    </row>
    <row r="487" spans="1:7" ht="15" customHeight="1">
      <c r="A487" s="76"/>
      <c r="B487" s="77"/>
      <c r="C487" s="78"/>
      <c r="D487" s="72"/>
      <c r="E487" s="79"/>
      <c r="F487" s="78"/>
      <c r="G487" s="16"/>
    </row>
    <row r="488" spans="1:7" ht="15" customHeight="1">
      <c r="A488" s="76"/>
      <c r="B488" s="77"/>
      <c r="C488" s="78"/>
      <c r="D488" s="72"/>
      <c r="E488" s="79"/>
      <c r="F488" s="78"/>
      <c r="G488" s="16"/>
    </row>
    <row r="489" spans="1:7" ht="15" customHeight="1">
      <c r="A489" s="76"/>
      <c r="B489" s="77"/>
      <c r="C489" s="78"/>
      <c r="D489" s="72"/>
      <c r="E489" s="79"/>
      <c r="F489" s="78"/>
      <c r="G489" s="16"/>
    </row>
    <row r="490" spans="1:7" ht="15" customHeight="1">
      <c r="A490" s="76"/>
      <c r="B490" s="77"/>
      <c r="C490" s="78"/>
      <c r="D490" s="72"/>
      <c r="E490" s="79"/>
      <c r="F490" s="78"/>
      <c r="G490" s="16"/>
    </row>
    <row r="491" spans="1:7" ht="15" customHeight="1">
      <c r="A491" s="76"/>
      <c r="B491" s="77"/>
      <c r="C491" s="78"/>
      <c r="D491" s="72"/>
      <c r="E491" s="79"/>
      <c r="F491" s="78"/>
      <c r="G491" s="16"/>
    </row>
    <row r="492" spans="1:7" ht="15" customHeight="1">
      <c r="A492" s="76"/>
      <c r="B492" s="77"/>
      <c r="C492" s="78"/>
      <c r="D492" s="72"/>
      <c r="E492" s="79"/>
      <c r="F492" s="78"/>
      <c r="G492" s="16"/>
    </row>
    <row r="493" spans="1:7" ht="15" customHeight="1">
      <c r="A493" s="76"/>
      <c r="B493" s="77"/>
      <c r="C493" s="78"/>
      <c r="D493" s="72"/>
      <c r="E493" s="79"/>
      <c r="F493" s="78"/>
      <c r="G493" s="16"/>
    </row>
    <row r="494" spans="1:7" ht="15" customHeight="1">
      <c r="A494" s="76"/>
      <c r="B494" s="77"/>
      <c r="C494" s="78"/>
      <c r="D494" s="72"/>
      <c r="E494" s="79"/>
      <c r="F494" s="78"/>
      <c r="G494" s="16"/>
    </row>
    <row r="495" spans="1:7" ht="15" customHeight="1">
      <c r="A495" s="76"/>
      <c r="B495" s="77"/>
      <c r="C495" s="78"/>
      <c r="D495" s="72"/>
      <c r="E495" s="79"/>
      <c r="F495" s="78"/>
      <c r="G495" s="16"/>
    </row>
    <row r="496" spans="1:7" ht="15" customHeight="1">
      <c r="A496" s="76"/>
      <c r="B496" s="77"/>
      <c r="C496" s="78"/>
      <c r="D496" s="72"/>
      <c r="E496" s="79"/>
      <c r="F496" s="78"/>
      <c r="G496" s="16"/>
    </row>
    <row r="497" spans="1:7" ht="15" customHeight="1">
      <c r="A497" s="76"/>
      <c r="B497" s="77"/>
      <c r="C497" s="78"/>
      <c r="D497" s="72"/>
      <c r="E497" s="79"/>
      <c r="F497" s="78"/>
      <c r="G497" s="16"/>
    </row>
    <row r="498" spans="1:7" ht="15" customHeight="1">
      <c r="A498" s="76"/>
      <c r="B498" s="77"/>
      <c r="C498" s="78"/>
      <c r="D498" s="72"/>
      <c r="E498" s="79"/>
      <c r="F498" s="78"/>
      <c r="G498" s="16"/>
    </row>
    <row r="499" spans="1:7" ht="15" customHeight="1">
      <c r="A499" s="76"/>
      <c r="B499" s="77"/>
      <c r="C499" s="78"/>
      <c r="D499" s="72"/>
      <c r="E499" s="79"/>
      <c r="F499" s="78"/>
      <c r="G499" s="16"/>
    </row>
    <row r="500" spans="1:7" ht="15" customHeight="1">
      <c r="A500" s="76"/>
      <c r="B500" s="77"/>
      <c r="C500" s="78"/>
      <c r="D500" s="72"/>
      <c r="E500" s="79"/>
      <c r="F500" s="78"/>
      <c r="G500" s="16"/>
    </row>
    <row r="501" spans="1:7" ht="15" customHeight="1">
      <c r="A501" s="76"/>
      <c r="B501" s="77"/>
      <c r="C501" s="78"/>
      <c r="D501" s="72"/>
      <c r="E501" s="79"/>
      <c r="F501" s="78"/>
      <c r="G501" s="16"/>
    </row>
    <row r="502" spans="1:7" ht="15" customHeight="1">
      <c r="A502" s="76"/>
      <c r="B502" s="77"/>
      <c r="C502" s="78"/>
      <c r="D502" s="72"/>
      <c r="E502" s="79"/>
      <c r="F502" s="78"/>
      <c r="G502" s="16"/>
    </row>
    <row r="503" spans="1:7" ht="15" customHeight="1">
      <c r="A503" s="76"/>
      <c r="B503" s="77"/>
      <c r="C503" s="78"/>
      <c r="D503" s="72"/>
      <c r="E503" s="79"/>
      <c r="F503" s="78"/>
      <c r="G503" s="16"/>
    </row>
    <row r="505" spans="1:7" ht="15" customHeight="1">
      <c r="A505" s="6" t="s">
        <v>350</v>
      </c>
      <c r="B505" s="6"/>
      <c r="C505" s="6"/>
      <c r="D505" s="6"/>
      <c r="E505" s="24">
        <f>SUM(E4:E503)</f>
        <v>209454107</v>
      </c>
      <c r="F505" s="44"/>
      <c r="G505" s="44"/>
    </row>
  </sheetData>
  <autoFilter ref="A3:G503" xr:uid="{00000000-0009-0000-0000-000008000000}"/>
  <mergeCells count="3">
    <mergeCell ref="A1:G1"/>
    <mergeCell ref="A2:G2"/>
    <mergeCell ref="A505:D505"/>
  </mergeCells>
  <phoneticPr fontId="45"/>
  <conditionalFormatting sqref="A4:G503">
    <cfRule type="expression" dxfId="17" priority="2">
      <formula>$A4="レジデンス"</formula>
    </cfRule>
    <cfRule type="expression" dxfId="16" priority="3">
      <formula>$A4="リゾート"</formula>
    </cfRule>
    <cfRule type="expression" dxfId="15" priority="4">
      <formula>$A4="モーテル"</formula>
    </cfRule>
    <cfRule type="expression" dxfId="14" priority="5">
      <formula>$A4="ザック"</formula>
    </cfRule>
    <cfRule type="expression" dxfId="13" priority="6">
      <formula>$A4="ワールド・レイ"</formula>
    </cfRule>
    <cfRule type="expression" dxfId="12" priority="7">
      <formula>$A4="ココ・ユニバース"</formula>
    </cfRule>
  </conditionalFormatting>
  <dataValidations count="4">
    <dataValidation type="list" sqref="A4:A503" xr:uid="{00000000-0002-0000-0800-000000000000}">
      <formula1>"レジデンス,リゾート,モーテル,ザック,ワールド・レイ,ココ・ユニバース"</formula1>
      <formula2>0</formula2>
    </dataValidation>
    <dataValidation type="date" allowBlank="1" sqref="B4:B503" xr:uid="{00000000-0002-0000-0800-000001000000}">
      <formula1>0</formula1>
      <formula2>0</formula2>
    </dataValidation>
    <dataValidation type="list" allowBlank="1" sqref="D4:D503" xr:uid="{00000000-0002-0000-0800-000002000000}">
      <formula1>"現金売上,売掛金回収,手形入金,その他収入,借入金,設備売却"</formula1>
      <formula2>0</formula2>
    </dataValidation>
    <dataValidation type="list" allowBlank="1" sqref="G4:G503" xr:uid="{00000000-0002-0000-0800-000003000000}">
      <formula1>"確認済,未確認,予測"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5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2" customWidth="1"/>
    <col min="2" max="2" width="14" customWidth="1"/>
    <col min="3" max="3" width="18" customWidth="1"/>
    <col min="4" max="5" width="16" customWidth="1"/>
    <col min="6" max="6" width="24" customWidth="1"/>
  </cols>
  <sheetData>
    <row r="1" spans="1:6" ht="27.75" customHeight="1">
      <c r="A1" s="14" t="s">
        <v>351</v>
      </c>
      <c r="B1" s="14"/>
      <c r="C1" s="14"/>
      <c r="D1" s="14"/>
      <c r="E1" s="14"/>
      <c r="F1" s="14"/>
    </row>
    <row r="2" spans="1:6" ht="11.25" customHeight="1">
      <c r="A2" s="1" t="s">
        <v>352</v>
      </c>
      <c r="B2" s="1"/>
      <c r="C2" s="1"/>
      <c r="D2" s="1"/>
      <c r="E2" s="1"/>
      <c r="F2" s="1"/>
    </row>
    <row r="3" spans="1:6" ht="15" customHeight="1">
      <c r="A3" s="15" t="s">
        <v>353</v>
      </c>
      <c r="B3" s="15" t="s">
        <v>56</v>
      </c>
      <c r="C3" s="15" t="s">
        <v>116</v>
      </c>
      <c r="D3" s="34" t="s">
        <v>354</v>
      </c>
      <c r="E3" s="15" t="s">
        <v>355</v>
      </c>
      <c r="F3" s="15" t="s">
        <v>156</v>
      </c>
    </row>
    <row r="4" spans="1:6" ht="15" customHeight="1">
      <c r="A4" s="87">
        <v>46113</v>
      </c>
      <c r="B4" s="81" t="s">
        <v>60</v>
      </c>
      <c r="C4" s="75" t="s">
        <v>149</v>
      </c>
      <c r="D4" s="84" t="s">
        <v>211</v>
      </c>
      <c r="E4" s="79">
        <v>0</v>
      </c>
      <c r="F4" s="83" t="s">
        <v>356</v>
      </c>
    </row>
    <row r="5" spans="1:6" ht="15" customHeight="1">
      <c r="A5" s="87">
        <v>46113</v>
      </c>
      <c r="B5" s="81" t="s">
        <v>58</v>
      </c>
      <c r="C5" s="75" t="s">
        <v>145</v>
      </c>
      <c r="D5" s="84" t="s">
        <v>211</v>
      </c>
      <c r="E5" s="79">
        <v>0</v>
      </c>
      <c r="F5" s="83" t="s">
        <v>357</v>
      </c>
    </row>
    <row r="6" spans="1:6" ht="15" customHeight="1">
      <c r="A6" s="87">
        <v>46113</v>
      </c>
      <c r="B6" s="81" t="s">
        <v>58</v>
      </c>
      <c r="C6" s="75" t="s">
        <v>142</v>
      </c>
      <c r="D6" s="84" t="s">
        <v>211</v>
      </c>
      <c r="E6" s="79">
        <v>0</v>
      </c>
      <c r="F6" s="83" t="s">
        <v>358</v>
      </c>
    </row>
    <row r="7" spans="1:6" ht="15" customHeight="1">
      <c r="A7" s="87">
        <v>46113</v>
      </c>
      <c r="B7" s="81" t="s">
        <v>58</v>
      </c>
      <c r="C7" s="75" t="s">
        <v>135</v>
      </c>
      <c r="D7" s="84" t="s">
        <v>209</v>
      </c>
      <c r="E7" s="79">
        <v>0</v>
      </c>
      <c r="F7" s="83" t="s">
        <v>359</v>
      </c>
    </row>
    <row r="8" spans="1:6" ht="15" customHeight="1">
      <c r="A8" s="87">
        <v>46113</v>
      </c>
      <c r="B8" s="81" t="s">
        <v>58</v>
      </c>
      <c r="C8" s="75" t="s">
        <v>131</v>
      </c>
      <c r="D8" s="84" t="s">
        <v>209</v>
      </c>
      <c r="E8" s="79">
        <v>0</v>
      </c>
      <c r="F8" s="83" t="s">
        <v>360</v>
      </c>
    </row>
    <row r="9" spans="1:6" ht="15" customHeight="1">
      <c r="A9" s="87">
        <v>46113</v>
      </c>
      <c r="B9" s="81" t="s">
        <v>58</v>
      </c>
      <c r="C9" s="84" t="s">
        <v>141</v>
      </c>
      <c r="D9" s="84" t="s">
        <v>209</v>
      </c>
      <c r="E9" s="79">
        <v>0</v>
      </c>
      <c r="F9" s="83" t="s">
        <v>361</v>
      </c>
    </row>
    <row r="10" spans="1:6" ht="15" customHeight="1">
      <c r="A10" s="87">
        <v>46113</v>
      </c>
      <c r="B10" s="81" t="s">
        <v>58</v>
      </c>
      <c r="C10" s="84" t="s">
        <v>148</v>
      </c>
      <c r="D10" s="84" t="s">
        <v>211</v>
      </c>
      <c r="E10" s="79">
        <v>0</v>
      </c>
      <c r="F10" s="83" t="s">
        <v>362</v>
      </c>
    </row>
    <row r="11" spans="1:6" ht="15" customHeight="1">
      <c r="A11" s="87">
        <v>46113</v>
      </c>
      <c r="B11" s="81" t="s">
        <v>58</v>
      </c>
      <c r="C11" s="84" t="s">
        <v>147</v>
      </c>
      <c r="D11" s="84" t="s">
        <v>211</v>
      </c>
      <c r="E11" s="79">
        <v>0</v>
      </c>
      <c r="F11" s="83" t="s">
        <v>363</v>
      </c>
    </row>
    <row r="12" spans="1:6" ht="15" customHeight="1">
      <c r="A12" s="87">
        <v>46113</v>
      </c>
      <c r="B12" s="81" t="s">
        <v>58</v>
      </c>
      <c r="C12" s="84" t="s">
        <v>143</v>
      </c>
      <c r="D12" s="84" t="s">
        <v>211</v>
      </c>
      <c r="E12" s="79">
        <v>0</v>
      </c>
      <c r="F12" s="83" t="s">
        <v>364</v>
      </c>
    </row>
    <row r="13" spans="1:6" ht="15" customHeight="1">
      <c r="A13" s="87">
        <v>46113</v>
      </c>
      <c r="B13" s="81" t="s">
        <v>58</v>
      </c>
      <c r="C13" s="84" t="s">
        <v>137</v>
      </c>
      <c r="D13" s="84" t="s">
        <v>209</v>
      </c>
      <c r="E13" s="79">
        <v>0</v>
      </c>
      <c r="F13" s="83" t="s">
        <v>365</v>
      </c>
    </row>
    <row r="14" spans="1:6" ht="15" customHeight="1">
      <c r="A14" s="87">
        <v>46113</v>
      </c>
      <c r="B14" s="81" t="s">
        <v>58</v>
      </c>
      <c r="C14" s="84" t="s">
        <v>144</v>
      </c>
      <c r="D14" s="84" t="s">
        <v>211</v>
      </c>
      <c r="E14" s="79">
        <v>0</v>
      </c>
      <c r="F14" s="83" t="s">
        <v>366</v>
      </c>
    </row>
    <row r="15" spans="1:6" ht="15" customHeight="1">
      <c r="A15" s="87">
        <v>46113</v>
      </c>
      <c r="B15" s="81" t="s">
        <v>59</v>
      </c>
      <c r="C15" s="84" t="s">
        <v>139</v>
      </c>
      <c r="D15" s="84" t="s">
        <v>209</v>
      </c>
      <c r="E15" s="79">
        <v>0</v>
      </c>
      <c r="F15" s="83" t="s">
        <v>367</v>
      </c>
    </row>
    <row r="16" spans="1:6" ht="15" customHeight="1">
      <c r="A16" s="87">
        <v>46113</v>
      </c>
      <c r="B16" s="81" t="s">
        <v>58</v>
      </c>
      <c r="C16" s="84" t="s">
        <v>136</v>
      </c>
      <c r="D16" s="84" t="s">
        <v>209</v>
      </c>
      <c r="E16" s="79">
        <v>0</v>
      </c>
      <c r="F16" s="83" t="s">
        <v>368</v>
      </c>
    </row>
    <row r="17" spans="1:6" ht="15" customHeight="1">
      <c r="A17" s="87">
        <v>46113</v>
      </c>
      <c r="B17" s="81" t="s">
        <v>58</v>
      </c>
      <c r="C17" s="84" t="s">
        <v>140</v>
      </c>
      <c r="D17" s="84" t="s">
        <v>209</v>
      </c>
      <c r="E17" s="79">
        <v>0</v>
      </c>
      <c r="F17" s="83" t="s">
        <v>369</v>
      </c>
    </row>
    <row r="18" spans="1:6" ht="15" customHeight="1">
      <c r="A18" s="87">
        <v>46113</v>
      </c>
      <c r="B18" s="81" t="s">
        <v>58</v>
      </c>
      <c r="C18" s="84" t="s">
        <v>138</v>
      </c>
      <c r="D18" s="84" t="s">
        <v>209</v>
      </c>
      <c r="E18" s="79">
        <v>0</v>
      </c>
      <c r="F18" s="83" t="s">
        <v>370</v>
      </c>
    </row>
    <row r="19" spans="1:6" ht="15" customHeight="1">
      <c r="A19" s="87">
        <v>46113</v>
      </c>
      <c r="B19" s="81" t="s">
        <v>58</v>
      </c>
      <c r="C19" s="84" t="s">
        <v>146</v>
      </c>
      <c r="D19" s="84" t="s">
        <v>210</v>
      </c>
      <c r="E19" s="79">
        <v>0</v>
      </c>
      <c r="F19" s="83" t="s">
        <v>371</v>
      </c>
    </row>
    <row r="20" spans="1:6" ht="15" customHeight="1">
      <c r="A20" s="87">
        <v>46143</v>
      </c>
      <c r="B20" s="81" t="s">
        <v>60</v>
      </c>
      <c r="C20" s="75" t="s">
        <v>149</v>
      </c>
      <c r="D20" s="84" t="s">
        <v>211</v>
      </c>
      <c r="E20" s="79">
        <v>36276</v>
      </c>
      <c r="F20" s="83" t="s">
        <v>372</v>
      </c>
    </row>
    <row r="21" spans="1:6" ht="15" customHeight="1">
      <c r="A21" s="87">
        <v>46143</v>
      </c>
      <c r="B21" s="81" t="s">
        <v>58</v>
      </c>
      <c r="C21" s="75" t="s">
        <v>145</v>
      </c>
      <c r="D21" s="84" t="s">
        <v>211</v>
      </c>
      <c r="E21" s="79">
        <v>77500</v>
      </c>
      <c r="F21" s="83" t="s">
        <v>373</v>
      </c>
    </row>
    <row r="22" spans="1:6" ht="15" customHeight="1">
      <c r="A22" s="87">
        <v>46143</v>
      </c>
      <c r="B22" s="81" t="s">
        <v>58</v>
      </c>
      <c r="C22" s="75" t="s">
        <v>142</v>
      </c>
      <c r="D22" s="84" t="s">
        <v>211</v>
      </c>
      <c r="E22" s="79">
        <v>272000</v>
      </c>
      <c r="F22" s="83" t="s">
        <v>373</v>
      </c>
    </row>
    <row r="23" spans="1:6" ht="15" customHeight="1">
      <c r="A23" s="87">
        <v>46143</v>
      </c>
      <c r="B23" s="81" t="s">
        <v>58</v>
      </c>
      <c r="C23" s="75" t="s">
        <v>135</v>
      </c>
      <c r="D23" s="84" t="s">
        <v>209</v>
      </c>
      <c r="E23" s="79">
        <v>2785752</v>
      </c>
      <c r="F23" s="83" t="s">
        <v>374</v>
      </c>
    </row>
    <row r="24" spans="1:6" ht="15" customHeight="1">
      <c r="A24" s="87">
        <v>46143</v>
      </c>
      <c r="B24" s="81" t="s">
        <v>58</v>
      </c>
      <c r="C24" s="75" t="s">
        <v>131</v>
      </c>
      <c r="D24" s="84" t="s">
        <v>209</v>
      </c>
      <c r="E24" s="79">
        <v>9120696</v>
      </c>
      <c r="F24" s="83" t="s">
        <v>374</v>
      </c>
    </row>
    <row r="25" spans="1:6" ht="15" customHeight="1">
      <c r="A25" s="87">
        <v>46143</v>
      </c>
      <c r="B25" s="81" t="s">
        <v>58</v>
      </c>
      <c r="C25" s="84" t="s">
        <v>141</v>
      </c>
      <c r="D25" s="84" t="s">
        <v>209</v>
      </c>
      <c r="E25" s="79">
        <v>2928671</v>
      </c>
      <c r="F25" s="83" t="s">
        <v>374</v>
      </c>
    </row>
    <row r="26" spans="1:6" ht="15" customHeight="1">
      <c r="A26" s="87">
        <v>46143</v>
      </c>
      <c r="B26" s="81" t="s">
        <v>58</v>
      </c>
      <c r="C26" s="84" t="s">
        <v>148</v>
      </c>
      <c r="D26" s="84" t="s">
        <v>211</v>
      </c>
      <c r="E26" s="79">
        <v>248917</v>
      </c>
      <c r="F26" s="83" t="s">
        <v>375</v>
      </c>
    </row>
    <row r="27" spans="1:6" ht="15" customHeight="1">
      <c r="A27" s="87">
        <v>46143</v>
      </c>
      <c r="B27" s="81" t="s">
        <v>58</v>
      </c>
      <c r="C27" s="84" t="s">
        <v>147</v>
      </c>
      <c r="D27" s="84" t="s">
        <v>211</v>
      </c>
      <c r="E27" s="79">
        <v>7143323</v>
      </c>
      <c r="F27" s="83" t="s">
        <v>375</v>
      </c>
    </row>
    <row r="28" spans="1:6" ht="15" customHeight="1">
      <c r="A28" s="87">
        <v>46143</v>
      </c>
      <c r="B28" s="81" t="s">
        <v>58</v>
      </c>
      <c r="C28" s="84" t="s">
        <v>143</v>
      </c>
      <c r="D28" s="84" t="s">
        <v>211</v>
      </c>
      <c r="E28" s="79">
        <v>24000</v>
      </c>
      <c r="F28" s="83" t="s">
        <v>373</v>
      </c>
    </row>
    <row r="29" spans="1:6" ht="15" customHeight="1">
      <c r="A29" s="87">
        <v>46143</v>
      </c>
      <c r="B29" s="81" t="s">
        <v>58</v>
      </c>
      <c r="C29" s="84" t="s">
        <v>137</v>
      </c>
      <c r="D29" s="84" t="s">
        <v>209</v>
      </c>
      <c r="E29" s="79">
        <v>176080</v>
      </c>
      <c r="F29" s="83" t="s">
        <v>374</v>
      </c>
    </row>
    <row r="30" spans="1:6" ht="15" customHeight="1">
      <c r="A30" s="87">
        <v>46143</v>
      </c>
      <c r="B30" s="81" t="s">
        <v>59</v>
      </c>
      <c r="C30" s="84" t="s">
        <v>139</v>
      </c>
      <c r="D30" s="84" t="s">
        <v>209</v>
      </c>
      <c r="E30" s="79">
        <v>5707582</v>
      </c>
      <c r="F30" s="83" t="s">
        <v>374</v>
      </c>
    </row>
    <row r="31" spans="1:6" ht="15" customHeight="1">
      <c r="A31" s="87">
        <v>46143</v>
      </c>
      <c r="B31" s="81" t="s">
        <v>58</v>
      </c>
      <c r="C31" s="84" t="s">
        <v>136</v>
      </c>
      <c r="D31" s="84" t="s">
        <v>209</v>
      </c>
      <c r="E31" s="79">
        <v>1560292</v>
      </c>
      <c r="F31" s="83" t="s">
        <v>374</v>
      </c>
    </row>
    <row r="32" spans="1:6" ht="15" customHeight="1">
      <c r="A32" s="87">
        <v>46143</v>
      </c>
      <c r="B32" s="81" t="s">
        <v>58</v>
      </c>
      <c r="C32" s="84" t="s">
        <v>140</v>
      </c>
      <c r="D32" s="84" t="s">
        <v>209</v>
      </c>
      <c r="E32" s="79">
        <v>4564062</v>
      </c>
      <c r="F32" s="83" t="s">
        <v>374</v>
      </c>
    </row>
    <row r="33" spans="1:6" ht="15" customHeight="1">
      <c r="A33" s="87">
        <v>46143</v>
      </c>
      <c r="B33" s="81" t="s">
        <v>58</v>
      </c>
      <c r="C33" s="84" t="s">
        <v>138</v>
      </c>
      <c r="D33" s="84" t="s">
        <v>209</v>
      </c>
      <c r="E33" s="79">
        <v>280500</v>
      </c>
      <c r="F33" s="83" t="s">
        <v>374</v>
      </c>
    </row>
    <row r="34" spans="1:6" ht="15" customHeight="1">
      <c r="A34" s="87">
        <v>46143</v>
      </c>
      <c r="B34" s="81" t="s">
        <v>58</v>
      </c>
      <c r="C34" s="84" t="s">
        <v>146</v>
      </c>
      <c r="D34" s="84" t="s">
        <v>210</v>
      </c>
      <c r="E34" s="79">
        <v>789000</v>
      </c>
      <c r="F34" s="83" t="s">
        <v>375</v>
      </c>
    </row>
    <row r="35" spans="1:6" ht="15" customHeight="1">
      <c r="A35" s="87">
        <v>46174</v>
      </c>
      <c r="B35" s="81" t="s">
        <v>58</v>
      </c>
      <c r="C35" s="75" t="s">
        <v>145</v>
      </c>
      <c r="D35" s="84" t="s">
        <v>211</v>
      </c>
      <c r="E35" s="79">
        <v>72500</v>
      </c>
      <c r="F35" s="83" t="s">
        <v>373</v>
      </c>
    </row>
    <row r="36" spans="1:6" ht="15" customHeight="1">
      <c r="A36" s="87">
        <v>46174</v>
      </c>
      <c r="B36" s="81" t="s">
        <v>58</v>
      </c>
      <c r="C36" s="75" t="s">
        <v>142</v>
      </c>
      <c r="D36" s="84" t="s">
        <v>211</v>
      </c>
      <c r="E36" s="79">
        <v>337584</v>
      </c>
      <c r="F36" s="83" t="s">
        <v>376</v>
      </c>
    </row>
    <row r="37" spans="1:6" ht="15" customHeight="1">
      <c r="A37" s="87">
        <v>46174</v>
      </c>
      <c r="B37" s="81" t="s">
        <v>58</v>
      </c>
      <c r="C37" s="75" t="s">
        <v>135</v>
      </c>
      <c r="D37" s="84" t="s">
        <v>209</v>
      </c>
      <c r="E37" s="79">
        <v>1073370</v>
      </c>
      <c r="F37" s="83" t="s">
        <v>377</v>
      </c>
    </row>
    <row r="38" spans="1:6" ht="15" customHeight="1">
      <c r="A38" s="87">
        <v>46174</v>
      </c>
      <c r="B38" s="81" t="s">
        <v>58</v>
      </c>
      <c r="C38" s="75" t="s">
        <v>131</v>
      </c>
      <c r="D38" s="84" t="s">
        <v>209</v>
      </c>
      <c r="E38" s="79">
        <v>4816766</v>
      </c>
      <c r="F38" s="83" t="s">
        <v>377</v>
      </c>
    </row>
    <row r="39" spans="1:6" ht="15" customHeight="1">
      <c r="A39" s="87">
        <v>46174</v>
      </c>
      <c r="B39" s="81" t="s">
        <v>58</v>
      </c>
      <c r="C39" s="84" t="s">
        <v>141</v>
      </c>
      <c r="D39" s="84" t="s">
        <v>209</v>
      </c>
      <c r="E39" s="79">
        <v>4472525</v>
      </c>
      <c r="F39" s="83" t="s">
        <v>377</v>
      </c>
    </row>
    <row r="40" spans="1:6" ht="15" customHeight="1">
      <c r="A40" s="87">
        <v>46174</v>
      </c>
      <c r="B40" s="81" t="s">
        <v>58</v>
      </c>
      <c r="C40" s="84" t="s">
        <v>148</v>
      </c>
      <c r="D40" s="84" t="s">
        <v>211</v>
      </c>
      <c r="E40" s="79">
        <v>354376</v>
      </c>
      <c r="F40" s="83" t="s">
        <v>378</v>
      </c>
    </row>
    <row r="41" spans="1:6" ht="15" customHeight="1">
      <c r="A41" s="87">
        <v>46174</v>
      </c>
      <c r="B41" s="81" t="s">
        <v>58</v>
      </c>
      <c r="C41" s="84" t="s">
        <v>147</v>
      </c>
      <c r="D41" s="84" t="s">
        <v>211</v>
      </c>
      <c r="E41" s="79">
        <v>5391573</v>
      </c>
      <c r="F41" s="83" t="s">
        <v>375</v>
      </c>
    </row>
    <row r="42" spans="1:6" ht="15" customHeight="1">
      <c r="A42" s="87">
        <v>46174</v>
      </c>
      <c r="B42" s="81" t="s">
        <v>58</v>
      </c>
      <c r="C42" s="84" t="s">
        <v>143</v>
      </c>
      <c r="D42" s="84" t="s">
        <v>211</v>
      </c>
      <c r="E42" s="79">
        <v>132000</v>
      </c>
      <c r="F42" s="83" t="s">
        <v>376</v>
      </c>
    </row>
    <row r="43" spans="1:6" ht="15" customHeight="1">
      <c r="A43" s="87">
        <v>46174</v>
      </c>
      <c r="B43" s="81" t="s">
        <v>58</v>
      </c>
      <c r="C43" s="84" t="s">
        <v>137</v>
      </c>
      <c r="D43" s="84" t="s">
        <v>209</v>
      </c>
      <c r="E43" s="79">
        <v>68160</v>
      </c>
      <c r="F43" s="83" t="s">
        <v>377</v>
      </c>
    </row>
    <row r="44" spans="1:6" ht="15" customHeight="1">
      <c r="A44" s="87">
        <v>46174</v>
      </c>
      <c r="B44" s="81" t="s">
        <v>59</v>
      </c>
      <c r="C44" s="84" t="s">
        <v>139</v>
      </c>
      <c r="D44" s="84" t="s">
        <v>209</v>
      </c>
      <c r="E44" s="79">
        <v>3154058</v>
      </c>
      <c r="F44" s="83" t="s">
        <v>377</v>
      </c>
    </row>
    <row r="45" spans="1:6" ht="15" customHeight="1">
      <c r="A45" s="87">
        <v>46174</v>
      </c>
      <c r="B45" s="81" t="s">
        <v>58</v>
      </c>
      <c r="C45" s="84" t="s">
        <v>136</v>
      </c>
      <c r="D45" s="84" t="s">
        <v>209</v>
      </c>
      <c r="E45" s="79">
        <v>840813</v>
      </c>
      <c r="F45" s="83" t="s">
        <v>377</v>
      </c>
    </row>
    <row r="46" spans="1:6" ht="15" customHeight="1">
      <c r="A46" s="87">
        <v>46174</v>
      </c>
      <c r="B46" s="81" t="s">
        <v>58</v>
      </c>
      <c r="C46" s="84" t="s">
        <v>140</v>
      </c>
      <c r="D46" s="84" t="s">
        <v>209</v>
      </c>
      <c r="E46" s="79">
        <v>1719708</v>
      </c>
      <c r="F46" s="83" t="s">
        <v>374</v>
      </c>
    </row>
    <row r="47" spans="1:6" ht="15" customHeight="1">
      <c r="A47" s="87">
        <v>46174</v>
      </c>
      <c r="B47" s="81" t="s">
        <v>58</v>
      </c>
      <c r="C47" s="84" t="s">
        <v>138</v>
      </c>
      <c r="D47" s="84" t="s">
        <v>209</v>
      </c>
      <c r="E47" s="79">
        <v>190750</v>
      </c>
      <c r="F47" s="83" t="s">
        <v>374</v>
      </c>
    </row>
    <row r="48" spans="1:6" ht="15" customHeight="1">
      <c r="A48" s="87">
        <v>46174</v>
      </c>
      <c r="B48" s="81" t="s">
        <v>58</v>
      </c>
      <c r="C48" s="84" t="s">
        <v>146</v>
      </c>
      <c r="D48" s="84" t="s">
        <v>210</v>
      </c>
      <c r="E48" s="79">
        <v>1388954</v>
      </c>
      <c r="F48" s="83" t="s">
        <v>378</v>
      </c>
    </row>
    <row r="49" spans="1:6" ht="15" customHeight="1">
      <c r="A49" s="87">
        <v>46204</v>
      </c>
      <c r="B49" s="81" t="s">
        <v>58</v>
      </c>
      <c r="C49" s="75" t="s">
        <v>142</v>
      </c>
      <c r="D49" s="84" t="s">
        <v>211</v>
      </c>
      <c r="E49" s="79">
        <v>248000</v>
      </c>
      <c r="F49" s="83" t="s">
        <v>376</v>
      </c>
    </row>
    <row r="50" spans="1:6" ht="15" customHeight="1">
      <c r="A50" s="87">
        <v>46204</v>
      </c>
      <c r="B50" s="81" t="s">
        <v>58</v>
      </c>
      <c r="C50" s="75" t="s">
        <v>135</v>
      </c>
      <c r="D50" s="84" t="s">
        <v>209</v>
      </c>
      <c r="E50" s="79">
        <v>2642127</v>
      </c>
      <c r="F50" s="83" t="s">
        <v>377</v>
      </c>
    </row>
    <row r="51" spans="1:6" ht="15" customHeight="1">
      <c r="A51" s="87">
        <v>46204</v>
      </c>
      <c r="B51" s="81" t="s">
        <v>58</v>
      </c>
      <c r="C51" s="75" t="s">
        <v>131</v>
      </c>
      <c r="D51" s="84" t="s">
        <v>209</v>
      </c>
      <c r="E51" s="79">
        <v>8688918</v>
      </c>
      <c r="F51" s="83" t="s">
        <v>377</v>
      </c>
    </row>
    <row r="52" spans="1:6" ht="15" customHeight="1">
      <c r="A52" s="87">
        <v>46204</v>
      </c>
      <c r="B52" s="81" t="s">
        <v>58</v>
      </c>
      <c r="C52" s="84" t="s">
        <v>141</v>
      </c>
      <c r="D52" s="84" t="s">
        <v>209</v>
      </c>
      <c r="E52" s="79">
        <v>6872164</v>
      </c>
      <c r="F52" s="83" t="s">
        <v>377</v>
      </c>
    </row>
    <row r="53" spans="1:6" ht="15" customHeight="1">
      <c r="A53" s="87">
        <v>46204</v>
      </c>
      <c r="B53" s="81" t="s">
        <v>58</v>
      </c>
      <c r="C53" s="84" t="s">
        <v>148</v>
      </c>
      <c r="D53" s="84" t="s">
        <v>211</v>
      </c>
      <c r="E53" s="79">
        <v>404352</v>
      </c>
      <c r="F53" s="83" t="s">
        <v>378</v>
      </c>
    </row>
    <row r="54" spans="1:6" ht="15" customHeight="1">
      <c r="A54" s="87">
        <v>46204</v>
      </c>
      <c r="B54" s="81" t="s">
        <v>58</v>
      </c>
      <c r="C54" s="84" t="s">
        <v>147</v>
      </c>
      <c r="D54" s="84" t="s">
        <v>211</v>
      </c>
      <c r="E54" s="79">
        <v>4875243</v>
      </c>
      <c r="F54" s="83" t="s">
        <v>375</v>
      </c>
    </row>
    <row r="55" spans="1:6" ht="15" customHeight="1">
      <c r="A55" s="87">
        <v>46204</v>
      </c>
      <c r="B55" s="81" t="s">
        <v>59</v>
      </c>
      <c r="C55" s="84" t="s">
        <v>139</v>
      </c>
      <c r="D55" s="84" t="s">
        <v>209</v>
      </c>
      <c r="E55" s="79">
        <v>4693375</v>
      </c>
      <c r="F55" s="83" t="s">
        <v>377</v>
      </c>
    </row>
    <row r="56" spans="1:6" ht="15" customHeight="1">
      <c r="A56" s="87">
        <v>46204</v>
      </c>
      <c r="B56" s="81" t="s">
        <v>58</v>
      </c>
      <c r="C56" s="84" t="s">
        <v>136</v>
      </c>
      <c r="D56" s="84" t="s">
        <v>209</v>
      </c>
      <c r="E56" s="79">
        <v>888155</v>
      </c>
      <c r="F56" s="83" t="s">
        <v>377</v>
      </c>
    </row>
    <row r="57" spans="1:6" ht="15" customHeight="1">
      <c r="A57" s="87">
        <v>46204</v>
      </c>
      <c r="B57" s="81" t="s">
        <v>58</v>
      </c>
      <c r="C57" s="84" t="s">
        <v>140</v>
      </c>
      <c r="D57" s="84" t="s">
        <v>209</v>
      </c>
      <c r="E57" s="79">
        <v>4189986</v>
      </c>
      <c r="F57" s="83" t="s">
        <v>377</v>
      </c>
    </row>
    <row r="58" spans="1:6" ht="15" customHeight="1">
      <c r="A58" s="87">
        <v>46204</v>
      </c>
      <c r="B58" s="81" t="s">
        <v>58</v>
      </c>
      <c r="C58" s="84" t="s">
        <v>138</v>
      </c>
      <c r="D58" s="84" t="s">
        <v>209</v>
      </c>
      <c r="E58" s="79">
        <v>174600</v>
      </c>
      <c r="F58" s="83" t="s">
        <v>377</v>
      </c>
    </row>
    <row r="59" spans="1:6" ht="15" customHeight="1">
      <c r="A59" s="87">
        <v>46204</v>
      </c>
      <c r="B59" s="81" t="s">
        <v>58</v>
      </c>
      <c r="C59" s="84" t="s">
        <v>146</v>
      </c>
      <c r="D59" s="84" t="s">
        <v>210</v>
      </c>
      <c r="E59" s="79">
        <v>1138566</v>
      </c>
      <c r="F59" s="83" t="s">
        <v>378</v>
      </c>
    </row>
    <row r="60" spans="1:6" ht="15" customHeight="1">
      <c r="A60" s="87">
        <v>46235</v>
      </c>
      <c r="B60" s="81" t="s">
        <v>58</v>
      </c>
      <c r="C60" s="75" t="s">
        <v>142</v>
      </c>
      <c r="D60" s="84" t="s">
        <v>211</v>
      </c>
      <c r="E60" s="79">
        <v>196800</v>
      </c>
      <c r="F60" s="83" t="s">
        <v>376</v>
      </c>
    </row>
    <row r="61" spans="1:6" ht="15" customHeight="1">
      <c r="A61" s="87">
        <v>46235</v>
      </c>
      <c r="B61" s="81" t="s">
        <v>58</v>
      </c>
      <c r="C61" s="75" t="s">
        <v>135</v>
      </c>
      <c r="D61" s="84" t="s">
        <v>209</v>
      </c>
      <c r="E61" s="79">
        <v>3575915</v>
      </c>
      <c r="F61" s="83" t="s">
        <v>377</v>
      </c>
    </row>
    <row r="62" spans="1:6" ht="15" customHeight="1">
      <c r="A62" s="87">
        <v>46235</v>
      </c>
      <c r="B62" s="81" t="s">
        <v>58</v>
      </c>
      <c r="C62" s="75" t="s">
        <v>131</v>
      </c>
      <c r="D62" s="84" t="s">
        <v>209</v>
      </c>
      <c r="E62" s="79">
        <v>10671435</v>
      </c>
      <c r="F62" s="83" t="s">
        <v>377</v>
      </c>
    </row>
    <row r="63" spans="1:6" ht="15" customHeight="1">
      <c r="A63" s="87">
        <v>46235</v>
      </c>
      <c r="B63" s="81" t="s">
        <v>58</v>
      </c>
      <c r="C63" s="84" t="s">
        <v>141</v>
      </c>
      <c r="D63" s="84" t="s">
        <v>209</v>
      </c>
      <c r="E63" s="79">
        <v>11776315</v>
      </c>
      <c r="F63" s="83" t="s">
        <v>377</v>
      </c>
    </row>
    <row r="64" spans="1:6" ht="15" customHeight="1">
      <c r="A64" s="87">
        <v>46235</v>
      </c>
      <c r="B64" s="81" t="s">
        <v>58</v>
      </c>
      <c r="C64" s="84" t="s">
        <v>148</v>
      </c>
      <c r="D64" s="84" t="s">
        <v>211</v>
      </c>
      <c r="E64" s="79">
        <v>440448</v>
      </c>
      <c r="F64" s="83" t="s">
        <v>378</v>
      </c>
    </row>
    <row r="65" spans="1:6" ht="15" customHeight="1">
      <c r="A65" s="87">
        <v>46235</v>
      </c>
      <c r="B65" s="81" t="s">
        <v>58</v>
      </c>
      <c r="C65" s="84" t="s">
        <v>147</v>
      </c>
      <c r="D65" s="84" t="s">
        <v>211</v>
      </c>
      <c r="E65" s="79">
        <v>5265522</v>
      </c>
      <c r="F65" s="83" t="s">
        <v>375</v>
      </c>
    </row>
    <row r="66" spans="1:6" ht="15" customHeight="1">
      <c r="A66" s="87">
        <v>46235</v>
      </c>
      <c r="B66" s="81" t="s">
        <v>58</v>
      </c>
      <c r="C66" s="84" t="s">
        <v>144</v>
      </c>
      <c r="D66" s="84" t="s">
        <v>211</v>
      </c>
      <c r="E66" s="79">
        <v>75000</v>
      </c>
      <c r="F66" s="83" t="s">
        <v>373</v>
      </c>
    </row>
    <row r="67" spans="1:6" ht="15" customHeight="1">
      <c r="A67" s="87">
        <v>46235</v>
      </c>
      <c r="B67" s="81" t="s">
        <v>59</v>
      </c>
      <c r="C67" s="84" t="s">
        <v>139</v>
      </c>
      <c r="D67" s="84" t="s">
        <v>209</v>
      </c>
      <c r="E67" s="79">
        <v>7651833</v>
      </c>
      <c r="F67" s="83" t="s">
        <v>377</v>
      </c>
    </row>
    <row r="68" spans="1:6" ht="15" customHeight="1">
      <c r="A68" s="87">
        <v>46235</v>
      </c>
      <c r="B68" s="81" t="s">
        <v>58</v>
      </c>
      <c r="C68" s="84" t="s">
        <v>136</v>
      </c>
      <c r="D68" s="84" t="s">
        <v>209</v>
      </c>
      <c r="E68" s="79">
        <v>1677853</v>
      </c>
      <c r="F68" s="83" t="s">
        <v>377</v>
      </c>
    </row>
    <row r="69" spans="1:6" ht="15" customHeight="1">
      <c r="A69" s="87">
        <v>46235</v>
      </c>
      <c r="B69" s="81" t="s">
        <v>58</v>
      </c>
      <c r="C69" s="84" t="s">
        <v>140</v>
      </c>
      <c r="D69" s="84" t="s">
        <v>209</v>
      </c>
      <c r="E69" s="79">
        <v>5569765</v>
      </c>
      <c r="F69" s="83" t="s">
        <v>377</v>
      </c>
    </row>
    <row r="70" spans="1:6" ht="15" customHeight="1">
      <c r="A70" s="87">
        <v>46235</v>
      </c>
      <c r="B70" s="81" t="s">
        <v>58</v>
      </c>
      <c r="C70" s="84" t="s">
        <v>146</v>
      </c>
      <c r="D70" s="84" t="s">
        <v>210</v>
      </c>
      <c r="E70" s="79">
        <v>970670</v>
      </c>
      <c r="F70" s="83" t="s">
        <v>378</v>
      </c>
    </row>
    <row r="71" spans="1:6" ht="15" customHeight="1">
      <c r="A71" s="87">
        <v>46266</v>
      </c>
      <c r="B71" s="81" t="s">
        <v>58</v>
      </c>
      <c r="C71" s="75" t="s">
        <v>135</v>
      </c>
      <c r="D71" s="84" t="s">
        <v>209</v>
      </c>
      <c r="E71" s="79">
        <v>2192342</v>
      </c>
      <c r="F71" s="83" t="s">
        <v>377</v>
      </c>
    </row>
    <row r="72" spans="1:6" ht="15" customHeight="1">
      <c r="A72" s="87">
        <v>46266</v>
      </c>
      <c r="B72" s="81" t="s">
        <v>58</v>
      </c>
      <c r="C72" s="75" t="s">
        <v>131</v>
      </c>
      <c r="D72" s="84" t="s">
        <v>209</v>
      </c>
      <c r="E72" s="79">
        <v>7180940</v>
      </c>
      <c r="F72" s="83" t="s">
        <v>377</v>
      </c>
    </row>
    <row r="73" spans="1:6" ht="15" customHeight="1">
      <c r="A73" s="87">
        <v>46266</v>
      </c>
      <c r="B73" s="81" t="s">
        <v>58</v>
      </c>
      <c r="C73" s="84" t="s">
        <v>141</v>
      </c>
      <c r="D73" s="84" t="s">
        <v>209</v>
      </c>
      <c r="E73" s="79">
        <v>4089338</v>
      </c>
      <c r="F73" s="83" t="s">
        <v>377</v>
      </c>
    </row>
    <row r="74" spans="1:6" ht="15" customHeight="1">
      <c r="A74" s="87">
        <v>46266</v>
      </c>
      <c r="B74" s="81" t="s">
        <v>58</v>
      </c>
      <c r="C74" s="84" t="s">
        <v>148</v>
      </c>
      <c r="D74" s="84" t="s">
        <v>211</v>
      </c>
      <c r="E74" s="79">
        <v>423744</v>
      </c>
      <c r="F74" s="83" t="s">
        <v>378</v>
      </c>
    </row>
    <row r="75" spans="1:6" ht="15" customHeight="1">
      <c r="A75" s="87">
        <v>46266</v>
      </c>
      <c r="B75" s="81" t="s">
        <v>58</v>
      </c>
      <c r="C75" s="84" t="s">
        <v>147</v>
      </c>
      <c r="D75" s="84" t="s">
        <v>211</v>
      </c>
      <c r="E75" s="79">
        <v>4758433</v>
      </c>
      <c r="F75" s="83" t="s">
        <v>375</v>
      </c>
    </row>
    <row r="76" spans="1:6" ht="15" customHeight="1">
      <c r="A76" s="87">
        <v>46266</v>
      </c>
      <c r="B76" s="81" t="s">
        <v>59</v>
      </c>
      <c r="C76" s="84" t="s">
        <v>139</v>
      </c>
      <c r="D76" s="84" t="s">
        <v>209</v>
      </c>
      <c r="E76" s="79">
        <v>4372504</v>
      </c>
      <c r="F76" s="83" t="s">
        <v>377</v>
      </c>
    </row>
    <row r="77" spans="1:6" ht="15" customHeight="1">
      <c r="A77" s="87">
        <v>46266</v>
      </c>
      <c r="B77" s="81" t="s">
        <v>58</v>
      </c>
      <c r="C77" s="84" t="s">
        <v>136</v>
      </c>
      <c r="D77" s="84" t="s">
        <v>209</v>
      </c>
      <c r="E77" s="79">
        <v>1253422</v>
      </c>
      <c r="F77" s="83" t="s">
        <v>377</v>
      </c>
    </row>
    <row r="78" spans="1:6" ht="15" customHeight="1">
      <c r="A78" s="87">
        <v>46266</v>
      </c>
      <c r="B78" s="81" t="s">
        <v>58</v>
      </c>
      <c r="C78" s="84" t="s">
        <v>140</v>
      </c>
      <c r="D78" s="84" t="s">
        <v>209</v>
      </c>
      <c r="E78" s="79">
        <v>3288822</v>
      </c>
      <c r="F78" s="83" t="s">
        <v>377</v>
      </c>
    </row>
    <row r="79" spans="1:6" ht="15" customHeight="1">
      <c r="A79" s="87">
        <v>46266</v>
      </c>
      <c r="B79" s="81" t="s">
        <v>58</v>
      </c>
      <c r="C79" s="84" t="s">
        <v>146</v>
      </c>
      <c r="D79" s="84" t="s">
        <v>210</v>
      </c>
      <c r="E79" s="79">
        <v>1231266</v>
      </c>
      <c r="F79" s="83" t="s">
        <v>378</v>
      </c>
    </row>
    <row r="80" spans="1:6" ht="15" customHeight="1">
      <c r="A80" s="87">
        <v>46296</v>
      </c>
      <c r="B80" s="81" t="s">
        <v>58</v>
      </c>
      <c r="C80" s="75" t="s">
        <v>135</v>
      </c>
      <c r="D80" s="84" t="s">
        <v>209</v>
      </c>
      <c r="E80" s="79">
        <v>2935334</v>
      </c>
      <c r="F80" s="83" t="s">
        <v>377</v>
      </c>
    </row>
    <row r="81" spans="1:6" ht="15" customHeight="1">
      <c r="A81" s="87">
        <v>46296</v>
      </c>
      <c r="B81" s="81" t="s">
        <v>58</v>
      </c>
      <c r="C81" s="75" t="s">
        <v>131</v>
      </c>
      <c r="D81" s="84" t="s">
        <v>209</v>
      </c>
      <c r="E81" s="79">
        <v>10374151</v>
      </c>
      <c r="F81" s="83" t="s">
        <v>377</v>
      </c>
    </row>
    <row r="82" spans="1:6" ht="15" customHeight="1">
      <c r="A82" s="87">
        <v>46296</v>
      </c>
      <c r="B82" s="81" t="s">
        <v>58</v>
      </c>
      <c r="C82" s="84" t="s">
        <v>141</v>
      </c>
      <c r="D82" s="84" t="s">
        <v>209</v>
      </c>
      <c r="E82" s="79">
        <v>4356119</v>
      </c>
      <c r="F82" s="83" t="s">
        <v>377</v>
      </c>
    </row>
    <row r="83" spans="1:6" ht="15" customHeight="1">
      <c r="A83" s="87">
        <v>46296</v>
      </c>
      <c r="B83" s="81" t="s">
        <v>58</v>
      </c>
      <c r="C83" s="84" t="s">
        <v>148</v>
      </c>
      <c r="D83" s="84" t="s">
        <v>211</v>
      </c>
      <c r="E83" s="79">
        <v>717312</v>
      </c>
      <c r="F83" s="83" t="s">
        <v>378</v>
      </c>
    </row>
    <row r="84" spans="1:6" ht="15" customHeight="1">
      <c r="A84" s="87">
        <v>46296</v>
      </c>
      <c r="B84" s="81" t="s">
        <v>58</v>
      </c>
      <c r="C84" s="84" t="s">
        <v>147</v>
      </c>
      <c r="D84" s="84" t="s">
        <v>211</v>
      </c>
      <c r="E84" s="79">
        <v>4621833</v>
      </c>
      <c r="F84" s="83" t="s">
        <v>375</v>
      </c>
    </row>
    <row r="85" spans="1:6" ht="15" customHeight="1">
      <c r="A85" s="87">
        <v>46296</v>
      </c>
      <c r="B85" s="81" t="s">
        <v>59</v>
      </c>
      <c r="C85" s="84" t="s">
        <v>139</v>
      </c>
      <c r="D85" s="84" t="s">
        <v>209</v>
      </c>
      <c r="E85" s="79">
        <v>7166716</v>
      </c>
      <c r="F85" s="83" t="s">
        <v>377</v>
      </c>
    </row>
    <row r="86" spans="1:6" ht="15" customHeight="1">
      <c r="A86" s="87">
        <v>46296</v>
      </c>
      <c r="B86" s="81" t="s">
        <v>58</v>
      </c>
      <c r="C86" s="84" t="s">
        <v>136</v>
      </c>
      <c r="D86" s="84" t="s">
        <v>209</v>
      </c>
      <c r="E86" s="79">
        <v>1981832</v>
      </c>
      <c r="F86" s="83" t="s">
        <v>377</v>
      </c>
    </row>
    <row r="87" spans="1:6" ht="15" customHeight="1">
      <c r="A87" s="87">
        <v>46296</v>
      </c>
      <c r="B87" s="81" t="s">
        <v>58</v>
      </c>
      <c r="C87" s="84" t="s">
        <v>140</v>
      </c>
      <c r="D87" s="84" t="s">
        <v>209</v>
      </c>
      <c r="E87" s="79">
        <v>4562811</v>
      </c>
      <c r="F87" s="83" t="s">
        <v>377</v>
      </c>
    </row>
    <row r="88" spans="1:6" ht="15" customHeight="1">
      <c r="A88" s="87">
        <v>46296</v>
      </c>
      <c r="B88" s="81" t="s">
        <v>58</v>
      </c>
      <c r="C88" s="84" t="s">
        <v>146</v>
      </c>
      <c r="D88" s="84" t="s">
        <v>210</v>
      </c>
      <c r="E88" s="79">
        <v>683000</v>
      </c>
      <c r="F88" s="83" t="s">
        <v>375</v>
      </c>
    </row>
    <row r="89" spans="1:6" ht="15" customHeight="1">
      <c r="A89" s="87">
        <v>46327</v>
      </c>
      <c r="B89" s="81" t="s">
        <v>58</v>
      </c>
      <c r="C89" s="75" t="s">
        <v>131</v>
      </c>
      <c r="D89" s="84" t="s">
        <v>209</v>
      </c>
      <c r="E89" s="79">
        <v>10460675</v>
      </c>
      <c r="F89" s="83" t="s">
        <v>377</v>
      </c>
    </row>
    <row r="90" spans="1:6" ht="15" customHeight="1">
      <c r="A90" s="87">
        <v>46327</v>
      </c>
      <c r="B90" s="81" t="s">
        <v>58</v>
      </c>
      <c r="C90" s="84" t="s">
        <v>148</v>
      </c>
      <c r="D90" s="84" t="s">
        <v>211</v>
      </c>
      <c r="E90" s="79">
        <v>947128</v>
      </c>
      <c r="F90" s="83" t="s">
        <v>378</v>
      </c>
    </row>
    <row r="91" spans="1:6" ht="15" customHeight="1">
      <c r="A91" s="87">
        <v>46327</v>
      </c>
      <c r="B91" s="81" t="s">
        <v>58</v>
      </c>
      <c r="C91" s="84" t="s">
        <v>147</v>
      </c>
      <c r="D91" s="84" t="s">
        <v>211</v>
      </c>
      <c r="E91" s="79">
        <v>4696833</v>
      </c>
      <c r="F91" s="83" t="s">
        <v>375</v>
      </c>
    </row>
    <row r="92" spans="1:6" ht="15" customHeight="1">
      <c r="A92" s="87">
        <v>46327</v>
      </c>
      <c r="B92" s="81" t="s">
        <v>59</v>
      </c>
      <c r="C92" s="84" t="s">
        <v>139</v>
      </c>
      <c r="D92" s="84" t="s">
        <v>209</v>
      </c>
      <c r="E92" s="79">
        <v>6689760</v>
      </c>
      <c r="F92" s="83" t="s">
        <v>377</v>
      </c>
    </row>
    <row r="93" spans="1:6" ht="15" customHeight="1">
      <c r="A93" s="87">
        <v>46327</v>
      </c>
      <c r="B93" s="81" t="s">
        <v>58</v>
      </c>
      <c r="C93" s="84" t="s">
        <v>146</v>
      </c>
      <c r="D93" s="84" t="s">
        <v>210</v>
      </c>
      <c r="E93" s="79">
        <v>683000</v>
      </c>
      <c r="F93" s="83" t="s">
        <v>375</v>
      </c>
    </row>
    <row r="94" spans="1:6" ht="15" customHeight="1">
      <c r="A94" s="87">
        <v>46357</v>
      </c>
      <c r="B94" s="81" t="s">
        <v>58</v>
      </c>
      <c r="C94" s="75" t="s">
        <v>131</v>
      </c>
      <c r="D94" s="84" t="s">
        <v>209</v>
      </c>
      <c r="E94" s="79">
        <v>5464765</v>
      </c>
      <c r="F94" s="83" t="s">
        <v>377</v>
      </c>
    </row>
    <row r="95" spans="1:6" ht="15" customHeight="1">
      <c r="A95" s="87">
        <v>46357</v>
      </c>
      <c r="B95" s="81" t="s">
        <v>58</v>
      </c>
      <c r="C95" s="84" t="s">
        <v>148</v>
      </c>
      <c r="D95" s="84" t="s">
        <v>211</v>
      </c>
      <c r="E95" s="79">
        <v>248917</v>
      </c>
      <c r="F95" s="83" t="s">
        <v>375</v>
      </c>
    </row>
    <row r="96" spans="1:6" ht="15" customHeight="1">
      <c r="A96" s="87">
        <v>46357</v>
      </c>
      <c r="B96" s="81" t="s">
        <v>58</v>
      </c>
      <c r="C96" s="84" t="s">
        <v>147</v>
      </c>
      <c r="D96" s="84" t="s">
        <v>211</v>
      </c>
      <c r="E96" s="79">
        <v>4621833</v>
      </c>
      <c r="F96" s="83" t="s">
        <v>375</v>
      </c>
    </row>
    <row r="97" spans="1:6" ht="15" customHeight="1">
      <c r="A97" s="87">
        <v>46357</v>
      </c>
      <c r="B97" s="81" t="s">
        <v>59</v>
      </c>
      <c r="C97" s="84" t="s">
        <v>139</v>
      </c>
      <c r="D97" s="84" t="s">
        <v>209</v>
      </c>
      <c r="E97" s="79">
        <v>4537690</v>
      </c>
      <c r="F97" s="83" t="s">
        <v>377</v>
      </c>
    </row>
    <row r="98" spans="1:6" ht="15" customHeight="1">
      <c r="A98" s="87">
        <v>46357</v>
      </c>
      <c r="B98" s="81" t="s">
        <v>58</v>
      </c>
      <c r="C98" s="84" t="s">
        <v>146</v>
      </c>
      <c r="D98" s="84" t="s">
        <v>210</v>
      </c>
      <c r="E98" s="79">
        <v>683000</v>
      </c>
      <c r="F98" s="83" t="s">
        <v>375</v>
      </c>
    </row>
    <row r="99" spans="1:6" ht="15" customHeight="1">
      <c r="A99" s="87"/>
      <c r="B99" s="81"/>
      <c r="C99" s="84"/>
      <c r="D99" s="84"/>
      <c r="E99" s="79"/>
      <c r="F99" s="84"/>
    </row>
    <row r="100" spans="1:6" ht="15" customHeight="1">
      <c r="A100" s="87"/>
      <c r="B100" s="81"/>
      <c r="C100" s="84"/>
      <c r="D100" s="84"/>
      <c r="E100" s="79"/>
      <c r="F100" s="84"/>
    </row>
    <row r="101" spans="1:6" ht="15" customHeight="1">
      <c r="A101" s="87"/>
      <c r="B101" s="81"/>
      <c r="C101" s="84"/>
      <c r="D101" s="84"/>
      <c r="E101" s="79"/>
      <c r="F101" s="84"/>
    </row>
    <row r="102" spans="1:6" ht="15" customHeight="1">
      <c r="A102" s="87"/>
      <c r="B102" s="81"/>
      <c r="C102" s="84"/>
      <c r="D102" s="84"/>
      <c r="E102" s="79"/>
      <c r="F102" s="84"/>
    </row>
    <row r="103" spans="1:6" ht="15" customHeight="1">
      <c r="A103" s="87"/>
      <c r="B103" s="81"/>
      <c r="C103" s="84"/>
      <c r="D103" s="84"/>
      <c r="E103" s="79"/>
      <c r="F103" s="84"/>
    </row>
    <row r="104" spans="1:6" ht="15" customHeight="1">
      <c r="A104" s="87"/>
      <c r="B104" s="81"/>
      <c r="C104" s="84"/>
      <c r="D104" s="84"/>
      <c r="E104" s="79"/>
      <c r="F104" s="84"/>
    </row>
    <row r="105" spans="1:6" ht="15" customHeight="1">
      <c r="A105" s="87"/>
      <c r="B105" s="81"/>
      <c r="C105" s="84"/>
      <c r="D105" s="84"/>
      <c r="E105" s="79"/>
      <c r="F105" s="84"/>
    </row>
    <row r="106" spans="1:6" ht="15" customHeight="1">
      <c r="A106" s="87"/>
      <c r="B106" s="81"/>
      <c r="C106" s="84"/>
      <c r="D106" s="84"/>
      <c r="E106" s="79"/>
      <c r="F106" s="84"/>
    </row>
    <row r="107" spans="1:6" ht="15" customHeight="1">
      <c r="A107" s="87"/>
      <c r="B107" s="81"/>
      <c r="C107" s="84"/>
      <c r="D107" s="84"/>
      <c r="E107" s="79"/>
      <c r="F107" s="84"/>
    </row>
    <row r="108" spans="1:6" ht="15" customHeight="1">
      <c r="A108" s="87"/>
      <c r="B108" s="81"/>
      <c r="C108" s="84"/>
      <c r="D108" s="84"/>
      <c r="E108" s="79"/>
      <c r="F108" s="84"/>
    </row>
    <row r="109" spans="1:6" ht="15" customHeight="1">
      <c r="A109" s="87"/>
      <c r="B109" s="81"/>
      <c r="C109" s="84"/>
      <c r="D109" s="84"/>
      <c r="E109" s="79"/>
      <c r="F109" s="84"/>
    </row>
    <row r="110" spans="1:6" ht="15" customHeight="1">
      <c r="A110" s="87"/>
      <c r="B110" s="81"/>
      <c r="C110" s="84"/>
      <c r="D110" s="84"/>
      <c r="E110" s="79"/>
      <c r="F110" s="84"/>
    </row>
    <row r="111" spans="1:6" ht="15" customHeight="1">
      <c r="A111" s="87"/>
      <c r="B111" s="81"/>
      <c r="C111" s="84"/>
      <c r="D111" s="84"/>
      <c r="E111" s="79"/>
      <c r="F111" s="84"/>
    </row>
    <row r="112" spans="1:6" ht="15" customHeight="1">
      <c r="A112" s="87"/>
      <c r="B112" s="81"/>
      <c r="C112" s="84"/>
      <c r="D112" s="84"/>
      <c r="E112" s="79"/>
      <c r="F112" s="84"/>
    </row>
    <row r="113" spans="1:6" ht="15" customHeight="1">
      <c r="A113" s="87"/>
      <c r="B113" s="81"/>
      <c r="C113" s="84"/>
      <c r="D113" s="84"/>
      <c r="E113" s="79"/>
      <c r="F113" s="84"/>
    </row>
    <row r="114" spans="1:6" ht="15" customHeight="1">
      <c r="A114" s="87"/>
      <c r="B114" s="81"/>
      <c r="C114" s="84"/>
      <c r="D114" s="84"/>
      <c r="E114" s="79"/>
      <c r="F114" s="84"/>
    </row>
    <row r="115" spans="1:6" ht="15" customHeight="1">
      <c r="A115" s="87"/>
      <c r="B115" s="81"/>
      <c r="C115" s="84"/>
      <c r="D115" s="84"/>
      <c r="E115" s="79"/>
      <c r="F115" s="84"/>
    </row>
    <row r="116" spans="1:6" ht="15" customHeight="1">
      <c r="A116" s="87"/>
      <c r="B116" s="81"/>
      <c r="C116" s="84"/>
      <c r="D116" s="84"/>
      <c r="E116" s="79"/>
      <c r="F116" s="84"/>
    </row>
    <row r="117" spans="1:6" ht="15" customHeight="1">
      <c r="A117" s="87"/>
      <c r="B117" s="81"/>
      <c r="C117" s="84"/>
      <c r="D117" s="84"/>
      <c r="E117" s="79"/>
      <c r="F117" s="84"/>
    </row>
    <row r="118" spans="1:6" ht="15" customHeight="1">
      <c r="A118" s="87"/>
      <c r="B118" s="81"/>
      <c r="C118" s="84"/>
      <c r="D118" s="84"/>
      <c r="E118" s="79"/>
      <c r="F118" s="84"/>
    </row>
    <row r="119" spans="1:6" ht="15" customHeight="1">
      <c r="A119" s="87"/>
      <c r="B119" s="81"/>
      <c r="C119" s="84"/>
      <c r="D119" s="84"/>
      <c r="E119" s="79"/>
      <c r="F119" s="84"/>
    </row>
    <row r="120" spans="1:6" ht="15" customHeight="1">
      <c r="A120" s="87"/>
      <c r="B120" s="81"/>
      <c r="C120" s="84"/>
      <c r="D120" s="84"/>
      <c r="E120" s="79"/>
      <c r="F120" s="84"/>
    </row>
    <row r="121" spans="1:6" ht="15" customHeight="1">
      <c r="A121" s="87"/>
      <c r="B121" s="81"/>
      <c r="C121" s="84"/>
      <c r="D121" s="84"/>
      <c r="E121" s="79"/>
      <c r="F121" s="84"/>
    </row>
    <row r="122" spans="1:6" ht="15" customHeight="1">
      <c r="A122" s="87"/>
      <c r="B122" s="81"/>
      <c r="C122" s="84"/>
      <c r="D122" s="84"/>
      <c r="E122" s="79"/>
      <c r="F122" s="84"/>
    </row>
    <row r="123" spans="1:6" ht="15" customHeight="1">
      <c r="A123" s="87"/>
      <c r="B123" s="81"/>
      <c r="C123" s="84"/>
      <c r="D123" s="84"/>
      <c r="E123" s="79"/>
      <c r="F123" s="84"/>
    </row>
    <row r="124" spans="1:6" ht="15" customHeight="1">
      <c r="A124" s="87"/>
      <c r="B124" s="81"/>
      <c r="C124" s="84"/>
      <c r="D124" s="84"/>
      <c r="E124" s="79"/>
      <c r="F124" s="84"/>
    </row>
    <row r="125" spans="1:6" ht="15" customHeight="1">
      <c r="A125" s="87"/>
      <c r="B125" s="81"/>
      <c r="C125" s="84"/>
      <c r="D125" s="84"/>
      <c r="E125" s="79"/>
      <c r="F125" s="84"/>
    </row>
    <row r="126" spans="1:6" ht="15" customHeight="1">
      <c r="A126" s="87"/>
      <c r="B126" s="81"/>
      <c r="C126" s="84"/>
      <c r="D126" s="84"/>
      <c r="E126" s="79"/>
      <c r="F126" s="84"/>
    </row>
    <row r="127" spans="1:6" ht="15" customHeight="1">
      <c r="A127" s="87"/>
      <c r="B127" s="81"/>
      <c r="C127" s="84"/>
      <c r="D127" s="84"/>
      <c r="E127" s="79"/>
      <c r="F127" s="84"/>
    </row>
    <row r="128" spans="1:6" ht="15" customHeight="1">
      <c r="A128" s="87"/>
      <c r="B128" s="81"/>
      <c r="C128" s="84"/>
      <c r="D128" s="84"/>
      <c r="E128" s="79"/>
      <c r="F128" s="84"/>
    </row>
    <row r="129" spans="1:6" ht="15" customHeight="1">
      <c r="A129" s="87"/>
      <c r="B129" s="81"/>
      <c r="C129" s="84"/>
      <c r="D129" s="84"/>
      <c r="E129" s="79"/>
      <c r="F129" s="84"/>
    </row>
    <row r="130" spans="1:6" ht="15" customHeight="1">
      <c r="A130" s="87"/>
      <c r="B130" s="81"/>
      <c r="C130" s="84"/>
      <c r="D130" s="84"/>
      <c r="E130" s="79"/>
      <c r="F130" s="84"/>
    </row>
    <row r="131" spans="1:6" ht="15" customHeight="1">
      <c r="A131" s="87"/>
      <c r="B131" s="81"/>
      <c r="C131" s="84"/>
      <c r="D131" s="84"/>
      <c r="E131" s="79"/>
      <c r="F131" s="84"/>
    </row>
    <row r="132" spans="1:6" ht="15" customHeight="1">
      <c r="A132" s="87"/>
      <c r="B132" s="81"/>
      <c r="C132" s="84"/>
      <c r="D132" s="84"/>
      <c r="E132" s="79"/>
      <c r="F132" s="84"/>
    </row>
    <row r="133" spans="1:6" ht="15" customHeight="1">
      <c r="A133" s="87"/>
      <c r="B133" s="81"/>
      <c r="C133" s="84"/>
      <c r="D133" s="84"/>
      <c r="E133" s="79"/>
      <c r="F133" s="84"/>
    </row>
    <row r="134" spans="1:6" ht="15" customHeight="1">
      <c r="A134" s="87"/>
      <c r="B134" s="81"/>
      <c r="C134" s="84"/>
      <c r="D134" s="84"/>
      <c r="E134" s="79"/>
      <c r="F134" s="84"/>
    </row>
    <row r="135" spans="1:6" ht="15" customHeight="1">
      <c r="A135" s="87"/>
      <c r="B135" s="81"/>
      <c r="C135" s="84"/>
      <c r="D135" s="84"/>
      <c r="E135" s="79"/>
      <c r="F135" s="84"/>
    </row>
    <row r="136" spans="1:6" ht="15" customHeight="1">
      <c r="A136" s="87"/>
      <c r="B136" s="81"/>
      <c r="C136" s="84"/>
      <c r="D136" s="84"/>
      <c r="E136" s="79"/>
      <c r="F136" s="84"/>
    </row>
    <row r="137" spans="1:6" ht="15" customHeight="1">
      <c r="A137" s="87"/>
      <c r="B137" s="81"/>
      <c r="C137" s="84"/>
      <c r="D137" s="84"/>
      <c r="E137" s="79"/>
      <c r="F137" s="84"/>
    </row>
    <row r="138" spans="1:6" ht="15" customHeight="1">
      <c r="A138" s="87"/>
      <c r="B138" s="81"/>
      <c r="C138" s="84"/>
      <c r="D138" s="84"/>
      <c r="E138" s="79"/>
      <c r="F138" s="84"/>
    </row>
    <row r="139" spans="1:6" ht="15" customHeight="1">
      <c r="A139" s="87"/>
      <c r="B139" s="81"/>
      <c r="C139" s="84"/>
      <c r="D139" s="84"/>
      <c r="E139" s="79"/>
      <c r="F139" s="84"/>
    </row>
    <row r="140" spans="1:6" ht="15" customHeight="1">
      <c r="A140" s="87"/>
      <c r="B140" s="81"/>
      <c r="C140" s="84"/>
      <c r="D140" s="84"/>
      <c r="E140" s="79"/>
      <c r="F140" s="84"/>
    </row>
    <row r="141" spans="1:6" ht="15" customHeight="1">
      <c r="A141" s="87"/>
      <c r="B141" s="81"/>
      <c r="C141" s="84"/>
      <c r="D141" s="84"/>
      <c r="E141" s="79"/>
      <c r="F141" s="84"/>
    </row>
    <row r="142" spans="1:6" ht="15" customHeight="1">
      <c r="A142" s="87"/>
      <c r="B142" s="81"/>
      <c r="C142" s="84"/>
      <c r="D142" s="84"/>
      <c r="E142" s="79"/>
      <c r="F142" s="84"/>
    </row>
    <row r="143" spans="1:6" ht="15" customHeight="1">
      <c r="A143" s="87"/>
      <c r="B143" s="81"/>
      <c r="C143" s="84"/>
      <c r="D143" s="84"/>
      <c r="E143" s="79"/>
      <c r="F143" s="84"/>
    </row>
    <row r="144" spans="1:6" ht="15" customHeight="1">
      <c r="A144" s="87"/>
      <c r="B144" s="81"/>
      <c r="C144" s="84"/>
      <c r="D144" s="84"/>
      <c r="E144" s="79"/>
      <c r="F144" s="84"/>
    </row>
    <row r="145" spans="1:6" ht="15" customHeight="1">
      <c r="A145" s="87"/>
      <c r="B145" s="81"/>
      <c r="C145" s="84"/>
      <c r="D145" s="84"/>
      <c r="E145" s="79"/>
      <c r="F145" s="84"/>
    </row>
    <row r="146" spans="1:6" ht="15" customHeight="1">
      <c r="A146" s="87"/>
      <c r="B146" s="81"/>
      <c r="C146" s="84"/>
      <c r="D146" s="84"/>
      <c r="E146" s="79"/>
      <c r="F146" s="84"/>
    </row>
    <row r="147" spans="1:6" ht="15" customHeight="1">
      <c r="A147" s="87"/>
      <c r="B147" s="81"/>
      <c r="C147" s="84"/>
      <c r="D147" s="84"/>
      <c r="E147" s="79"/>
      <c r="F147" s="84"/>
    </row>
    <row r="148" spans="1:6" ht="15" customHeight="1">
      <c r="A148" s="87"/>
      <c r="B148" s="81"/>
      <c r="C148" s="84"/>
      <c r="D148" s="84"/>
      <c r="E148" s="79"/>
      <c r="F148" s="84"/>
    </row>
    <row r="149" spans="1:6" ht="15" customHeight="1">
      <c r="A149" s="87"/>
      <c r="B149" s="81"/>
      <c r="C149" s="84"/>
      <c r="D149" s="84"/>
      <c r="E149" s="79"/>
      <c r="F149" s="84"/>
    </row>
    <row r="150" spans="1:6" ht="15" customHeight="1">
      <c r="A150" s="87"/>
      <c r="B150" s="81"/>
      <c r="C150" s="84"/>
      <c r="D150" s="84"/>
      <c r="E150" s="79"/>
      <c r="F150" s="84"/>
    </row>
    <row r="151" spans="1:6" ht="15" customHeight="1">
      <c r="A151" s="87"/>
      <c r="B151" s="81"/>
      <c r="C151" s="84"/>
      <c r="D151" s="84"/>
      <c r="E151" s="79"/>
      <c r="F151" s="84"/>
    </row>
    <row r="152" spans="1:6" ht="15" customHeight="1">
      <c r="A152" s="87"/>
      <c r="B152" s="81"/>
      <c r="C152" s="84"/>
      <c r="D152" s="84"/>
      <c r="E152" s="79"/>
      <c r="F152" s="84"/>
    </row>
    <row r="153" spans="1:6" ht="15" customHeight="1">
      <c r="A153" s="87"/>
      <c r="B153" s="81"/>
      <c r="C153" s="84"/>
      <c r="D153" s="84"/>
      <c r="E153" s="79"/>
      <c r="F153" s="84"/>
    </row>
    <row r="154" spans="1:6" ht="15" customHeight="1">
      <c r="A154" s="87"/>
      <c r="B154" s="81"/>
      <c r="C154" s="84"/>
      <c r="D154" s="84"/>
      <c r="E154" s="79"/>
      <c r="F154" s="84"/>
    </row>
    <row r="155" spans="1:6" ht="15" customHeight="1">
      <c r="A155" s="87"/>
      <c r="B155" s="81"/>
      <c r="C155" s="84"/>
      <c r="D155" s="84"/>
      <c r="E155" s="79"/>
      <c r="F155" s="84"/>
    </row>
    <row r="156" spans="1:6" ht="15" customHeight="1">
      <c r="A156" s="87"/>
      <c r="B156" s="81"/>
      <c r="C156" s="84"/>
      <c r="D156" s="84"/>
      <c r="E156" s="79"/>
      <c r="F156" s="84"/>
    </row>
    <row r="157" spans="1:6" ht="15" customHeight="1">
      <c r="A157" s="87"/>
      <c r="B157" s="81"/>
      <c r="C157" s="84"/>
      <c r="D157" s="84"/>
      <c r="E157" s="79"/>
      <c r="F157" s="84"/>
    </row>
    <row r="158" spans="1:6" ht="15" customHeight="1">
      <c r="A158" s="87"/>
      <c r="B158" s="81"/>
      <c r="C158" s="84"/>
      <c r="D158" s="84"/>
      <c r="E158" s="79"/>
      <c r="F158" s="84"/>
    </row>
    <row r="159" spans="1:6" ht="15" customHeight="1">
      <c r="A159" s="87"/>
      <c r="B159" s="81"/>
      <c r="C159" s="84"/>
      <c r="D159" s="84"/>
      <c r="E159" s="79"/>
      <c r="F159" s="84"/>
    </row>
    <row r="160" spans="1:6" ht="15" customHeight="1">
      <c r="A160" s="87"/>
      <c r="B160" s="81"/>
      <c r="C160" s="84"/>
      <c r="D160" s="84"/>
      <c r="E160" s="79"/>
      <c r="F160" s="84"/>
    </row>
    <row r="161" spans="1:6" ht="15" customHeight="1">
      <c r="A161" s="87"/>
      <c r="B161" s="81"/>
      <c r="C161" s="84"/>
      <c r="D161" s="84"/>
      <c r="E161" s="79"/>
      <c r="F161" s="84"/>
    </row>
    <row r="162" spans="1:6" ht="15" customHeight="1">
      <c r="A162" s="87"/>
      <c r="B162" s="81"/>
      <c r="C162" s="84"/>
      <c r="D162" s="84"/>
      <c r="E162" s="79"/>
      <c r="F162" s="84"/>
    </row>
    <row r="163" spans="1:6" ht="15" customHeight="1">
      <c r="A163" s="87"/>
      <c r="B163" s="81"/>
      <c r="C163" s="84"/>
      <c r="D163" s="84"/>
      <c r="E163" s="79"/>
      <c r="F163" s="84"/>
    </row>
    <row r="164" spans="1:6" ht="15" customHeight="1">
      <c r="A164" s="87"/>
      <c r="B164" s="81"/>
      <c r="C164" s="84"/>
      <c r="D164" s="84"/>
      <c r="E164" s="79"/>
      <c r="F164" s="84"/>
    </row>
    <row r="165" spans="1:6" ht="15" customHeight="1">
      <c r="A165" s="87"/>
      <c r="B165" s="81"/>
      <c r="C165" s="84"/>
      <c r="D165" s="84"/>
      <c r="E165" s="79"/>
      <c r="F165" s="84"/>
    </row>
    <row r="166" spans="1:6" ht="15" customHeight="1">
      <c r="A166" s="87"/>
      <c r="B166" s="81"/>
      <c r="C166" s="84"/>
      <c r="D166" s="84"/>
      <c r="E166" s="79"/>
      <c r="F166" s="84"/>
    </row>
    <row r="167" spans="1:6" ht="15" customHeight="1">
      <c r="A167" s="87"/>
      <c r="B167" s="81"/>
      <c r="C167" s="84"/>
      <c r="D167" s="84"/>
      <c r="E167" s="79"/>
      <c r="F167" s="84"/>
    </row>
    <row r="168" spans="1:6" ht="15" customHeight="1">
      <c r="A168" s="87"/>
      <c r="B168" s="81"/>
      <c r="C168" s="84"/>
      <c r="D168" s="84"/>
      <c r="E168" s="79"/>
      <c r="F168" s="84"/>
    </row>
    <row r="169" spans="1:6" ht="15" customHeight="1">
      <c r="A169" s="87"/>
      <c r="B169" s="81"/>
      <c r="C169" s="84"/>
      <c r="D169" s="84"/>
      <c r="E169" s="79"/>
      <c r="F169" s="84"/>
    </row>
    <row r="170" spans="1:6" ht="15" customHeight="1">
      <c r="A170" s="87"/>
      <c r="B170" s="81"/>
      <c r="C170" s="84"/>
      <c r="D170" s="84"/>
      <c r="E170" s="79"/>
      <c r="F170" s="84"/>
    </row>
    <row r="171" spans="1:6" ht="15" customHeight="1">
      <c r="A171" s="87"/>
      <c r="B171" s="81"/>
      <c r="C171" s="84"/>
      <c r="D171" s="84"/>
      <c r="E171" s="79"/>
      <c r="F171" s="84"/>
    </row>
    <row r="172" spans="1:6" ht="15" customHeight="1">
      <c r="A172" s="87"/>
      <c r="B172" s="81"/>
      <c r="C172" s="84"/>
      <c r="D172" s="84"/>
      <c r="E172" s="79"/>
      <c r="F172" s="84"/>
    </row>
    <row r="173" spans="1:6" ht="15" customHeight="1">
      <c r="A173" s="87"/>
      <c r="B173" s="81"/>
      <c r="C173" s="84"/>
      <c r="D173" s="84"/>
      <c r="E173" s="79"/>
      <c r="F173" s="84"/>
    </row>
    <row r="174" spans="1:6" ht="15" customHeight="1">
      <c r="A174" s="87"/>
      <c r="B174" s="81"/>
      <c r="C174" s="84"/>
      <c r="D174" s="84"/>
      <c r="E174" s="79"/>
      <c r="F174" s="84"/>
    </row>
    <row r="175" spans="1:6" ht="15" customHeight="1">
      <c r="A175" s="87"/>
      <c r="B175" s="81"/>
      <c r="C175" s="84"/>
      <c r="D175" s="84"/>
      <c r="E175" s="79"/>
      <c r="F175" s="84"/>
    </row>
    <row r="176" spans="1:6" ht="15" customHeight="1">
      <c r="A176" s="87"/>
      <c r="B176" s="81"/>
      <c r="C176" s="84"/>
      <c r="D176" s="84"/>
      <c r="E176" s="79"/>
      <c r="F176" s="84"/>
    </row>
    <row r="177" spans="1:6" ht="15" customHeight="1">
      <c r="A177" s="87"/>
      <c r="B177" s="81"/>
      <c r="C177" s="84"/>
      <c r="D177" s="84"/>
      <c r="E177" s="79"/>
      <c r="F177" s="84"/>
    </row>
    <row r="178" spans="1:6" ht="15" customHeight="1">
      <c r="A178" s="87"/>
      <c r="B178" s="81"/>
      <c r="C178" s="84"/>
      <c r="D178" s="84"/>
      <c r="E178" s="79"/>
      <c r="F178" s="84"/>
    </row>
    <row r="179" spans="1:6" ht="15" customHeight="1">
      <c r="A179" s="87"/>
      <c r="B179" s="81"/>
      <c r="C179" s="84"/>
      <c r="D179" s="84"/>
      <c r="E179" s="79"/>
      <c r="F179" s="84"/>
    </row>
    <row r="180" spans="1:6" ht="15" customHeight="1">
      <c r="A180" s="87"/>
      <c r="B180" s="81"/>
      <c r="C180" s="84"/>
      <c r="D180" s="84"/>
      <c r="E180" s="79"/>
      <c r="F180" s="84"/>
    </row>
    <row r="181" spans="1:6" ht="15" customHeight="1">
      <c r="A181" s="87"/>
      <c r="B181" s="81"/>
      <c r="C181" s="84"/>
      <c r="D181" s="84"/>
      <c r="E181" s="79"/>
      <c r="F181" s="84"/>
    </row>
    <row r="182" spans="1:6" ht="15" customHeight="1">
      <c r="A182" s="87"/>
      <c r="B182" s="81"/>
      <c r="C182" s="84"/>
      <c r="D182" s="84"/>
      <c r="E182" s="79"/>
      <c r="F182" s="84"/>
    </row>
    <row r="183" spans="1:6" ht="15" customHeight="1">
      <c r="A183" s="87"/>
      <c r="B183" s="81"/>
      <c r="C183" s="84"/>
      <c r="D183" s="84"/>
      <c r="E183" s="79"/>
      <c r="F183" s="84"/>
    </row>
    <row r="184" spans="1:6" ht="15" customHeight="1">
      <c r="A184" s="87"/>
      <c r="B184" s="81"/>
      <c r="C184" s="84"/>
      <c r="D184" s="84"/>
      <c r="E184" s="79"/>
      <c r="F184" s="84"/>
    </row>
    <row r="185" spans="1:6" ht="15" customHeight="1">
      <c r="A185" s="87"/>
      <c r="B185" s="81"/>
      <c r="C185" s="84"/>
      <c r="D185" s="84"/>
      <c r="E185" s="79"/>
      <c r="F185" s="84"/>
    </row>
    <row r="186" spans="1:6" ht="15" customHeight="1">
      <c r="A186" s="87"/>
      <c r="B186" s="81"/>
      <c r="C186" s="84"/>
      <c r="D186" s="84"/>
      <c r="E186" s="79"/>
      <c r="F186" s="84"/>
    </row>
    <row r="187" spans="1:6" ht="15" customHeight="1">
      <c r="A187" s="87"/>
      <c r="B187" s="81"/>
      <c r="C187" s="84"/>
      <c r="D187" s="84"/>
      <c r="E187" s="79"/>
      <c r="F187" s="84"/>
    </row>
    <row r="188" spans="1:6" ht="15" customHeight="1">
      <c r="A188" s="87"/>
      <c r="B188" s="81"/>
      <c r="C188" s="84"/>
      <c r="D188" s="84"/>
      <c r="E188" s="79"/>
      <c r="F188" s="84"/>
    </row>
    <row r="189" spans="1:6" ht="15" customHeight="1">
      <c r="A189" s="87"/>
      <c r="B189" s="81"/>
      <c r="C189" s="84"/>
      <c r="D189" s="84"/>
      <c r="E189" s="79"/>
      <c r="F189" s="84"/>
    </row>
    <row r="190" spans="1:6" ht="15" customHeight="1">
      <c r="A190" s="87"/>
      <c r="B190" s="81"/>
      <c r="C190" s="84"/>
      <c r="D190" s="84"/>
      <c r="E190" s="79"/>
      <c r="F190" s="84"/>
    </row>
    <row r="191" spans="1:6" ht="15" customHeight="1">
      <c r="A191" s="87"/>
      <c r="B191" s="81"/>
      <c r="C191" s="84"/>
      <c r="D191" s="84"/>
      <c r="E191" s="79"/>
      <c r="F191" s="84"/>
    </row>
    <row r="192" spans="1:6" ht="15" customHeight="1">
      <c r="A192" s="87"/>
      <c r="B192" s="81"/>
      <c r="C192" s="84"/>
      <c r="D192" s="84"/>
      <c r="E192" s="79"/>
      <c r="F192" s="84"/>
    </row>
    <row r="193" spans="1:6" ht="15" customHeight="1">
      <c r="A193" s="87"/>
      <c r="B193" s="81"/>
      <c r="C193" s="84"/>
      <c r="D193" s="84"/>
      <c r="E193" s="79"/>
      <c r="F193" s="84"/>
    </row>
    <row r="194" spans="1:6" ht="15" customHeight="1">
      <c r="A194" s="87"/>
      <c r="B194" s="81"/>
      <c r="C194" s="84"/>
      <c r="D194" s="84"/>
      <c r="E194" s="79"/>
      <c r="F194" s="84"/>
    </row>
    <row r="195" spans="1:6" ht="15" customHeight="1">
      <c r="A195" s="87"/>
      <c r="B195" s="81"/>
      <c r="C195" s="84"/>
      <c r="D195" s="84"/>
      <c r="E195" s="79"/>
      <c r="F195" s="84"/>
    </row>
    <row r="196" spans="1:6" ht="15" customHeight="1">
      <c r="A196" s="87"/>
      <c r="B196" s="81"/>
      <c r="C196" s="84"/>
      <c r="D196" s="84"/>
      <c r="E196" s="79"/>
      <c r="F196" s="84"/>
    </row>
    <row r="197" spans="1:6" ht="15" customHeight="1">
      <c r="A197" s="87"/>
      <c r="B197" s="81"/>
      <c r="C197" s="84"/>
      <c r="D197" s="84"/>
      <c r="E197" s="79"/>
      <c r="F197" s="84"/>
    </row>
    <row r="198" spans="1:6" ht="15" customHeight="1">
      <c r="A198" s="87"/>
      <c r="B198" s="81"/>
      <c r="C198" s="84"/>
      <c r="D198" s="84"/>
      <c r="E198" s="79"/>
      <c r="F198" s="84"/>
    </row>
    <row r="199" spans="1:6" ht="15" customHeight="1">
      <c r="A199" s="87"/>
      <c r="B199" s="81"/>
      <c r="C199" s="84"/>
      <c r="D199" s="84"/>
      <c r="E199" s="79"/>
      <c r="F199" s="84"/>
    </row>
    <row r="200" spans="1:6" ht="15" customHeight="1">
      <c r="A200" s="87"/>
      <c r="B200" s="81"/>
      <c r="C200" s="84"/>
      <c r="D200" s="84"/>
      <c r="E200" s="79"/>
      <c r="F200" s="84"/>
    </row>
    <row r="201" spans="1:6" ht="15" customHeight="1">
      <c r="A201" s="87"/>
      <c r="B201" s="81"/>
      <c r="C201" s="84"/>
      <c r="D201" s="84"/>
      <c r="E201" s="79"/>
      <c r="F201" s="84"/>
    </row>
    <row r="202" spans="1:6" ht="15" customHeight="1">
      <c r="A202" s="87"/>
      <c r="B202" s="81"/>
      <c r="C202" s="84"/>
      <c r="D202" s="84"/>
      <c r="E202" s="79"/>
      <c r="F202" s="84"/>
    </row>
    <row r="203" spans="1:6" ht="15" customHeight="1">
      <c r="A203" s="87"/>
      <c r="B203" s="81"/>
      <c r="C203" s="84"/>
      <c r="D203" s="84"/>
      <c r="E203" s="79"/>
      <c r="F203" s="84"/>
    </row>
    <row r="205" spans="1:6" ht="15" customHeight="1">
      <c r="A205" s="6" t="s">
        <v>350</v>
      </c>
      <c r="B205" s="6"/>
      <c r="C205" s="6"/>
      <c r="D205" s="6"/>
      <c r="E205" s="24">
        <f>SUM(E4:E203)</f>
        <v>247638350</v>
      </c>
      <c r="F205" s="44"/>
    </row>
  </sheetData>
  <autoFilter ref="A3:F203" xr:uid="{00000000-0009-0000-0000-000009000000}"/>
  <mergeCells count="3">
    <mergeCell ref="A1:F1"/>
    <mergeCell ref="A2:F2"/>
    <mergeCell ref="A205:D205"/>
  </mergeCells>
  <phoneticPr fontId="45"/>
  <dataValidations count="2">
    <dataValidation type="date" allowBlank="1" sqref="A4:A203" xr:uid="{00000000-0002-0000-0900-000000000000}">
      <formula1>0</formula1>
      <formula2>0</formula2>
    </dataValidation>
    <dataValidation type="list" allowBlank="1" sqref="B4:B203" xr:uid="{00000000-0002-0000-0900-000001000000}">
      <formula1>"レジデンス,リゾート,モーテル,ザック,ワールド・レイ,ココ・ユニバース"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2000000}">
          <x14:formula1>
            <xm:f>マスター_OTA!$A$4:$A$29</xm:f>
          </x14:formula1>
          <x14:formula2>
            <xm:f>0</xm:f>
          </x14:formula2>
          <xm:sqref>D4:D203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5"/>
  <sheetViews>
    <sheetView zoomScaleNormal="100" workbookViewId="0">
      <pane ySplit="3" topLeftCell="A53" activePane="bottomLeft" state="frozen"/>
      <selection pane="bottomLeft" sqref="A1:G1"/>
    </sheetView>
  </sheetViews>
  <sheetFormatPr defaultColWidth="8.7109375" defaultRowHeight="15"/>
  <cols>
    <col min="1" max="2" width="14" customWidth="1"/>
    <col min="3" max="3" width="18" customWidth="1"/>
    <col min="4" max="4" width="16" customWidth="1"/>
    <col min="5" max="5" width="18" customWidth="1"/>
    <col min="6" max="7" width="12" customWidth="1"/>
  </cols>
  <sheetData>
    <row r="1" spans="1:7" ht="27.75" customHeight="1">
      <c r="A1" s="14" t="s">
        <v>379</v>
      </c>
      <c r="B1" s="14"/>
      <c r="C1" s="14"/>
      <c r="D1" s="14"/>
      <c r="E1" s="14"/>
      <c r="F1" s="14"/>
      <c r="G1" s="14"/>
    </row>
    <row r="2" spans="1:7" ht="11.25" customHeight="1">
      <c r="A2" s="1" t="s">
        <v>380</v>
      </c>
      <c r="B2" s="1"/>
      <c r="C2" s="1"/>
      <c r="D2" s="1"/>
      <c r="E2" s="1"/>
      <c r="F2" s="1"/>
      <c r="G2" s="1"/>
    </row>
    <row r="3" spans="1:7" ht="15" customHeight="1">
      <c r="A3" s="15" t="s">
        <v>381</v>
      </c>
      <c r="B3" s="15" t="s">
        <v>56</v>
      </c>
      <c r="C3" s="15" t="s">
        <v>116</v>
      </c>
      <c r="D3" s="34" t="s">
        <v>354</v>
      </c>
      <c r="E3" s="15" t="s">
        <v>382</v>
      </c>
      <c r="F3" s="15" t="s">
        <v>383</v>
      </c>
      <c r="G3" s="15" t="s">
        <v>156</v>
      </c>
    </row>
    <row r="4" spans="1:7" ht="15" customHeight="1">
      <c r="A4" s="88">
        <f>IFERROR(IF(売上入力!A4="","",IF(INDEX(マスター_OTA!$B$4:$B$29,MATCH(売上入力!D4,マスター_OTA!$A$4:$A$29,0))=0,"",DATE(YEAR(売上入力!A4),MONTH(売上入力!A4),IFERROR(INDEX(マスター_OTA!$E$4:$E$29,MATCH(売上入力!D4,マスター_OTA!$A$4:$A$29,0)),28)))),"")</f>
        <v>46132</v>
      </c>
      <c r="B4" s="16" t="str">
        <f>IF(売上入力!B4="","",売上入力!B4)</f>
        <v>ザック</v>
      </c>
      <c r="C4" s="16" t="str">
        <f>IF(売上入力!C4="","",売上入力!C4)</f>
        <v>MAKI de SAUNA</v>
      </c>
      <c r="D4" s="16" t="str">
        <f>IF(売上入力!D4="","",売上入力!D4)</f>
        <v>売上</v>
      </c>
      <c r="E4" s="89">
        <f>IFERROR(IF(売上入力!E4="",0,売上入力!E4*INDEX(マスター_OTA!$B$4:$B$29,MATCH(売上入力!D4,マスター_OTA!$A$4:$A$29,0))/100),0)</f>
        <v>0</v>
      </c>
      <c r="F4" s="90">
        <f>IF(売上入力!A4="","",売上入力!A4)</f>
        <v>46113</v>
      </c>
      <c r="G4" s="16" t="s">
        <v>384</v>
      </c>
    </row>
    <row r="5" spans="1:7" ht="15" customHeight="1">
      <c r="A5" s="88">
        <f>IFERROR(IF(売上入力!A4="","",IF(INDEX(マスター_OTA!$C$4:$C$29,MATCH(売上入力!D4,マスター_OTA!$A$4:$A$29,0))=0,"",DATE(YEAR(売上入力!A4),MONTH(売上入力!A4)+1,IFERROR(INDEX(マスター_OTA!$F$4:$F$29,MATCH(売上入力!D4,マスター_OTA!$A$4:$A$29,0)),25)))),"")</f>
        <v>46152</v>
      </c>
      <c r="B5" s="16" t="str">
        <f>IF(売上入力!B4="","",売上入力!B4)</f>
        <v>ザック</v>
      </c>
      <c r="C5" s="16" t="str">
        <f>IF(売上入力!C4="","",売上入力!C4)</f>
        <v>MAKI de SAUNA</v>
      </c>
      <c r="D5" s="16" t="str">
        <f>IF(売上入力!D4="","",売上入力!D4)</f>
        <v>売上</v>
      </c>
      <c r="E5" s="89">
        <f>IFERROR(IF(売上入力!E4="",0,売上入力!E4*INDEX(マスター_OTA!$C$4:$C$29,MATCH(売上入力!D4,マスター_OTA!$A$4:$A$29,0))/100),0)</f>
        <v>0</v>
      </c>
      <c r="F5" s="90">
        <f>IF(売上入力!A4="","",売上入力!A4)</f>
        <v>46113</v>
      </c>
      <c r="G5" s="16" t="s">
        <v>385</v>
      </c>
    </row>
    <row r="6" spans="1:7" ht="15" customHeight="1">
      <c r="A6" s="88">
        <f>IFERROR(IF(売上入力!A4="","",IF(INDEX(マスター_OTA!$D$4:$D$29,MATCH(売上入力!D4,マスター_OTA!$A$4:$A$29,0))=0,"",DATE(YEAR(売上入力!A4),MONTH(売上入力!A4)+2,IFERROR(INDEX(マスター_OTA!$G$4:$G$29,MATCH(売上入力!D4,マスター_OTA!$A$4:$A$29,0)),25)))),"")</f>
        <v>46198</v>
      </c>
      <c r="B6" s="16" t="str">
        <f>IF(売上入力!B4="","",売上入力!B4)</f>
        <v>ザック</v>
      </c>
      <c r="C6" s="16" t="str">
        <f>IF(売上入力!C4="","",売上入力!C4)</f>
        <v>MAKI de SAUNA</v>
      </c>
      <c r="D6" s="16" t="str">
        <f>IF(売上入力!D4="","",売上入力!D4)</f>
        <v>売上</v>
      </c>
      <c r="E6" s="89">
        <f>IFERROR(IF(売上入力!E4="",0,売上入力!E4*INDEX(マスター_OTA!$D$4:$D$29,MATCH(売上入力!D4,マスター_OTA!$A$4:$A$29,0))/100),0)</f>
        <v>0</v>
      </c>
      <c r="F6" s="90">
        <f>IF(売上入力!A4="","",売上入力!A4)</f>
        <v>46113</v>
      </c>
      <c r="G6" s="16" t="s">
        <v>386</v>
      </c>
    </row>
    <row r="7" spans="1:7" ht="15" customHeight="1">
      <c r="A7" s="88">
        <f>IFERROR(IF(売上入力!A5="","",IF(INDEX(マスター_OTA!$B$4:$B$29,MATCH(売上入力!D5,マスター_OTA!$A$4:$A$29,0))=0,"",DATE(YEAR(売上入力!A5),MONTH(売上入力!A5),IFERROR(INDEX(マスター_OTA!$E$4:$E$29,MATCH(売上入力!D5,マスター_OTA!$A$4:$A$29,0)),28)))),"")</f>
        <v>46132</v>
      </c>
      <c r="B7" s="16" t="str">
        <f>IF(売上入力!B5="","",売上入力!B5)</f>
        <v>リゾート</v>
      </c>
      <c r="C7" s="16" t="str">
        <f>IF(売上入力!C5="","",売上入力!C5)</f>
        <v>Otake</v>
      </c>
      <c r="D7" s="16" t="str">
        <f>IF(売上入力!D5="","",売上入力!D5)</f>
        <v>売上</v>
      </c>
      <c r="E7" s="89">
        <f>IFERROR(IF(売上入力!E5="",0,売上入力!E5*INDEX(マスター_OTA!$B$4:$B$29,MATCH(売上入力!D5,マスター_OTA!$A$4:$A$29,0))/100),0)</f>
        <v>0</v>
      </c>
      <c r="F7" s="90">
        <f>IF(売上入力!A5="","",売上入力!A5)</f>
        <v>46113</v>
      </c>
      <c r="G7" s="16" t="s">
        <v>384</v>
      </c>
    </row>
    <row r="8" spans="1:7" ht="15" customHeight="1">
      <c r="A8" s="88">
        <f>IFERROR(IF(売上入力!A5="","",IF(INDEX(マスター_OTA!$C$4:$C$29,MATCH(売上入力!D5,マスター_OTA!$A$4:$A$29,0))=0,"",DATE(YEAR(売上入力!A5),MONTH(売上入力!A5)+1,IFERROR(INDEX(マスター_OTA!$F$4:$F$29,MATCH(売上入力!D5,マスター_OTA!$A$4:$A$29,0)),25)))),"")</f>
        <v>46152</v>
      </c>
      <c r="B8" s="16" t="str">
        <f>IF(売上入力!B5="","",売上入力!B5)</f>
        <v>リゾート</v>
      </c>
      <c r="C8" s="16" t="str">
        <f>IF(売上入力!C5="","",売上入力!C5)</f>
        <v>Otake</v>
      </c>
      <c r="D8" s="16" t="str">
        <f>IF(売上入力!D5="","",売上入力!D5)</f>
        <v>売上</v>
      </c>
      <c r="E8" s="89">
        <f>IFERROR(IF(売上入力!E5="",0,売上入力!E5*INDEX(マスター_OTA!$C$4:$C$29,MATCH(売上入力!D5,マスター_OTA!$A$4:$A$29,0))/100),0)</f>
        <v>0</v>
      </c>
      <c r="F8" s="90">
        <f>IF(売上入力!A5="","",売上入力!A5)</f>
        <v>46113</v>
      </c>
      <c r="G8" s="16" t="s">
        <v>385</v>
      </c>
    </row>
    <row r="9" spans="1:7" ht="15" customHeight="1">
      <c r="A9" s="88">
        <f>IFERROR(IF(売上入力!A5="","",IF(INDEX(マスター_OTA!$D$4:$D$29,MATCH(売上入力!D5,マスター_OTA!$A$4:$A$29,0))=0,"",DATE(YEAR(売上入力!A5),MONTH(売上入力!A5)+2,IFERROR(INDEX(マスター_OTA!$G$4:$G$29,MATCH(売上入力!D5,マスター_OTA!$A$4:$A$29,0)),25)))),"")</f>
        <v>46198</v>
      </c>
      <c r="B9" s="16" t="str">
        <f>IF(売上入力!B5="","",売上入力!B5)</f>
        <v>リゾート</v>
      </c>
      <c r="C9" s="16" t="str">
        <f>IF(売上入力!C5="","",売上入力!C5)</f>
        <v>Otake</v>
      </c>
      <c r="D9" s="16" t="str">
        <f>IF(売上入力!D5="","",売上入力!D5)</f>
        <v>売上</v>
      </c>
      <c r="E9" s="89">
        <f>IFERROR(IF(売上入力!E5="",0,売上入力!E5*INDEX(マスター_OTA!$D$4:$D$29,MATCH(売上入力!D5,マスター_OTA!$A$4:$A$29,0))/100),0)</f>
        <v>0</v>
      </c>
      <c r="F9" s="90">
        <f>IF(売上入力!A5="","",売上入力!A5)</f>
        <v>46113</v>
      </c>
      <c r="G9" s="16" t="s">
        <v>386</v>
      </c>
    </row>
    <row r="10" spans="1:7" ht="15" customHeight="1">
      <c r="A10" s="88">
        <f>IFERROR(IF(売上入力!A6="","",IF(INDEX(マスター_OTA!$B$4:$B$29,MATCH(売上入力!D6,マスター_OTA!$A$4:$A$29,0))=0,"",DATE(YEAR(売上入力!A6),MONTH(売上入力!A6),IFERROR(INDEX(マスター_OTA!$E$4:$E$29,MATCH(売上入力!D6,マスター_OTA!$A$4:$A$29,0)),28)))),"")</f>
        <v>46132</v>
      </c>
      <c r="B10" s="16" t="str">
        <f>IF(売上入力!B6="","",売上入力!B6)</f>
        <v>リゾート</v>
      </c>
      <c r="C10" s="16" t="str">
        <f>IF(売上入力!C6="","",売上入力!C6)</f>
        <v>TAKAYA</v>
      </c>
      <c r="D10" s="16" t="str">
        <f>IF(売上入力!D6="","",売上入力!D6)</f>
        <v>売上</v>
      </c>
      <c r="E10" s="89">
        <f>IFERROR(IF(売上入力!E6="",0,売上入力!E6*INDEX(マスター_OTA!$B$4:$B$29,MATCH(売上入力!D6,マスター_OTA!$A$4:$A$29,0))/100),0)</f>
        <v>0</v>
      </c>
      <c r="F10" s="90">
        <f>IF(売上入力!A6="","",売上入力!A6)</f>
        <v>46113</v>
      </c>
      <c r="G10" s="16" t="s">
        <v>384</v>
      </c>
    </row>
    <row r="11" spans="1:7" ht="15" customHeight="1">
      <c r="A11" s="88">
        <f>IFERROR(IF(売上入力!A6="","",IF(INDEX(マスター_OTA!$C$4:$C$29,MATCH(売上入力!D6,マスター_OTA!$A$4:$A$29,0))=0,"",DATE(YEAR(売上入力!A6),MONTH(売上入力!A6)+1,IFERROR(INDEX(マスター_OTA!$F$4:$F$29,MATCH(売上入力!D6,マスター_OTA!$A$4:$A$29,0)),25)))),"")</f>
        <v>46152</v>
      </c>
      <c r="B11" s="16" t="str">
        <f>IF(売上入力!B6="","",売上入力!B6)</f>
        <v>リゾート</v>
      </c>
      <c r="C11" s="16" t="str">
        <f>IF(売上入力!C6="","",売上入力!C6)</f>
        <v>TAKAYA</v>
      </c>
      <c r="D11" s="16" t="str">
        <f>IF(売上入力!D6="","",売上入力!D6)</f>
        <v>売上</v>
      </c>
      <c r="E11" s="89">
        <f>IFERROR(IF(売上入力!E6="",0,売上入力!E6*INDEX(マスター_OTA!$C$4:$C$29,MATCH(売上入力!D6,マスター_OTA!$A$4:$A$29,0))/100),0)</f>
        <v>0</v>
      </c>
      <c r="F11" s="90">
        <f>IF(売上入力!A6="","",売上入力!A6)</f>
        <v>46113</v>
      </c>
      <c r="G11" s="16" t="s">
        <v>385</v>
      </c>
    </row>
    <row r="12" spans="1:7" ht="15" customHeight="1">
      <c r="A12" s="88">
        <f>IFERROR(IF(売上入力!A6="","",IF(INDEX(マスター_OTA!$D$4:$D$29,MATCH(売上入力!D6,マスター_OTA!$A$4:$A$29,0))=0,"",DATE(YEAR(売上入力!A6),MONTH(売上入力!A6)+2,IFERROR(INDEX(マスター_OTA!$G$4:$G$29,MATCH(売上入力!D6,マスター_OTA!$A$4:$A$29,0)),25)))),"")</f>
        <v>46198</v>
      </c>
      <c r="B12" s="16" t="str">
        <f>IF(売上入力!B6="","",売上入力!B6)</f>
        <v>リゾート</v>
      </c>
      <c r="C12" s="16" t="str">
        <f>IF(売上入力!C6="","",売上入力!C6)</f>
        <v>TAKAYA</v>
      </c>
      <c r="D12" s="16" t="str">
        <f>IF(売上入力!D6="","",売上入力!D6)</f>
        <v>売上</v>
      </c>
      <c r="E12" s="89">
        <f>IFERROR(IF(売上入力!E6="",0,売上入力!E6*INDEX(マスター_OTA!$D$4:$D$29,MATCH(売上入力!D6,マスター_OTA!$A$4:$A$29,0))/100),0)</f>
        <v>0</v>
      </c>
      <c r="F12" s="90">
        <f>IF(売上入力!A6="","",売上入力!A6)</f>
        <v>46113</v>
      </c>
      <c r="G12" s="16" t="s">
        <v>386</v>
      </c>
    </row>
    <row r="13" spans="1:7" ht="15" customHeight="1">
      <c r="A13" s="88">
        <f>IFERROR(IF(売上入力!A7="","",IF(INDEX(マスター_OTA!$B$4:$B$29,MATCH(売上入力!D7,マスター_OTA!$A$4:$A$29,0))=0,"",DATE(YEAR(売上入力!A7),MONTH(売上入力!A7),IFERROR(INDEX(マスター_OTA!$E$4:$E$29,MATCH(売上入力!D7,マスター_OTA!$A$4:$A$29,0)),28)))),"")</f>
        <v>46132</v>
      </c>
      <c r="B13" s="16" t="str">
        <f>IF(売上入力!B7="","",売上入力!B7)</f>
        <v>リゾート</v>
      </c>
      <c r="C13" s="16" t="str">
        <f>IF(売上入力!C7="","",売上入力!C7)</f>
        <v>VIEW</v>
      </c>
      <c r="D13" s="16" t="str">
        <f>IF(売上入力!D7="","",売上入力!D7)</f>
        <v>ホテル売上</v>
      </c>
      <c r="E13" s="89">
        <f>IFERROR(IF(売上入力!E7="",0,売上入力!E7*INDEX(マスター_OTA!$B$4:$B$29,MATCH(売上入力!D7,マスター_OTA!$A$4:$A$29,0))/100),0)</f>
        <v>0</v>
      </c>
      <c r="F13" s="90">
        <f>IF(売上入力!A7="","",売上入力!A7)</f>
        <v>46113</v>
      </c>
      <c r="G13" s="16" t="s">
        <v>384</v>
      </c>
    </row>
    <row r="14" spans="1:7" ht="15" customHeight="1">
      <c r="A14" s="88">
        <f>IFERROR(IF(売上入力!A7="","",IF(INDEX(マスター_OTA!$C$4:$C$29,MATCH(売上入力!D7,マスター_OTA!$A$4:$A$29,0))=0,"",DATE(YEAR(売上入力!A7),MONTH(売上入力!A7)+1,IFERROR(INDEX(マスター_OTA!$F$4:$F$29,MATCH(売上入力!D7,マスター_OTA!$A$4:$A$29,0)),25)))),"")</f>
        <v>46152</v>
      </c>
      <c r="B14" s="16" t="str">
        <f>IF(売上入力!B7="","",売上入力!B7)</f>
        <v>リゾート</v>
      </c>
      <c r="C14" s="16" t="str">
        <f>IF(売上入力!C7="","",売上入力!C7)</f>
        <v>VIEW</v>
      </c>
      <c r="D14" s="16" t="str">
        <f>IF(売上入力!D7="","",売上入力!D7)</f>
        <v>ホテル売上</v>
      </c>
      <c r="E14" s="89">
        <f>IFERROR(IF(売上入力!E7="",0,売上入力!E7*INDEX(マスター_OTA!$C$4:$C$29,MATCH(売上入力!D7,マスター_OTA!$A$4:$A$29,0))/100),0)</f>
        <v>0</v>
      </c>
      <c r="F14" s="90">
        <f>IF(売上入力!A7="","",売上入力!A7)</f>
        <v>46113</v>
      </c>
      <c r="G14" s="16" t="s">
        <v>385</v>
      </c>
    </row>
    <row r="15" spans="1:7" ht="15" customHeight="1">
      <c r="A15" s="88">
        <f>IFERROR(IF(売上入力!A7="","",IF(INDEX(マスター_OTA!$D$4:$D$29,MATCH(売上入力!D7,マスター_OTA!$A$4:$A$29,0))=0,"",DATE(YEAR(売上入力!A7),MONTH(売上入力!A7)+2,IFERROR(INDEX(マスター_OTA!$G$4:$G$29,MATCH(売上入力!D7,マスター_OTA!$A$4:$A$29,0)),25)))),"")</f>
        <v>46198</v>
      </c>
      <c r="B15" s="16" t="str">
        <f>IF(売上入力!B7="","",売上入力!B7)</f>
        <v>リゾート</v>
      </c>
      <c r="C15" s="16" t="str">
        <f>IF(売上入力!C7="","",売上入力!C7)</f>
        <v>VIEW</v>
      </c>
      <c r="D15" s="16" t="str">
        <f>IF(売上入力!D7="","",売上入力!D7)</f>
        <v>ホテル売上</v>
      </c>
      <c r="E15" s="89">
        <f>IFERROR(IF(売上入力!E7="",0,売上入力!E7*INDEX(マスター_OTA!$D$4:$D$29,MATCH(売上入力!D7,マスター_OTA!$A$4:$A$29,0))/100),0)</f>
        <v>0</v>
      </c>
      <c r="F15" s="90">
        <f>IF(売上入力!A7="","",売上入力!A7)</f>
        <v>46113</v>
      </c>
      <c r="G15" s="16" t="s">
        <v>386</v>
      </c>
    </row>
    <row r="16" spans="1:7" ht="15" customHeight="1">
      <c r="A16" s="88">
        <f>IFERROR(IF(売上入力!A8="","",IF(INDEX(マスター_OTA!$B$4:$B$29,MATCH(売上入力!D8,マスター_OTA!$A$4:$A$29,0))=0,"",DATE(YEAR(売上入力!A8),MONTH(売上入力!A8),IFERROR(INDEX(マスター_OTA!$E$4:$E$29,MATCH(売上入力!D8,マスター_OTA!$A$4:$A$29,0)),28)))),"")</f>
        <v>46132</v>
      </c>
      <c r="B16" s="16" t="str">
        <f>IF(売上入力!B8="","",売上入力!B8)</f>
        <v>リゾート</v>
      </c>
      <c r="C16" s="16" t="str">
        <f>IF(売上入力!C8="","",売上入力!C8)</f>
        <v>de Lune</v>
      </c>
      <c r="D16" s="16" t="str">
        <f>IF(売上入力!D8="","",売上入力!D8)</f>
        <v>ホテル売上</v>
      </c>
      <c r="E16" s="89">
        <f>IFERROR(IF(売上入力!E8="",0,売上入力!E8*INDEX(マスター_OTA!$B$4:$B$29,MATCH(売上入力!D8,マスター_OTA!$A$4:$A$29,0))/100),0)</f>
        <v>0</v>
      </c>
      <c r="F16" s="90">
        <f>IF(売上入力!A8="","",売上入力!A8)</f>
        <v>46113</v>
      </c>
      <c r="G16" s="16" t="s">
        <v>384</v>
      </c>
    </row>
    <row r="17" spans="1:7" ht="15" customHeight="1">
      <c r="A17" s="88">
        <f>IFERROR(IF(売上入力!A8="","",IF(INDEX(マスター_OTA!$C$4:$C$29,MATCH(売上入力!D8,マスター_OTA!$A$4:$A$29,0))=0,"",DATE(YEAR(売上入力!A8),MONTH(売上入力!A8)+1,IFERROR(INDEX(マスター_OTA!$F$4:$F$29,MATCH(売上入力!D8,マスター_OTA!$A$4:$A$29,0)),25)))),"")</f>
        <v>46152</v>
      </c>
      <c r="B17" s="16" t="str">
        <f>IF(売上入力!B8="","",売上入力!B8)</f>
        <v>リゾート</v>
      </c>
      <c r="C17" s="16" t="str">
        <f>IF(売上入力!C8="","",売上入力!C8)</f>
        <v>de Lune</v>
      </c>
      <c r="D17" s="16" t="str">
        <f>IF(売上入力!D8="","",売上入力!D8)</f>
        <v>ホテル売上</v>
      </c>
      <c r="E17" s="89">
        <f>IFERROR(IF(売上入力!E8="",0,売上入力!E8*INDEX(マスター_OTA!$C$4:$C$29,MATCH(売上入力!D8,マスター_OTA!$A$4:$A$29,0))/100),0)</f>
        <v>0</v>
      </c>
      <c r="F17" s="90">
        <f>IF(売上入力!A8="","",売上入力!A8)</f>
        <v>46113</v>
      </c>
      <c r="G17" s="16" t="s">
        <v>385</v>
      </c>
    </row>
    <row r="18" spans="1:7" ht="15" customHeight="1">
      <c r="A18" s="88">
        <f>IFERROR(IF(売上入力!A8="","",IF(INDEX(マスター_OTA!$D$4:$D$29,MATCH(売上入力!D8,マスター_OTA!$A$4:$A$29,0))=0,"",DATE(YEAR(売上入力!A8),MONTH(売上入力!A8)+2,IFERROR(INDEX(マスター_OTA!$G$4:$G$29,MATCH(売上入力!D8,マスター_OTA!$A$4:$A$29,0)),25)))),"")</f>
        <v>46198</v>
      </c>
      <c r="B18" s="16" t="str">
        <f>IF(売上入力!B8="","",売上入力!B8)</f>
        <v>リゾート</v>
      </c>
      <c r="C18" s="16" t="str">
        <f>IF(売上入力!C8="","",売上入力!C8)</f>
        <v>de Lune</v>
      </c>
      <c r="D18" s="16" t="str">
        <f>IF(売上入力!D8="","",売上入力!D8)</f>
        <v>ホテル売上</v>
      </c>
      <c r="E18" s="89">
        <f>IFERROR(IF(売上入力!E8="",0,売上入力!E8*INDEX(マスター_OTA!$D$4:$D$29,MATCH(売上入力!D8,マスター_OTA!$A$4:$A$29,0))/100),0)</f>
        <v>0</v>
      </c>
      <c r="F18" s="90">
        <f>IF(売上入力!A8="","",売上入力!A8)</f>
        <v>46113</v>
      </c>
      <c r="G18" s="16" t="s">
        <v>386</v>
      </c>
    </row>
    <row r="19" spans="1:7" ht="15" customHeight="1">
      <c r="A19" s="88">
        <f>IFERROR(IF(売上入力!A9="","",IF(INDEX(マスター_OTA!$B$4:$B$29,MATCH(売上入力!D9,マスター_OTA!$A$4:$A$29,0))=0,"",DATE(YEAR(売上入力!A9),MONTH(売上入力!A9),IFERROR(INDEX(マスター_OTA!$E$4:$E$29,MATCH(売上入力!D9,マスター_OTA!$A$4:$A$29,0)),28)))),"")</f>
        <v>46132</v>
      </c>
      <c r="B19" s="16" t="str">
        <f>IF(売上入力!B9="","",売上入力!B9)</f>
        <v>リゾート</v>
      </c>
      <c r="C19" s="16" t="str">
        <f>IF(売上入力!C9="","",売上入力!C9)</f>
        <v>いこいの村</v>
      </c>
      <c r="D19" s="16" t="str">
        <f>IF(売上入力!D9="","",売上入力!D9)</f>
        <v>ホテル売上</v>
      </c>
      <c r="E19" s="89">
        <f>IFERROR(IF(売上入力!E9="",0,売上入力!E9*INDEX(マスター_OTA!$B$4:$B$29,MATCH(売上入力!D9,マスター_OTA!$A$4:$A$29,0))/100),0)</f>
        <v>0</v>
      </c>
      <c r="F19" s="90">
        <f>IF(売上入力!A9="","",売上入力!A9)</f>
        <v>46113</v>
      </c>
      <c r="G19" s="16" t="s">
        <v>384</v>
      </c>
    </row>
    <row r="20" spans="1:7" ht="15" customHeight="1">
      <c r="A20" s="88">
        <f>IFERROR(IF(売上入力!A9="","",IF(INDEX(マスター_OTA!$C$4:$C$29,MATCH(売上入力!D9,マスター_OTA!$A$4:$A$29,0))=0,"",DATE(YEAR(売上入力!A9),MONTH(売上入力!A9)+1,IFERROR(INDEX(マスター_OTA!$F$4:$F$29,MATCH(売上入力!D9,マスター_OTA!$A$4:$A$29,0)),25)))),"")</f>
        <v>46152</v>
      </c>
      <c r="B20" s="16" t="str">
        <f>IF(売上入力!B9="","",売上入力!B9)</f>
        <v>リゾート</v>
      </c>
      <c r="C20" s="16" t="str">
        <f>IF(売上入力!C9="","",売上入力!C9)</f>
        <v>いこいの村</v>
      </c>
      <c r="D20" s="16" t="str">
        <f>IF(売上入力!D9="","",売上入力!D9)</f>
        <v>ホテル売上</v>
      </c>
      <c r="E20" s="89">
        <f>IFERROR(IF(売上入力!E9="",0,売上入力!E9*INDEX(マスター_OTA!$C$4:$C$29,MATCH(売上入力!D9,マスター_OTA!$A$4:$A$29,0))/100),0)</f>
        <v>0</v>
      </c>
      <c r="F20" s="90">
        <f>IF(売上入力!A9="","",売上入力!A9)</f>
        <v>46113</v>
      </c>
      <c r="G20" s="16" t="s">
        <v>385</v>
      </c>
    </row>
    <row r="21" spans="1:7" ht="15" customHeight="1">
      <c r="A21" s="88">
        <f>IFERROR(IF(売上入力!A9="","",IF(INDEX(マスター_OTA!$D$4:$D$29,MATCH(売上入力!D9,マスター_OTA!$A$4:$A$29,0))=0,"",DATE(YEAR(売上入力!A9),MONTH(売上入力!A9)+2,IFERROR(INDEX(マスター_OTA!$G$4:$G$29,MATCH(売上入力!D9,マスター_OTA!$A$4:$A$29,0)),25)))),"")</f>
        <v>46198</v>
      </c>
      <c r="B21" s="16" t="str">
        <f>IF(売上入力!B9="","",売上入力!B9)</f>
        <v>リゾート</v>
      </c>
      <c r="C21" s="16" t="str">
        <f>IF(売上入力!C9="","",売上入力!C9)</f>
        <v>いこいの村</v>
      </c>
      <c r="D21" s="16" t="str">
        <f>IF(売上入力!D9="","",売上入力!D9)</f>
        <v>ホテル売上</v>
      </c>
      <c r="E21" s="89">
        <f>IFERROR(IF(売上入力!E9="",0,売上入力!E9*INDEX(マスター_OTA!$D$4:$D$29,MATCH(売上入力!D9,マスター_OTA!$A$4:$A$29,0))/100),0)</f>
        <v>0</v>
      </c>
      <c r="F21" s="90">
        <f>IF(売上入力!A9="","",売上入力!A9)</f>
        <v>46113</v>
      </c>
      <c r="G21" s="16" t="s">
        <v>386</v>
      </c>
    </row>
    <row r="22" spans="1:7" ht="15" customHeight="1">
      <c r="A22" s="88">
        <f>IFERROR(IF(売上入力!A10="","",IF(INDEX(マスター_OTA!$B$4:$B$29,MATCH(売上入力!D10,マスター_OTA!$A$4:$A$29,0))=0,"",DATE(YEAR(売上入力!A10),MONTH(売上入力!A10),IFERROR(INDEX(マスター_OTA!$E$4:$E$29,MATCH(売上入力!D10,マスター_OTA!$A$4:$A$29,0)),28)))),"")</f>
        <v>46132</v>
      </c>
      <c r="B22" s="16" t="str">
        <f>IF(売上入力!B10="","",売上入力!B10)</f>
        <v>リゾート</v>
      </c>
      <c r="C22" s="16" t="str">
        <f>IF(売上入力!C10="","",売上入力!C10)</f>
        <v>グリーンシャワー</v>
      </c>
      <c r="D22" s="16" t="str">
        <f>IF(売上入力!D10="","",売上入力!D10)</f>
        <v>売上</v>
      </c>
      <c r="E22" s="89">
        <f>IFERROR(IF(売上入力!E10="",0,売上入力!E10*INDEX(マスター_OTA!$B$4:$B$29,MATCH(売上入力!D10,マスター_OTA!$A$4:$A$29,0))/100),0)</f>
        <v>0</v>
      </c>
      <c r="F22" s="90">
        <f>IF(売上入力!A10="","",売上入力!A10)</f>
        <v>46113</v>
      </c>
      <c r="G22" s="16" t="s">
        <v>384</v>
      </c>
    </row>
    <row r="23" spans="1:7" ht="15" customHeight="1">
      <c r="A23" s="88">
        <f>IFERROR(IF(売上入力!A10="","",IF(INDEX(マスター_OTA!$C$4:$C$29,MATCH(売上入力!D10,マスター_OTA!$A$4:$A$29,0))=0,"",DATE(YEAR(売上入力!A10),MONTH(売上入力!A10)+1,IFERROR(INDEX(マスター_OTA!$F$4:$F$29,MATCH(売上入力!D10,マスター_OTA!$A$4:$A$29,0)),25)))),"")</f>
        <v>46152</v>
      </c>
      <c r="B23" s="16" t="str">
        <f>IF(売上入力!B10="","",売上入力!B10)</f>
        <v>リゾート</v>
      </c>
      <c r="C23" s="16" t="str">
        <f>IF(売上入力!C10="","",売上入力!C10)</f>
        <v>グリーンシャワー</v>
      </c>
      <c r="D23" s="16" t="str">
        <f>IF(売上入力!D10="","",売上入力!D10)</f>
        <v>売上</v>
      </c>
      <c r="E23" s="89">
        <f>IFERROR(IF(売上入力!E10="",0,売上入力!E10*INDEX(マスター_OTA!$C$4:$C$29,MATCH(売上入力!D10,マスター_OTA!$A$4:$A$29,0))/100),0)</f>
        <v>0</v>
      </c>
      <c r="F23" s="90">
        <f>IF(売上入力!A10="","",売上入力!A10)</f>
        <v>46113</v>
      </c>
      <c r="G23" s="16" t="s">
        <v>385</v>
      </c>
    </row>
    <row r="24" spans="1:7" ht="15" customHeight="1">
      <c r="A24" s="88">
        <f>IFERROR(IF(売上入力!A10="","",IF(INDEX(マスター_OTA!$D$4:$D$29,MATCH(売上入力!D10,マスター_OTA!$A$4:$A$29,0))=0,"",DATE(YEAR(売上入力!A10),MONTH(売上入力!A10)+2,IFERROR(INDEX(マスター_OTA!$G$4:$G$29,MATCH(売上入力!D10,マスター_OTA!$A$4:$A$29,0)),25)))),"")</f>
        <v>46198</v>
      </c>
      <c r="B24" s="16" t="str">
        <f>IF(売上入力!B10="","",売上入力!B10)</f>
        <v>リゾート</v>
      </c>
      <c r="C24" s="16" t="str">
        <f>IF(売上入力!C10="","",売上入力!C10)</f>
        <v>グリーンシャワー</v>
      </c>
      <c r="D24" s="16" t="str">
        <f>IF(売上入力!D10="","",売上入力!D10)</f>
        <v>売上</v>
      </c>
      <c r="E24" s="89">
        <f>IFERROR(IF(売上入力!E10="",0,売上入力!E10*INDEX(マスター_OTA!$D$4:$D$29,MATCH(売上入力!D10,マスター_OTA!$A$4:$A$29,0))/100),0)</f>
        <v>0</v>
      </c>
      <c r="F24" s="90">
        <f>IF(売上入力!A10="","",売上入力!A10)</f>
        <v>46113</v>
      </c>
      <c r="G24" s="16" t="s">
        <v>386</v>
      </c>
    </row>
    <row r="25" spans="1:7" ht="15" customHeight="1">
      <c r="A25" s="88">
        <f>IFERROR(IF(売上入力!A11="","",IF(INDEX(マスター_OTA!$B$4:$B$29,MATCH(売上入力!D11,マスター_OTA!$A$4:$A$29,0))=0,"",DATE(YEAR(売上入力!A11),MONTH(売上入力!A11),IFERROR(INDEX(マスター_OTA!$E$4:$E$29,MATCH(売上入力!D11,マスター_OTA!$A$4:$A$29,0)),28)))),"")</f>
        <v>46132</v>
      </c>
      <c r="B25" s="16" t="str">
        <f>IF(売上入力!B11="","",売上入力!B11)</f>
        <v>リゾート</v>
      </c>
      <c r="C25" s="16" t="str">
        <f>IF(売上入力!C11="","",売上入力!C11)</f>
        <v>フォレストヒルズガーデン</v>
      </c>
      <c r="D25" s="16" t="str">
        <f>IF(売上入力!D11="","",売上入力!D11)</f>
        <v>売上</v>
      </c>
      <c r="E25" s="89">
        <f>IFERROR(IF(売上入力!E11="",0,売上入力!E11*INDEX(マスター_OTA!$B$4:$B$29,MATCH(売上入力!D11,マスター_OTA!$A$4:$A$29,0))/100),0)</f>
        <v>0</v>
      </c>
      <c r="F25" s="90">
        <f>IF(売上入力!A11="","",売上入力!A11)</f>
        <v>46113</v>
      </c>
      <c r="G25" s="16" t="s">
        <v>384</v>
      </c>
    </row>
    <row r="26" spans="1:7" ht="15" customHeight="1">
      <c r="A26" s="88">
        <f>IFERROR(IF(売上入力!A11="","",IF(INDEX(マスター_OTA!$C$4:$C$29,MATCH(売上入力!D11,マスター_OTA!$A$4:$A$29,0))=0,"",DATE(YEAR(売上入力!A11),MONTH(売上入力!A11)+1,IFERROR(INDEX(マスター_OTA!$F$4:$F$29,MATCH(売上入力!D11,マスター_OTA!$A$4:$A$29,0)),25)))),"")</f>
        <v>46152</v>
      </c>
      <c r="B26" s="16" t="str">
        <f>IF(売上入力!B11="","",売上入力!B11)</f>
        <v>リゾート</v>
      </c>
      <c r="C26" s="16" t="str">
        <f>IF(売上入力!C11="","",売上入力!C11)</f>
        <v>フォレストヒルズガーデン</v>
      </c>
      <c r="D26" s="16" t="str">
        <f>IF(売上入力!D11="","",売上入力!D11)</f>
        <v>売上</v>
      </c>
      <c r="E26" s="89">
        <f>IFERROR(IF(売上入力!E11="",0,売上入力!E11*INDEX(マスター_OTA!$C$4:$C$29,MATCH(売上入力!D11,マスター_OTA!$A$4:$A$29,0))/100),0)</f>
        <v>0</v>
      </c>
      <c r="F26" s="90">
        <f>IF(売上入力!A11="","",売上入力!A11)</f>
        <v>46113</v>
      </c>
      <c r="G26" s="16" t="s">
        <v>385</v>
      </c>
    </row>
    <row r="27" spans="1:7" ht="15" customHeight="1">
      <c r="A27" s="88">
        <f>IFERROR(IF(売上入力!A11="","",IF(INDEX(マスター_OTA!$D$4:$D$29,MATCH(売上入力!D11,マスター_OTA!$A$4:$A$29,0))=0,"",DATE(YEAR(売上入力!A11),MONTH(売上入力!A11)+2,IFERROR(INDEX(マスター_OTA!$G$4:$G$29,MATCH(売上入力!D11,マスター_OTA!$A$4:$A$29,0)),25)))),"")</f>
        <v>46198</v>
      </c>
      <c r="B27" s="16" t="str">
        <f>IF(売上入力!B11="","",売上入力!B11)</f>
        <v>リゾート</v>
      </c>
      <c r="C27" s="16" t="str">
        <f>IF(売上入力!C11="","",売上入力!C11)</f>
        <v>フォレストヒルズガーデン</v>
      </c>
      <c r="D27" s="16" t="str">
        <f>IF(売上入力!D11="","",売上入力!D11)</f>
        <v>売上</v>
      </c>
      <c r="E27" s="89">
        <f>IFERROR(IF(売上入力!E11="",0,売上入力!E11*INDEX(マスター_OTA!$D$4:$D$29,MATCH(売上入力!D11,マスター_OTA!$A$4:$A$29,0))/100),0)</f>
        <v>0</v>
      </c>
      <c r="F27" s="90">
        <f>IF(売上入力!A11="","",売上入力!A11)</f>
        <v>46113</v>
      </c>
      <c r="G27" s="16" t="s">
        <v>386</v>
      </c>
    </row>
    <row r="28" spans="1:7" ht="15" customHeight="1">
      <c r="A28" s="88">
        <f>IFERROR(IF(売上入力!A12="","",IF(INDEX(マスター_OTA!$B$4:$B$29,MATCH(売上入力!D12,マスター_OTA!$A$4:$A$29,0))=0,"",DATE(YEAR(売上入力!A12),MONTH(売上入力!A12),IFERROR(INDEX(マスター_OTA!$E$4:$E$29,MATCH(売上入力!D12,マスター_OTA!$A$4:$A$29,0)),28)))),"")</f>
        <v>46132</v>
      </c>
      <c r="B28" s="16" t="str">
        <f>IF(売上入力!B12="","",売上入力!B12)</f>
        <v>リゾート</v>
      </c>
      <c r="C28" s="16" t="str">
        <f>IF(売上入力!C12="","",売上入力!C12)</f>
        <v>壱番館</v>
      </c>
      <c r="D28" s="16" t="str">
        <f>IF(売上入力!D12="","",売上入力!D12)</f>
        <v>売上</v>
      </c>
      <c r="E28" s="89">
        <f>IFERROR(IF(売上入力!E12="",0,売上入力!E12*INDEX(マスター_OTA!$B$4:$B$29,MATCH(売上入力!D12,マスター_OTA!$A$4:$A$29,0))/100),0)</f>
        <v>0</v>
      </c>
      <c r="F28" s="90">
        <f>IF(売上入力!A12="","",売上入力!A12)</f>
        <v>46113</v>
      </c>
      <c r="G28" s="16" t="s">
        <v>384</v>
      </c>
    </row>
    <row r="29" spans="1:7" ht="15" customHeight="1">
      <c r="A29" s="88">
        <f>IFERROR(IF(売上入力!A12="","",IF(INDEX(マスター_OTA!$C$4:$C$29,MATCH(売上入力!D12,マスター_OTA!$A$4:$A$29,0))=0,"",DATE(YEAR(売上入力!A12),MONTH(売上入力!A12)+1,IFERROR(INDEX(マスター_OTA!$F$4:$F$29,MATCH(売上入力!D12,マスター_OTA!$A$4:$A$29,0)),25)))),"")</f>
        <v>46152</v>
      </c>
      <c r="B29" s="16" t="str">
        <f>IF(売上入力!B12="","",売上入力!B12)</f>
        <v>リゾート</v>
      </c>
      <c r="C29" s="16" t="str">
        <f>IF(売上入力!C12="","",売上入力!C12)</f>
        <v>壱番館</v>
      </c>
      <c r="D29" s="16" t="str">
        <f>IF(売上入力!D12="","",売上入力!D12)</f>
        <v>売上</v>
      </c>
      <c r="E29" s="89">
        <f>IFERROR(IF(売上入力!E12="",0,売上入力!E12*INDEX(マスター_OTA!$C$4:$C$29,MATCH(売上入力!D12,マスター_OTA!$A$4:$A$29,0))/100),0)</f>
        <v>0</v>
      </c>
      <c r="F29" s="90">
        <f>IF(売上入力!A12="","",売上入力!A12)</f>
        <v>46113</v>
      </c>
      <c r="G29" s="16" t="s">
        <v>385</v>
      </c>
    </row>
    <row r="30" spans="1:7" ht="15" customHeight="1">
      <c r="A30" s="88">
        <f>IFERROR(IF(売上入力!A12="","",IF(INDEX(マスター_OTA!$D$4:$D$29,MATCH(売上入力!D12,マスター_OTA!$A$4:$A$29,0))=0,"",DATE(YEAR(売上入力!A12),MONTH(売上入力!A12)+2,IFERROR(INDEX(マスター_OTA!$G$4:$G$29,MATCH(売上入力!D12,マスター_OTA!$A$4:$A$29,0)),25)))),"")</f>
        <v>46198</v>
      </c>
      <c r="B30" s="16" t="str">
        <f>IF(売上入力!B12="","",売上入力!B12)</f>
        <v>リゾート</v>
      </c>
      <c r="C30" s="16" t="str">
        <f>IF(売上入力!C12="","",売上入力!C12)</f>
        <v>壱番館</v>
      </c>
      <c r="D30" s="16" t="str">
        <f>IF(売上入力!D12="","",売上入力!D12)</f>
        <v>売上</v>
      </c>
      <c r="E30" s="89">
        <f>IFERROR(IF(売上入力!E12="",0,売上入力!E12*INDEX(マスター_OTA!$D$4:$D$29,MATCH(売上入力!D12,マスター_OTA!$A$4:$A$29,0))/100),0)</f>
        <v>0</v>
      </c>
      <c r="F30" s="90">
        <f>IF(売上入力!A12="","",売上入力!A12)</f>
        <v>46113</v>
      </c>
      <c r="G30" s="16" t="s">
        <v>386</v>
      </c>
    </row>
    <row r="31" spans="1:7" ht="15" customHeight="1">
      <c r="A31" s="88">
        <f>IFERROR(IF(売上入力!A13="","",IF(INDEX(マスター_OTA!$B$4:$B$29,MATCH(売上入力!D13,マスター_OTA!$A$4:$A$29,0))=0,"",DATE(YEAR(売上入力!A13),MONTH(売上入力!A13),IFERROR(INDEX(マスター_OTA!$E$4:$E$29,MATCH(売上入力!D13,マスター_OTA!$A$4:$A$29,0)),28)))),"")</f>
        <v>46132</v>
      </c>
      <c r="B31" s="16" t="str">
        <f>IF(売上入力!B13="","",売上入力!B13)</f>
        <v>リゾート</v>
      </c>
      <c r="C31" s="16" t="str">
        <f>IF(売上入力!C13="","",売上入力!C13)</f>
        <v>天神</v>
      </c>
      <c r="D31" s="16" t="str">
        <f>IF(売上入力!D13="","",売上入力!D13)</f>
        <v>ホテル売上</v>
      </c>
      <c r="E31" s="89">
        <f>IFERROR(IF(売上入力!E13="",0,売上入力!E13*INDEX(マスター_OTA!$B$4:$B$29,MATCH(売上入力!D13,マスター_OTA!$A$4:$A$29,0))/100),0)</f>
        <v>0</v>
      </c>
      <c r="F31" s="90">
        <f>IF(売上入力!A13="","",売上入力!A13)</f>
        <v>46113</v>
      </c>
      <c r="G31" s="16" t="s">
        <v>384</v>
      </c>
    </row>
    <row r="32" spans="1:7" ht="15" customHeight="1">
      <c r="A32" s="88">
        <f>IFERROR(IF(売上入力!A13="","",IF(INDEX(マスター_OTA!$C$4:$C$29,MATCH(売上入力!D13,マスター_OTA!$A$4:$A$29,0))=0,"",DATE(YEAR(売上入力!A13),MONTH(売上入力!A13)+1,IFERROR(INDEX(マスター_OTA!$F$4:$F$29,MATCH(売上入力!D13,マスター_OTA!$A$4:$A$29,0)),25)))),"")</f>
        <v>46152</v>
      </c>
      <c r="B32" s="16" t="str">
        <f>IF(売上入力!B13="","",売上入力!B13)</f>
        <v>リゾート</v>
      </c>
      <c r="C32" s="16" t="str">
        <f>IF(売上入力!C13="","",売上入力!C13)</f>
        <v>天神</v>
      </c>
      <c r="D32" s="16" t="str">
        <f>IF(売上入力!D13="","",売上入力!D13)</f>
        <v>ホテル売上</v>
      </c>
      <c r="E32" s="89">
        <f>IFERROR(IF(売上入力!E13="",0,売上入力!E13*INDEX(マスター_OTA!$C$4:$C$29,MATCH(売上入力!D13,マスター_OTA!$A$4:$A$29,0))/100),0)</f>
        <v>0</v>
      </c>
      <c r="F32" s="90">
        <f>IF(売上入力!A13="","",売上入力!A13)</f>
        <v>46113</v>
      </c>
      <c r="G32" s="16" t="s">
        <v>385</v>
      </c>
    </row>
    <row r="33" spans="1:7" ht="15" customHeight="1">
      <c r="A33" s="88">
        <f>IFERROR(IF(売上入力!A13="","",IF(INDEX(マスター_OTA!$D$4:$D$29,MATCH(売上入力!D13,マスター_OTA!$A$4:$A$29,0))=0,"",DATE(YEAR(売上入力!A13),MONTH(売上入力!A13)+2,IFERROR(INDEX(マスター_OTA!$G$4:$G$29,MATCH(売上入力!D13,マスター_OTA!$A$4:$A$29,0)),25)))),"")</f>
        <v>46198</v>
      </c>
      <c r="B33" s="16" t="str">
        <f>IF(売上入力!B13="","",売上入力!B13)</f>
        <v>リゾート</v>
      </c>
      <c r="C33" s="16" t="str">
        <f>IF(売上入力!C13="","",売上入力!C13)</f>
        <v>天神</v>
      </c>
      <c r="D33" s="16" t="str">
        <f>IF(売上入力!D13="","",売上入力!D13)</f>
        <v>ホテル売上</v>
      </c>
      <c r="E33" s="89">
        <f>IFERROR(IF(売上入力!E13="",0,売上入力!E13*INDEX(マスター_OTA!$D$4:$D$29,MATCH(売上入力!D13,マスター_OTA!$A$4:$A$29,0))/100),0)</f>
        <v>0</v>
      </c>
      <c r="F33" s="90">
        <f>IF(売上入力!A13="","",売上入力!A13)</f>
        <v>46113</v>
      </c>
      <c r="G33" s="16" t="s">
        <v>386</v>
      </c>
    </row>
    <row r="34" spans="1:7" ht="15" customHeight="1">
      <c r="A34" s="88">
        <f>IFERROR(IF(売上入力!A14="","",IF(INDEX(マスター_OTA!$B$4:$B$29,MATCH(売上入力!D14,マスター_OTA!$A$4:$A$29,0))=0,"",DATE(YEAR(売上入力!A14),MONTH(売上入力!A14),IFERROR(INDEX(マスター_OTA!$E$4:$E$29,MATCH(売上入力!D14,マスター_OTA!$A$4:$A$29,0)),28)))),"")</f>
        <v>46132</v>
      </c>
      <c r="B34" s="16" t="str">
        <f>IF(売上入力!B14="","",売上入力!B14)</f>
        <v>リゾート</v>
      </c>
      <c r="C34" s="16" t="str">
        <f>IF(売上入力!C14="","",売上入力!C14)</f>
        <v>弐番館</v>
      </c>
      <c r="D34" s="16" t="str">
        <f>IF(売上入力!D14="","",売上入力!D14)</f>
        <v>売上</v>
      </c>
      <c r="E34" s="89">
        <f>IFERROR(IF(売上入力!E14="",0,売上入力!E14*INDEX(マスター_OTA!$B$4:$B$29,MATCH(売上入力!D14,マスター_OTA!$A$4:$A$29,0))/100),0)</f>
        <v>0</v>
      </c>
      <c r="F34" s="90">
        <f>IF(売上入力!A14="","",売上入力!A14)</f>
        <v>46113</v>
      </c>
      <c r="G34" s="16" t="s">
        <v>384</v>
      </c>
    </row>
    <row r="35" spans="1:7" ht="15" customHeight="1">
      <c r="A35" s="88">
        <f>IFERROR(IF(売上入力!A14="","",IF(INDEX(マスター_OTA!$C$4:$C$29,MATCH(売上入力!D14,マスター_OTA!$A$4:$A$29,0))=0,"",DATE(YEAR(売上入力!A14),MONTH(売上入力!A14)+1,IFERROR(INDEX(マスター_OTA!$F$4:$F$29,MATCH(売上入力!D14,マスター_OTA!$A$4:$A$29,0)),25)))),"")</f>
        <v>46152</v>
      </c>
      <c r="B35" s="16" t="str">
        <f>IF(売上入力!B14="","",売上入力!B14)</f>
        <v>リゾート</v>
      </c>
      <c r="C35" s="16" t="str">
        <f>IF(売上入力!C14="","",売上入力!C14)</f>
        <v>弐番館</v>
      </c>
      <c r="D35" s="16" t="str">
        <f>IF(売上入力!D14="","",売上入力!D14)</f>
        <v>売上</v>
      </c>
      <c r="E35" s="89">
        <f>IFERROR(IF(売上入力!E14="",0,売上入力!E14*INDEX(マスター_OTA!$C$4:$C$29,MATCH(売上入力!D14,マスター_OTA!$A$4:$A$29,0))/100),0)</f>
        <v>0</v>
      </c>
      <c r="F35" s="90">
        <f>IF(売上入力!A14="","",売上入力!A14)</f>
        <v>46113</v>
      </c>
      <c r="G35" s="16" t="s">
        <v>385</v>
      </c>
    </row>
    <row r="36" spans="1:7" ht="15" customHeight="1">
      <c r="A36" s="88">
        <f>IFERROR(IF(売上入力!A14="","",IF(INDEX(マスター_OTA!$D$4:$D$29,MATCH(売上入力!D14,マスター_OTA!$A$4:$A$29,0))=0,"",DATE(YEAR(売上入力!A14),MONTH(売上入力!A14)+2,IFERROR(INDEX(マスター_OTA!$G$4:$G$29,MATCH(売上入力!D14,マスター_OTA!$A$4:$A$29,0)),25)))),"")</f>
        <v>46198</v>
      </c>
      <c r="B36" s="16" t="str">
        <f>IF(売上入力!B14="","",売上入力!B14)</f>
        <v>リゾート</v>
      </c>
      <c r="C36" s="16" t="str">
        <f>IF(売上入力!C14="","",売上入力!C14)</f>
        <v>弐番館</v>
      </c>
      <c r="D36" s="16" t="str">
        <f>IF(売上入力!D14="","",売上入力!D14)</f>
        <v>売上</v>
      </c>
      <c r="E36" s="89">
        <f>IFERROR(IF(売上入力!E14="",0,売上入力!E14*INDEX(マスター_OTA!$D$4:$D$29,MATCH(売上入力!D14,マスター_OTA!$A$4:$A$29,0))/100),0)</f>
        <v>0</v>
      </c>
      <c r="F36" s="90">
        <f>IF(売上入力!A14="","",売上入力!A14)</f>
        <v>46113</v>
      </c>
      <c r="G36" s="16" t="s">
        <v>386</v>
      </c>
    </row>
    <row r="37" spans="1:7" ht="15" customHeight="1">
      <c r="A37" s="88">
        <f>IFERROR(IF(売上入力!A15="","",IF(INDEX(マスター_OTA!$B$4:$B$29,MATCH(売上入力!D15,マスター_OTA!$A$4:$A$29,0))=0,"",DATE(YEAR(売上入力!A15),MONTH(売上入力!A15),IFERROR(INDEX(マスター_OTA!$E$4:$E$29,MATCH(売上入力!D15,マスター_OTA!$A$4:$A$29,0)),28)))),"")</f>
        <v>46132</v>
      </c>
      <c r="B37" s="16" t="str">
        <f>IF(売上入力!B15="","",売上入力!B15)</f>
        <v>モーテル</v>
      </c>
      <c r="C37" s="16" t="str">
        <f>IF(売上入力!C15="","",売上入力!C15)</f>
        <v>弥山</v>
      </c>
      <c r="D37" s="16" t="str">
        <f>IF(売上入力!D15="","",売上入力!D15)</f>
        <v>ホテル売上</v>
      </c>
      <c r="E37" s="89">
        <f>IFERROR(IF(売上入力!E15="",0,売上入力!E15*INDEX(マスター_OTA!$B$4:$B$29,MATCH(売上入力!D15,マスター_OTA!$A$4:$A$29,0))/100),0)</f>
        <v>0</v>
      </c>
      <c r="F37" s="90">
        <f>IF(売上入力!A15="","",売上入力!A15)</f>
        <v>46113</v>
      </c>
      <c r="G37" s="16" t="s">
        <v>384</v>
      </c>
    </row>
    <row r="38" spans="1:7" ht="15" customHeight="1">
      <c r="A38" s="88">
        <f>IFERROR(IF(売上入力!A15="","",IF(INDEX(マスター_OTA!$C$4:$C$29,MATCH(売上入力!D15,マスター_OTA!$A$4:$A$29,0))=0,"",DATE(YEAR(売上入力!A15),MONTH(売上入力!A15)+1,IFERROR(INDEX(マスター_OTA!$F$4:$F$29,MATCH(売上入力!D15,マスター_OTA!$A$4:$A$29,0)),25)))),"")</f>
        <v>46152</v>
      </c>
      <c r="B38" s="16" t="str">
        <f>IF(売上入力!B15="","",売上入力!B15)</f>
        <v>モーテル</v>
      </c>
      <c r="C38" s="16" t="str">
        <f>IF(売上入力!C15="","",売上入力!C15)</f>
        <v>弥山</v>
      </c>
      <c r="D38" s="16" t="str">
        <f>IF(売上入力!D15="","",売上入力!D15)</f>
        <v>ホテル売上</v>
      </c>
      <c r="E38" s="89">
        <f>IFERROR(IF(売上入力!E15="",0,売上入力!E15*INDEX(マスター_OTA!$C$4:$C$29,MATCH(売上入力!D15,マスター_OTA!$A$4:$A$29,0))/100),0)</f>
        <v>0</v>
      </c>
      <c r="F38" s="90">
        <f>IF(売上入力!A15="","",売上入力!A15)</f>
        <v>46113</v>
      </c>
      <c r="G38" s="16" t="s">
        <v>385</v>
      </c>
    </row>
    <row r="39" spans="1:7" ht="15" customHeight="1">
      <c r="A39" s="88">
        <f>IFERROR(IF(売上入力!A15="","",IF(INDEX(マスター_OTA!$D$4:$D$29,MATCH(売上入力!D15,マスター_OTA!$A$4:$A$29,0))=0,"",DATE(YEAR(売上入力!A15),MONTH(売上入力!A15)+2,IFERROR(INDEX(マスター_OTA!$G$4:$G$29,MATCH(売上入力!D15,マスター_OTA!$A$4:$A$29,0)),25)))),"")</f>
        <v>46198</v>
      </c>
      <c r="B39" s="16" t="str">
        <f>IF(売上入力!B15="","",売上入力!B15)</f>
        <v>モーテル</v>
      </c>
      <c r="C39" s="16" t="str">
        <f>IF(売上入力!C15="","",売上入力!C15)</f>
        <v>弥山</v>
      </c>
      <c r="D39" s="16" t="str">
        <f>IF(売上入力!D15="","",売上入力!D15)</f>
        <v>ホテル売上</v>
      </c>
      <c r="E39" s="89">
        <f>IFERROR(IF(売上入力!E15="",0,売上入力!E15*INDEX(マスター_OTA!$D$4:$D$29,MATCH(売上入力!D15,マスター_OTA!$A$4:$A$29,0))/100),0)</f>
        <v>0</v>
      </c>
      <c r="F39" s="90">
        <f>IF(売上入力!A15="","",売上入力!A15)</f>
        <v>46113</v>
      </c>
      <c r="G39" s="16" t="s">
        <v>386</v>
      </c>
    </row>
    <row r="40" spans="1:7" ht="15" customHeight="1">
      <c r="A40" s="88">
        <f>IFERROR(IF(売上入力!A16="","",IF(INDEX(マスター_OTA!$B$4:$B$29,MATCH(売上入力!D16,マスター_OTA!$A$4:$A$29,0))=0,"",DATE(YEAR(売上入力!A16),MONTH(売上入力!A16),IFERROR(INDEX(マスター_OTA!$E$4:$E$29,MATCH(売上入力!D16,マスター_OTA!$A$4:$A$29,0)),28)))),"")</f>
        <v>46132</v>
      </c>
      <c r="B40" s="16" t="str">
        <f>IF(売上入力!B16="","",売上入力!B16)</f>
        <v>リゾート</v>
      </c>
      <c r="C40" s="16" t="str">
        <f>IF(売上入力!C16="","",売上入力!C16)</f>
        <v>本川</v>
      </c>
      <c r="D40" s="16" t="str">
        <f>IF(売上入力!D16="","",売上入力!D16)</f>
        <v>ホテル売上</v>
      </c>
      <c r="E40" s="89">
        <f>IFERROR(IF(売上入力!E16="",0,売上入力!E16*INDEX(マスター_OTA!$B$4:$B$29,MATCH(売上入力!D16,マスター_OTA!$A$4:$A$29,0))/100),0)</f>
        <v>0</v>
      </c>
      <c r="F40" s="90">
        <f>IF(売上入力!A16="","",売上入力!A16)</f>
        <v>46113</v>
      </c>
      <c r="G40" s="16" t="s">
        <v>384</v>
      </c>
    </row>
    <row r="41" spans="1:7" ht="15" customHeight="1">
      <c r="A41" s="88">
        <f>IFERROR(IF(売上入力!A16="","",IF(INDEX(マスター_OTA!$C$4:$C$29,MATCH(売上入力!D16,マスター_OTA!$A$4:$A$29,0))=0,"",DATE(YEAR(売上入力!A16),MONTH(売上入力!A16)+1,IFERROR(INDEX(マスター_OTA!$F$4:$F$29,MATCH(売上入力!D16,マスター_OTA!$A$4:$A$29,0)),25)))),"")</f>
        <v>46152</v>
      </c>
      <c r="B41" s="16" t="str">
        <f>IF(売上入力!B16="","",売上入力!B16)</f>
        <v>リゾート</v>
      </c>
      <c r="C41" s="16" t="str">
        <f>IF(売上入力!C16="","",売上入力!C16)</f>
        <v>本川</v>
      </c>
      <c r="D41" s="16" t="str">
        <f>IF(売上入力!D16="","",売上入力!D16)</f>
        <v>ホテル売上</v>
      </c>
      <c r="E41" s="89">
        <f>IFERROR(IF(売上入力!E16="",0,売上入力!E16*INDEX(マスター_OTA!$C$4:$C$29,MATCH(売上入力!D16,マスター_OTA!$A$4:$A$29,0))/100),0)</f>
        <v>0</v>
      </c>
      <c r="F41" s="90">
        <f>IF(売上入力!A16="","",売上入力!A16)</f>
        <v>46113</v>
      </c>
      <c r="G41" s="16" t="s">
        <v>385</v>
      </c>
    </row>
    <row r="42" spans="1:7" ht="15" customHeight="1">
      <c r="A42" s="88">
        <f>IFERROR(IF(売上入力!A16="","",IF(INDEX(マスター_OTA!$D$4:$D$29,MATCH(売上入力!D16,マスター_OTA!$A$4:$A$29,0))=0,"",DATE(YEAR(売上入力!A16),MONTH(売上入力!A16)+2,IFERROR(INDEX(マスター_OTA!$G$4:$G$29,MATCH(売上入力!D16,マスター_OTA!$A$4:$A$29,0)),25)))),"")</f>
        <v>46198</v>
      </c>
      <c r="B42" s="16" t="str">
        <f>IF(売上入力!B16="","",売上入力!B16)</f>
        <v>リゾート</v>
      </c>
      <c r="C42" s="16" t="str">
        <f>IF(売上入力!C16="","",売上入力!C16)</f>
        <v>本川</v>
      </c>
      <c r="D42" s="16" t="str">
        <f>IF(売上入力!D16="","",売上入力!D16)</f>
        <v>ホテル売上</v>
      </c>
      <c r="E42" s="89">
        <f>IFERROR(IF(売上入力!E16="",0,売上入力!E16*INDEX(マスター_OTA!$D$4:$D$29,MATCH(売上入力!D16,マスター_OTA!$A$4:$A$29,0))/100),0)</f>
        <v>0</v>
      </c>
      <c r="F42" s="90">
        <f>IF(売上入力!A16="","",売上入力!A16)</f>
        <v>46113</v>
      </c>
      <c r="G42" s="16" t="s">
        <v>386</v>
      </c>
    </row>
    <row r="43" spans="1:7" ht="15" customHeight="1">
      <c r="A43" s="88">
        <f>IFERROR(IF(売上入力!A17="","",IF(INDEX(マスター_OTA!$B$4:$B$29,MATCH(売上入力!D17,マスター_OTA!$A$4:$A$29,0))=0,"",DATE(YEAR(売上入力!A17),MONTH(売上入力!A17),IFERROR(INDEX(マスター_OTA!$E$4:$E$29,MATCH(売上入力!D17,マスター_OTA!$A$4:$A$29,0)),28)))),"")</f>
        <v>46132</v>
      </c>
      <c r="B43" s="16" t="str">
        <f>IF(売上入力!B17="","",売上入力!B17)</f>
        <v>リゾート</v>
      </c>
      <c r="C43" s="16" t="str">
        <f>IF(売上入力!C17="","",売上入力!C17)</f>
        <v>温井</v>
      </c>
      <c r="D43" s="16" t="str">
        <f>IF(売上入力!D17="","",売上入力!D17)</f>
        <v>ホテル売上</v>
      </c>
      <c r="E43" s="89">
        <f>IFERROR(IF(売上入力!E17="",0,売上入力!E17*INDEX(マスター_OTA!$B$4:$B$29,MATCH(売上入力!D17,マスター_OTA!$A$4:$A$29,0))/100),0)</f>
        <v>0</v>
      </c>
      <c r="F43" s="90">
        <f>IF(売上入力!A17="","",売上入力!A17)</f>
        <v>46113</v>
      </c>
      <c r="G43" s="16" t="s">
        <v>384</v>
      </c>
    </row>
    <row r="44" spans="1:7" ht="15" customHeight="1">
      <c r="A44" s="88">
        <f>IFERROR(IF(売上入力!A17="","",IF(INDEX(マスター_OTA!$C$4:$C$29,MATCH(売上入力!D17,マスター_OTA!$A$4:$A$29,0))=0,"",DATE(YEAR(売上入力!A17),MONTH(売上入力!A17)+1,IFERROR(INDEX(マスター_OTA!$F$4:$F$29,MATCH(売上入力!D17,マスター_OTA!$A$4:$A$29,0)),25)))),"")</f>
        <v>46152</v>
      </c>
      <c r="B44" s="16" t="str">
        <f>IF(売上入力!B17="","",売上入力!B17)</f>
        <v>リゾート</v>
      </c>
      <c r="C44" s="16" t="str">
        <f>IF(売上入力!C17="","",売上入力!C17)</f>
        <v>温井</v>
      </c>
      <c r="D44" s="16" t="str">
        <f>IF(売上入力!D17="","",売上入力!D17)</f>
        <v>ホテル売上</v>
      </c>
      <c r="E44" s="89">
        <f>IFERROR(IF(売上入力!E17="",0,売上入力!E17*INDEX(マスター_OTA!$C$4:$C$29,MATCH(売上入力!D17,マスター_OTA!$A$4:$A$29,0))/100),0)</f>
        <v>0</v>
      </c>
      <c r="F44" s="90">
        <f>IF(売上入力!A17="","",売上入力!A17)</f>
        <v>46113</v>
      </c>
      <c r="G44" s="16" t="s">
        <v>385</v>
      </c>
    </row>
    <row r="45" spans="1:7" ht="15" customHeight="1">
      <c r="A45" s="88">
        <f>IFERROR(IF(売上入力!A17="","",IF(INDEX(マスター_OTA!$D$4:$D$29,MATCH(売上入力!D17,マスター_OTA!$A$4:$A$29,0))=0,"",DATE(YEAR(売上入力!A17),MONTH(売上入力!A17)+2,IFERROR(INDEX(マスター_OTA!$G$4:$G$29,MATCH(売上入力!D17,マスター_OTA!$A$4:$A$29,0)),25)))),"")</f>
        <v>46198</v>
      </c>
      <c r="B45" s="16" t="str">
        <f>IF(売上入力!B17="","",売上入力!B17)</f>
        <v>リゾート</v>
      </c>
      <c r="C45" s="16" t="str">
        <f>IF(売上入力!C17="","",売上入力!C17)</f>
        <v>温井</v>
      </c>
      <c r="D45" s="16" t="str">
        <f>IF(売上入力!D17="","",売上入力!D17)</f>
        <v>ホテル売上</v>
      </c>
      <c r="E45" s="89">
        <f>IFERROR(IF(売上入力!E17="",0,売上入力!E17*INDEX(マスター_OTA!$D$4:$D$29,MATCH(売上入力!D17,マスター_OTA!$A$4:$A$29,0))/100),0)</f>
        <v>0</v>
      </c>
      <c r="F45" s="90">
        <f>IF(売上入力!A17="","",売上入力!A17)</f>
        <v>46113</v>
      </c>
      <c r="G45" s="16" t="s">
        <v>386</v>
      </c>
    </row>
    <row r="46" spans="1:7" ht="15" customHeight="1">
      <c r="A46" s="88">
        <f>IFERROR(IF(売上入力!A18="","",IF(INDEX(マスター_OTA!$B$4:$B$29,MATCH(売上入力!D18,マスター_OTA!$A$4:$A$29,0))=0,"",DATE(YEAR(売上入力!A18),MONTH(売上入力!A18),IFERROR(INDEX(マスター_OTA!$E$4:$E$29,MATCH(売上入力!D18,マスター_OTA!$A$4:$A$29,0)),28)))),"")</f>
        <v>46132</v>
      </c>
      <c r="B46" s="16" t="str">
        <f>IF(売上入力!B18="","",売上入力!B18)</f>
        <v>リゾート</v>
      </c>
      <c r="C46" s="16" t="str">
        <f>IF(売上入力!C18="","",売上入力!C18)</f>
        <v>玖波</v>
      </c>
      <c r="D46" s="16" t="str">
        <f>IF(売上入力!D18="","",売上入力!D18)</f>
        <v>ホテル売上</v>
      </c>
      <c r="E46" s="89">
        <f>IFERROR(IF(売上入力!E18="",0,売上入力!E18*INDEX(マスター_OTA!$B$4:$B$29,MATCH(売上入力!D18,マスター_OTA!$A$4:$A$29,0))/100),0)</f>
        <v>0</v>
      </c>
      <c r="F46" s="90">
        <f>IF(売上入力!A18="","",売上入力!A18)</f>
        <v>46113</v>
      </c>
      <c r="G46" s="16" t="s">
        <v>384</v>
      </c>
    </row>
    <row r="47" spans="1:7" ht="15" customHeight="1">
      <c r="A47" s="88">
        <f>IFERROR(IF(売上入力!A18="","",IF(INDEX(マスター_OTA!$C$4:$C$29,MATCH(売上入力!D18,マスター_OTA!$A$4:$A$29,0))=0,"",DATE(YEAR(売上入力!A18),MONTH(売上入力!A18)+1,IFERROR(INDEX(マスター_OTA!$F$4:$F$29,MATCH(売上入力!D18,マスター_OTA!$A$4:$A$29,0)),25)))),"")</f>
        <v>46152</v>
      </c>
      <c r="B47" s="16" t="str">
        <f>IF(売上入力!B18="","",売上入力!B18)</f>
        <v>リゾート</v>
      </c>
      <c r="C47" s="16" t="str">
        <f>IF(売上入力!C18="","",売上入力!C18)</f>
        <v>玖波</v>
      </c>
      <c r="D47" s="16" t="str">
        <f>IF(売上入力!D18="","",売上入力!D18)</f>
        <v>ホテル売上</v>
      </c>
      <c r="E47" s="89">
        <f>IFERROR(IF(売上入力!E18="",0,売上入力!E18*INDEX(マスター_OTA!$C$4:$C$29,MATCH(売上入力!D18,マスター_OTA!$A$4:$A$29,0))/100),0)</f>
        <v>0</v>
      </c>
      <c r="F47" s="90">
        <f>IF(売上入力!A18="","",売上入力!A18)</f>
        <v>46113</v>
      </c>
      <c r="G47" s="16" t="s">
        <v>385</v>
      </c>
    </row>
    <row r="48" spans="1:7" ht="15" customHeight="1">
      <c r="A48" s="88">
        <f>IFERROR(IF(売上入力!A18="","",IF(INDEX(マスター_OTA!$D$4:$D$29,MATCH(売上入力!D18,マスター_OTA!$A$4:$A$29,0))=0,"",DATE(YEAR(売上入力!A18),MONTH(売上入力!A18)+2,IFERROR(INDEX(マスター_OTA!$G$4:$G$29,MATCH(売上入力!D18,マスター_OTA!$A$4:$A$29,0)),25)))),"")</f>
        <v>46198</v>
      </c>
      <c r="B48" s="16" t="str">
        <f>IF(売上入力!B18="","",売上入力!B18)</f>
        <v>リゾート</v>
      </c>
      <c r="C48" s="16" t="str">
        <f>IF(売上入力!C18="","",売上入力!C18)</f>
        <v>玖波</v>
      </c>
      <c r="D48" s="16" t="str">
        <f>IF(売上入力!D18="","",売上入力!D18)</f>
        <v>ホテル売上</v>
      </c>
      <c r="E48" s="89">
        <f>IFERROR(IF(売上入力!E18="",0,売上入力!E18*INDEX(マスター_OTA!$D$4:$D$29,MATCH(売上入力!D18,マスター_OTA!$A$4:$A$29,0))/100),0)</f>
        <v>0</v>
      </c>
      <c r="F48" s="90">
        <f>IF(売上入力!A18="","",売上入力!A18)</f>
        <v>46113</v>
      </c>
      <c r="G48" s="16" t="s">
        <v>386</v>
      </c>
    </row>
    <row r="49" spans="1:7" ht="15" customHeight="1">
      <c r="A49" s="88" t="str">
        <f>IFERROR(IF(売上入力!A19="","",IF(INDEX(マスター_OTA!$B$4:$B$29,MATCH(売上入力!D19,マスター_OTA!$A$4:$A$29,0))=0,"",DATE(YEAR(売上入力!A19),MONTH(売上入力!A19),IFERROR(INDEX(マスター_OTA!$E$4:$E$29,MATCH(売上入力!D19,マスター_OTA!$A$4:$A$29,0)),28)))),"")</f>
        <v/>
      </c>
      <c r="B49" s="16" t="str">
        <f>IF(売上入力!B19="","",売上入力!B19)</f>
        <v>リゾート</v>
      </c>
      <c r="C49" s="16" t="str">
        <f>IF(売上入力!C19="","",売上入力!C19)</f>
        <v>竹原（ﾚｽﾄﾗﾝ含む）</v>
      </c>
      <c r="D49" s="16" t="str">
        <f>IF(売上入力!D19="","",売上入力!D19)</f>
        <v>竹原市</v>
      </c>
      <c r="E49" s="89">
        <f>IFERROR(IF(売上入力!E19="",0,売上入力!E19*INDEX(マスター_OTA!$B$4:$B$29,MATCH(売上入力!D19,マスター_OTA!$A$4:$A$29,0))/100),0)</f>
        <v>0</v>
      </c>
      <c r="F49" s="90">
        <f>IF(売上入力!A19="","",売上入力!A19)</f>
        <v>46113</v>
      </c>
      <c r="G49" s="16" t="s">
        <v>384</v>
      </c>
    </row>
    <row r="50" spans="1:7" ht="15" customHeight="1">
      <c r="A50" s="88">
        <f>IFERROR(IF(売上入力!A19="","",IF(INDEX(マスター_OTA!$C$4:$C$29,MATCH(売上入力!D19,マスター_OTA!$A$4:$A$29,0))=0,"",DATE(YEAR(売上入力!A19),MONTH(売上入力!A19)+1,IFERROR(INDEX(マスター_OTA!$F$4:$F$29,MATCH(売上入力!D19,マスター_OTA!$A$4:$A$29,0)),25)))),"")</f>
        <v>46157</v>
      </c>
      <c r="B50" s="16" t="str">
        <f>IF(売上入力!B19="","",売上入力!B19)</f>
        <v>リゾート</v>
      </c>
      <c r="C50" s="16" t="str">
        <f>IF(売上入力!C19="","",売上入力!C19)</f>
        <v>竹原（ﾚｽﾄﾗﾝ含む）</v>
      </c>
      <c r="D50" s="16" t="str">
        <f>IF(売上入力!D19="","",売上入力!D19)</f>
        <v>竹原市</v>
      </c>
      <c r="E50" s="89">
        <f>IFERROR(IF(売上入力!E19="",0,売上入力!E19*INDEX(マスター_OTA!$C$4:$C$29,MATCH(売上入力!D19,マスター_OTA!$A$4:$A$29,0))/100),0)</f>
        <v>0</v>
      </c>
      <c r="F50" s="90">
        <f>IF(売上入力!A19="","",売上入力!A19)</f>
        <v>46113</v>
      </c>
      <c r="G50" s="16" t="s">
        <v>385</v>
      </c>
    </row>
    <row r="51" spans="1:7" ht="15" customHeight="1">
      <c r="A51" s="88" t="str">
        <f>IFERROR(IF(売上入力!A19="","",IF(INDEX(マスター_OTA!$D$4:$D$29,MATCH(売上入力!D19,マスター_OTA!$A$4:$A$29,0))=0,"",DATE(YEAR(売上入力!A19),MONTH(売上入力!A19)+2,IFERROR(INDEX(マスター_OTA!$G$4:$G$29,MATCH(売上入力!D19,マスター_OTA!$A$4:$A$29,0)),25)))),"")</f>
        <v/>
      </c>
      <c r="B51" s="16" t="str">
        <f>IF(売上入力!B19="","",売上入力!B19)</f>
        <v>リゾート</v>
      </c>
      <c r="C51" s="16" t="str">
        <f>IF(売上入力!C19="","",売上入力!C19)</f>
        <v>竹原（ﾚｽﾄﾗﾝ含む）</v>
      </c>
      <c r="D51" s="16" t="str">
        <f>IF(売上入力!D19="","",売上入力!D19)</f>
        <v>竹原市</v>
      </c>
      <c r="E51" s="89">
        <f>IFERROR(IF(売上入力!E19="",0,売上入力!E19*INDEX(マスター_OTA!$D$4:$D$29,MATCH(売上入力!D19,マスター_OTA!$A$4:$A$29,0))/100),0)</f>
        <v>0</v>
      </c>
      <c r="F51" s="90">
        <f>IF(売上入力!A19="","",売上入力!A19)</f>
        <v>46113</v>
      </c>
      <c r="G51" s="16" t="s">
        <v>386</v>
      </c>
    </row>
    <row r="52" spans="1:7" ht="15" customHeight="1">
      <c r="A52" s="88">
        <f>IFERROR(IF(売上入力!A20="","",IF(INDEX(マスター_OTA!$B$4:$B$29,MATCH(売上入力!D20,マスター_OTA!$A$4:$A$29,0))=0,"",DATE(YEAR(売上入力!A20),MONTH(売上入力!A20),IFERROR(INDEX(マスター_OTA!$E$4:$E$29,MATCH(売上入力!D20,マスター_OTA!$A$4:$A$29,0)),28)))),"")</f>
        <v>46162</v>
      </c>
      <c r="B52" s="16" t="str">
        <f>IF(売上入力!B20="","",売上入力!B20)</f>
        <v>ザック</v>
      </c>
      <c r="C52" s="16" t="str">
        <f>IF(売上入力!C20="","",売上入力!C20)</f>
        <v>MAKI de SAUNA</v>
      </c>
      <c r="D52" s="16" t="str">
        <f>IF(売上入力!D20="","",売上入力!D20)</f>
        <v>売上</v>
      </c>
      <c r="E52" s="89">
        <f>IFERROR(IF(売上入力!E20="",0,売上入力!E20*INDEX(マスター_OTA!$B$4:$B$29,MATCH(売上入力!D20,マスター_OTA!$A$4:$A$29,0))/100),0)</f>
        <v>5441.4</v>
      </c>
      <c r="F52" s="90">
        <f>IF(売上入力!A20="","",売上入力!A20)</f>
        <v>46143</v>
      </c>
      <c r="G52" s="16" t="s">
        <v>384</v>
      </c>
    </row>
    <row r="53" spans="1:7" ht="15" customHeight="1">
      <c r="A53" s="88">
        <f>IFERROR(IF(売上入力!A20="","",IF(INDEX(マスター_OTA!$C$4:$C$29,MATCH(売上入力!D20,マスター_OTA!$A$4:$A$29,0))=0,"",DATE(YEAR(売上入力!A20),MONTH(売上入力!A20)+1,IFERROR(INDEX(マスター_OTA!$F$4:$F$29,MATCH(売上入力!D20,マスター_OTA!$A$4:$A$29,0)),25)))),"")</f>
        <v>46183</v>
      </c>
      <c r="B53" s="16" t="str">
        <f>IF(売上入力!B20="","",売上入力!B20)</f>
        <v>ザック</v>
      </c>
      <c r="C53" s="16" t="str">
        <f>IF(売上入力!C20="","",売上入力!C20)</f>
        <v>MAKI de SAUNA</v>
      </c>
      <c r="D53" s="16" t="str">
        <f>IF(売上入力!D20="","",売上入力!D20)</f>
        <v>売上</v>
      </c>
      <c r="E53" s="89">
        <f>IFERROR(IF(売上入力!E20="",0,売上入力!E20*INDEX(マスター_OTA!$C$4:$C$29,MATCH(売上入力!D20,マスター_OTA!$A$4:$A$29,0))/100),0)</f>
        <v>27207</v>
      </c>
      <c r="F53" s="90">
        <f>IF(売上入力!A20="","",売上入力!A20)</f>
        <v>46143</v>
      </c>
      <c r="G53" s="16" t="s">
        <v>385</v>
      </c>
    </row>
    <row r="54" spans="1:7" ht="15" customHeight="1">
      <c r="A54" s="88">
        <f>IFERROR(IF(売上入力!A20="","",IF(INDEX(マスター_OTA!$D$4:$D$29,MATCH(売上入力!D20,マスター_OTA!$A$4:$A$29,0))=0,"",DATE(YEAR(売上入力!A20),MONTH(売上入力!A20)+2,IFERROR(INDEX(マスター_OTA!$G$4:$G$29,MATCH(売上入力!D20,マスター_OTA!$A$4:$A$29,0)),25)))),"")</f>
        <v>46228</v>
      </c>
      <c r="B54" s="16" t="str">
        <f>IF(売上入力!B20="","",売上入力!B20)</f>
        <v>ザック</v>
      </c>
      <c r="C54" s="16" t="str">
        <f>IF(売上入力!C20="","",売上入力!C20)</f>
        <v>MAKI de SAUNA</v>
      </c>
      <c r="D54" s="16" t="str">
        <f>IF(売上入力!D20="","",売上入力!D20)</f>
        <v>売上</v>
      </c>
      <c r="E54" s="89">
        <f>IFERROR(IF(売上入力!E20="",0,売上入力!E20*INDEX(マスター_OTA!$D$4:$D$29,MATCH(売上入力!D20,マスター_OTA!$A$4:$A$29,0))/100),0)</f>
        <v>3627.6</v>
      </c>
      <c r="F54" s="90">
        <f>IF(売上入力!A20="","",売上入力!A20)</f>
        <v>46143</v>
      </c>
      <c r="G54" s="16" t="s">
        <v>386</v>
      </c>
    </row>
    <row r="55" spans="1:7" ht="15" customHeight="1">
      <c r="A55" s="88">
        <f>IFERROR(IF(売上入力!A21="","",IF(INDEX(マスター_OTA!$B$4:$B$29,MATCH(売上入力!D21,マスター_OTA!$A$4:$A$29,0))=0,"",DATE(YEAR(売上入力!A21),MONTH(売上入力!A21),IFERROR(INDEX(マスター_OTA!$E$4:$E$29,MATCH(売上入力!D21,マスター_OTA!$A$4:$A$29,0)),28)))),"")</f>
        <v>46162</v>
      </c>
      <c r="B55" s="16" t="str">
        <f>IF(売上入力!B21="","",売上入力!B21)</f>
        <v>リゾート</v>
      </c>
      <c r="C55" s="16" t="str">
        <f>IF(売上入力!C21="","",売上入力!C21)</f>
        <v>Otake</v>
      </c>
      <c r="D55" s="16" t="str">
        <f>IF(売上入力!D21="","",売上入力!D21)</f>
        <v>売上</v>
      </c>
      <c r="E55" s="89">
        <f>IFERROR(IF(売上入力!E21="",0,売上入力!E21*INDEX(マスター_OTA!$B$4:$B$29,MATCH(売上入力!D21,マスター_OTA!$A$4:$A$29,0))/100),0)</f>
        <v>11625</v>
      </c>
      <c r="F55" s="90">
        <f>IF(売上入力!A21="","",売上入力!A21)</f>
        <v>46143</v>
      </c>
      <c r="G55" s="16" t="s">
        <v>384</v>
      </c>
    </row>
    <row r="56" spans="1:7" ht="15" customHeight="1">
      <c r="A56" s="88">
        <f>IFERROR(IF(売上入力!A21="","",IF(INDEX(マスター_OTA!$C$4:$C$29,MATCH(売上入力!D21,マスター_OTA!$A$4:$A$29,0))=0,"",DATE(YEAR(売上入力!A21),MONTH(売上入力!A21)+1,IFERROR(INDEX(マスター_OTA!$F$4:$F$29,MATCH(売上入力!D21,マスター_OTA!$A$4:$A$29,0)),25)))),"")</f>
        <v>46183</v>
      </c>
      <c r="B56" s="16" t="str">
        <f>IF(売上入力!B21="","",売上入力!B21)</f>
        <v>リゾート</v>
      </c>
      <c r="C56" s="16" t="str">
        <f>IF(売上入力!C21="","",売上入力!C21)</f>
        <v>Otake</v>
      </c>
      <c r="D56" s="16" t="str">
        <f>IF(売上入力!D21="","",売上入力!D21)</f>
        <v>売上</v>
      </c>
      <c r="E56" s="89">
        <f>IFERROR(IF(売上入力!E21="",0,売上入力!E21*INDEX(マスター_OTA!$C$4:$C$29,MATCH(売上入力!D21,マスター_OTA!$A$4:$A$29,0))/100),0)</f>
        <v>58125</v>
      </c>
      <c r="F56" s="90">
        <f>IF(売上入力!A21="","",売上入力!A21)</f>
        <v>46143</v>
      </c>
      <c r="G56" s="16" t="s">
        <v>385</v>
      </c>
    </row>
    <row r="57" spans="1:7" ht="15" customHeight="1">
      <c r="A57" s="88">
        <f>IFERROR(IF(売上入力!A21="","",IF(INDEX(マスター_OTA!$D$4:$D$29,MATCH(売上入力!D21,マスター_OTA!$A$4:$A$29,0))=0,"",DATE(YEAR(売上入力!A21),MONTH(売上入力!A21)+2,IFERROR(INDEX(マスター_OTA!$G$4:$G$29,MATCH(売上入力!D21,マスター_OTA!$A$4:$A$29,0)),25)))),"")</f>
        <v>46228</v>
      </c>
      <c r="B57" s="16" t="str">
        <f>IF(売上入力!B21="","",売上入力!B21)</f>
        <v>リゾート</v>
      </c>
      <c r="C57" s="16" t="str">
        <f>IF(売上入力!C21="","",売上入力!C21)</f>
        <v>Otake</v>
      </c>
      <c r="D57" s="16" t="str">
        <f>IF(売上入力!D21="","",売上入力!D21)</f>
        <v>売上</v>
      </c>
      <c r="E57" s="89">
        <f>IFERROR(IF(売上入力!E21="",0,売上入力!E21*INDEX(マスター_OTA!$D$4:$D$29,MATCH(売上入力!D21,マスター_OTA!$A$4:$A$29,0))/100),0)</f>
        <v>7750</v>
      </c>
      <c r="F57" s="90">
        <f>IF(売上入力!A21="","",売上入力!A21)</f>
        <v>46143</v>
      </c>
      <c r="G57" s="16" t="s">
        <v>386</v>
      </c>
    </row>
    <row r="58" spans="1:7" ht="15" customHeight="1">
      <c r="A58" s="88">
        <f>IFERROR(IF(売上入力!A22="","",IF(INDEX(マスター_OTA!$B$4:$B$29,MATCH(売上入力!D22,マスター_OTA!$A$4:$A$29,0))=0,"",DATE(YEAR(売上入力!A22),MONTH(売上入力!A22),IFERROR(INDEX(マスター_OTA!$E$4:$E$29,MATCH(売上入力!D22,マスター_OTA!$A$4:$A$29,0)),28)))),"")</f>
        <v>46162</v>
      </c>
      <c r="B58" s="16" t="str">
        <f>IF(売上入力!B22="","",売上入力!B22)</f>
        <v>リゾート</v>
      </c>
      <c r="C58" s="16" t="str">
        <f>IF(売上入力!C22="","",売上入力!C22)</f>
        <v>TAKAYA</v>
      </c>
      <c r="D58" s="16" t="str">
        <f>IF(売上入力!D22="","",売上入力!D22)</f>
        <v>売上</v>
      </c>
      <c r="E58" s="89">
        <f>IFERROR(IF(売上入力!E22="",0,売上入力!E22*INDEX(マスター_OTA!$B$4:$B$29,MATCH(売上入力!D22,マスター_OTA!$A$4:$A$29,0))/100),0)</f>
        <v>40800</v>
      </c>
      <c r="F58" s="90">
        <f>IF(売上入力!A22="","",売上入力!A22)</f>
        <v>46143</v>
      </c>
      <c r="G58" s="16" t="s">
        <v>384</v>
      </c>
    </row>
    <row r="59" spans="1:7" ht="15" customHeight="1">
      <c r="A59" s="88">
        <f>IFERROR(IF(売上入力!A22="","",IF(INDEX(マスター_OTA!$C$4:$C$29,MATCH(売上入力!D22,マスター_OTA!$A$4:$A$29,0))=0,"",DATE(YEAR(売上入力!A22),MONTH(売上入力!A22)+1,IFERROR(INDEX(マスター_OTA!$F$4:$F$29,MATCH(売上入力!D22,マスター_OTA!$A$4:$A$29,0)),25)))),"")</f>
        <v>46183</v>
      </c>
      <c r="B59" s="16" t="str">
        <f>IF(売上入力!B22="","",売上入力!B22)</f>
        <v>リゾート</v>
      </c>
      <c r="C59" s="16" t="str">
        <f>IF(売上入力!C22="","",売上入力!C22)</f>
        <v>TAKAYA</v>
      </c>
      <c r="D59" s="16" t="str">
        <f>IF(売上入力!D22="","",売上入力!D22)</f>
        <v>売上</v>
      </c>
      <c r="E59" s="89">
        <f>IFERROR(IF(売上入力!E22="",0,売上入力!E22*INDEX(マスター_OTA!$C$4:$C$29,MATCH(売上入力!D22,マスター_OTA!$A$4:$A$29,0))/100),0)</f>
        <v>204000</v>
      </c>
      <c r="F59" s="90">
        <f>IF(売上入力!A22="","",売上入力!A22)</f>
        <v>46143</v>
      </c>
      <c r="G59" s="16" t="s">
        <v>385</v>
      </c>
    </row>
    <row r="60" spans="1:7" ht="15" customHeight="1">
      <c r="A60" s="88">
        <f>IFERROR(IF(売上入力!A22="","",IF(INDEX(マスター_OTA!$D$4:$D$29,MATCH(売上入力!D22,マスター_OTA!$A$4:$A$29,0))=0,"",DATE(YEAR(売上入力!A22),MONTH(売上入力!A22)+2,IFERROR(INDEX(マスター_OTA!$G$4:$G$29,MATCH(売上入力!D22,マスター_OTA!$A$4:$A$29,0)),25)))),"")</f>
        <v>46228</v>
      </c>
      <c r="B60" s="16" t="str">
        <f>IF(売上入力!B22="","",売上入力!B22)</f>
        <v>リゾート</v>
      </c>
      <c r="C60" s="16" t="str">
        <f>IF(売上入力!C22="","",売上入力!C22)</f>
        <v>TAKAYA</v>
      </c>
      <c r="D60" s="16" t="str">
        <f>IF(売上入力!D22="","",売上入力!D22)</f>
        <v>売上</v>
      </c>
      <c r="E60" s="89">
        <f>IFERROR(IF(売上入力!E22="",0,売上入力!E22*INDEX(マスター_OTA!$D$4:$D$29,MATCH(売上入力!D22,マスター_OTA!$A$4:$A$29,0))/100),0)</f>
        <v>27200</v>
      </c>
      <c r="F60" s="90">
        <f>IF(売上入力!A22="","",売上入力!A22)</f>
        <v>46143</v>
      </c>
      <c r="G60" s="16" t="s">
        <v>386</v>
      </c>
    </row>
    <row r="61" spans="1:7" ht="15" customHeight="1">
      <c r="A61" s="88">
        <f>IFERROR(IF(売上入力!A23="","",IF(INDEX(マスター_OTA!$B$4:$B$29,MATCH(売上入力!D23,マスター_OTA!$A$4:$A$29,0))=0,"",DATE(YEAR(売上入力!A23),MONTH(売上入力!A23),IFERROR(INDEX(マスター_OTA!$E$4:$E$29,MATCH(売上入力!D23,マスター_OTA!$A$4:$A$29,0)),28)))),"")</f>
        <v>46162</v>
      </c>
      <c r="B61" s="16" t="str">
        <f>IF(売上入力!B23="","",売上入力!B23)</f>
        <v>リゾート</v>
      </c>
      <c r="C61" s="16" t="str">
        <f>IF(売上入力!C23="","",売上入力!C23)</f>
        <v>VIEW</v>
      </c>
      <c r="D61" s="16" t="str">
        <f>IF(売上入力!D23="","",売上入力!D23)</f>
        <v>ホテル売上</v>
      </c>
      <c r="E61" s="89">
        <f>IFERROR(IF(売上入力!E23="",0,売上入力!E23*INDEX(マスター_OTA!$B$4:$B$29,MATCH(売上入力!D23,マスター_OTA!$A$4:$A$29,0))/100),0)</f>
        <v>417862.8</v>
      </c>
      <c r="F61" s="90">
        <f>IF(売上入力!A23="","",売上入力!A23)</f>
        <v>46143</v>
      </c>
      <c r="G61" s="16" t="s">
        <v>384</v>
      </c>
    </row>
    <row r="62" spans="1:7" ht="15" customHeight="1">
      <c r="A62" s="88">
        <f>IFERROR(IF(売上入力!A23="","",IF(INDEX(マスター_OTA!$C$4:$C$29,MATCH(売上入力!D23,マスター_OTA!$A$4:$A$29,0))=0,"",DATE(YEAR(売上入力!A23),MONTH(売上入力!A23)+1,IFERROR(INDEX(マスター_OTA!$F$4:$F$29,MATCH(売上入力!D23,マスター_OTA!$A$4:$A$29,0)),25)))),"")</f>
        <v>46183</v>
      </c>
      <c r="B62" s="16" t="str">
        <f>IF(売上入力!B23="","",売上入力!B23)</f>
        <v>リゾート</v>
      </c>
      <c r="C62" s="16" t="str">
        <f>IF(売上入力!C23="","",売上入力!C23)</f>
        <v>VIEW</v>
      </c>
      <c r="D62" s="16" t="str">
        <f>IF(売上入力!D23="","",売上入力!D23)</f>
        <v>ホテル売上</v>
      </c>
      <c r="E62" s="89">
        <f>IFERROR(IF(売上入力!E23="",0,売上入力!E23*INDEX(マスター_OTA!$C$4:$C$29,MATCH(売上入力!D23,マスター_OTA!$A$4:$A$29,0))/100),0)</f>
        <v>2089314</v>
      </c>
      <c r="F62" s="90">
        <f>IF(売上入力!A23="","",売上入力!A23)</f>
        <v>46143</v>
      </c>
      <c r="G62" s="16" t="s">
        <v>385</v>
      </c>
    </row>
    <row r="63" spans="1:7" ht="15" customHeight="1">
      <c r="A63" s="88">
        <f>IFERROR(IF(売上入力!A23="","",IF(INDEX(マスター_OTA!$D$4:$D$29,MATCH(売上入力!D23,マスター_OTA!$A$4:$A$29,0))=0,"",DATE(YEAR(売上入力!A23),MONTH(売上入力!A23)+2,IFERROR(INDEX(マスター_OTA!$G$4:$G$29,MATCH(売上入力!D23,マスター_OTA!$A$4:$A$29,0)),25)))),"")</f>
        <v>46228</v>
      </c>
      <c r="B63" s="16" t="str">
        <f>IF(売上入力!B23="","",売上入力!B23)</f>
        <v>リゾート</v>
      </c>
      <c r="C63" s="16" t="str">
        <f>IF(売上入力!C23="","",売上入力!C23)</f>
        <v>VIEW</v>
      </c>
      <c r="D63" s="16" t="str">
        <f>IF(売上入力!D23="","",売上入力!D23)</f>
        <v>ホテル売上</v>
      </c>
      <c r="E63" s="89">
        <f>IFERROR(IF(売上入力!E23="",0,売上入力!E23*INDEX(マスター_OTA!$D$4:$D$29,MATCH(売上入力!D23,マスター_OTA!$A$4:$A$29,0))/100),0)</f>
        <v>278575.2</v>
      </c>
      <c r="F63" s="90">
        <f>IF(売上入力!A23="","",売上入力!A23)</f>
        <v>46143</v>
      </c>
      <c r="G63" s="16" t="s">
        <v>386</v>
      </c>
    </row>
    <row r="64" spans="1:7" ht="15" customHeight="1">
      <c r="A64" s="88">
        <f>IFERROR(IF(売上入力!A24="","",IF(INDEX(マスター_OTA!$B$4:$B$29,MATCH(売上入力!D24,マスター_OTA!$A$4:$A$29,0))=0,"",DATE(YEAR(売上入力!A24),MONTH(売上入力!A24),IFERROR(INDEX(マスター_OTA!$E$4:$E$29,MATCH(売上入力!D24,マスター_OTA!$A$4:$A$29,0)),28)))),"")</f>
        <v>46162</v>
      </c>
      <c r="B64" s="16" t="str">
        <f>IF(売上入力!B24="","",売上入力!B24)</f>
        <v>リゾート</v>
      </c>
      <c r="C64" s="16" t="str">
        <f>IF(売上入力!C24="","",売上入力!C24)</f>
        <v>de Lune</v>
      </c>
      <c r="D64" s="16" t="str">
        <f>IF(売上入力!D24="","",売上入力!D24)</f>
        <v>ホテル売上</v>
      </c>
      <c r="E64" s="89">
        <f>IFERROR(IF(売上入力!E24="",0,売上入力!E24*INDEX(マスター_OTA!$B$4:$B$29,MATCH(売上入力!D24,マスター_OTA!$A$4:$A$29,0))/100),0)</f>
        <v>1368104.4</v>
      </c>
      <c r="F64" s="90">
        <f>IF(売上入力!A24="","",売上入力!A24)</f>
        <v>46143</v>
      </c>
      <c r="G64" s="16" t="s">
        <v>384</v>
      </c>
    </row>
    <row r="65" spans="1:7" ht="15" customHeight="1">
      <c r="A65" s="88">
        <f>IFERROR(IF(売上入力!A24="","",IF(INDEX(マスター_OTA!$C$4:$C$29,MATCH(売上入力!D24,マスター_OTA!$A$4:$A$29,0))=0,"",DATE(YEAR(売上入力!A24),MONTH(売上入力!A24)+1,IFERROR(INDEX(マスター_OTA!$F$4:$F$29,MATCH(売上入力!D24,マスター_OTA!$A$4:$A$29,0)),25)))),"")</f>
        <v>46183</v>
      </c>
      <c r="B65" s="16" t="str">
        <f>IF(売上入力!B24="","",売上入力!B24)</f>
        <v>リゾート</v>
      </c>
      <c r="C65" s="16" t="str">
        <f>IF(売上入力!C24="","",売上入力!C24)</f>
        <v>de Lune</v>
      </c>
      <c r="D65" s="16" t="str">
        <f>IF(売上入力!D24="","",売上入力!D24)</f>
        <v>ホテル売上</v>
      </c>
      <c r="E65" s="89">
        <f>IFERROR(IF(売上入力!E24="",0,売上入力!E24*INDEX(マスター_OTA!$C$4:$C$29,MATCH(売上入力!D24,マスター_OTA!$A$4:$A$29,0))/100),0)</f>
        <v>6840522</v>
      </c>
      <c r="F65" s="90">
        <f>IF(売上入力!A24="","",売上入力!A24)</f>
        <v>46143</v>
      </c>
      <c r="G65" s="16" t="s">
        <v>385</v>
      </c>
    </row>
    <row r="66" spans="1:7" ht="15" customHeight="1">
      <c r="A66" s="88">
        <f>IFERROR(IF(売上入力!A24="","",IF(INDEX(マスター_OTA!$D$4:$D$29,MATCH(売上入力!D24,マスター_OTA!$A$4:$A$29,0))=0,"",DATE(YEAR(売上入力!A24),MONTH(売上入力!A24)+2,IFERROR(INDEX(マスター_OTA!$G$4:$G$29,MATCH(売上入力!D24,マスター_OTA!$A$4:$A$29,0)),25)))),"")</f>
        <v>46228</v>
      </c>
      <c r="B66" s="16" t="str">
        <f>IF(売上入力!B24="","",売上入力!B24)</f>
        <v>リゾート</v>
      </c>
      <c r="C66" s="16" t="str">
        <f>IF(売上入力!C24="","",売上入力!C24)</f>
        <v>de Lune</v>
      </c>
      <c r="D66" s="16" t="str">
        <f>IF(売上入力!D24="","",売上入力!D24)</f>
        <v>ホテル売上</v>
      </c>
      <c r="E66" s="89">
        <f>IFERROR(IF(売上入力!E24="",0,売上入力!E24*INDEX(マスター_OTA!$D$4:$D$29,MATCH(売上入力!D24,マスター_OTA!$A$4:$A$29,0))/100),0)</f>
        <v>912069.6</v>
      </c>
      <c r="F66" s="90">
        <f>IF(売上入力!A24="","",売上入力!A24)</f>
        <v>46143</v>
      </c>
      <c r="G66" s="16" t="s">
        <v>386</v>
      </c>
    </row>
    <row r="67" spans="1:7" ht="15" customHeight="1">
      <c r="A67" s="88">
        <f>IFERROR(IF(売上入力!A25="","",IF(INDEX(マスター_OTA!$B$4:$B$29,MATCH(売上入力!D25,マスター_OTA!$A$4:$A$29,0))=0,"",DATE(YEAR(売上入力!A25),MONTH(売上入力!A25),IFERROR(INDEX(マスター_OTA!$E$4:$E$29,MATCH(売上入力!D25,マスター_OTA!$A$4:$A$29,0)),28)))),"")</f>
        <v>46162</v>
      </c>
      <c r="B67" s="16" t="str">
        <f>IF(売上入力!B25="","",売上入力!B25)</f>
        <v>リゾート</v>
      </c>
      <c r="C67" s="16" t="str">
        <f>IF(売上入力!C25="","",売上入力!C25)</f>
        <v>いこいの村</v>
      </c>
      <c r="D67" s="16" t="str">
        <f>IF(売上入力!D25="","",売上入力!D25)</f>
        <v>ホテル売上</v>
      </c>
      <c r="E67" s="89">
        <f>IFERROR(IF(売上入力!E25="",0,売上入力!E25*INDEX(マスター_OTA!$B$4:$B$29,MATCH(売上入力!D25,マスター_OTA!$A$4:$A$29,0))/100),0)</f>
        <v>439300.65</v>
      </c>
      <c r="F67" s="90">
        <f>IF(売上入力!A25="","",売上入力!A25)</f>
        <v>46143</v>
      </c>
      <c r="G67" s="16" t="s">
        <v>384</v>
      </c>
    </row>
    <row r="68" spans="1:7" ht="15" customHeight="1">
      <c r="A68" s="88">
        <f>IFERROR(IF(売上入力!A25="","",IF(INDEX(マスター_OTA!$C$4:$C$29,MATCH(売上入力!D25,マスター_OTA!$A$4:$A$29,0))=0,"",DATE(YEAR(売上入力!A25),MONTH(売上入力!A25)+1,IFERROR(INDEX(マスター_OTA!$F$4:$F$29,MATCH(売上入力!D25,マスター_OTA!$A$4:$A$29,0)),25)))),"")</f>
        <v>46183</v>
      </c>
      <c r="B68" s="16" t="str">
        <f>IF(売上入力!B25="","",売上入力!B25)</f>
        <v>リゾート</v>
      </c>
      <c r="C68" s="16" t="str">
        <f>IF(売上入力!C25="","",売上入力!C25)</f>
        <v>いこいの村</v>
      </c>
      <c r="D68" s="16" t="str">
        <f>IF(売上入力!D25="","",売上入力!D25)</f>
        <v>ホテル売上</v>
      </c>
      <c r="E68" s="89">
        <f>IFERROR(IF(売上入力!E25="",0,売上入力!E25*INDEX(マスター_OTA!$C$4:$C$29,MATCH(売上入力!D25,マスター_OTA!$A$4:$A$29,0))/100),0)</f>
        <v>2196503.25</v>
      </c>
      <c r="F68" s="90">
        <f>IF(売上入力!A25="","",売上入力!A25)</f>
        <v>46143</v>
      </c>
      <c r="G68" s="16" t="s">
        <v>385</v>
      </c>
    </row>
    <row r="69" spans="1:7" ht="15" customHeight="1">
      <c r="A69" s="88">
        <f>IFERROR(IF(売上入力!A25="","",IF(INDEX(マスター_OTA!$D$4:$D$29,MATCH(売上入力!D25,マスター_OTA!$A$4:$A$29,0))=0,"",DATE(YEAR(売上入力!A25),MONTH(売上入力!A25)+2,IFERROR(INDEX(マスター_OTA!$G$4:$G$29,MATCH(売上入力!D25,マスター_OTA!$A$4:$A$29,0)),25)))),"")</f>
        <v>46228</v>
      </c>
      <c r="B69" s="16" t="str">
        <f>IF(売上入力!B25="","",売上入力!B25)</f>
        <v>リゾート</v>
      </c>
      <c r="C69" s="16" t="str">
        <f>IF(売上入力!C25="","",売上入力!C25)</f>
        <v>いこいの村</v>
      </c>
      <c r="D69" s="16" t="str">
        <f>IF(売上入力!D25="","",売上入力!D25)</f>
        <v>ホテル売上</v>
      </c>
      <c r="E69" s="89">
        <f>IFERROR(IF(売上入力!E25="",0,売上入力!E25*INDEX(マスター_OTA!$D$4:$D$29,MATCH(売上入力!D25,マスター_OTA!$A$4:$A$29,0))/100),0)</f>
        <v>292867.09999999998</v>
      </c>
      <c r="F69" s="90">
        <f>IF(売上入力!A25="","",売上入力!A25)</f>
        <v>46143</v>
      </c>
      <c r="G69" s="16" t="s">
        <v>386</v>
      </c>
    </row>
    <row r="70" spans="1:7" ht="15" customHeight="1">
      <c r="A70" s="88">
        <f>IFERROR(IF(売上入力!A26="","",IF(INDEX(マスター_OTA!$B$4:$B$29,MATCH(売上入力!D26,マスター_OTA!$A$4:$A$29,0))=0,"",DATE(YEAR(売上入力!A26),MONTH(売上入力!A26),IFERROR(INDEX(マスター_OTA!$E$4:$E$29,MATCH(売上入力!D26,マスター_OTA!$A$4:$A$29,0)),28)))),"")</f>
        <v>46162</v>
      </c>
      <c r="B70" s="16" t="str">
        <f>IF(売上入力!B26="","",売上入力!B26)</f>
        <v>リゾート</v>
      </c>
      <c r="C70" s="16" t="str">
        <f>IF(売上入力!C26="","",売上入力!C26)</f>
        <v>グリーンシャワー</v>
      </c>
      <c r="D70" s="16" t="str">
        <f>IF(売上入力!D26="","",売上入力!D26)</f>
        <v>売上</v>
      </c>
      <c r="E70" s="89">
        <f>IFERROR(IF(売上入力!E26="",0,売上入力!E26*INDEX(マスター_OTA!$B$4:$B$29,MATCH(売上入力!D26,マスター_OTA!$A$4:$A$29,0))/100),0)</f>
        <v>37337.550000000003</v>
      </c>
      <c r="F70" s="90">
        <f>IF(売上入力!A26="","",売上入力!A26)</f>
        <v>46143</v>
      </c>
      <c r="G70" s="16" t="s">
        <v>384</v>
      </c>
    </row>
    <row r="71" spans="1:7" ht="15" customHeight="1">
      <c r="A71" s="88">
        <f>IFERROR(IF(売上入力!A26="","",IF(INDEX(マスター_OTA!$C$4:$C$29,MATCH(売上入力!D26,マスター_OTA!$A$4:$A$29,0))=0,"",DATE(YEAR(売上入力!A26),MONTH(売上入力!A26)+1,IFERROR(INDEX(マスター_OTA!$F$4:$F$29,MATCH(売上入力!D26,マスター_OTA!$A$4:$A$29,0)),25)))),"")</f>
        <v>46183</v>
      </c>
      <c r="B71" s="16" t="str">
        <f>IF(売上入力!B26="","",売上入力!B26)</f>
        <v>リゾート</v>
      </c>
      <c r="C71" s="16" t="str">
        <f>IF(売上入力!C26="","",売上入力!C26)</f>
        <v>グリーンシャワー</v>
      </c>
      <c r="D71" s="16" t="str">
        <f>IF(売上入力!D26="","",売上入力!D26)</f>
        <v>売上</v>
      </c>
      <c r="E71" s="89">
        <f>IFERROR(IF(売上入力!E26="",0,売上入力!E26*INDEX(マスター_OTA!$C$4:$C$29,MATCH(売上入力!D26,マスター_OTA!$A$4:$A$29,0))/100),0)</f>
        <v>186687.75</v>
      </c>
      <c r="F71" s="90">
        <f>IF(売上入力!A26="","",売上入力!A26)</f>
        <v>46143</v>
      </c>
      <c r="G71" s="16" t="s">
        <v>385</v>
      </c>
    </row>
    <row r="72" spans="1:7" ht="15" customHeight="1">
      <c r="A72" s="88">
        <f>IFERROR(IF(売上入力!A26="","",IF(INDEX(マスター_OTA!$D$4:$D$29,MATCH(売上入力!D26,マスター_OTA!$A$4:$A$29,0))=0,"",DATE(YEAR(売上入力!A26),MONTH(売上入力!A26)+2,IFERROR(INDEX(マスター_OTA!$G$4:$G$29,MATCH(売上入力!D26,マスター_OTA!$A$4:$A$29,0)),25)))),"")</f>
        <v>46228</v>
      </c>
      <c r="B72" s="16" t="str">
        <f>IF(売上入力!B26="","",売上入力!B26)</f>
        <v>リゾート</v>
      </c>
      <c r="C72" s="16" t="str">
        <f>IF(売上入力!C26="","",売上入力!C26)</f>
        <v>グリーンシャワー</v>
      </c>
      <c r="D72" s="16" t="str">
        <f>IF(売上入力!D26="","",売上入力!D26)</f>
        <v>売上</v>
      </c>
      <c r="E72" s="89">
        <f>IFERROR(IF(売上入力!E26="",0,売上入力!E26*INDEX(マスター_OTA!$D$4:$D$29,MATCH(売上入力!D26,マスター_OTA!$A$4:$A$29,0))/100),0)</f>
        <v>24891.7</v>
      </c>
      <c r="F72" s="90">
        <f>IF(売上入力!A26="","",売上入力!A26)</f>
        <v>46143</v>
      </c>
      <c r="G72" s="16" t="s">
        <v>386</v>
      </c>
    </row>
    <row r="73" spans="1:7" ht="15" customHeight="1">
      <c r="A73" s="88">
        <f>IFERROR(IF(売上入力!A27="","",IF(INDEX(マスター_OTA!$B$4:$B$29,MATCH(売上入力!D27,マスター_OTA!$A$4:$A$29,0))=0,"",DATE(YEAR(売上入力!A27),MONTH(売上入力!A27),IFERROR(INDEX(マスター_OTA!$E$4:$E$29,MATCH(売上入力!D27,マスター_OTA!$A$4:$A$29,0)),28)))),"")</f>
        <v>46162</v>
      </c>
      <c r="B73" s="16" t="str">
        <f>IF(売上入力!B27="","",売上入力!B27)</f>
        <v>リゾート</v>
      </c>
      <c r="C73" s="16" t="str">
        <f>IF(売上入力!C27="","",売上入力!C27)</f>
        <v>フォレストヒルズガーデン</v>
      </c>
      <c r="D73" s="16" t="str">
        <f>IF(売上入力!D27="","",売上入力!D27)</f>
        <v>売上</v>
      </c>
      <c r="E73" s="89">
        <f>IFERROR(IF(売上入力!E27="",0,売上入力!E27*INDEX(マスター_OTA!$B$4:$B$29,MATCH(売上入力!D27,マスター_OTA!$A$4:$A$29,0))/100),0)</f>
        <v>1071498.45</v>
      </c>
      <c r="F73" s="90">
        <f>IF(売上入力!A27="","",売上入力!A27)</f>
        <v>46143</v>
      </c>
      <c r="G73" s="16" t="s">
        <v>384</v>
      </c>
    </row>
    <row r="74" spans="1:7" ht="15" customHeight="1">
      <c r="A74" s="88">
        <f>IFERROR(IF(売上入力!A27="","",IF(INDEX(マスター_OTA!$C$4:$C$29,MATCH(売上入力!D27,マスター_OTA!$A$4:$A$29,0))=0,"",DATE(YEAR(売上入力!A27),MONTH(売上入力!A27)+1,IFERROR(INDEX(マスター_OTA!$F$4:$F$29,MATCH(売上入力!D27,マスター_OTA!$A$4:$A$29,0)),25)))),"")</f>
        <v>46183</v>
      </c>
      <c r="B74" s="16" t="str">
        <f>IF(売上入力!B27="","",売上入力!B27)</f>
        <v>リゾート</v>
      </c>
      <c r="C74" s="16" t="str">
        <f>IF(売上入力!C27="","",売上入力!C27)</f>
        <v>フォレストヒルズガーデン</v>
      </c>
      <c r="D74" s="16" t="str">
        <f>IF(売上入力!D27="","",売上入力!D27)</f>
        <v>売上</v>
      </c>
      <c r="E74" s="89">
        <f>IFERROR(IF(売上入力!E27="",0,売上入力!E27*INDEX(マスター_OTA!$C$4:$C$29,MATCH(売上入力!D27,マスター_OTA!$A$4:$A$29,0))/100),0)</f>
        <v>5357492.25</v>
      </c>
      <c r="F74" s="90">
        <f>IF(売上入力!A27="","",売上入力!A27)</f>
        <v>46143</v>
      </c>
      <c r="G74" s="16" t="s">
        <v>385</v>
      </c>
    </row>
    <row r="75" spans="1:7" ht="15" customHeight="1">
      <c r="A75" s="88">
        <f>IFERROR(IF(売上入力!A27="","",IF(INDEX(マスター_OTA!$D$4:$D$29,MATCH(売上入力!D27,マスター_OTA!$A$4:$A$29,0))=0,"",DATE(YEAR(売上入力!A27),MONTH(売上入力!A27)+2,IFERROR(INDEX(マスター_OTA!$G$4:$G$29,MATCH(売上入力!D27,マスター_OTA!$A$4:$A$29,0)),25)))),"")</f>
        <v>46228</v>
      </c>
      <c r="B75" s="16" t="str">
        <f>IF(売上入力!B27="","",売上入力!B27)</f>
        <v>リゾート</v>
      </c>
      <c r="C75" s="16" t="str">
        <f>IF(売上入力!C27="","",売上入力!C27)</f>
        <v>フォレストヒルズガーデン</v>
      </c>
      <c r="D75" s="16" t="str">
        <f>IF(売上入力!D27="","",売上入力!D27)</f>
        <v>売上</v>
      </c>
      <c r="E75" s="89">
        <f>IFERROR(IF(売上入力!E27="",0,売上入力!E27*INDEX(マスター_OTA!$D$4:$D$29,MATCH(売上入力!D27,マスター_OTA!$A$4:$A$29,0))/100),0)</f>
        <v>714332.3</v>
      </c>
      <c r="F75" s="90">
        <f>IF(売上入力!A27="","",売上入力!A27)</f>
        <v>46143</v>
      </c>
      <c r="G75" s="16" t="s">
        <v>386</v>
      </c>
    </row>
    <row r="76" spans="1:7" ht="15" customHeight="1">
      <c r="A76" s="88">
        <f>IFERROR(IF(売上入力!A28="","",IF(INDEX(マスター_OTA!$B$4:$B$29,MATCH(売上入力!D28,マスター_OTA!$A$4:$A$29,0))=0,"",DATE(YEAR(売上入力!A28),MONTH(売上入力!A28),IFERROR(INDEX(マスター_OTA!$E$4:$E$29,MATCH(売上入力!D28,マスター_OTA!$A$4:$A$29,0)),28)))),"")</f>
        <v>46162</v>
      </c>
      <c r="B76" s="16" t="str">
        <f>IF(売上入力!B28="","",売上入力!B28)</f>
        <v>リゾート</v>
      </c>
      <c r="C76" s="16" t="str">
        <f>IF(売上入力!C28="","",売上入力!C28)</f>
        <v>壱番館</v>
      </c>
      <c r="D76" s="16" t="str">
        <f>IF(売上入力!D28="","",売上入力!D28)</f>
        <v>売上</v>
      </c>
      <c r="E76" s="89">
        <f>IFERROR(IF(売上入力!E28="",0,売上入力!E28*INDEX(マスター_OTA!$B$4:$B$29,MATCH(売上入力!D28,マスター_OTA!$A$4:$A$29,0))/100),0)</f>
        <v>3600</v>
      </c>
      <c r="F76" s="90">
        <f>IF(売上入力!A28="","",売上入力!A28)</f>
        <v>46143</v>
      </c>
      <c r="G76" s="16" t="s">
        <v>384</v>
      </c>
    </row>
    <row r="77" spans="1:7" ht="15" customHeight="1">
      <c r="A77" s="88">
        <f>IFERROR(IF(売上入力!A28="","",IF(INDEX(マスター_OTA!$C$4:$C$29,MATCH(売上入力!D28,マスター_OTA!$A$4:$A$29,0))=0,"",DATE(YEAR(売上入力!A28),MONTH(売上入力!A28)+1,IFERROR(INDEX(マスター_OTA!$F$4:$F$29,MATCH(売上入力!D28,マスター_OTA!$A$4:$A$29,0)),25)))),"")</f>
        <v>46183</v>
      </c>
      <c r="B77" s="16" t="str">
        <f>IF(売上入力!B28="","",売上入力!B28)</f>
        <v>リゾート</v>
      </c>
      <c r="C77" s="16" t="str">
        <f>IF(売上入力!C28="","",売上入力!C28)</f>
        <v>壱番館</v>
      </c>
      <c r="D77" s="16" t="str">
        <f>IF(売上入力!D28="","",売上入力!D28)</f>
        <v>売上</v>
      </c>
      <c r="E77" s="89">
        <f>IFERROR(IF(売上入力!E28="",0,売上入力!E28*INDEX(マスター_OTA!$C$4:$C$29,MATCH(売上入力!D28,マスター_OTA!$A$4:$A$29,0))/100),0)</f>
        <v>18000</v>
      </c>
      <c r="F77" s="90">
        <f>IF(売上入力!A28="","",売上入力!A28)</f>
        <v>46143</v>
      </c>
      <c r="G77" s="16" t="s">
        <v>385</v>
      </c>
    </row>
    <row r="78" spans="1:7" ht="15" customHeight="1">
      <c r="A78" s="88">
        <f>IFERROR(IF(売上入力!A28="","",IF(INDEX(マスター_OTA!$D$4:$D$29,MATCH(売上入力!D28,マスター_OTA!$A$4:$A$29,0))=0,"",DATE(YEAR(売上入力!A28),MONTH(売上入力!A28)+2,IFERROR(INDEX(マスター_OTA!$G$4:$G$29,MATCH(売上入力!D28,マスター_OTA!$A$4:$A$29,0)),25)))),"")</f>
        <v>46228</v>
      </c>
      <c r="B78" s="16" t="str">
        <f>IF(売上入力!B28="","",売上入力!B28)</f>
        <v>リゾート</v>
      </c>
      <c r="C78" s="16" t="str">
        <f>IF(売上入力!C28="","",売上入力!C28)</f>
        <v>壱番館</v>
      </c>
      <c r="D78" s="16" t="str">
        <f>IF(売上入力!D28="","",売上入力!D28)</f>
        <v>売上</v>
      </c>
      <c r="E78" s="89">
        <f>IFERROR(IF(売上入力!E28="",0,売上入力!E28*INDEX(マスター_OTA!$D$4:$D$29,MATCH(売上入力!D28,マスター_OTA!$A$4:$A$29,0))/100),0)</f>
        <v>2400</v>
      </c>
      <c r="F78" s="90">
        <f>IF(売上入力!A28="","",売上入力!A28)</f>
        <v>46143</v>
      </c>
      <c r="G78" s="16" t="s">
        <v>386</v>
      </c>
    </row>
    <row r="79" spans="1:7" ht="15" customHeight="1">
      <c r="A79" s="88">
        <f>IFERROR(IF(売上入力!A29="","",IF(INDEX(マスター_OTA!$B$4:$B$29,MATCH(売上入力!D29,マスター_OTA!$A$4:$A$29,0))=0,"",DATE(YEAR(売上入力!A29),MONTH(売上入力!A29),IFERROR(INDEX(マスター_OTA!$E$4:$E$29,MATCH(売上入力!D29,マスター_OTA!$A$4:$A$29,0)),28)))),"")</f>
        <v>46162</v>
      </c>
      <c r="B79" s="16" t="str">
        <f>IF(売上入力!B29="","",売上入力!B29)</f>
        <v>リゾート</v>
      </c>
      <c r="C79" s="16" t="str">
        <f>IF(売上入力!C29="","",売上入力!C29)</f>
        <v>天神</v>
      </c>
      <c r="D79" s="16" t="str">
        <f>IF(売上入力!D29="","",売上入力!D29)</f>
        <v>ホテル売上</v>
      </c>
      <c r="E79" s="89">
        <f>IFERROR(IF(売上入力!E29="",0,売上入力!E29*INDEX(マスター_OTA!$B$4:$B$29,MATCH(売上入力!D29,マスター_OTA!$A$4:$A$29,0))/100),0)</f>
        <v>26412</v>
      </c>
      <c r="F79" s="90">
        <f>IF(売上入力!A29="","",売上入力!A29)</f>
        <v>46143</v>
      </c>
      <c r="G79" s="16" t="s">
        <v>384</v>
      </c>
    </row>
    <row r="80" spans="1:7" ht="15" customHeight="1">
      <c r="A80" s="88">
        <f>IFERROR(IF(売上入力!A29="","",IF(INDEX(マスター_OTA!$C$4:$C$29,MATCH(売上入力!D29,マスター_OTA!$A$4:$A$29,0))=0,"",DATE(YEAR(売上入力!A29),MONTH(売上入力!A29)+1,IFERROR(INDEX(マスター_OTA!$F$4:$F$29,MATCH(売上入力!D29,マスター_OTA!$A$4:$A$29,0)),25)))),"")</f>
        <v>46183</v>
      </c>
      <c r="B80" s="16" t="str">
        <f>IF(売上入力!B29="","",売上入力!B29)</f>
        <v>リゾート</v>
      </c>
      <c r="C80" s="16" t="str">
        <f>IF(売上入力!C29="","",売上入力!C29)</f>
        <v>天神</v>
      </c>
      <c r="D80" s="16" t="str">
        <f>IF(売上入力!D29="","",売上入力!D29)</f>
        <v>ホテル売上</v>
      </c>
      <c r="E80" s="89">
        <f>IFERROR(IF(売上入力!E29="",0,売上入力!E29*INDEX(マスター_OTA!$C$4:$C$29,MATCH(売上入力!D29,マスター_OTA!$A$4:$A$29,0))/100),0)</f>
        <v>132060</v>
      </c>
      <c r="F80" s="90">
        <f>IF(売上入力!A29="","",売上入力!A29)</f>
        <v>46143</v>
      </c>
      <c r="G80" s="16" t="s">
        <v>385</v>
      </c>
    </row>
    <row r="81" spans="1:7" ht="15" customHeight="1">
      <c r="A81" s="88">
        <f>IFERROR(IF(売上入力!A29="","",IF(INDEX(マスター_OTA!$D$4:$D$29,MATCH(売上入力!D29,マスター_OTA!$A$4:$A$29,0))=0,"",DATE(YEAR(売上入力!A29),MONTH(売上入力!A29)+2,IFERROR(INDEX(マスター_OTA!$G$4:$G$29,MATCH(売上入力!D29,マスター_OTA!$A$4:$A$29,0)),25)))),"")</f>
        <v>46228</v>
      </c>
      <c r="B81" s="16" t="str">
        <f>IF(売上入力!B29="","",売上入力!B29)</f>
        <v>リゾート</v>
      </c>
      <c r="C81" s="16" t="str">
        <f>IF(売上入力!C29="","",売上入力!C29)</f>
        <v>天神</v>
      </c>
      <c r="D81" s="16" t="str">
        <f>IF(売上入力!D29="","",売上入力!D29)</f>
        <v>ホテル売上</v>
      </c>
      <c r="E81" s="89">
        <f>IFERROR(IF(売上入力!E29="",0,売上入力!E29*INDEX(マスター_OTA!$D$4:$D$29,MATCH(売上入力!D29,マスター_OTA!$A$4:$A$29,0))/100),0)</f>
        <v>17608</v>
      </c>
      <c r="F81" s="90">
        <f>IF(売上入力!A29="","",売上入力!A29)</f>
        <v>46143</v>
      </c>
      <c r="G81" s="16" t="s">
        <v>386</v>
      </c>
    </row>
    <row r="82" spans="1:7" ht="15" customHeight="1">
      <c r="A82" s="88">
        <f>IFERROR(IF(売上入力!A30="","",IF(INDEX(マスター_OTA!$B$4:$B$29,MATCH(売上入力!D30,マスター_OTA!$A$4:$A$29,0))=0,"",DATE(YEAR(売上入力!A30),MONTH(売上入力!A30),IFERROR(INDEX(マスター_OTA!$E$4:$E$29,MATCH(売上入力!D30,マスター_OTA!$A$4:$A$29,0)),28)))),"")</f>
        <v>46162</v>
      </c>
      <c r="B82" s="16" t="str">
        <f>IF(売上入力!B30="","",売上入力!B30)</f>
        <v>モーテル</v>
      </c>
      <c r="C82" s="16" t="str">
        <f>IF(売上入力!C30="","",売上入力!C30)</f>
        <v>弥山</v>
      </c>
      <c r="D82" s="16" t="str">
        <f>IF(売上入力!D30="","",売上入力!D30)</f>
        <v>ホテル売上</v>
      </c>
      <c r="E82" s="89">
        <f>IFERROR(IF(売上入力!E30="",0,売上入力!E30*INDEX(マスター_OTA!$B$4:$B$29,MATCH(売上入力!D30,マスター_OTA!$A$4:$A$29,0))/100),0)</f>
        <v>856137.3</v>
      </c>
      <c r="F82" s="90">
        <f>IF(売上入力!A30="","",売上入力!A30)</f>
        <v>46143</v>
      </c>
      <c r="G82" s="16" t="s">
        <v>384</v>
      </c>
    </row>
    <row r="83" spans="1:7" ht="15" customHeight="1">
      <c r="A83" s="88">
        <f>IFERROR(IF(売上入力!A30="","",IF(INDEX(マスター_OTA!$C$4:$C$29,MATCH(売上入力!D30,マスター_OTA!$A$4:$A$29,0))=0,"",DATE(YEAR(売上入力!A30),MONTH(売上入力!A30)+1,IFERROR(INDEX(マスター_OTA!$F$4:$F$29,MATCH(売上入力!D30,マスター_OTA!$A$4:$A$29,0)),25)))),"")</f>
        <v>46183</v>
      </c>
      <c r="B83" s="16" t="str">
        <f>IF(売上入力!B30="","",売上入力!B30)</f>
        <v>モーテル</v>
      </c>
      <c r="C83" s="16" t="str">
        <f>IF(売上入力!C30="","",売上入力!C30)</f>
        <v>弥山</v>
      </c>
      <c r="D83" s="16" t="str">
        <f>IF(売上入力!D30="","",売上入力!D30)</f>
        <v>ホテル売上</v>
      </c>
      <c r="E83" s="89">
        <f>IFERROR(IF(売上入力!E30="",0,売上入力!E30*INDEX(マスター_OTA!$C$4:$C$29,MATCH(売上入力!D30,マスター_OTA!$A$4:$A$29,0))/100),0)</f>
        <v>4280686.5</v>
      </c>
      <c r="F83" s="90">
        <f>IF(売上入力!A30="","",売上入力!A30)</f>
        <v>46143</v>
      </c>
      <c r="G83" s="16" t="s">
        <v>385</v>
      </c>
    </row>
    <row r="84" spans="1:7" ht="15" customHeight="1">
      <c r="A84" s="88">
        <f>IFERROR(IF(売上入力!A30="","",IF(INDEX(マスター_OTA!$D$4:$D$29,MATCH(売上入力!D30,マスター_OTA!$A$4:$A$29,0))=0,"",DATE(YEAR(売上入力!A30),MONTH(売上入力!A30)+2,IFERROR(INDEX(マスター_OTA!$G$4:$G$29,MATCH(売上入力!D30,マスター_OTA!$A$4:$A$29,0)),25)))),"")</f>
        <v>46228</v>
      </c>
      <c r="B84" s="16" t="str">
        <f>IF(売上入力!B30="","",売上入力!B30)</f>
        <v>モーテル</v>
      </c>
      <c r="C84" s="16" t="str">
        <f>IF(売上入力!C30="","",売上入力!C30)</f>
        <v>弥山</v>
      </c>
      <c r="D84" s="16" t="str">
        <f>IF(売上入力!D30="","",売上入力!D30)</f>
        <v>ホテル売上</v>
      </c>
      <c r="E84" s="89">
        <f>IFERROR(IF(売上入力!E30="",0,売上入力!E30*INDEX(マスター_OTA!$D$4:$D$29,MATCH(売上入力!D30,マスター_OTA!$A$4:$A$29,0))/100),0)</f>
        <v>570758.19999999995</v>
      </c>
      <c r="F84" s="90">
        <f>IF(売上入力!A30="","",売上入力!A30)</f>
        <v>46143</v>
      </c>
      <c r="G84" s="16" t="s">
        <v>386</v>
      </c>
    </row>
    <row r="85" spans="1:7" ht="15" customHeight="1">
      <c r="A85" s="88">
        <f>IFERROR(IF(売上入力!A31="","",IF(INDEX(マスター_OTA!$B$4:$B$29,MATCH(売上入力!D31,マスター_OTA!$A$4:$A$29,0))=0,"",DATE(YEAR(売上入力!A31),MONTH(売上入力!A31),IFERROR(INDEX(マスター_OTA!$E$4:$E$29,MATCH(売上入力!D31,マスター_OTA!$A$4:$A$29,0)),28)))),"")</f>
        <v>46162</v>
      </c>
      <c r="B85" s="16" t="str">
        <f>IF(売上入力!B31="","",売上入力!B31)</f>
        <v>リゾート</v>
      </c>
      <c r="C85" s="16" t="str">
        <f>IF(売上入力!C31="","",売上入力!C31)</f>
        <v>本川</v>
      </c>
      <c r="D85" s="16" t="str">
        <f>IF(売上入力!D31="","",売上入力!D31)</f>
        <v>ホテル売上</v>
      </c>
      <c r="E85" s="89">
        <f>IFERROR(IF(売上入力!E31="",0,売上入力!E31*INDEX(マスター_OTA!$B$4:$B$29,MATCH(売上入力!D31,マスター_OTA!$A$4:$A$29,0))/100),0)</f>
        <v>234043.8</v>
      </c>
      <c r="F85" s="90">
        <f>IF(売上入力!A31="","",売上入力!A31)</f>
        <v>46143</v>
      </c>
      <c r="G85" s="16" t="s">
        <v>384</v>
      </c>
    </row>
    <row r="86" spans="1:7" ht="15" customHeight="1">
      <c r="A86" s="88">
        <f>IFERROR(IF(売上入力!A31="","",IF(INDEX(マスター_OTA!$C$4:$C$29,MATCH(売上入力!D31,マスター_OTA!$A$4:$A$29,0))=0,"",DATE(YEAR(売上入力!A31),MONTH(売上入力!A31)+1,IFERROR(INDEX(マスター_OTA!$F$4:$F$29,MATCH(売上入力!D31,マスター_OTA!$A$4:$A$29,0)),25)))),"")</f>
        <v>46183</v>
      </c>
      <c r="B86" s="16" t="str">
        <f>IF(売上入力!B31="","",売上入力!B31)</f>
        <v>リゾート</v>
      </c>
      <c r="C86" s="16" t="str">
        <f>IF(売上入力!C31="","",売上入力!C31)</f>
        <v>本川</v>
      </c>
      <c r="D86" s="16" t="str">
        <f>IF(売上入力!D31="","",売上入力!D31)</f>
        <v>ホテル売上</v>
      </c>
      <c r="E86" s="89">
        <f>IFERROR(IF(売上入力!E31="",0,売上入力!E31*INDEX(マスター_OTA!$C$4:$C$29,MATCH(売上入力!D31,マスター_OTA!$A$4:$A$29,0))/100),0)</f>
        <v>1170219</v>
      </c>
      <c r="F86" s="90">
        <f>IF(売上入力!A31="","",売上入力!A31)</f>
        <v>46143</v>
      </c>
      <c r="G86" s="16" t="s">
        <v>385</v>
      </c>
    </row>
    <row r="87" spans="1:7" ht="15" customHeight="1">
      <c r="A87" s="88">
        <f>IFERROR(IF(売上入力!A31="","",IF(INDEX(マスター_OTA!$D$4:$D$29,MATCH(売上入力!D31,マスター_OTA!$A$4:$A$29,0))=0,"",DATE(YEAR(売上入力!A31),MONTH(売上入力!A31)+2,IFERROR(INDEX(マスター_OTA!$G$4:$G$29,MATCH(売上入力!D31,マスター_OTA!$A$4:$A$29,0)),25)))),"")</f>
        <v>46228</v>
      </c>
      <c r="B87" s="16" t="str">
        <f>IF(売上入力!B31="","",売上入力!B31)</f>
        <v>リゾート</v>
      </c>
      <c r="C87" s="16" t="str">
        <f>IF(売上入力!C31="","",売上入力!C31)</f>
        <v>本川</v>
      </c>
      <c r="D87" s="16" t="str">
        <f>IF(売上入力!D31="","",売上入力!D31)</f>
        <v>ホテル売上</v>
      </c>
      <c r="E87" s="89">
        <f>IFERROR(IF(売上入力!E31="",0,売上入力!E31*INDEX(マスター_OTA!$D$4:$D$29,MATCH(売上入力!D31,マスター_OTA!$A$4:$A$29,0))/100),0)</f>
        <v>156029.20000000001</v>
      </c>
      <c r="F87" s="90">
        <f>IF(売上入力!A31="","",売上入力!A31)</f>
        <v>46143</v>
      </c>
      <c r="G87" s="16" t="s">
        <v>386</v>
      </c>
    </row>
    <row r="88" spans="1:7" ht="15" customHeight="1">
      <c r="A88" s="88">
        <f>IFERROR(IF(売上入力!A32="","",IF(INDEX(マスター_OTA!$B$4:$B$29,MATCH(売上入力!D32,マスター_OTA!$A$4:$A$29,0))=0,"",DATE(YEAR(売上入力!A32),MONTH(売上入力!A32),IFERROR(INDEX(マスター_OTA!$E$4:$E$29,MATCH(売上入力!D32,マスター_OTA!$A$4:$A$29,0)),28)))),"")</f>
        <v>46162</v>
      </c>
      <c r="B88" s="16" t="str">
        <f>IF(売上入力!B32="","",売上入力!B32)</f>
        <v>リゾート</v>
      </c>
      <c r="C88" s="16" t="str">
        <f>IF(売上入力!C32="","",売上入力!C32)</f>
        <v>温井</v>
      </c>
      <c r="D88" s="16" t="str">
        <f>IF(売上入力!D32="","",売上入力!D32)</f>
        <v>ホテル売上</v>
      </c>
      <c r="E88" s="89">
        <f>IFERROR(IF(売上入力!E32="",0,売上入力!E32*INDEX(マスター_OTA!$B$4:$B$29,MATCH(売上入力!D32,マスター_OTA!$A$4:$A$29,0))/100),0)</f>
        <v>684609.3</v>
      </c>
      <c r="F88" s="90">
        <f>IF(売上入力!A32="","",売上入力!A32)</f>
        <v>46143</v>
      </c>
      <c r="G88" s="16" t="s">
        <v>384</v>
      </c>
    </row>
    <row r="89" spans="1:7" ht="15" customHeight="1">
      <c r="A89" s="88">
        <f>IFERROR(IF(売上入力!A32="","",IF(INDEX(マスター_OTA!$C$4:$C$29,MATCH(売上入力!D32,マスター_OTA!$A$4:$A$29,0))=0,"",DATE(YEAR(売上入力!A32),MONTH(売上入力!A32)+1,IFERROR(INDEX(マスター_OTA!$F$4:$F$29,MATCH(売上入力!D32,マスター_OTA!$A$4:$A$29,0)),25)))),"")</f>
        <v>46183</v>
      </c>
      <c r="B89" s="16" t="str">
        <f>IF(売上入力!B32="","",売上入力!B32)</f>
        <v>リゾート</v>
      </c>
      <c r="C89" s="16" t="str">
        <f>IF(売上入力!C32="","",売上入力!C32)</f>
        <v>温井</v>
      </c>
      <c r="D89" s="16" t="str">
        <f>IF(売上入力!D32="","",売上入力!D32)</f>
        <v>ホテル売上</v>
      </c>
      <c r="E89" s="89">
        <f>IFERROR(IF(売上入力!E32="",0,売上入力!E32*INDEX(マスター_OTA!$C$4:$C$29,MATCH(売上入力!D32,マスター_OTA!$A$4:$A$29,0))/100),0)</f>
        <v>3423046.5</v>
      </c>
      <c r="F89" s="90">
        <f>IF(売上入力!A32="","",売上入力!A32)</f>
        <v>46143</v>
      </c>
      <c r="G89" s="16" t="s">
        <v>385</v>
      </c>
    </row>
    <row r="90" spans="1:7" ht="15" customHeight="1">
      <c r="A90" s="88">
        <f>IFERROR(IF(売上入力!A32="","",IF(INDEX(マスター_OTA!$D$4:$D$29,MATCH(売上入力!D32,マスター_OTA!$A$4:$A$29,0))=0,"",DATE(YEAR(売上入力!A32),MONTH(売上入力!A32)+2,IFERROR(INDEX(マスター_OTA!$G$4:$G$29,MATCH(売上入力!D32,マスター_OTA!$A$4:$A$29,0)),25)))),"")</f>
        <v>46228</v>
      </c>
      <c r="B90" s="16" t="str">
        <f>IF(売上入力!B32="","",売上入力!B32)</f>
        <v>リゾート</v>
      </c>
      <c r="C90" s="16" t="str">
        <f>IF(売上入力!C32="","",売上入力!C32)</f>
        <v>温井</v>
      </c>
      <c r="D90" s="16" t="str">
        <f>IF(売上入力!D32="","",売上入力!D32)</f>
        <v>ホテル売上</v>
      </c>
      <c r="E90" s="89">
        <f>IFERROR(IF(売上入力!E32="",0,売上入力!E32*INDEX(マスター_OTA!$D$4:$D$29,MATCH(売上入力!D32,マスター_OTA!$A$4:$A$29,0))/100),0)</f>
        <v>456406.2</v>
      </c>
      <c r="F90" s="90">
        <f>IF(売上入力!A32="","",売上入力!A32)</f>
        <v>46143</v>
      </c>
      <c r="G90" s="16" t="s">
        <v>386</v>
      </c>
    </row>
    <row r="91" spans="1:7" ht="15" customHeight="1">
      <c r="A91" s="88">
        <f>IFERROR(IF(売上入力!A33="","",IF(INDEX(マスター_OTA!$B$4:$B$29,MATCH(売上入力!D33,マスター_OTA!$A$4:$A$29,0))=0,"",DATE(YEAR(売上入力!A33),MONTH(売上入力!A33),IFERROR(INDEX(マスター_OTA!$E$4:$E$29,MATCH(売上入力!D33,マスター_OTA!$A$4:$A$29,0)),28)))),"")</f>
        <v>46162</v>
      </c>
      <c r="B91" s="16" t="str">
        <f>IF(売上入力!B33="","",売上入力!B33)</f>
        <v>リゾート</v>
      </c>
      <c r="C91" s="16" t="str">
        <f>IF(売上入力!C33="","",売上入力!C33)</f>
        <v>玖波</v>
      </c>
      <c r="D91" s="16" t="str">
        <f>IF(売上入力!D33="","",売上入力!D33)</f>
        <v>ホテル売上</v>
      </c>
      <c r="E91" s="89">
        <f>IFERROR(IF(売上入力!E33="",0,売上入力!E33*INDEX(マスター_OTA!$B$4:$B$29,MATCH(売上入力!D33,マスター_OTA!$A$4:$A$29,0))/100),0)</f>
        <v>42075</v>
      </c>
      <c r="F91" s="90">
        <f>IF(売上入力!A33="","",売上入力!A33)</f>
        <v>46143</v>
      </c>
      <c r="G91" s="16" t="s">
        <v>384</v>
      </c>
    </row>
    <row r="92" spans="1:7" ht="15" customHeight="1">
      <c r="A92" s="88">
        <f>IFERROR(IF(売上入力!A33="","",IF(INDEX(マスター_OTA!$C$4:$C$29,MATCH(売上入力!D33,マスター_OTA!$A$4:$A$29,0))=0,"",DATE(YEAR(売上入力!A33),MONTH(売上入力!A33)+1,IFERROR(INDEX(マスター_OTA!$F$4:$F$29,MATCH(売上入力!D33,マスター_OTA!$A$4:$A$29,0)),25)))),"")</f>
        <v>46183</v>
      </c>
      <c r="B92" s="16" t="str">
        <f>IF(売上入力!B33="","",売上入力!B33)</f>
        <v>リゾート</v>
      </c>
      <c r="C92" s="16" t="str">
        <f>IF(売上入力!C33="","",売上入力!C33)</f>
        <v>玖波</v>
      </c>
      <c r="D92" s="16" t="str">
        <f>IF(売上入力!D33="","",売上入力!D33)</f>
        <v>ホテル売上</v>
      </c>
      <c r="E92" s="89">
        <f>IFERROR(IF(売上入力!E33="",0,売上入力!E33*INDEX(マスター_OTA!$C$4:$C$29,MATCH(売上入力!D33,マスター_OTA!$A$4:$A$29,0))/100),0)</f>
        <v>210375</v>
      </c>
      <c r="F92" s="90">
        <f>IF(売上入力!A33="","",売上入力!A33)</f>
        <v>46143</v>
      </c>
      <c r="G92" s="16" t="s">
        <v>385</v>
      </c>
    </row>
    <row r="93" spans="1:7" ht="15" customHeight="1">
      <c r="A93" s="88">
        <f>IFERROR(IF(売上入力!A33="","",IF(INDEX(マスター_OTA!$D$4:$D$29,MATCH(売上入力!D33,マスター_OTA!$A$4:$A$29,0))=0,"",DATE(YEAR(売上入力!A33),MONTH(売上入力!A33)+2,IFERROR(INDEX(マスター_OTA!$G$4:$G$29,MATCH(売上入力!D33,マスター_OTA!$A$4:$A$29,0)),25)))),"")</f>
        <v>46228</v>
      </c>
      <c r="B93" s="16" t="str">
        <f>IF(売上入力!B33="","",売上入力!B33)</f>
        <v>リゾート</v>
      </c>
      <c r="C93" s="16" t="str">
        <f>IF(売上入力!C33="","",売上入力!C33)</f>
        <v>玖波</v>
      </c>
      <c r="D93" s="16" t="str">
        <f>IF(売上入力!D33="","",売上入力!D33)</f>
        <v>ホテル売上</v>
      </c>
      <c r="E93" s="89">
        <f>IFERROR(IF(売上入力!E33="",0,売上入力!E33*INDEX(マスター_OTA!$D$4:$D$29,MATCH(売上入力!D33,マスター_OTA!$A$4:$A$29,0))/100),0)</f>
        <v>28050</v>
      </c>
      <c r="F93" s="90">
        <f>IF(売上入力!A33="","",売上入力!A33)</f>
        <v>46143</v>
      </c>
      <c r="G93" s="16" t="s">
        <v>386</v>
      </c>
    </row>
    <row r="94" spans="1:7" ht="15" customHeight="1">
      <c r="A94" s="88" t="str">
        <f>IFERROR(IF(売上入力!A34="","",IF(INDEX(マスター_OTA!$B$4:$B$29,MATCH(売上入力!D34,マスター_OTA!$A$4:$A$29,0))=0,"",DATE(YEAR(売上入力!A34),MONTH(売上入力!A34),IFERROR(INDEX(マスター_OTA!$E$4:$E$29,MATCH(売上入力!D34,マスター_OTA!$A$4:$A$29,0)),28)))),"")</f>
        <v/>
      </c>
      <c r="B94" s="16" t="str">
        <f>IF(売上入力!B34="","",売上入力!B34)</f>
        <v>リゾート</v>
      </c>
      <c r="C94" s="16" t="str">
        <f>IF(売上入力!C34="","",売上入力!C34)</f>
        <v>竹原（ﾚｽﾄﾗﾝ含む）</v>
      </c>
      <c r="D94" s="16" t="str">
        <f>IF(売上入力!D34="","",売上入力!D34)</f>
        <v>竹原市</v>
      </c>
      <c r="E94" s="89">
        <f>IFERROR(IF(売上入力!E34="",0,売上入力!E34*INDEX(マスター_OTA!$B$4:$B$29,MATCH(売上入力!D34,マスター_OTA!$A$4:$A$29,0))/100),0)</f>
        <v>0</v>
      </c>
      <c r="F94" s="90">
        <f>IF(売上入力!A34="","",売上入力!A34)</f>
        <v>46143</v>
      </c>
      <c r="G94" s="16" t="s">
        <v>384</v>
      </c>
    </row>
    <row r="95" spans="1:7" ht="15" customHeight="1">
      <c r="A95" s="88">
        <f>IFERROR(IF(売上入力!A34="","",IF(INDEX(マスター_OTA!$C$4:$C$29,MATCH(売上入力!D34,マスター_OTA!$A$4:$A$29,0))=0,"",DATE(YEAR(売上入力!A34),MONTH(売上入力!A34)+1,IFERROR(INDEX(マスター_OTA!$F$4:$F$29,MATCH(売上入力!D34,マスター_OTA!$A$4:$A$29,0)),25)))),"")</f>
        <v>46188</v>
      </c>
      <c r="B95" s="16" t="str">
        <f>IF(売上入力!B34="","",売上入力!B34)</f>
        <v>リゾート</v>
      </c>
      <c r="C95" s="16" t="str">
        <f>IF(売上入力!C34="","",売上入力!C34)</f>
        <v>竹原（ﾚｽﾄﾗﾝ含む）</v>
      </c>
      <c r="D95" s="16" t="str">
        <f>IF(売上入力!D34="","",売上入力!D34)</f>
        <v>竹原市</v>
      </c>
      <c r="E95" s="89">
        <f>IFERROR(IF(売上入力!E34="",0,売上入力!E34*INDEX(マスター_OTA!$C$4:$C$29,MATCH(売上入力!D34,マスター_OTA!$A$4:$A$29,0))/100),0)</f>
        <v>789000</v>
      </c>
      <c r="F95" s="90">
        <f>IF(売上入力!A34="","",売上入力!A34)</f>
        <v>46143</v>
      </c>
      <c r="G95" s="16" t="s">
        <v>385</v>
      </c>
    </row>
    <row r="96" spans="1:7" ht="15" customHeight="1">
      <c r="A96" s="88" t="str">
        <f>IFERROR(IF(売上入力!A34="","",IF(INDEX(マスター_OTA!$D$4:$D$29,MATCH(売上入力!D34,マスター_OTA!$A$4:$A$29,0))=0,"",DATE(YEAR(売上入力!A34),MONTH(売上入力!A34)+2,IFERROR(INDEX(マスター_OTA!$G$4:$G$29,MATCH(売上入力!D34,マスター_OTA!$A$4:$A$29,0)),25)))),"")</f>
        <v/>
      </c>
      <c r="B96" s="16" t="str">
        <f>IF(売上入力!B34="","",売上入力!B34)</f>
        <v>リゾート</v>
      </c>
      <c r="C96" s="16" t="str">
        <f>IF(売上入力!C34="","",売上入力!C34)</f>
        <v>竹原（ﾚｽﾄﾗﾝ含む）</v>
      </c>
      <c r="D96" s="16" t="str">
        <f>IF(売上入力!D34="","",売上入力!D34)</f>
        <v>竹原市</v>
      </c>
      <c r="E96" s="89">
        <f>IFERROR(IF(売上入力!E34="",0,売上入力!E34*INDEX(マスター_OTA!$D$4:$D$29,MATCH(売上入力!D34,マスター_OTA!$A$4:$A$29,0))/100),0)</f>
        <v>0</v>
      </c>
      <c r="F96" s="90">
        <f>IF(売上入力!A34="","",売上入力!A34)</f>
        <v>46143</v>
      </c>
      <c r="G96" s="16" t="s">
        <v>386</v>
      </c>
    </row>
    <row r="97" spans="1:7" ht="15" customHeight="1">
      <c r="A97" s="88">
        <f>IFERROR(IF(売上入力!A35="","",IF(INDEX(マスター_OTA!$B$4:$B$29,MATCH(売上入力!D35,マスター_OTA!$A$4:$A$29,0))=0,"",DATE(YEAR(売上入力!A35),MONTH(売上入力!A35),IFERROR(INDEX(マスター_OTA!$E$4:$E$29,MATCH(売上入力!D35,マスター_OTA!$A$4:$A$29,0)),28)))),"")</f>
        <v>46193</v>
      </c>
      <c r="B97" s="16" t="str">
        <f>IF(売上入力!B35="","",売上入力!B35)</f>
        <v>リゾート</v>
      </c>
      <c r="C97" s="16" t="str">
        <f>IF(売上入力!C35="","",売上入力!C35)</f>
        <v>Otake</v>
      </c>
      <c r="D97" s="16" t="str">
        <f>IF(売上入力!D35="","",売上入力!D35)</f>
        <v>売上</v>
      </c>
      <c r="E97" s="89">
        <f>IFERROR(IF(売上入力!E35="",0,売上入力!E35*INDEX(マスター_OTA!$B$4:$B$29,MATCH(売上入力!D35,マスター_OTA!$A$4:$A$29,0))/100),0)</f>
        <v>10875</v>
      </c>
      <c r="F97" s="90">
        <f>IF(売上入力!A35="","",売上入力!A35)</f>
        <v>46174</v>
      </c>
      <c r="G97" s="16" t="s">
        <v>384</v>
      </c>
    </row>
    <row r="98" spans="1:7" ht="15" customHeight="1">
      <c r="A98" s="88">
        <f>IFERROR(IF(売上入力!A35="","",IF(INDEX(マスター_OTA!$C$4:$C$29,MATCH(売上入力!D35,マスター_OTA!$A$4:$A$29,0))=0,"",DATE(YEAR(売上入力!A35),MONTH(売上入力!A35)+1,IFERROR(INDEX(マスター_OTA!$F$4:$F$29,MATCH(売上入力!D35,マスター_OTA!$A$4:$A$29,0)),25)))),"")</f>
        <v>46213</v>
      </c>
      <c r="B98" s="16" t="str">
        <f>IF(売上入力!B35="","",売上入力!B35)</f>
        <v>リゾート</v>
      </c>
      <c r="C98" s="16" t="str">
        <f>IF(売上入力!C35="","",売上入力!C35)</f>
        <v>Otake</v>
      </c>
      <c r="D98" s="16" t="str">
        <f>IF(売上入力!D35="","",売上入力!D35)</f>
        <v>売上</v>
      </c>
      <c r="E98" s="89">
        <f>IFERROR(IF(売上入力!E35="",0,売上入力!E35*INDEX(マスター_OTA!$C$4:$C$29,MATCH(売上入力!D35,マスター_OTA!$A$4:$A$29,0))/100),0)</f>
        <v>54375</v>
      </c>
      <c r="F98" s="90">
        <f>IF(売上入力!A35="","",売上入力!A35)</f>
        <v>46174</v>
      </c>
      <c r="G98" s="16" t="s">
        <v>385</v>
      </c>
    </row>
    <row r="99" spans="1:7" ht="15" customHeight="1">
      <c r="A99" s="88">
        <f>IFERROR(IF(売上入力!A35="","",IF(INDEX(マスター_OTA!$D$4:$D$29,MATCH(売上入力!D35,マスター_OTA!$A$4:$A$29,0))=0,"",DATE(YEAR(売上入力!A35),MONTH(売上入力!A35)+2,IFERROR(INDEX(マスター_OTA!$G$4:$G$29,MATCH(売上入力!D35,マスター_OTA!$A$4:$A$29,0)),25)))),"")</f>
        <v>46259</v>
      </c>
      <c r="B99" s="16" t="str">
        <f>IF(売上入力!B35="","",売上入力!B35)</f>
        <v>リゾート</v>
      </c>
      <c r="C99" s="16" t="str">
        <f>IF(売上入力!C35="","",売上入力!C35)</f>
        <v>Otake</v>
      </c>
      <c r="D99" s="16" t="str">
        <f>IF(売上入力!D35="","",売上入力!D35)</f>
        <v>売上</v>
      </c>
      <c r="E99" s="89">
        <f>IFERROR(IF(売上入力!E35="",0,売上入力!E35*INDEX(マスター_OTA!$D$4:$D$29,MATCH(売上入力!D35,マスター_OTA!$A$4:$A$29,0))/100),0)</f>
        <v>7250</v>
      </c>
      <c r="F99" s="90">
        <f>IF(売上入力!A35="","",売上入力!A35)</f>
        <v>46174</v>
      </c>
      <c r="G99" s="16" t="s">
        <v>386</v>
      </c>
    </row>
    <row r="100" spans="1:7" ht="15" customHeight="1">
      <c r="A100" s="88">
        <f>IFERROR(IF(売上入力!A36="","",IF(INDEX(マスター_OTA!$B$4:$B$29,MATCH(売上入力!D36,マスター_OTA!$A$4:$A$29,0))=0,"",DATE(YEAR(売上入力!A36),MONTH(売上入力!A36),IFERROR(INDEX(マスター_OTA!$E$4:$E$29,MATCH(売上入力!D36,マスター_OTA!$A$4:$A$29,0)),28)))),"")</f>
        <v>46193</v>
      </c>
      <c r="B100" s="16" t="str">
        <f>IF(売上入力!B36="","",売上入力!B36)</f>
        <v>リゾート</v>
      </c>
      <c r="C100" s="16" t="str">
        <f>IF(売上入力!C36="","",売上入力!C36)</f>
        <v>TAKAYA</v>
      </c>
      <c r="D100" s="16" t="str">
        <f>IF(売上入力!D36="","",売上入力!D36)</f>
        <v>売上</v>
      </c>
      <c r="E100" s="89">
        <f>IFERROR(IF(売上入力!E36="",0,売上入力!E36*INDEX(マスター_OTA!$B$4:$B$29,MATCH(売上入力!D36,マスター_OTA!$A$4:$A$29,0))/100),0)</f>
        <v>50637.599999999999</v>
      </c>
      <c r="F100" s="90">
        <f>IF(売上入力!A36="","",売上入力!A36)</f>
        <v>46174</v>
      </c>
      <c r="G100" s="16" t="s">
        <v>384</v>
      </c>
    </row>
    <row r="101" spans="1:7" ht="15" customHeight="1">
      <c r="A101" s="88">
        <f>IFERROR(IF(売上入力!A36="","",IF(INDEX(マスター_OTA!$C$4:$C$29,MATCH(売上入力!D36,マスター_OTA!$A$4:$A$29,0))=0,"",DATE(YEAR(売上入力!A36),MONTH(売上入力!A36)+1,IFERROR(INDEX(マスター_OTA!$F$4:$F$29,MATCH(売上入力!D36,マスター_OTA!$A$4:$A$29,0)),25)))),"")</f>
        <v>46213</v>
      </c>
      <c r="B101" s="16" t="str">
        <f>IF(売上入力!B36="","",売上入力!B36)</f>
        <v>リゾート</v>
      </c>
      <c r="C101" s="16" t="str">
        <f>IF(売上入力!C36="","",売上入力!C36)</f>
        <v>TAKAYA</v>
      </c>
      <c r="D101" s="16" t="str">
        <f>IF(売上入力!D36="","",売上入力!D36)</f>
        <v>売上</v>
      </c>
      <c r="E101" s="89">
        <f>IFERROR(IF(売上入力!E36="",0,売上入力!E36*INDEX(マスター_OTA!$C$4:$C$29,MATCH(売上入力!D36,マスター_OTA!$A$4:$A$29,0))/100),0)</f>
        <v>253188</v>
      </c>
      <c r="F101" s="90">
        <f>IF(売上入力!A36="","",売上入力!A36)</f>
        <v>46174</v>
      </c>
      <c r="G101" s="16" t="s">
        <v>385</v>
      </c>
    </row>
    <row r="102" spans="1:7" ht="15" customHeight="1">
      <c r="A102" s="88">
        <f>IFERROR(IF(売上入力!A36="","",IF(INDEX(マスター_OTA!$D$4:$D$29,MATCH(売上入力!D36,マスター_OTA!$A$4:$A$29,0))=0,"",DATE(YEAR(売上入力!A36),MONTH(売上入力!A36)+2,IFERROR(INDEX(マスター_OTA!$G$4:$G$29,MATCH(売上入力!D36,マスター_OTA!$A$4:$A$29,0)),25)))),"")</f>
        <v>46259</v>
      </c>
      <c r="B102" s="16" t="str">
        <f>IF(売上入力!B36="","",売上入力!B36)</f>
        <v>リゾート</v>
      </c>
      <c r="C102" s="16" t="str">
        <f>IF(売上入力!C36="","",売上入力!C36)</f>
        <v>TAKAYA</v>
      </c>
      <c r="D102" s="16" t="str">
        <f>IF(売上入力!D36="","",売上入力!D36)</f>
        <v>売上</v>
      </c>
      <c r="E102" s="89">
        <f>IFERROR(IF(売上入力!E36="",0,売上入力!E36*INDEX(マスター_OTA!$D$4:$D$29,MATCH(売上入力!D36,マスター_OTA!$A$4:$A$29,0))/100),0)</f>
        <v>33758.400000000001</v>
      </c>
      <c r="F102" s="90">
        <f>IF(売上入力!A36="","",売上入力!A36)</f>
        <v>46174</v>
      </c>
      <c r="G102" s="16" t="s">
        <v>386</v>
      </c>
    </row>
    <row r="103" spans="1:7" ht="15" customHeight="1">
      <c r="A103" s="88">
        <f>IFERROR(IF(売上入力!A37="","",IF(INDEX(マスター_OTA!$B$4:$B$29,MATCH(売上入力!D37,マスター_OTA!$A$4:$A$29,0))=0,"",DATE(YEAR(売上入力!A37),MONTH(売上入力!A37),IFERROR(INDEX(マスター_OTA!$E$4:$E$29,MATCH(売上入力!D37,マスター_OTA!$A$4:$A$29,0)),28)))),"")</f>
        <v>46193</v>
      </c>
      <c r="B103" s="16" t="str">
        <f>IF(売上入力!B37="","",売上入力!B37)</f>
        <v>リゾート</v>
      </c>
      <c r="C103" s="16" t="str">
        <f>IF(売上入力!C37="","",売上入力!C37)</f>
        <v>VIEW</v>
      </c>
      <c r="D103" s="16" t="str">
        <f>IF(売上入力!D37="","",売上入力!D37)</f>
        <v>ホテル売上</v>
      </c>
      <c r="E103" s="89">
        <f>IFERROR(IF(売上入力!E37="",0,売上入力!E37*INDEX(マスター_OTA!$B$4:$B$29,MATCH(売上入力!D37,マスター_OTA!$A$4:$A$29,0))/100),0)</f>
        <v>161005.5</v>
      </c>
      <c r="F103" s="90">
        <f>IF(売上入力!A37="","",売上入力!A37)</f>
        <v>46174</v>
      </c>
      <c r="G103" s="16" t="s">
        <v>384</v>
      </c>
    </row>
    <row r="104" spans="1:7" ht="15" customHeight="1">
      <c r="A104" s="88">
        <f>IFERROR(IF(売上入力!A37="","",IF(INDEX(マスター_OTA!$C$4:$C$29,MATCH(売上入力!D37,マスター_OTA!$A$4:$A$29,0))=0,"",DATE(YEAR(売上入力!A37),MONTH(売上入力!A37)+1,IFERROR(INDEX(マスター_OTA!$F$4:$F$29,MATCH(売上入力!D37,マスター_OTA!$A$4:$A$29,0)),25)))),"")</f>
        <v>46213</v>
      </c>
      <c r="B104" s="16" t="str">
        <f>IF(売上入力!B37="","",売上入力!B37)</f>
        <v>リゾート</v>
      </c>
      <c r="C104" s="16" t="str">
        <f>IF(売上入力!C37="","",売上入力!C37)</f>
        <v>VIEW</v>
      </c>
      <c r="D104" s="16" t="str">
        <f>IF(売上入力!D37="","",売上入力!D37)</f>
        <v>ホテル売上</v>
      </c>
      <c r="E104" s="89">
        <f>IFERROR(IF(売上入力!E37="",0,売上入力!E37*INDEX(マスター_OTA!$C$4:$C$29,MATCH(売上入力!D37,マスター_OTA!$A$4:$A$29,0))/100),0)</f>
        <v>805027.5</v>
      </c>
      <c r="F104" s="90">
        <f>IF(売上入力!A37="","",売上入力!A37)</f>
        <v>46174</v>
      </c>
      <c r="G104" s="16" t="s">
        <v>385</v>
      </c>
    </row>
    <row r="105" spans="1:7" ht="15" customHeight="1">
      <c r="A105" s="88">
        <f>IFERROR(IF(売上入力!A37="","",IF(INDEX(マスター_OTA!$D$4:$D$29,MATCH(売上入力!D37,マスター_OTA!$A$4:$A$29,0))=0,"",DATE(YEAR(売上入力!A37),MONTH(売上入力!A37)+2,IFERROR(INDEX(マスター_OTA!$G$4:$G$29,MATCH(売上入力!D37,マスター_OTA!$A$4:$A$29,0)),25)))),"")</f>
        <v>46259</v>
      </c>
      <c r="B105" s="16" t="str">
        <f>IF(売上入力!B37="","",売上入力!B37)</f>
        <v>リゾート</v>
      </c>
      <c r="C105" s="16" t="str">
        <f>IF(売上入力!C37="","",売上入力!C37)</f>
        <v>VIEW</v>
      </c>
      <c r="D105" s="16" t="str">
        <f>IF(売上入力!D37="","",売上入力!D37)</f>
        <v>ホテル売上</v>
      </c>
      <c r="E105" s="89">
        <f>IFERROR(IF(売上入力!E37="",0,売上入力!E37*INDEX(マスター_OTA!$D$4:$D$29,MATCH(売上入力!D37,マスター_OTA!$A$4:$A$29,0))/100),0)</f>
        <v>107337</v>
      </c>
      <c r="F105" s="90">
        <f>IF(売上入力!A37="","",売上入力!A37)</f>
        <v>46174</v>
      </c>
      <c r="G105" s="16" t="s">
        <v>386</v>
      </c>
    </row>
    <row r="106" spans="1:7" ht="15" customHeight="1">
      <c r="A106" s="88">
        <f>IFERROR(IF(売上入力!A38="","",IF(INDEX(マスター_OTA!$B$4:$B$29,MATCH(売上入力!D38,マスター_OTA!$A$4:$A$29,0))=0,"",DATE(YEAR(売上入力!A38),MONTH(売上入力!A38),IFERROR(INDEX(マスター_OTA!$E$4:$E$29,MATCH(売上入力!D38,マスター_OTA!$A$4:$A$29,0)),28)))),"")</f>
        <v>46193</v>
      </c>
      <c r="B106" s="16" t="str">
        <f>IF(売上入力!B38="","",売上入力!B38)</f>
        <v>リゾート</v>
      </c>
      <c r="C106" s="16" t="str">
        <f>IF(売上入力!C38="","",売上入力!C38)</f>
        <v>de Lune</v>
      </c>
      <c r="D106" s="16" t="str">
        <f>IF(売上入力!D38="","",売上入力!D38)</f>
        <v>ホテル売上</v>
      </c>
      <c r="E106" s="89">
        <f>IFERROR(IF(売上入力!E38="",0,売上入力!E38*INDEX(マスター_OTA!$B$4:$B$29,MATCH(売上入力!D38,マスター_OTA!$A$4:$A$29,0))/100),0)</f>
        <v>722514.9</v>
      </c>
      <c r="F106" s="90">
        <f>IF(売上入力!A38="","",売上入力!A38)</f>
        <v>46174</v>
      </c>
      <c r="G106" s="16" t="s">
        <v>384</v>
      </c>
    </row>
    <row r="107" spans="1:7" ht="15" customHeight="1">
      <c r="A107" s="88">
        <f>IFERROR(IF(売上入力!A38="","",IF(INDEX(マスター_OTA!$C$4:$C$29,MATCH(売上入力!D38,マスター_OTA!$A$4:$A$29,0))=0,"",DATE(YEAR(売上入力!A38),MONTH(売上入力!A38)+1,IFERROR(INDEX(マスター_OTA!$F$4:$F$29,MATCH(売上入力!D38,マスター_OTA!$A$4:$A$29,0)),25)))),"")</f>
        <v>46213</v>
      </c>
      <c r="B107" s="16" t="str">
        <f>IF(売上入力!B38="","",売上入力!B38)</f>
        <v>リゾート</v>
      </c>
      <c r="C107" s="16" t="str">
        <f>IF(売上入力!C38="","",売上入力!C38)</f>
        <v>de Lune</v>
      </c>
      <c r="D107" s="16" t="str">
        <f>IF(売上入力!D38="","",売上入力!D38)</f>
        <v>ホテル売上</v>
      </c>
      <c r="E107" s="89">
        <f>IFERROR(IF(売上入力!E38="",0,売上入力!E38*INDEX(マスター_OTA!$C$4:$C$29,MATCH(売上入力!D38,マスター_OTA!$A$4:$A$29,0))/100),0)</f>
        <v>3612574.5</v>
      </c>
      <c r="F107" s="90">
        <f>IF(売上入力!A38="","",売上入力!A38)</f>
        <v>46174</v>
      </c>
      <c r="G107" s="16" t="s">
        <v>385</v>
      </c>
    </row>
    <row r="108" spans="1:7" ht="15" customHeight="1">
      <c r="A108" s="88">
        <f>IFERROR(IF(売上入力!A38="","",IF(INDEX(マスター_OTA!$D$4:$D$29,MATCH(売上入力!D38,マスター_OTA!$A$4:$A$29,0))=0,"",DATE(YEAR(売上入力!A38),MONTH(売上入力!A38)+2,IFERROR(INDEX(マスター_OTA!$G$4:$G$29,MATCH(売上入力!D38,マスター_OTA!$A$4:$A$29,0)),25)))),"")</f>
        <v>46259</v>
      </c>
      <c r="B108" s="16" t="str">
        <f>IF(売上入力!B38="","",売上入力!B38)</f>
        <v>リゾート</v>
      </c>
      <c r="C108" s="16" t="str">
        <f>IF(売上入力!C38="","",売上入力!C38)</f>
        <v>de Lune</v>
      </c>
      <c r="D108" s="16" t="str">
        <f>IF(売上入力!D38="","",売上入力!D38)</f>
        <v>ホテル売上</v>
      </c>
      <c r="E108" s="89">
        <f>IFERROR(IF(売上入力!E38="",0,売上入力!E38*INDEX(マスター_OTA!$D$4:$D$29,MATCH(売上入力!D38,マスター_OTA!$A$4:$A$29,0))/100),0)</f>
        <v>481676.6</v>
      </c>
      <c r="F108" s="90">
        <f>IF(売上入力!A38="","",売上入力!A38)</f>
        <v>46174</v>
      </c>
      <c r="G108" s="16" t="s">
        <v>386</v>
      </c>
    </row>
    <row r="109" spans="1:7" ht="15" customHeight="1">
      <c r="A109" s="88">
        <f>IFERROR(IF(売上入力!A39="","",IF(INDEX(マスター_OTA!$B$4:$B$29,MATCH(売上入力!D39,マスター_OTA!$A$4:$A$29,0))=0,"",DATE(YEAR(売上入力!A39),MONTH(売上入力!A39),IFERROR(INDEX(マスター_OTA!$E$4:$E$29,MATCH(売上入力!D39,マスター_OTA!$A$4:$A$29,0)),28)))),"")</f>
        <v>46193</v>
      </c>
      <c r="B109" s="16" t="str">
        <f>IF(売上入力!B39="","",売上入力!B39)</f>
        <v>リゾート</v>
      </c>
      <c r="C109" s="16" t="str">
        <f>IF(売上入力!C39="","",売上入力!C39)</f>
        <v>いこいの村</v>
      </c>
      <c r="D109" s="16" t="str">
        <f>IF(売上入力!D39="","",売上入力!D39)</f>
        <v>ホテル売上</v>
      </c>
      <c r="E109" s="89">
        <f>IFERROR(IF(売上入力!E39="",0,売上入力!E39*INDEX(マスター_OTA!$B$4:$B$29,MATCH(売上入力!D39,マスター_OTA!$A$4:$A$29,0))/100),0)</f>
        <v>670878.75</v>
      </c>
      <c r="F109" s="90">
        <f>IF(売上入力!A39="","",売上入力!A39)</f>
        <v>46174</v>
      </c>
      <c r="G109" s="16" t="s">
        <v>384</v>
      </c>
    </row>
    <row r="110" spans="1:7" ht="15" customHeight="1">
      <c r="A110" s="88">
        <f>IFERROR(IF(売上入力!A39="","",IF(INDEX(マスター_OTA!$C$4:$C$29,MATCH(売上入力!D39,マスター_OTA!$A$4:$A$29,0))=0,"",DATE(YEAR(売上入力!A39),MONTH(売上入力!A39)+1,IFERROR(INDEX(マスター_OTA!$F$4:$F$29,MATCH(売上入力!D39,マスター_OTA!$A$4:$A$29,0)),25)))),"")</f>
        <v>46213</v>
      </c>
      <c r="B110" s="16" t="str">
        <f>IF(売上入力!B39="","",売上入力!B39)</f>
        <v>リゾート</v>
      </c>
      <c r="C110" s="16" t="str">
        <f>IF(売上入力!C39="","",売上入力!C39)</f>
        <v>いこいの村</v>
      </c>
      <c r="D110" s="16" t="str">
        <f>IF(売上入力!D39="","",売上入力!D39)</f>
        <v>ホテル売上</v>
      </c>
      <c r="E110" s="89">
        <f>IFERROR(IF(売上入力!E39="",0,売上入力!E39*INDEX(マスター_OTA!$C$4:$C$29,MATCH(売上入力!D39,マスター_OTA!$A$4:$A$29,0))/100),0)</f>
        <v>3354393.75</v>
      </c>
      <c r="F110" s="90">
        <f>IF(売上入力!A39="","",売上入力!A39)</f>
        <v>46174</v>
      </c>
      <c r="G110" s="16" t="s">
        <v>385</v>
      </c>
    </row>
    <row r="111" spans="1:7" ht="15" customHeight="1">
      <c r="A111" s="88">
        <f>IFERROR(IF(売上入力!A39="","",IF(INDEX(マスター_OTA!$D$4:$D$29,MATCH(売上入力!D39,マスター_OTA!$A$4:$A$29,0))=0,"",DATE(YEAR(売上入力!A39),MONTH(売上入力!A39)+2,IFERROR(INDEX(マスター_OTA!$G$4:$G$29,MATCH(売上入力!D39,マスター_OTA!$A$4:$A$29,0)),25)))),"")</f>
        <v>46259</v>
      </c>
      <c r="B111" s="16" t="str">
        <f>IF(売上入力!B39="","",売上入力!B39)</f>
        <v>リゾート</v>
      </c>
      <c r="C111" s="16" t="str">
        <f>IF(売上入力!C39="","",売上入力!C39)</f>
        <v>いこいの村</v>
      </c>
      <c r="D111" s="16" t="str">
        <f>IF(売上入力!D39="","",売上入力!D39)</f>
        <v>ホテル売上</v>
      </c>
      <c r="E111" s="89">
        <f>IFERROR(IF(売上入力!E39="",0,売上入力!E39*INDEX(マスター_OTA!$D$4:$D$29,MATCH(売上入力!D39,マスター_OTA!$A$4:$A$29,0))/100),0)</f>
        <v>447252.5</v>
      </c>
      <c r="F111" s="90">
        <f>IF(売上入力!A39="","",売上入力!A39)</f>
        <v>46174</v>
      </c>
      <c r="G111" s="16" t="s">
        <v>386</v>
      </c>
    </row>
    <row r="112" spans="1:7" ht="15" customHeight="1">
      <c r="A112" s="88">
        <f>IFERROR(IF(売上入力!A40="","",IF(INDEX(マスター_OTA!$B$4:$B$29,MATCH(売上入力!D40,マスター_OTA!$A$4:$A$29,0))=0,"",DATE(YEAR(売上入力!A40),MONTH(売上入力!A40),IFERROR(INDEX(マスター_OTA!$E$4:$E$29,MATCH(売上入力!D40,マスター_OTA!$A$4:$A$29,0)),28)))),"")</f>
        <v>46193</v>
      </c>
      <c r="B112" s="16" t="str">
        <f>IF(売上入力!B40="","",売上入力!B40)</f>
        <v>リゾート</v>
      </c>
      <c r="C112" s="16" t="str">
        <f>IF(売上入力!C40="","",売上入力!C40)</f>
        <v>グリーンシャワー</v>
      </c>
      <c r="D112" s="16" t="str">
        <f>IF(売上入力!D40="","",売上入力!D40)</f>
        <v>売上</v>
      </c>
      <c r="E112" s="89">
        <f>IFERROR(IF(売上入力!E40="",0,売上入力!E40*INDEX(マスター_OTA!$B$4:$B$29,MATCH(売上入力!D40,マスター_OTA!$A$4:$A$29,0))/100),0)</f>
        <v>53156.4</v>
      </c>
      <c r="F112" s="90">
        <f>IF(売上入力!A40="","",売上入力!A40)</f>
        <v>46174</v>
      </c>
      <c r="G112" s="16" t="s">
        <v>384</v>
      </c>
    </row>
    <row r="113" spans="1:7" ht="15" customHeight="1">
      <c r="A113" s="88">
        <f>IFERROR(IF(売上入力!A40="","",IF(INDEX(マスター_OTA!$C$4:$C$29,MATCH(売上入力!D40,マスター_OTA!$A$4:$A$29,0))=0,"",DATE(YEAR(売上入力!A40),MONTH(売上入力!A40)+1,IFERROR(INDEX(マスター_OTA!$F$4:$F$29,MATCH(売上入力!D40,マスター_OTA!$A$4:$A$29,0)),25)))),"")</f>
        <v>46213</v>
      </c>
      <c r="B113" s="16" t="str">
        <f>IF(売上入力!B40="","",売上入力!B40)</f>
        <v>リゾート</v>
      </c>
      <c r="C113" s="16" t="str">
        <f>IF(売上入力!C40="","",売上入力!C40)</f>
        <v>グリーンシャワー</v>
      </c>
      <c r="D113" s="16" t="str">
        <f>IF(売上入力!D40="","",売上入力!D40)</f>
        <v>売上</v>
      </c>
      <c r="E113" s="89">
        <f>IFERROR(IF(売上入力!E40="",0,売上入力!E40*INDEX(マスター_OTA!$C$4:$C$29,MATCH(売上入力!D40,マスター_OTA!$A$4:$A$29,0))/100),0)</f>
        <v>265782</v>
      </c>
      <c r="F113" s="90">
        <f>IF(売上入力!A40="","",売上入力!A40)</f>
        <v>46174</v>
      </c>
      <c r="G113" s="16" t="s">
        <v>385</v>
      </c>
    </row>
    <row r="114" spans="1:7" ht="15" customHeight="1">
      <c r="A114" s="88">
        <f>IFERROR(IF(売上入力!A40="","",IF(INDEX(マスター_OTA!$D$4:$D$29,MATCH(売上入力!D40,マスター_OTA!$A$4:$A$29,0))=0,"",DATE(YEAR(売上入力!A40),MONTH(売上入力!A40)+2,IFERROR(INDEX(マスター_OTA!$G$4:$G$29,MATCH(売上入力!D40,マスター_OTA!$A$4:$A$29,0)),25)))),"")</f>
        <v>46259</v>
      </c>
      <c r="B114" s="16" t="str">
        <f>IF(売上入力!B40="","",売上入力!B40)</f>
        <v>リゾート</v>
      </c>
      <c r="C114" s="16" t="str">
        <f>IF(売上入力!C40="","",売上入力!C40)</f>
        <v>グリーンシャワー</v>
      </c>
      <c r="D114" s="16" t="str">
        <f>IF(売上入力!D40="","",売上入力!D40)</f>
        <v>売上</v>
      </c>
      <c r="E114" s="89">
        <f>IFERROR(IF(売上入力!E40="",0,売上入力!E40*INDEX(マスター_OTA!$D$4:$D$29,MATCH(売上入力!D40,マスター_OTA!$A$4:$A$29,0))/100),0)</f>
        <v>35437.599999999999</v>
      </c>
      <c r="F114" s="90">
        <f>IF(売上入力!A40="","",売上入力!A40)</f>
        <v>46174</v>
      </c>
      <c r="G114" s="16" t="s">
        <v>386</v>
      </c>
    </row>
    <row r="115" spans="1:7" ht="15" customHeight="1">
      <c r="A115" s="88">
        <f>IFERROR(IF(売上入力!A41="","",IF(INDEX(マスター_OTA!$B$4:$B$29,MATCH(売上入力!D41,マスター_OTA!$A$4:$A$29,0))=0,"",DATE(YEAR(売上入力!A41),MONTH(売上入力!A41),IFERROR(INDEX(マスター_OTA!$E$4:$E$29,MATCH(売上入力!D41,マスター_OTA!$A$4:$A$29,0)),28)))),"")</f>
        <v>46193</v>
      </c>
      <c r="B115" s="16" t="str">
        <f>IF(売上入力!B41="","",売上入力!B41)</f>
        <v>リゾート</v>
      </c>
      <c r="C115" s="16" t="str">
        <f>IF(売上入力!C41="","",売上入力!C41)</f>
        <v>フォレストヒルズガーデン</v>
      </c>
      <c r="D115" s="16" t="str">
        <f>IF(売上入力!D41="","",売上入力!D41)</f>
        <v>売上</v>
      </c>
      <c r="E115" s="89">
        <f>IFERROR(IF(売上入力!E41="",0,売上入力!E41*INDEX(マスター_OTA!$B$4:$B$29,MATCH(売上入力!D41,マスター_OTA!$A$4:$A$29,0))/100),0)</f>
        <v>808735.95</v>
      </c>
      <c r="F115" s="90">
        <f>IF(売上入力!A41="","",売上入力!A41)</f>
        <v>46174</v>
      </c>
      <c r="G115" s="16" t="s">
        <v>384</v>
      </c>
    </row>
    <row r="116" spans="1:7" ht="15" customHeight="1">
      <c r="A116" s="88">
        <f>IFERROR(IF(売上入力!A41="","",IF(INDEX(マスター_OTA!$C$4:$C$29,MATCH(売上入力!D41,マスター_OTA!$A$4:$A$29,0))=0,"",DATE(YEAR(売上入力!A41),MONTH(売上入力!A41)+1,IFERROR(INDEX(マスター_OTA!$F$4:$F$29,MATCH(売上入力!D41,マスター_OTA!$A$4:$A$29,0)),25)))),"")</f>
        <v>46213</v>
      </c>
      <c r="B116" s="16" t="str">
        <f>IF(売上入力!B41="","",売上入力!B41)</f>
        <v>リゾート</v>
      </c>
      <c r="C116" s="16" t="str">
        <f>IF(売上入力!C41="","",売上入力!C41)</f>
        <v>フォレストヒルズガーデン</v>
      </c>
      <c r="D116" s="16" t="str">
        <f>IF(売上入力!D41="","",売上入力!D41)</f>
        <v>売上</v>
      </c>
      <c r="E116" s="89">
        <f>IFERROR(IF(売上入力!E41="",0,売上入力!E41*INDEX(マスター_OTA!$C$4:$C$29,MATCH(売上入力!D41,マスター_OTA!$A$4:$A$29,0))/100),0)</f>
        <v>4043679.75</v>
      </c>
      <c r="F116" s="90">
        <f>IF(売上入力!A41="","",売上入力!A41)</f>
        <v>46174</v>
      </c>
      <c r="G116" s="16" t="s">
        <v>385</v>
      </c>
    </row>
    <row r="117" spans="1:7" ht="15" customHeight="1">
      <c r="A117" s="88">
        <f>IFERROR(IF(売上入力!A41="","",IF(INDEX(マスター_OTA!$D$4:$D$29,MATCH(売上入力!D41,マスター_OTA!$A$4:$A$29,0))=0,"",DATE(YEAR(売上入力!A41),MONTH(売上入力!A41)+2,IFERROR(INDEX(マスター_OTA!$G$4:$G$29,MATCH(売上入力!D41,マスター_OTA!$A$4:$A$29,0)),25)))),"")</f>
        <v>46259</v>
      </c>
      <c r="B117" s="16" t="str">
        <f>IF(売上入力!B41="","",売上入力!B41)</f>
        <v>リゾート</v>
      </c>
      <c r="C117" s="16" t="str">
        <f>IF(売上入力!C41="","",売上入力!C41)</f>
        <v>フォレストヒルズガーデン</v>
      </c>
      <c r="D117" s="16" t="str">
        <f>IF(売上入力!D41="","",売上入力!D41)</f>
        <v>売上</v>
      </c>
      <c r="E117" s="89">
        <f>IFERROR(IF(売上入力!E41="",0,売上入力!E41*INDEX(マスター_OTA!$D$4:$D$29,MATCH(売上入力!D41,マスター_OTA!$A$4:$A$29,0))/100),0)</f>
        <v>539157.30000000005</v>
      </c>
      <c r="F117" s="90">
        <f>IF(売上入力!A41="","",売上入力!A41)</f>
        <v>46174</v>
      </c>
      <c r="G117" s="16" t="s">
        <v>386</v>
      </c>
    </row>
    <row r="118" spans="1:7" ht="15" customHeight="1">
      <c r="A118" s="88">
        <f>IFERROR(IF(売上入力!A42="","",IF(INDEX(マスター_OTA!$B$4:$B$29,MATCH(売上入力!D42,マスター_OTA!$A$4:$A$29,0))=0,"",DATE(YEAR(売上入力!A42),MONTH(売上入力!A42),IFERROR(INDEX(マスター_OTA!$E$4:$E$29,MATCH(売上入力!D42,マスター_OTA!$A$4:$A$29,0)),28)))),"")</f>
        <v>46193</v>
      </c>
      <c r="B118" s="16" t="str">
        <f>IF(売上入力!B42="","",売上入力!B42)</f>
        <v>リゾート</v>
      </c>
      <c r="C118" s="16" t="str">
        <f>IF(売上入力!C42="","",売上入力!C42)</f>
        <v>壱番館</v>
      </c>
      <c r="D118" s="16" t="str">
        <f>IF(売上入力!D42="","",売上入力!D42)</f>
        <v>売上</v>
      </c>
      <c r="E118" s="89">
        <f>IFERROR(IF(売上入力!E42="",0,売上入力!E42*INDEX(マスター_OTA!$B$4:$B$29,MATCH(売上入力!D42,マスター_OTA!$A$4:$A$29,0))/100),0)</f>
        <v>19800</v>
      </c>
      <c r="F118" s="90">
        <f>IF(売上入力!A42="","",売上入力!A42)</f>
        <v>46174</v>
      </c>
      <c r="G118" s="16" t="s">
        <v>384</v>
      </c>
    </row>
    <row r="119" spans="1:7" ht="15" customHeight="1">
      <c r="A119" s="88">
        <f>IFERROR(IF(売上入力!A42="","",IF(INDEX(マスター_OTA!$C$4:$C$29,MATCH(売上入力!D42,マスター_OTA!$A$4:$A$29,0))=0,"",DATE(YEAR(売上入力!A42),MONTH(売上入力!A42)+1,IFERROR(INDEX(マスター_OTA!$F$4:$F$29,MATCH(売上入力!D42,マスター_OTA!$A$4:$A$29,0)),25)))),"")</f>
        <v>46213</v>
      </c>
      <c r="B119" s="16" t="str">
        <f>IF(売上入力!B42="","",売上入力!B42)</f>
        <v>リゾート</v>
      </c>
      <c r="C119" s="16" t="str">
        <f>IF(売上入力!C42="","",売上入力!C42)</f>
        <v>壱番館</v>
      </c>
      <c r="D119" s="16" t="str">
        <f>IF(売上入力!D42="","",売上入力!D42)</f>
        <v>売上</v>
      </c>
      <c r="E119" s="89">
        <f>IFERROR(IF(売上入力!E42="",0,売上入力!E42*INDEX(マスター_OTA!$C$4:$C$29,MATCH(売上入力!D42,マスター_OTA!$A$4:$A$29,0))/100),0)</f>
        <v>99000</v>
      </c>
      <c r="F119" s="90">
        <f>IF(売上入力!A42="","",売上入力!A42)</f>
        <v>46174</v>
      </c>
      <c r="G119" s="16" t="s">
        <v>385</v>
      </c>
    </row>
    <row r="120" spans="1:7" ht="15" customHeight="1">
      <c r="A120" s="88">
        <f>IFERROR(IF(売上入力!A42="","",IF(INDEX(マスター_OTA!$D$4:$D$29,MATCH(売上入力!D42,マスター_OTA!$A$4:$A$29,0))=0,"",DATE(YEAR(売上入力!A42),MONTH(売上入力!A42)+2,IFERROR(INDEX(マスター_OTA!$G$4:$G$29,MATCH(売上入力!D42,マスター_OTA!$A$4:$A$29,0)),25)))),"")</f>
        <v>46259</v>
      </c>
      <c r="B120" s="16" t="str">
        <f>IF(売上入力!B42="","",売上入力!B42)</f>
        <v>リゾート</v>
      </c>
      <c r="C120" s="16" t="str">
        <f>IF(売上入力!C42="","",売上入力!C42)</f>
        <v>壱番館</v>
      </c>
      <c r="D120" s="16" t="str">
        <f>IF(売上入力!D42="","",売上入力!D42)</f>
        <v>売上</v>
      </c>
      <c r="E120" s="89">
        <f>IFERROR(IF(売上入力!E42="",0,売上入力!E42*INDEX(マスター_OTA!$D$4:$D$29,MATCH(売上入力!D42,マスター_OTA!$A$4:$A$29,0))/100),0)</f>
        <v>13200</v>
      </c>
      <c r="F120" s="90">
        <f>IF(売上入力!A42="","",売上入力!A42)</f>
        <v>46174</v>
      </c>
      <c r="G120" s="16" t="s">
        <v>386</v>
      </c>
    </row>
    <row r="121" spans="1:7" ht="15" customHeight="1">
      <c r="A121" s="88">
        <f>IFERROR(IF(売上入力!A43="","",IF(INDEX(マスター_OTA!$B$4:$B$29,MATCH(売上入力!D43,マスター_OTA!$A$4:$A$29,0))=0,"",DATE(YEAR(売上入力!A43),MONTH(売上入力!A43),IFERROR(INDEX(マスター_OTA!$E$4:$E$29,MATCH(売上入力!D43,マスター_OTA!$A$4:$A$29,0)),28)))),"")</f>
        <v>46193</v>
      </c>
      <c r="B121" s="16" t="str">
        <f>IF(売上入力!B43="","",売上入力!B43)</f>
        <v>リゾート</v>
      </c>
      <c r="C121" s="16" t="str">
        <f>IF(売上入力!C43="","",売上入力!C43)</f>
        <v>天神</v>
      </c>
      <c r="D121" s="16" t="str">
        <f>IF(売上入力!D43="","",売上入力!D43)</f>
        <v>ホテル売上</v>
      </c>
      <c r="E121" s="89">
        <f>IFERROR(IF(売上入力!E43="",0,売上入力!E43*INDEX(マスター_OTA!$B$4:$B$29,MATCH(売上入力!D43,マスター_OTA!$A$4:$A$29,0))/100),0)</f>
        <v>10224</v>
      </c>
      <c r="F121" s="90">
        <f>IF(売上入力!A43="","",売上入力!A43)</f>
        <v>46174</v>
      </c>
      <c r="G121" s="16" t="s">
        <v>384</v>
      </c>
    </row>
    <row r="122" spans="1:7" ht="15" customHeight="1">
      <c r="A122" s="88">
        <f>IFERROR(IF(売上入力!A43="","",IF(INDEX(マスター_OTA!$C$4:$C$29,MATCH(売上入力!D43,マスター_OTA!$A$4:$A$29,0))=0,"",DATE(YEAR(売上入力!A43),MONTH(売上入力!A43)+1,IFERROR(INDEX(マスター_OTA!$F$4:$F$29,MATCH(売上入力!D43,マスター_OTA!$A$4:$A$29,0)),25)))),"")</f>
        <v>46213</v>
      </c>
      <c r="B122" s="16" t="str">
        <f>IF(売上入力!B43="","",売上入力!B43)</f>
        <v>リゾート</v>
      </c>
      <c r="C122" s="16" t="str">
        <f>IF(売上入力!C43="","",売上入力!C43)</f>
        <v>天神</v>
      </c>
      <c r="D122" s="16" t="str">
        <f>IF(売上入力!D43="","",売上入力!D43)</f>
        <v>ホテル売上</v>
      </c>
      <c r="E122" s="89">
        <f>IFERROR(IF(売上入力!E43="",0,売上入力!E43*INDEX(マスター_OTA!$C$4:$C$29,MATCH(売上入力!D43,マスター_OTA!$A$4:$A$29,0))/100),0)</f>
        <v>51120</v>
      </c>
      <c r="F122" s="90">
        <f>IF(売上入力!A43="","",売上入力!A43)</f>
        <v>46174</v>
      </c>
      <c r="G122" s="16" t="s">
        <v>385</v>
      </c>
    </row>
    <row r="123" spans="1:7" ht="15" customHeight="1">
      <c r="A123" s="88">
        <f>IFERROR(IF(売上入力!A43="","",IF(INDEX(マスター_OTA!$D$4:$D$29,MATCH(売上入力!D43,マスター_OTA!$A$4:$A$29,0))=0,"",DATE(YEAR(売上入力!A43),MONTH(売上入力!A43)+2,IFERROR(INDEX(マスター_OTA!$G$4:$G$29,MATCH(売上入力!D43,マスター_OTA!$A$4:$A$29,0)),25)))),"")</f>
        <v>46259</v>
      </c>
      <c r="B123" s="16" t="str">
        <f>IF(売上入力!B43="","",売上入力!B43)</f>
        <v>リゾート</v>
      </c>
      <c r="C123" s="16" t="str">
        <f>IF(売上入力!C43="","",売上入力!C43)</f>
        <v>天神</v>
      </c>
      <c r="D123" s="16" t="str">
        <f>IF(売上入力!D43="","",売上入力!D43)</f>
        <v>ホテル売上</v>
      </c>
      <c r="E123" s="89">
        <f>IFERROR(IF(売上入力!E43="",0,売上入力!E43*INDEX(マスター_OTA!$D$4:$D$29,MATCH(売上入力!D43,マスター_OTA!$A$4:$A$29,0))/100),0)</f>
        <v>6816</v>
      </c>
      <c r="F123" s="90">
        <f>IF(売上入力!A43="","",売上入力!A43)</f>
        <v>46174</v>
      </c>
      <c r="G123" s="16" t="s">
        <v>386</v>
      </c>
    </row>
    <row r="124" spans="1:7" ht="15" customHeight="1">
      <c r="A124" s="88">
        <f>IFERROR(IF(売上入力!A44="","",IF(INDEX(マスター_OTA!$B$4:$B$29,MATCH(売上入力!D44,マスター_OTA!$A$4:$A$29,0))=0,"",DATE(YEAR(売上入力!A44),MONTH(売上入力!A44),IFERROR(INDEX(マスター_OTA!$E$4:$E$29,MATCH(売上入力!D44,マスター_OTA!$A$4:$A$29,0)),28)))),"")</f>
        <v>46193</v>
      </c>
      <c r="B124" s="16" t="str">
        <f>IF(売上入力!B44="","",売上入力!B44)</f>
        <v>モーテル</v>
      </c>
      <c r="C124" s="16" t="str">
        <f>IF(売上入力!C44="","",売上入力!C44)</f>
        <v>弥山</v>
      </c>
      <c r="D124" s="16" t="str">
        <f>IF(売上入力!D44="","",売上入力!D44)</f>
        <v>ホテル売上</v>
      </c>
      <c r="E124" s="89">
        <f>IFERROR(IF(売上入力!E44="",0,売上入力!E44*INDEX(マスター_OTA!$B$4:$B$29,MATCH(売上入力!D44,マスター_OTA!$A$4:$A$29,0))/100),0)</f>
        <v>473108.7</v>
      </c>
      <c r="F124" s="90">
        <f>IF(売上入力!A44="","",売上入力!A44)</f>
        <v>46174</v>
      </c>
      <c r="G124" s="16" t="s">
        <v>384</v>
      </c>
    </row>
    <row r="125" spans="1:7" ht="15" customHeight="1">
      <c r="A125" s="88">
        <f>IFERROR(IF(売上入力!A44="","",IF(INDEX(マスター_OTA!$C$4:$C$29,MATCH(売上入力!D44,マスター_OTA!$A$4:$A$29,0))=0,"",DATE(YEAR(売上入力!A44),MONTH(売上入力!A44)+1,IFERROR(INDEX(マスター_OTA!$F$4:$F$29,MATCH(売上入力!D44,マスター_OTA!$A$4:$A$29,0)),25)))),"")</f>
        <v>46213</v>
      </c>
      <c r="B125" s="16" t="str">
        <f>IF(売上入力!B44="","",売上入力!B44)</f>
        <v>モーテル</v>
      </c>
      <c r="C125" s="16" t="str">
        <f>IF(売上入力!C44="","",売上入力!C44)</f>
        <v>弥山</v>
      </c>
      <c r="D125" s="16" t="str">
        <f>IF(売上入力!D44="","",売上入力!D44)</f>
        <v>ホテル売上</v>
      </c>
      <c r="E125" s="89">
        <f>IFERROR(IF(売上入力!E44="",0,売上入力!E44*INDEX(マスター_OTA!$C$4:$C$29,MATCH(売上入力!D44,マスター_OTA!$A$4:$A$29,0))/100),0)</f>
        <v>2365543.5</v>
      </c>
      <c r="F125" s="90">
        <f>IF(売上入力!A44="","",売上入力!A44)</f>
        <v>46174</v>
      </c>
      <c r="G125" s="16" t="s">
        <v>385</v>
      </c>
    </row>
    <row r="126" spans="1:7" ht="15" customHeight="1">
      <c r="A126" s="88">
        <f>IFERROR(IF(売上入力!A44="","",IF(INDEX(マスター_OTA!$D$4:$D$29,MATCH(売上入力!D44,マスター_OTA!$A$4:$A$29,0))=0,"",DATE(YEAR(売上入力!A44),MONTH(売上入力!A44)+2,IFERROR(INDEX(マスター_OTA!$G$4:$G$29,MATCH(売上入力!D44,マスター_OTA!$A$4:$A$29,0)),25)))),"")</f>
        <v>46259</v>
      </c>
      <c r="B126" s="16" t="str">
        <f>IF(売上入力!B44="","",売上入力!B44)</f>
        <v>モーテル</v>
      </c>
      <c r="C126" s="16" t="str">
        <f>IF(売上入力!C44="","",売上入力!C44)</f>
        <v>弥山</v>
      </c>
      <c r="D126" s="16" t="str">
        <f>IF(売上入力!D44="","",売上入力!D44)</f>
        <v>ホテル売上</v>
      </c>
      <c r="E126" s="89">
        <f>IFERROR(IF(売上入力!E44="",0,売上入力!E44*INDEX(マスター_OTA!$D$4:$D$29,MATCH(売上入力!D44,マスター_OTA!$A$4:$A$29,0))/100),0)</f>
        <v>315405.8</v>
      </c>
      <c r="F126" s="90">
        <f>IF(売上入力!A44="","",売上入力!A44)</f>
        <v>46174</v>
      </c>
      <c r="G126" s="16" t="s">
        <v>386</v>
      </c>
    </row>
    <row r="127" spans="1:7" ht="15" customHeight="1">
      <c r="A127" s="88">
        <f>IFERROR(IF(売上入力!A45="","",IF(INDEX(マスター_OTA!$B$4:$B$29,MATCH(売上入力!D45,マスター_OTA!$A$4:$A$29,0))=0,"",DATE(YEAR(売上入力!A45),MONTH(売上入力!A45),IFERROR(INDEX(マスター_OTA!$E$4:$E$29,MATCH(売上入力!D45,マスター_OTA!$A$4:$A$29,0)),28)))),"")</f>
        <v>46193</v>
      </c>
      <c r="B127" s="16" t="str">
        <f>IF(売上入力!B45="","",売上入力!B45)</f>
        <v>リゾート</v>
      </c>
      <c r="C127" s="16" t="str">
        <f>IF(売上入力!C45="","",売上入力!C45)</f>
        <v>本川</v>
      </c>
      <c r="D127" s="16" t="str">
        <f>IF(売上入力!D45="","",売上入力!D45)</f>
        <v>ホテル売上</v>
      </c>
      <c r="E127" s="89">
        <f>IFERROR(IF(売上入力!E45="",0,売上入力!E45*INDEX(マスター_OTA!$B$4:$B$29,MATCH(売上入力!D45,マスター_OTA!$A$4:$A$29,0))/100),0)</f>
        <v>126121.95</v>
      </c>
      <c r="F127" s="90">
        <f>IF(売上入力!A45="","",売上入力!A45)</f>
        <v>46174</v>
      </c>
      <c r="G127" s="16" t="s">
        <v>384</v>
      </c>
    </row>
    <row r="128" spans="1:7" ht="15" customHeight="1">
      <c r="A128" s="88">
        <f>IFERROR(IF(売上入力!A45="","",IF(INDEX(マスター_OTA!$C$4:$C$29,MATCH(売上入力!D45,マスター_OTA!$A$4:$A$29,0))=0,"",DATE(YEAR(売上入力!A45),MONTH(売上入力!A45)+1,IFERROR(INDEX(マスター_OTA!$F$4:$F$29,MATCH(売上入力!D45,マスター_OTA!$A$4:$A$29,0)),25)))),"")</f>
        <v>46213</v>
      </c>
      <c r="B128" s="16" t="str">
        <f>IF(売上入力!B45="","",売上入力!B45)</f>
        <v>リゾート</v>
      </c>
      <c r="C128" s="16" t="str">
        <f>IF(売上入力!C45="","",売上入力!C45)</f>
        <v>本川</v>
      </c>
      <c r="D128" s="16" t="str">
        <f>IF(売上入力!D45="","",売上入力!D45)</f>
        <v>ホテル売上</v>
      </c>
      <c r="E128" s="89">
        <f>IFERROR(IF(売上入力!E45="",0,売上入力!E45*INDEX(マスター_OTA!$C$4:$C$29,MATCH(売上入力!D45,マスター_OTA!$A$4:$A$29,0))/100),0)</f>
        <v>630609.75</v>
      </c>
      <c r="F128" s="90">
        <f>IF(売上入力!A45="","",売上入力!A45)</f>
        <v>46174</v>
      </c>
      <c r="G128" s="16" t="s">
        <v>385</v>
      </c>
    </row>
    <row r="129" spans="1:7" ht="15" customHeight="1">
      <c r="A129" s="88">
        <f>IFERROR(IF(売上入力!A45="","",IF(INDEX(マスター_OTA!$D$4:$D$29,MATCH(売上入力!D45,マスター_OTA!$A$4:$A$29,0))=0,"",DATE(YEAR(売上入力!A45),MONTH(売上入力!A45)+2,IFERROR(INDEX(マスター_OTA!$G$4:$G$29,MATCH(売上入力!D45,マスター_OTA!$A$4:$A$29,0)),25)))),"")</f>
        <v>46259</v>
      </c>
      <c r="B129" s="16" t="str">
        <f>IF(売上入力!B45="","",売上入力!B45)</f>
        <v>リゾート</v>
      </c>
      <c r="C129" s="16" t="str">
        <f>IF(売上入力!C45="","",売上入力!C45)</f>
        <v>本川</v>
      </c>
      <c r="D129" s="16" t="str">
        <f>IF(売上入力!D45="","",売上入力!D45)</f>
        <v>ホテル売上</v>
      </c>
      <c r="E129" s="89">
        <f>IFERROR(IF(売上入力!E45="",0,売上入力!E45*INDEX(マスター_OTA!$D$4:$D$29,MATCH(売上入力!D45,マスター_OTA!$A$4:$A$29,0))/100),0)</f>
        <v>84081.3</v>
      </c>
      <c r="F129" s="90">
        <f>IF(売上入力!A45="","",売上入力!A45)</f>
        <v>46174</v>
      </c>
      <c r="G129" s="16" t="s">
        <v>386</v>
      </c>
    </row>
    <row r="130" spans="1:7" ht="15" customHeight="1">
      <c r="A130" s="88">
        <f>IFERROR(IF(売上入力!A46="","",IF(INDEX(マスター_OTA!$B$4:$B$29,MATCH(売上入力!D46,マスター_OTA!$A$4:$A$29,0))=0,"",DATE(YEAR(売上入力!A46),MONTH(売上入力!A46),IFERROR(INDEX(マスター_OTA!$E$4:$E$29,MATCH(売上入力!D46,マスター_OTA!$A$4:$A$29,0)),28)))),"")</f>
        <v>46193</v>
      </c>
      <c r="B130" s="16" t="str">
        <f>IF(売上入力!B46="","",売上入力!B46)</f>
        <v>リゾート</v>
      </c>
      <c r="C130" s="16" t="str">
        <f>IF(売上入力!C46="","",売上入力!C46)</f>
        <v>温井</v>
      </c>
      <c r="D130" s="16" t="str">
        <f>IF(売上入力!D46="","",売上入力!D46)</f>
        <v>ホテル売上</v>
      </c>
      <c r="E130" s="89">
        <f>IFERROR(IF(売上入力!E46="",0,売上入力!E46*INDEX(マスター_OTA!$B$4:$B$29,MATCH(売上入力!D46,マスター_OTA!$A$4:$A$29,0))/100),0)</f>
        <v>257956.2</v>
      </c>
      <c r="F130" s="90">
        <f>IF(売上入力!A46="","",売上入力!A46)</f>
        <v>46174</v>
      </c>
      <c r="G130" s="16" t="s">
        <v>384</v>
      </c>
    </row>
    <row r="131" spans="1:7" ht="15" customHeight="1">
      <c r="A131" s="88">
        <f>IFERROR(IF(売上入力!A46="","",IF(INDEX(マスター_OTA!$C$4:$C$29,MATCH(売上入力!D46,マスター_OTA!$A$4:$A$29,0))=0,"",DATE(YEAR(売上入力!A46),MONTH(売上入力!A46)+1,IFERROR(INDEX(マスター_OTA!$F$4:$F$29,MATCH(売上入力!D46,マスター_OTA!$A$4:$A$29,0)),25)))),"")</f>
        <v>46213</v>
      </c>
      <c r="B131" s="16" t="str">
        <f>IF(売上入力!B46="","",売上入力!B46)</f>
        <v>リゾート</v>
      </c>
      <c r="C131" s="16" t="str">
        <f>IF(売上入力!C46="","",売上入力!C46)</f>
        <v>温井</v>
      </c>
      <c r="D131" s="16" t="str">
        <f>IF(売上入力!D46="","",売上入力!D46)</f>
        <v>ホテル売上</v>
      </c>
      <c r="E131" s="89">
        <f>IFERROR(IF(売上入力!E46="",0,売上入力!E46*INDEX(マスター_OTA!$C$4:$C$29,MATCH(売上入力!D46,マスター_OTA!$A$4:$A$29,0))/100),0)</f>
        <v>1289781</v>
      </c>
      <c r="F131" s="90">
        <f>IF(売上入力!A46="","",売上入力!A46)</f>
        <v>46174</v>
      </c>
      <c r="G131" s="16" t="s">
        <v>385</v>
      </c>
    </row>
    <row r="132" spans="1:7" ht="15" customHeight="1">
      <c r="A132" s="88">
        <f>IFERROR(IF(売上入力!A46="","",IF(INDEX(マスター_OTA!$D$4:$D$29,MATCH(売上入力!D46,マスター_OTA!$A$4:$A$29,0))=0,"",DATE(YEAR(売上入力!A46),MONTH(売上入力!A46)+2,IFERROR(INDEX(マスター_OTA!$G$4:$G$29,MATCH(売上入力!D46,マスター_OTA!$A$4:$A$29,0)),25)))),"")</f>
        <v>46259</v>
      </c>
      <c r="B132" s="16" t="str">
        <f>IF(売上入力!B46="","",売上入力!B46)</f>
        <v>リゾート</v>
      </c>
      <c r="C132" s="16" t="str">
        <f>IF(売上入力!C46="","",売上入力!C46)</f>
        <v>温井</v>
      </c>
      <c r="D132" s="16" t="str">
        <f>IF(売上入力!D46="","",売上入力!D46)</f>
        <v>ホテル売上</v>
      </c>
      <c r="E132" s="89">
        <f>IFERROR(IF(売上入力!E46="",0,売上入力!E46*INDEX(マスター_OTA!$D$4:$D$29,MATCH(売上入力!D46,マスター_OTA!$A$4:$A$29,0))/100),0)</f>
        <v>171970.8</v>
      </c>
      <c r="F132" s="90">
        <f>IF(売上入力!A46="","",売上入力!A46)</f>
        <v>46174</v>
      </c>
      <c r="G132" s="16" t="s">
        <v>386</v>
      </c>
    </row>
    <row r="133" spans="1:7" ht="15" customHeight="1">
      <c r="A133" s="88">
        <f>IFERROR(IF(売上入力!A47="","",IF(INDEX(マスター_OTA!$B$4:$B$29,MATCH(売上入力!D47,マスター_OTA!$A$4:$A$29,0))=0,"",DATE(YEAR(売上入力!A47),MONTH(売上入力!A47),IFERROR(INDEX(マスター_OTA!$E$4:$E$29,MATCH(売上入力!D47,マスター_OTA!$A$4:$A$29,0)),28)))),"")</f>
        <v>46193</v>
      </c>
      <c r="B133" s="16" t="str">
        <f>IF(売上入力!B47="","",売上入力!B47)</f>
        <v>リゾート</v>
      </c>
      <c r="C133" s="16" t="str">
        <f>IF(売上入力!C47="","",売上入力!C47)</f>
        <v>玖波</v>
      </c>
      <c r="D133" s="16" t="str">
        <f>IF(売上入力!D47="","",売上入力!D47)</f>
        <v>ホテル売上</v>
      </c>
      <c r="E133" s="89">
        <f>IFERROR(IF(売上入力!E47="",0,売上入力!E47*INDEX(マスター_OTA!$B$4:$B$29,MATCH(売上入力!D47,マスター_OTA!$A$4:$A$29,0))/100),0)</f>
        <v>28612.5</v>
      </c>
      <c r="F133" s="90">
        <f>IF(売上入力!A47="","",売上入力!A47)</f>
        <v>46174</v>
      </c>
      <c r="G133" s="16" t="s">
        <v>384</v>
      </c>
    </row>
    <row r="134" spans="1:7" ht="15" customHeight="1">
      <c r="A134" s="88">
        <f>IFERROR(IF(売上入力!A47="","",IF(INDEX(マスター_OTA!$C$4:$C$29,MATCH(売上入力!D47,マスター_OTA!$A$4:$A$29,0))=0,"",DATE(YEAR(売上入力!A47),MONTH(売上入力!A47)+1,IFERROR(INDEX(マスター_OTA!$F$4:$F$29,MATCH(売上入力!D47,マスター_OTA!$A$4:$A$29,0)),25)))),"")</f>
        <v>46213</v>
      </c>
      <c r="B134" s="16" t="str">
        <f>IF(売上入力!B47="","",売上入力!B47)</f>
        <v>リゾート</v>
      </c>
      <c r="C134" s="16" t="str">
        <f>IF(売上入力!C47="","",売上入力!C47)</f>
        <v>玖波</v>
      </c>
      <c r="D134" s="16" t="str">
        <f>IF(売上入力!D47="","",売上入力!D47)</f>
        <v>ホテル売上</v>
      </c>
      <c r="E134" s="89">
        <f>IFERROR(IF(売上入力!E47="",0,売上入力!E47*INDEX(マスター_OTA!$C$4:$C$29,MATCH(売上入力!D47,マスター_OTA!$A$4:$A$29,0))/100),0)</f>
        <v>143062.5</v>
      </c>
      <c r="F134" s="90">
        <f>IF(売上入力!A47="","",売上入力!A47)</f>
        <v>46174</v>
      </c>
      <c r="G134" s="16" t="s">
        <v>385</v>
      </c>
    </row>
    <row r="135" spans="1:7" ht="15" customHeight="1">
      <c r="A135" s="88">
        <f>IFERROR(IF(売上入力!A47="","",IF(INDEX(マスター_OTA!$D$4:$D$29,MATCH(売上入力!D47,マスター_OTA!$A$4:$A$29,0))=0,"",DATE(YEAR(売上入力!A47),MONTH(売上入力!A47)+2,IFERROR(INDEX(マスター_OTA!$G$4:$G$29,MATCH(売上入力!D47,マスター_OTA!$A$4:$A$29,0)),25)))),"")</f>
        <v>46259</v>
      </c>
      <c r="B135" s="16" t="str">
        <f>IF(売上入力!B47="","",売上入力!B47)</f>
        <v>リゾート</v>
      </c>
      <c r="C135" s="16" t="str">
        <f>IF(売上入力!C47="","",売上入力!C47)</f>
        <v>玖波</v>
      </c>
      <c r="D135" s="16" t="str">
        <f>IF(売上入力!D47="","",売上入力!D47)</f>
        <v>ホテル売上</v>
      </c>
      <c r="E135" s="89">
        <f>IFERROR(IF(売上入力!E47="",0,売上入力!E47*INDEX(マスター_OTA!$D$4:$D$29,MATCH(売上入力!D47,マスター_OTA!$A$4:$A$29,0))/100),0)</f>
        <v>19075</v>
      </c>
      <c r="F135" s="90">
        <f>IF(売上入力!A47="","",売上入力!A47)</f>
        <v>46174</v>
      </c>
      <c r="G135" s="16" t="s">
        <v>386</v>
      </c>
    </row>
    <row r="136" spans="1:7" ht="15" customHeight="1">
      <c r="A136" s="88" t="str">
        <f>IFERROR(IF(売上入力!A48="","",IF(INDEX(マスター_OTA!$B$4:$B$29,MATCH(売上入力!D48,マスター_OTA!$A$4:$A$29,0))=0,"",DATE(YEAR(売上入力!A48),MONTH(売上入力!A48),IFERROR(INDEX(マスター_OTA!$E$4:$E$29,MATCH(売上入力!D48,マスター_OTA!$A$4:$A$29,0)),28)))),"")</f>
        <v/>
      </c>
      <c r="B136" s="16" t="str">
        <f>IF(売上入力!B48="","",売上入力!B48)</f>
        <v>リゾート</v>
      </c>
      <c r="C136" s="16" t="str">
        <f>IF(売上入力!C48="","",売上入力!C48)</f>
        <v>竹原（ﾚｽﾄﾗﾝ含む）</v>
      </c>
      <c r="D136" s="16" t="str">
        <f>IF(売上入力!D48="","",売上入力!D48)</f>
        <v>竹原市</v>
      </c>
      <c r="E136" s="89">
        <f>IFERROR(IF(売上入力!E48="",0,売上入力!E48*INDEX(マスター_OTA!$B$4:$B$29,MATCH(売上入力!D48,マスター_OTA!$A$4:$A$29,0))/100),0)</f>
        <v>0</v>
      </c>
      <c r="F136" s="90">
        <f>IF(売上入力!A48="","",売上入力!A48)</f>
        <v>46174</v>
      </c>
      <c r="G136" s="16" t="s">
        <v>384</v>
      </c>
    </row>
    <row r="137" spans="1:7" ht="15" customHeight="1">
      <c r="A137" s="88">
        <f>IFERROR(IF(売上入力!A48="","",IF(INDEX(マスター_OTA!$C$4:$C$29,MATCH(売上入力!D48,マスター_OTA!$A$4:$A$29,0))=0,"",DATE(YEAR(売上入力!A48),MONTH(売上入力!A48)+1,IFERROR(INDEX(マスター_OTA!$F$4:$F$29,MATCH(売上入力!D48,マスター_OTA!$A$4:$A$29,0)),25)))),"")</f>
        <v>46218</v>
      </c>
      <c r="B137" s="16" t="str">
        <f>IF(売上入力!B48="","",売上入力!B48)</f>
        <v>リゾート</v>
      </c>
      <c r="C137" s="16" t="str">
        <f>IF(売上入力!C48="","",売上入力!C48)</f>
        <v>竹原（ﾚｽﾄﾗﾝ含む）</v>
      </c>
      <c r="D137" s="16" t="str">
        <f>IF(売上入力!D48="","",売上入力!D48)</f>
        <v>竹原市</v>
      </c>
      <c r="E137" s="89">
        <f>IFERROR(IF(売上入力!E48="",0,売上入力!E48*INDEX(マスター_OTA!$C$4:$C$29,MATCH(売上入力!D48,マスター_OTA!$A$4:$A$29,0))/100),0)</f>
        <v>1388954</v>
      </c>
      <c r="F137" s="90">
        <f>IF(売上入力!A48="","",売上入力!A48)</f>
        <v>46174</v>
      </c>
      <c r="G137" s="16" t="s">
        <v>385</v>
      </c>
    </row>
    <row r="138" spans="1:7" ht="15" customHeight="1">
      <c r="A138" s="88" t="str">
        <f>IFERROR(IF(売上入力!A48="","",IF(INDEX(マスター_OTA!$D$4:$D$29,MATCH(売上入力!D48,マスター_OTA!$A$4:$A$29,0))=0,"",DATE(YEAR(売上入力!A48),MONTH(売上入力!A48)+2,IFERROR(INDEX(マスター_OTA!$G$4:$G$29,MATCH(売上入力!D48,マスター_OTA!$A$4:$A$29,0)),25)))),"")</f>
        <v/>
      </c>
      <c r="B138" s="16" t="str">
        <f>IF(売上入力!B48="","",売上入力!B48)</f>
        <v>リゾート</v>
      </c>
      <c r="C138" s="16" t="str">
        <f>IF(売上入力!C48="","",売上入力!C48)</f>
        <v>竹原（ﾚｽﾄﾗﾝ含む）</v>
      </c>
      <c r="D138" s="16" t="str">
        <f>IF(売上入力!D48="","",売上入力!D48)</f>
        <v>竹原市</v>
      </c>
      <c r="E138" s="89">
        <f>IFERROR(IF(売上入力!E48="",0,売上入力!E48*INDEX(マスター_OTA!$D$4:$D$29,MATCH(売上入力!D48,マスター_OTA!$A$4:$A$29,0))/100),0)</f>
        <v>0</v>
      </c>
      <c r="F138" s="90">
        <f>IF(売上入力!A48="","",売上入力!A48)</f>
        <v>46174</v>
      </c>
      <c r="G138" s="16" t="s">
        <v>386</v>
      </c>
    </row>
    <row r="139" spans="1:7" ht="15" customHeight="1">
      <c r="A139" s="88">
        <f>IFERROR(IF(売上入力!A49="","",IF(INDEX(マスター_OTA!$B$4:$B$29,MATCH(売上入力!D49,マスター_OTA!$A$4:$A$29,0))=0,"",DATE(YEAR(売上入力!A49),MONTH(売上入力!A49),IFERROR(INDEX(マスター_OTA!$E$4:$E$29,MATCH(売上入力!D49,マスター_OTA!$A$4:$A$29,0)),28)))),"")</f>
        <v>46223</v>
      </c>
      <c r="B139" s="16" t="str">
        <f>IF(売上入力!B49="","",売上入力!B49)</f>
        <v>リゾート</v>
      </c>
      <c r="C139" s="16" t="str">
        <f>IF(売上入力!C49="","",売上入力!C49)</f>
        <v>TAKAYA</v>
      </c>
      <c r="D139" s="16" t="str">
        <f>IF(売上入力!D49="","",売上入力!D49)</f>
        <v>売上</v>
      </c>
      <c r="E139" s="89">
        <f>IFERROR(IF(売上入力!E49="",0,売上入力!E49*INDEX(マスター_OTA!$B$4:$B$29,MATCH(売上入力!D49,マスター_OTA!$A$4:$A$29,0))/100),0)</f>
        <v>37200</v>
      </c>
      <c r="F139" s="90">
        <f>IF(売上入力!A49="","",売上入力!A49)</f>
        <v>46204</v>
      </c>
      <c r="G139" s="16" t="s">
        <v>384</v>
      </c>
    </row>
    <row r="140" spans="1:7" ht="15" customHeight="1">
      <c r="A140" s="88">
        <f>IFERROR(IF(売上入力!A49="","",IF(INDEX(マスター_OTA!$C$4:$C$29,MATCH(売上入力!D49,マスター_OTA!$A$4:$A$29,0))=0,"",DATE(YEAR(売上入力!A49),MONTH(売上入力!A49)+1,IFERROR(INDEX(マスター_OTA!$F$4:$F$29,MATCH(売上入力!D49,マスター_OTA!$A$4:$A$29,0)),25)))),"")</f>
        <v>46244</v>
      </c>
      <c r="B140" s="16" t="str">
        <f>IF(売上入力!B49="","",売上入力!B49)</f>
        <v>リゾート</v>
      </c>
      <c r="C140" s="16" t="str">
        <f>IF(売上入力!C49="","",売上入力!C49)</f>
        <v>TAKAYA</v>
      </c>
      <c r="D140" s="16" t="str">
        <f>IF(売上入力!D49="","",売上入力!D49)</f>
        <v>売上</v>
      </c>
      <c r="E140" s="89">
        <f>IFERROR(IF(売上入力!E49="",0,売上入力!E49*INDEX(マスター_OTA!$C$4:$C$29,MATCH(売上入力!D49,マスター_OTA!$A$4:$A$29,0))/100),0)</f>
        <v>186000</v>
      </c>
      <c r="F140" s="90">
        <f>IF(売上入力!A49="","",売上入力!A49)</f>
        <v>46204</v>
      </c>
      <c r="G140" s="16" t="s">
        <v>385</v>
      </c>
    </row>
    <row r="141" spans="1:7" ht="15" customHeight="1">
      <c r="A141" s="88">
        <f>IFERROR(IF(売上入力!A49="","",IF(INDEX(マスター_OTA!$D$4:$D$29,MATCH(売上入力!D49,マスター_OTA!$A$4:$A$29,0))=0,"",DATE(YEAR(売上入力!A49),MONTH(売上入力!A49)+2,IFERROR(INDEX(マスター_OTA!$G$4:$G$29,MATCH(売上入力!D49,マスター_OTA!$A$4:$A$29,0)),25)))),"")</f>
        <v>46290</v>
      </c>
      <c r="B141" s="16" t="str">
        <f>IF(売上入力!B49="","",売上入力!B49)</f>
        <v>リゾート</v>
      </c>
      <c r="C141" s="16" t="str">
        <f>IF(売上入力!C49="","",売上入力!C49)</f>
        <v>TAKAYA</v>
      </c>
      <c r="D141" s="16" t="str">
        <f>IF(売上入力!D49="","",売上入力!D49)</f>
        <v>売上</v>
      </c>
      <c r="E141" s="89">
        <f>IFERROR(IF(売上入力!E49="",0,売上入力!E49*INDEX(マスター_OTA!$D$4:$D$29,MATCH(売上入力!D49,マスター_OTA!$A$4:$A$29,0))/100),0)</f>
        <v>24800</v>
      </c>
      <c r="F141" s="90">
        <f>IF(売上入力!A49="","",売上入力!A49)</f>
        <v>46204</v>
      </c>
      <c r="G141" s="16" t="s">
        <v>386</v>
      </c>
    </row>
    <row r="142" spans="1:7" ht="15" customHeight="1">
      <c r="A142" s="88">
        <f>IFERROR(IF(売上入力!A50="","",IF(INDEX(マスター_OTA!$B$4:$B$29,MATCH(売上入力!D50,マスター_OTA!$A$4:$A$29,0))=0,"",DATE(YEAR(売上入力!A50),MONTH(売上入力!A50),IFERROR(INDEX(マスター_OTA!$E$4:$E$29,MATCH(売上入力!D50,マスター_OTA!$A$4:$A$29,0)),28)))),"")</f>
        <v>46223</v>
      </c>
      <c r="B142" s="16" t="str">
        <f>IF(売上入力!B50="","",売上入力!B50)</f>
        <v>リゾート</v>
      </c>
      <c r="C142" s="16" t="str">
        <f>IF(売上入力!C50="","",売上入力!C50)</f>
        <v>VIEW</v>
      </c>
      <c r="D142" s="16" t="str">
        <f>IF(売上入力!D50="","",売上入力!D50)</f>
        <v>ホテル売上</v>
      </c>
      <c r="E142" s="89">
        <f>IFERROR(IF(売上入力!E50="",0,売上入力!E50*INDEX(マスター_OTA!$B$4:$B$29,MATCH(売上入力!D50,マスター_OTA!$A$4:$A$29,0))/100),0)</f>
        <v>396319.05</v>
      </c>
      <c r="F142" s="90">
        <f>IF(売上入力!A50="","",売上入力!A50)</f>
        <v>46204</v>
      </c>
      <c r="G142" s="16" t="s">
        <v>384</v>
      </c>
    </row>
    <row r="143" spans="1:7" ht="15" customHeight="1">
      <c r="A143" s="88">
        <f>IFERROR(IF(売上入力!A50="","",IF(INDEX(マスター_OTA!$C$4:$C$29,MATCH(売上入力!D50,マスター_OTA!$A$4:$A$29,0))=0,"",DATE(YEAR(売上入力!A50),MONTH(売上入力!A50)+1,IFERROR(INDEX(マスター_OTA!$F$4:$F$29,MATCH(売上入力!D50,マスター_OTA!$A$4:$A$29,0)),25)))),"")</f>
        <v>46244</v>
      </c>
      <c r="B143" s="16" t="str">
        <f>IF(売上入力!B50="","",売上入力!B50)</f>
        <v>リゾート</v>
      </c>
      <c r="C143" s="16" t="str">
        <f>IF(売上入力!C50="","",売上入力!C50)</f>
        <v>VIEW</v>
      </c>
      <c r="D143" s="16" t="str">
        <f>IF(売上入力!D50="","",売上入力!D50)</f>
        <v>ホテル売上</v>
      </c>
      <c r="E143" s="89">
        <f>IFERROR(IF(売上入力!E50="",0,売上入力!E50*INDEX(マスター_OTA!$C$4:$C$29,MATCH(売上入力!D50,マスター_OTA!$A$4:$A$29,0))/100),0)</f>
        <v>1981595.25</v>
      </c>
      <c r="F143" s="90">
        <f>IF(売上入力!A50="","",売上入力!A50)</f>
        <v>46204</v>
      </c>
      <c r="G143" s="16" t="s">
        <v>385</v>
      </c>
    </row>
    <row r="144" spans="1:7" ht="15" customHeight="1">
      <c r="A144" s="88">
        <f>IFERROR(IF(売上入力!A50="","",IF(INDEX(マスター_OTA!$D$4:$D$29,MATCH(売上入力!D50,マスター_OTA!$A$4:$A$29,0))=0,"",DATE(YEAR(売上入力!A50),MONTH(売上入力!A50)+2,IFERROR(INDEX(マスター_OTA!$G$4:$G$29,MATCH(売上入力!D50,マスター_OTA!$A$4:$A$29,0)),25)))),"")</f>
        <v>46290</v>
      </c>
      <c r="B144" s="16" t="str">
        <f>IF(売上入力!B50="","",売上入力!B50)</f>
        <v>リゾート</v>
      </c>
      <c r="C144" s="16" t="str">
        <f>IF(売上入力!C50="","",売上入力!C50)</f>
        <v>VIEW</v>
      </c>
      <c r="D144" s="16" t="str">
        <f>IF(売上入力!D50="","",売上入力!D50)</f>
        <v>ホテル売上</v>
      </c>
      <c r="E144" s="89">
        <f>IFERROR(IF(売上入力!E50="",0,売上入力!E50*INDEX(マスター_OTA!$D$4:$D$29,MATCH(売上入力!D50,マスター_OTA!$A$4:$A$29,0))/100),0)</f>
        <v>264212.7</v>
      </c>
      <c r="F144" s="90">
        <f>IF(売上入力!A50="","",売上入力!A50)</f>
        <v>46204</v>
      </c>
      <c r="G144" s="16" t="s">
        <v>386</v>
      </c>
    </row>
    <row r="145" spans="1:7" ht="15" customHeight="1">
      <c r="A145" s="88">
        <f>IFERROR(IF(売上入力!A51="","",IF(INDEX(マスター_OTA!$B$4:$B$29,MATCH(売上入力!D51,マスター_OTA!$A$4:$A$29,0))=0,"",DATE(YEAR(売上入力!A51),MONTH(売上入力!A51),IFERROR(INDEX(マスター_OTA!$E$4:$E$29,MATCH(売上入力!D51,マスター_OTA!$A$4:$A$29,0)),28)))),"")</f>
        <v>46223</v>
      </c>
      <c r="B145" s="16" t="str">
        <f>IF(売上入力!B51="","",売上入力!B51)</f>
        <v>リゾート</v>
      </c>
      <c r="C145" s="16" t="str">
        <f>IF(売上入力!C51="","",売上入力!C51)</f>
        <v>de Lune</v>
      </c>
      <c r="D145" s="16" t="str">
        <f>IF(売上入力!D51="","",売上入力!D51)</f>
        <v>ホテル売上</v>
      </c>
      <c r="E145" s="89">
        <f>IFERROR(IF(売上入力!E51="",0,売上入力!E51*INDEX(マスター_OTA!$B$4:$B$29,MATCH(売上入力!D51,マスター_OTA!$A$4:$A$29,0))/100),0)</f>
        <v>1303337.7</v>
      </c>
      <c r="F145" s="90">
        <f>IF(売上入力!A51="","",売上入力!A51)</f>
        <v>46204</v>
      </c>
      <c r="G145" s="16" t="s">
        <v>384</v>
      </c>
    </row>
    <row r="146" spans="1:7" ht="15" customHeight="1">
      <c r="A146" s="88">
        <f>IFERROR(IF(売上入力!A51="","",IF(INDEX(マスター_OTA!$C$4:$C$29,MATCH(売上入力!D51,マスター_OTA!$A$4:$A$29,0))=0,"",DATE(YEAR(売上入力!A51),MONTH(売上入力!A51)+1,IFERROR(INDEX(マスター_OTA!$F$4:$F$29,MATCH(売上入力!D51,マスター_OTA!$A$4:$A$29,0)),25)))),"")</f>
        <v>46244</v>
      </c>
      <c r="B146" s="16" t="str">
        <f>IF(売上入力!B51="","",売上入力!B51)</f>
        <v>リゾート</v>
      </c>
      <c r="C146" s="16" t="str">
        <f>IF(売上入力!C51="","",売上入力!C51)</f>
        <v>de Lune</v>
      </c>
      <c r="D146" s="16" t="str">
        <f>IF(売上入力!D51="","",売上入力!D51)</f>
        <v>ホテル売上</v>
      </c>
      <c r="E146" s="89">
        <f>IFERROR(IF(売上入力!E51="",0,売上入力!E51*INDEX(マスター_OTA!$C$4:$C$29,MATCH(売上入力!D51,マスター_OTA!$A$4:$A$29,0))/100),0)</f>
        <v>6516688.5</v>
      </c>
      <c r="F146" s="90">
        <f>IF(売上入力!A51="","",売上入力!A51)</f>
        <v>46204</v>
      </c>
      <c r="G146" s="16" t="s">
        <v>385</v>
      </c>
    </row>
    <row r="147" spans="1:7" ht="15" customHeight="1">
      <c r="A147" s="88">
        <f>IFERROR(IF(売上入力!A51="","",IF(INDEX(マスター_OTA!$D$4:$D$29,MATCH(売上入力!D51,マスター_OTA!$A$4:$A$29,0))=0,"",DATE(YEAR(売上入力!A51),MONTH(売上入力!A51)+2,IFERROR(INDEX(マスター_OTA!$G$4:$G$29,MATCH(売上入力!D51,マスター_OTA!$A$4:$A$29,0)),25)))),"")</f>
        <v>46290</v>
      </c>
      <c r="B147" s="16" t="str">
        <f>IF(売上入力!B51="","",売上入力!B51)</f>
        <v>リゾート</v>
      </c>
      <c r="C147" s="16" t="str">
        <f>IF(売上入力!C51="","",売上入力!C51)</f>
        <v>de Lune</v>
      </c>
      <c r="D147" s="16" t="str">
        <f>IF(売上入力!D51="","",売上入力!D51)</f>
        <v>ホテル売上</v>
      </c>
      <c r="E147" s="89">
        <f>IFERROR(IF(売上入力!E51="",0,売上入力!E51*INDEX(マスター_OTA!$D$4:$D$29,MATCH(売上入力!D51,マスター_OTA!$A$4:$A$29,0))/100),0)</f>
        <v>868891.8</v>
      </c>
      <c r="F147" s="90">
        <f>IF(売上入力!A51="","",売上入力!A51)</f>
        <v>46204</v>
      </c>
      <c r="G147" s="16" t="s">
        <v>386</v>
      </c>
    </row>
    <row r="148" spans="1:7" ht="15" customHeight="1">
      <c r="A148" s="88">
        <f>IFERROR(IF(売上入力!A52="","",IF(INDEX(マスター_OTA!$B$4:$B$29,MATCH(売上入力!D52,マスター_OTA!$A$4:$A$29,0))=0,"",DATE(YEAR(売上入力!A52),MONTH(売上入力!A52),IFERROR(INDEX(マスター_OTA!$E$4:$E$29,MATCH(売上入力!D52,マスター_OTA!$A$4:$A$29,0)),28)))),"")</f>
        <v>46223</v>
      </c>
      <c r="B148" s="16" t="str">
        <f>IF(売上入力!B52="","",売上入力!B52)</f>
        <v>リゾート</v>
      </c>
      <c r="C148" s="16" t="str">
        <f>IF(売上入力!C52="","",売上入力!C52)</f>
        <v>いこいの村</v>
      </c>
      <c r="D148" s="16" t="str">
        <f>IF(売上入力!D52="","",売上入力!D52)</f>
        <v>ホテル売上</v>
      </c>
      <c r="E148" s="89">
        <f>IFERROR(IF(売上入力!E52="",0,売上入力!E52*INDEX(マスター_OTA!$B$4:$B$29,MATCH(売上入力!D52,マスター_OTA!$A$4:$A$29,0))/100),0)</f>
        <v>1030824.6</v>
      </c>
      <c r="F148" s="90">
        <f>IF(売上入力!A52="","",売上入力!A52)</f>
        <v>46204</v>
      </c>
      <c r="G148" s="16" t="s">
        <v>384</v>
      </c>
    </row>
    <row r="149" spans="1:7" ht="15" customHeight="1">
      <c r="A149" s="88">
        <f>IFERROR(IF(売上入力!A52="","",IF(INDEX(マスター_OTA!$C$4:$C$29,MATCH(売上入力!D52,マスター_OTA!$A$4:$A$29,0))=0,"",DATE(YEAR(売上入力!A52),MONTH(売上入力!A52)+1,IFERROR(INDEX(マスター_OTA!$F$4:$F$29,MATCH(売上入力!D52,マスター_OTA!$A$4:$A$29,0)),25)))),"")</f>
        <v>46244</v>
      </c>
      <c r="B149" s="16" t="str">
        <f>IF(売上入力!B52="","",売上入力!B52)</f>
        <v>リゾート</v>
      </c>
      <c r="C149" s="16" t="str">
        <f>IF(売上入力!C52="","",売上入力!C52)</f>
        <v>いこいの村</v>
      </c>
      <c r="D149" s="16" t="str">
        <f>IF(売上入力!D52="","",売上入力!D52)</f>
        <v>ホテル売上</v>
      </c>
      <c r="E149" s="89">
        <f>IFERROR(IF(売上入力!E52="",0,売上入力!E52*INDEX(マスター_OTA!$C$4:$C$29,MATCH(売上入力!D52,マスター_OTA!$A$4:$A$29,0))/100),0)</f>
        <v>5154123</v>
      </c>
      <c r="F149" s="90">
        <f>IF(売上入力!A52="","",売上入力!A52)</f>
        <v>46204</v>
      </c>
      <c r="G149" s="16" t="s">
        <v>385</v>
      </c>
    </row>
    <row r="150" spans="1:7" ht="15" customHeight="1">
      <c r="A150" s="88">
        <f>IFERROR(IF(売上入力!A52="","",IF(INDEX(マスター_OTA!$D$4:$D$29,MATCH(売上入力!D52,マスター_OTA!$A$4:$A$29,0))=0,"",DATE(YEAR(売上入力!A52),MONTH(売上入力!A52)+2,IFERROR(INDEX(マスター_OTA!$G$4:$G$29,MATCH(売上入力!D52,マスター_OTA!$A$4:$A$29,0)),25)))),"")</f>
        <v>46290</v>
      </c>
      <c r="B150" s="16" t="str">
        <f>IF(売上入力!B52="","",売上入力!B52)</f>
        <v>リゾート</v>
      </c>
      <c r="C150" s="16" t="str">
        <f>IF(売上入力!C52="","",売上入力!C52)</f>
        <v>いこいの村</v>
      </c>
      <c r="D150" s="16" t="str">
        <f>IF(売上入力!D52="","",売上入力!D52)</f>
        <v>ホテル売上</v>
      </c>
      <c r="E150" s="89">
        <f>IFERROR(IF(売上入力!E52="",0,売上入力!E52*INDEX(マスター_OTA!$D$4:$D$29,MATCH(売上入力!D52,マスター_OTA!$A$4:$A$29,0))/100),0)</f>
        <v>687216.4</v>
      </c>
      <c r="F150" s="90">
        <f>IF(売上入力!A52="","",売上入力!A52)</f>
        <v>46204</v>
      </c>
      <c r="G150" s="16" t="s">
        <v>386</v>
      </c>
    </row>
    <row r="151" spans="1:7" ht="15" customHeight="1">
      <c r="A151" s="88">
        <f>IFERROR(IF(売上入力!A53="","",IF(INDEX(マスター_OTA!$B$4:$B$29,MATCH(売上入力!D53,マスター_OTA!$A$4:$A$29,0))=0,"",DATE(YEAR(売上入力!A53),MONTH(売上入力!A53),IFERROR(INDEX(マスター_OTA!$E$4:$E$29,MATCH(売上入力!D53,マスター_OTA!$A$4:$A$29,0)),28)))),"")</f>
        <v>46223</v>
      </c>
      <c r="B151" s="16" t="str">
        <f>IF(売上入力!B53="","",売上入力!B53)</f>
        <v>リゾート</v>
      </c>
      <c r="C151" s="16" t="str">
        <f>IF(売上入力!C53="","",売上入力!C53)</f>
        <v>グリーンシャワー</v>
      </c>
      <c r="D151" s="16" t="str">
        <f>IF(売上入力!D53="","",売上入力!D53)</f>
        <v>売上</v>
      </c>
      <c r="E151" s="89">
        <f>IFERROR(IF(売上入力!E53="",0,売上入力!E53*INDEX(マスター_OTA!$B$4:$B$29,MATCH(売上入力!D53,マスター_OTA!$A$4:$A$29,0))/100),0)</f>
        <v>60652.800000000003</v>
      </c>
      <c r="F151" s="90">
        <f>IF(売上入力!A53="","",売上入力!A53)</f>
        <v>46204</v>
      </c>
      <c r="G151" s="16" t="s">
        <v>384</v>
      </c>
    </row>
    <row r="152" spans="1:7" ht="15" customHeight="1">
      <c r="A152" s="88">
        <f>IFERROR(IF(売上入力!A53="","",IF(INDEX(マスター_OTA!$C$4:$C$29,MATCH(売上入力!D53,マスター_OTA!$A$4:$A$29,0))=0,"",DATE(YEAR(売上入力!A53),MONTH(売上入力!A53)+1,IFERROR(INDEX(マスター_OTA!$F$4:$F$29,MATCH(売上入力!D53,マスター_OTA!$A$4:$A$29,0)),25)))),"")</f>
        <v>46244</v>
      </c>
      <c r="B152" s="16" t="str">
        <f>IF(売上入力!B53="","",売上入力!B53)</f>
        <v>リゾート</v>
      </c>
      <c r="C152" s="16" t="str">
        <f>IF(売上入力!C53="","",売上入力!C53)</f>
        <v>グリーンシャワー</v>
      </c>
      <c r="D152" s="16" t="str">
        <f>IF(売上入力!D53="","",売上入力!D53)</f>
        <v>売上</v>
      </c>
      <c r="E152" s="89">
        <f>IFERROR(IF(売上入力!E53="",0,売上入力!E53*INDEX(マスター_OTA!$C$4:$C$29,MATCH(売上入力!D53,マスター_OTA!$A$4:$A$29,0))/100),0)</f>
        <v>303264</v>
      </c>
      <c r="F152" s="90">
        <f>IF(売上入力!A53="","",売上入力!A53)</f>
        <v>46204</v>
      </c>
      <c r="G152" s="16" t="s">
        <v>385</v>
      </c>
    </row>
    <row r="153" spans="1:7" ht="15" customHeight="1">
      <c r="A153" s="88">
        <f>IFERROR(IF(売上入力!A53="","",IF(INDEX(マスター_OTA!$D$4:$D$29,MATCH(売上入力!D53,マスター_OTA!$A$4:$A$29,0))=0,"",DATE(YEAR(売上入力!A53),MONTH(売上入力!A53)+2,IFERROR(INDEX(マスター_OTA!$G$4:$G$29,MATCH(売上入力!D53,マスター_OTA!$A$4:$A$29,0)),25)))),"")</f>
        <v>46290</v>
      </c>
      <c r="B153" s="16" t="str">
        <f>IF(売上入力!B53="","",売上入力!B53)</f>
        <v>リゾート</v>
      </c>
      <c r="C153" s="16" t="str">
        <f>IF(売上入力!C53="","",売上入力!C53)</f>
        <v>グリーンシャワー</v>
      </c>
      <c r="D153" s="16" t="str">
        <f>IF(売上入力!D53="","",売上入力!D53)</f>
        <v>売上</v>
      </c>
      <c r="E153" s="89">
        <f>IFERROR(IF(売上入力!E53="",0,売上入力!E53*INDEX(マスター_OTA!$D$4:$D$29,MATCH(売上入力!D53,マスター_OTA!$A$4:$A$29,0))/100),0)</f>
        <v>40435.199999999997</v>
      </c>
      <c r="F153" s="90">
        <f>IF(売上入力!A53="","",売上入力!A53)</f>
        <v>46204</v>
      </c>
      <c r="G153" s="16" t="s">
        <v>386</v>
      </c>
    </row>
    <row r="154" spans="1:7" ht="15" customHeight="1">
      <c r="A154" s="88">
        <f>IFERROR(IF(売上入力!A54="","",IF(INDEX(マスター_OTA!$B$4:$B$29,MATCH(売上入力!D54,マスター_OTA!$A$4:$A$29,0))=0,"",DATE(YEAR(売上入力!A54),MONTH(売上入力!A54),IFERROR(INDEX(マスター_OTA!$E$4:$E$29,MATCH(売上入力!D54,マスター_OTA!$A$4:$A$29,0)),28)))),"")</f>
        <v>46223</v>
      </c>
      <c r="B154" s="16" t="str">
        <f>IF(売上入力!B54="","",売上入力!B54)</f>
        <v>リゾート</v>
      </c>
      <c r="C154" s="16" t="str">
        <f>IF(売上入力!C54="","",売上入力!C54)</f>
        <v>フォレストヒルズガーデン</v>
      </c>
      <c r="D154" s="16" t="str">
        <f>IF(売上入力!D54="","",売上入力!D54)</f>
        <v>売上</v>
      </c>
      <c r="E154" s="89">
        <f>IFERROR(IF(売上入力!E54="",0,売上入力!E54*INDEX(マスター_OTA!$B$4:$B$29,MATCH(売上入力!D54,マスター_OTA!$A$4:$A$29,0))/100),0)</f>
        <v>731286.45</v>
      </c>
      <c r="F154" s="90">
        <f>IF(売上入力!A54="","",売上入力!A54)</f>
        <v>46204</v>
      </c>
      <c r="G154" s="16" t="s">
        <v>384</v>
      </c>
    </row>
    <row r="155" spans="1:7" ht="15" customHeight="1">
      <c r="A155" s="88">
        <f>IFERROR(IF(売上入力!A54="","",IF(INDEX(マスター_OTA!$C$4:$C$29,MATCH(売上入力!D54,マスター_OTA!$A$4:$A$29,0))=0,"",DATE(YEAR(売上入力!A54),MONTH(売上入力!A54)+1,IFERROR(INDEX(マスター_OTA!$F$4:$F$29,MATCH(売上入力!D54,マスター_OTA!$A$4:$A$29,0)),25)))),"")</f>
        <v>46244</v>
      </c>
      <c r="B155" s="16" t="str">
        <f>IF(売上入力!B54="","",売上入力!B54)</f>
        <v>リゾート</v>
      </c>
      <c r="C155" s="16" t="str">
        <f>IF(売上入力!C54="","",売上入力!C54)</f>
        <v>フォレストヒルズガーデン</v>
      </c>
      <c r="D155" s="16" t="str">
        <f>IF(売上入力!D54="","",売上入力!D54)</f>
        <v>売上</v>
      </c>
      <c r="E155" s="89">
        <f>IFERROR(IF(売上入力!E54="",0,売上入力!E54*INDEX(マスター_OTA!$C$4:$C$29,MATCH(売上入力!D54,マスター_OTA!$A$4:$A$29,0))/100),0)</f>
        <v>3656432.25</v>
      </c>
      <c r="F155" s="90">
        <f>IF(売上入力!A54="","",売上入力!A54)</f>
        <v>46204</v>
      </c>
      <c r="G155" s="16" t="s">
        <v>385</v>
      </c>
    </row>
    <row r="156" spans="1:7" ht="15" customHeight="1">
      <c r="A156" s="88">
        <f>IFERROR(IF(売上入力!A54="","",IF(INDEX(マスター_OTA!$D$4:$D$29,MATCH(売上入力!D54,マスター_OTA!$A$4:$A$29,0))=0,"",DATE(YEAR(売上入力!A54),MONTH(売上入力!A54)+2,IFERROR(INDEX(マスター_OTA!$G$4:$G$29,MATCH(売上入力!D54,マスター_OTA!$A$4:$A$29,0)),25)))),"")</f>
        <v>46290</v>
      </c>
      <c r="B156" s="16" t="str">
        <f>IF(売上入力!B54="","",売上入力!B54)</f>
        <v>リゾート</v>
      </c>
      <c r="C156" s="16" t="str">
        <f>IF(売上入力!C54="","",売上入力!C54)</f>
        <v>フォレストヒルズガーデン</v>
      </c>
      <c r="D156" s="16" t="str">
        <f>IF(売上入力!D54="","",売上入力!D54)</f>
        <v>売上</v>
      </c>
      <c r="E156" s="89">
        <f>IFERROR(IF(売上入力!E54="",0,売上入力!E54*INDEX(マスター_OTA!$D$4:$D$29,MATCH(売上入力!D54,マスター_OTA!$A$4:$A$29,0))/100),0)</f>
        <v>487524.3</v>
      </c>
      <c r="F156" s="90">
        <f>IF(売上入力!A54="","",売上入力!A54)</f>
        <v>46204</v>
      </c>
      <c r="G156" s="16" t="s">
        <v>386</v>
      </c>
    </row>
    <row r="157" spans="1:7" ht="15" customHeight="1">
      <c r="A157" s="88">
        <f>IFERROR(IF(売上入力!A55="","",IF(INDEX(マスター_OTA!$B$4:$B$29,MATCH(売上入力!D55,マスター_OTA!$A$4:$A$29,0))=0,"",DATE(YEAR(売上入力!A55),MONTH(売上入力!A55),IFERROR(INDEX(マスター_OTA!$E$4:$E$29,MATCH(売上入力!D55,マスター_OTA!$A$4:$A$29,0)),28)))),"")</f>
        <v>46223</v>
      </c>
      <c r="B157" s="16" t="str">
        <f>IF(売上入力!B55="","",売上入力!B55)</f>
        <v>モーテル</v>
      </c>
      <c r="C157" s="16" t="str">
        <f>IF(売上入力!C55="","",売上入力!C55)</f>
        <v>弥山</v>
      </c>
      <c r="D157" s="16" t="str">
        <f>IF(売上入力!D55="","",売上入力!D55)</f>
        <v>ホテル売上</v>
      </c>
      <c r="E157" s="89">
        <f>IFERROR(IF(売上入力!E55="",0,売上入力!E55*INDEX(マスター_OTA!$B$4:$B$29,MATCH(売上入力!D55,マスター_OTA!$A$4:$A$29,0))/100),0)</f>
        <v>704006.25</v>
      </c>
      <c r="F157" s="90">
        <f>IF(売上入力!A55="","",売上入力!A55)</f>
        <v>46204</v>
      </c>
      <c r="G157" s="16" t="s">
        <v>384</v>
      </c>
    </row>
    <row r="158" spans="1:7" ht="15" customHeight="1">
      <c r="A158" s="88">
        <f>IFERROR(IF(売上入力!A55="","",IF(INDEX(マスター_OTA!$C$4:$C$29,MATCH(売上入力!D55,マスター_OTA!$A$4:$A$29,0))=0,"",DATE(YEAR(売上入力!A55),MONTH(売上入力!A55)+1,IFERROR(INDEX(マスター_OTA!$F$4:$F$29,MATCH(売上入力!D55,マスター_OTA!$A$4:$A$29,0)),25)))),"")</f>
        <v>46244</v>
      </c>
      <c r="B158" s="16" t="str">
        <f>IF(売上入力!B55="","",売上入力!B55)</f>
        <v>モーテル</v>
      </c>
      <c r="C158" s="16" t="str">
        <f>IF(売上入力!C55="","",売上入力!C55)</f>
        <v>弥山</v>
      </c>
      <c r="D158" s="16" t="str">
        <f>IF(売上入力!D55="","",売上入力!D55)</f>
        <v>ホテル売上</v>
      </c>
      <c r="E158" s="89">
        <f>IFERROR(IF(売上入力!E55="",0,売上入力!E55*INDEX(マスター_OTA!$C$4:$C$29,MATCH(売上入力!D55,マスター_OTA!$A$4:$A$29,0))/100),0)</f>
        <v>3520031.25</v>
      </c>
      <c r="F158" s="90">
        <f>IF(売上入力!A55="","",売上入力!A55)</f>
        <v>46204</v>
      </c>
      <c r="G158" s="16" t="s">
        <v>385</v>
      </c>
    </row>
    <row r="159" spans="1:7" ht="15" customHeight="1">
      <c r="A159" s="88">
        <f>IFERROR(IF(売上入力!A55="","",IF(INDEX(マスター_OTA!$D$4:$D$29,MATCH(売上入力!D55,マスター_OTA!$A$4:$A$29,0))=0,"",DATE(YEAR(売上入力!A55),MONTH(売上入力!A55)+2,IFERROR(INDEX(マスター_OTA!$G$4:$G$29,MATCH(売上入力!D55,マスター_OTA!$A$4:$A$29,0)),25)))),"")</f>
        <v>46290</v>
      </c>
      <c r="B159" s="16" t="str">
        <f>IF(売上入力!B55="","",売上入力!B55)</f>
        <v>モーテル</v>
      </c>
      <c r="C159" s="16" t="str">
        <f>IF(売上入力!C55="","",売上入力!C55)</f>
        <v>弥山</v>
      </c>
      <c r="D159" s="16" t="str">
        <f>IF(売上入力!D55="","",売上入力!D55)</f>
        <v>ホテル売上</v>
      </c>
      <c r="E159" s="89">
        <f>IFERROR(IF(売上入力!E55="",0,売上入力!E55*INDEX(マスター_OTA!$D$4:$D$29,MATCH(売上入力!D55,マスター_OTA!$A$4:$A$29,0))/100),0)</f>
        <v>469337.5</v>
      </c>
      <c r="F159" s="90">
        <f>IF(売上入力!A55="","",売上入力!A55)</f>
        <v>46204</v>
      </c>
      <c r="G159" s="16" t="s">
        <v>386</v>
      </c>
    </row>
    <row r="160" spans="1:7" ht="15" customHeight="1">
      <c r="A160" s="88">
        <f>IFERROR(IF(売上入力!A56="","",IF(INDEX(マスター_OTA!$B$4:$B$29,MATCH(売上入力!D56,マスター_OTA!$A$4:$A$29,0))=0,"",DATE(YEAR(売上入力!A56),MONTH(売上入力!A56),IFERROR(INDEX(マスター_OTA!$E$4:$E$29,MATCH(売上入力!D56,マスター_OTA!$A$4:$A$29,0)),28)))),"")</f>
        <v>46223</v>
      </c>
      <c r="B160" s="16" t="str">
        <f>IF(売上入力!B56="","",売上入力!B56)</f>
        <v>リゾート</v>
      </c>
      <c r="C160" s="16" t="str">
        <f>IF(売上入力!C56="","",売上入力!C56)</f>
        <v>本川</v>
      </c>
      <c r="D160" s="16" t="str">
        <f>IF(売上入力!D56="","",売上入力!D56)</f>
        <v>ホテル売上</v>
      </c>
      <c r="E160" s="89">
        <f>IFERROR(IF(売上入力!E56="",0,売上入力!E56*INDEX(マスター_OTA!$B$4:$B$29,MATCH(売上入力!D56,マスター_OTA!$A$4:$A$29,0))/100),0)</f>
        <v>133223.25</v>
      </c>
      <c r="F160" s="90">
        <f>IF(売上入力!A56="","",売上入力!A56)</f>
        <v>46204</v>
      </c>
      <c r="G160" s="16" t="s">
        <v>384</v>
      </c>
    </row>
    <row r="161" spans="1:7" ht="15" customHeight="1">
      <c r="A161" s="88">
        <f>IFERROR(IF(売上入力!A56="","",IF(INDEX(マスター_OTA!$C$4:$C$29,MATCH(売上入力!D56,マスター_OTA!$A$4:$A$29,0))=0,"",DATE(YEAR(売上入力!A56),MONTH(売上入力!A56)+1,IFERROR(INDEX(マスター_OTA!$F$4:$F$29,MATCH(売上入力!D56,マスター_OTA!$A$4:$A$29,0)),25)))),"")</f>
        <v>46244</v>
      </c>
      <c r="B161" s="16" t="str">
        <f>IF(売上入力!B56="","",売上入力!B56)</f>
        <v>リゾート</v>
      </c>
      <c r="C161" s="16" t="str">
        <f>IF(売上入力!C56="","",売上入力!C56)</f>
        <v>本川</v>
      </c>
      <c r="D161" s="16" t="str">
        <f>IF(売上入力!D56="","",売上入力!D56)</f>
        <v>ホテル売上</v>
      </c>
      <c r="E161" s="89">
        <f>IFERROR(IF(売上入力!E56="",0,売上入力!E56*INDEX(マスター_OTA!$C$4:$C$29,MATCH(売上入力!D56,マスター_OTA!$A$4:$A$29,0))/100),0)</f>
        <v>666116.25</v>
      </c>
      <c r="F161" s="90">
        <f>IF(売上入力!A56="","",売上入力!A56)</f>
        <v>46204</v>
      </c>
      <c r="G161" s="16" t="s">
        <v>385</v>
      </c>
    </row>
    <row r="162" spans="1:7" ht="15" customHeight="1">
      <c r="A162" s="88">
        <f>IFERROR(IF(売上入力!A56="","",IF(INDEX(マスター_OTA!$D$4:$D$29,MATCH(売上入力!D56,マスター_OTA!$A$4:$A$29,0))=0,"",DATE(YEAR(売上入力!A56),MONTH(売上入力!A56)+2,IFERROR(INDEX(マスター_OTA!$G$4:$G$29,MATCH(売上入力!D56,マスター_OTA!$A$4:$A$29,0)),25)))),"")</f>
        <v>46290</v>
      </c>
      <c r="B162" s="16" t="str">
        <f>IF(売上入力!B56="","",売上入力!B56)</f>
        <v>リゾート</v>
      </c>
      <c r="C162" s="16" t="str">
        <f>IF(売上入力!C56="","",売上入力!C56)</f>
        <v>本川</v>
      </c>
      <c r="D162" s="16" t="str">
        <f>IF(売上入力!D56="","",売上入力!D56)</f>
        <v>ホテル売上</v>
      </c>
      <c r="E162" s="89">
        <f>IFERROR(IF(売上入力!E56="",0,売上入力!E56*INDEX(マスター_OTA!$D$4:$D$29,MATCH(売上入力!D56,マスター_OTA!$A$4:$A$29,0))/100),0)</f>
        <v>88815.5</v>
      </c>
      <c r="F162" s="90">
        <f>IF(売上入力!A56="","",売上入力!A56)</f>
        <v>46204</v>
      </c>
      <c r="G162" s="16" t="s">
        <v>386</v>
      </c>
    </row>
    <row r="163" spans="1:7" ht="15" customHeight="1">
      <c r="A163" s="88">
        <f>IFERROR(IF(売上入力!A57="","",IF(INDEX(マスター_OTA!$B$4:$B$29,MATCH(売上入力!D57,マスター_OTA!$A$4:$A$29,0))=0,"",DATE(YEAR(売上入力!A57),MONTH(売上入力!A57),IFERROR(INDEX(マスター_OTA!$E$4:$E$29,MATCH(売上入力!D57,マスター_OTA!$A$4:$A$29,0)),28)))),"")</f>
        <v>46223</v>
      </c>
      <c r="B163" s="16" t="str">
        <f>IF(売上入力!B57="","",売上入力!B57)</f>
        <v>リゾート</v>
      </c>
      <c r="C163" s="16" t="str">
        <f>IF(売上入力!C57="","",売上入力!C57)</f>
        <v>温井</v>
      </c>
      <c r="D163" s="16" t="str">
        <f>IF(売上入力!D57="","",売上入力!D57)</f>
        <v>ホテル売上</v>
      </c>
      <c r="E163" s="89">
        <f>IFERROR(IF(売上入力!E57="",0,売上入力!E57*INDEX(マスター_OTA!$B$4:$B$29,MATCH(売上入力!D57,マスター_OTA!$A$4:$A$29,0))/100),0)</f>
        <v>628497.9</v>
      </c>
      <c r="F163" s="90">
        <f>IF(売上入力!A57="","",売上入力!A57)</f>
        <v>46204</v>
      </c>
      <c r="G163" s="16" t="s">
        <v>384</v>
      </c>
    </row>
    <row r="164" spans="1:7" ht="15" customHeight="1">
      <c r="A164" s="88">
        <f>IFERROR(IF(売上入力!A57="","",IF(INDEX(マスター_OTA!$C$4:$C$29,MATCH(売上入力!D57,マスター_OTA!$A$4:$A$29,0))=0,"",DATE(YEAR(売上入力!A57),MONTH(売上入力!A57)+1,IFERROR(INDEX(マスター_OTA!$F$4:$F$29,MATCH(売上入力!D57,マスター_OTA!$A$4:$A$29,0)),25)))),"")</f>
        <v>46244</v>
      </c>
      <c r="B164" s="16" t="str">
        <f>IF(売上入力!B57="","",売上入力!B57)</f>
        <v>リゾート</v>
      </c>
      <c r="C164" s="16" t="str">
        <f>IF(売上入力!C57="","",売上入力!C57)</f>
        <v>温井</v>
      </c>
      <c r="D164" s="16" t="str">
        <f>IF(売上入力!D57="","",売上入力!D57)</f>
        <v>ホテル売上</v>
      </c>
      <c r="E164" s="89">
        <f>IFERROR(IF(売上入力!E57="",0,売上入力!E57*INDEX(マスター_OTA!$C$4:$C$29,MATCH(売上入力!D57,マスター_OTA!$A$4:$A$29,0))/100),0)</f>
        <v>3142489.5</v>
      </c>
      <c r="F164" s="90">
        <f>IF(売上入力!A57="","",売上入力!A57)</f>
        <v>46204</v>
      </c>
      <c r="G164" s="16" t="s">
        <v>385</v>
      </c>
    </row>
    <row r="165" spans="1:7" ht="15" customHeight="1">
      <c r="A165" s="88">
        <f>IFERROR(IF(売上入力!A57="","",IF(INDEX(マスター_OTA!$D$4:$D$29,MATCH(売上入力!D57,マスター_OTA!$A$4:$A$29,0))=0,"",DATE(YEAR(売上入力!A57),MONTH(売上入力!A57)+2,IFERROR(INDEX(マスター_OTA!$G$4:$G$29,MATCH(売上入力!D57,マスター_OTA!$A$4:$A$29,0)),25)))),"")</f>
        <v>46290</v>
      </c>
      <c r="B165" s="16" t="str">
        <f>IF(売上入力!B57="","",売上入力!B57)</f>
        <v>リゾート</v>
      </c>
      <c r="C165" s="16" t="str">
        <f>IF(売上入力!C57="","",売上入力!C57)</f>
        <v>温井</v>
      </c>
      <c r="D165" s="16" t="str">
        <f>IF(売上入力!D57="","",売上入力!D57)</f>
        <v>ホテル売上</v>
      </c>
      <c r="E165" s="89">
        <f>IFERROR(IF(売上入力!E57="",0,売上入力!E57*INDEX(マスター_OTA!$D$4:$D$29,MATCH(売上入力!D57,マスター_OTA!$A$4:$A$29,0))/100),0)</f>
        <v>418998.6</v>
      </c>
      <c r="F165" s="90">
        <f>IF(売上入力!A57="","",売上入力!A57)</f>
        <v>46204</v>
      </c>
      <c r="G165" s="16" t="s">
        <v>386</v>
      </c>
    </row>
    <row r="166" spans="1:7" ht="15" customHeight="1">
      <c r="A166" s="88">
        <f>IFERROR(IF(売上入力!A58="","",IF(INDEX(マスター_OTA!$B$4:$B$29,MATCH(売上入力!D58,マスター_OTA!$A$4:$A$29,0))=0,"",DATE(YEAR(売上入力!A58),MONTH(売上入力!A58),IFERROR(INDEX(マスター_OTA!$E$4:$E$29,MATCH(売上入力!D58,マスター_OTA!$A$4:$A$29,0)),28)))),"")</f>
        <v>46223</v>
      </c>
      <c r="B166" s="16" t="str">
        <f>IF(売上入力!B58="","",売上入力!B58)</f>
        <v>リゾート</v>
      </c>
      <c r="C166" s="16" t="str">
        <f>IF(売上入力!C58="","",売上入力!C58)</f>
        <v>玖波</v>
      </c>
      <c r="D166" s="16" t="str">
        <f>IF(売上入力!D58="","",売上入力!D58)</f>
        <v>ホテル売上</v>
      </c>
      <c r="E166" s="89">
        <f>IFERROR(IF(売上入力!E58="",0,売上入力!E58*INDEX(マスター_OTA!$B$4:$B$29,MATCH(売上入力!D58,マスター_OTA!$A$4:$A$29,0))/100),0)</f>
        <v>26190</v>
      </c>
      <c r="F166" s="90">
        <f>IF(売上入力!A58="","",売上入力!A58)</f>
        <v>46204</v>
      </c>
      <c r="G166" s="16" t="s">
        <v>384</v>
      </c>
    </row>
    <row r="167" spans="1:7" ht="15" customHeight="1">
      <c r="A167" s="88">
        <f>IFERROR(IF(売上入力!A58="","",IF(INDEX(マスター_OTA!$C$4:$C$29,MATCH(売上入力!D58,マスター_OTA!$A$4:$A$29,0))=0,"",DATE(YEAR(売上入力!A58),MONTH(売上入力!A58)+1,IFERROR(INDEX(マスター_OTA!$F$4:$F$29,MATCH(売上入力!D58,マスター_OTA!$A$4:$A$29,0)),25)))),"")</f>
        <v>46244</v>
      </c>
      <c r="B167" s="16" t="str">
        <f>IF(売上入力!B58="","",売上入力!B58)</f>
        <v>リゾート</v>
      </c>
      <c r="C167" s="16" t="str">
        <f>IF(売上入力!C58="","",売上入力!C58)</f>
        <v>玖波</v>
      </c>
      <c r="D167" s="16" t="str">
        <f>IF(売上入力!D58="","",売上入力!D58)</f>
        <v>ホテル売上</v>
      </c>
      <c r="E167" s="89">
        <f>IFERROR(IF(売上入力!E58="",0,売上入力!E58*INDEX(マスター_OTA!$C$4:$C$29,MATCH(売上入力!D58,マスター_OTA!$A$4:$A$29,0))/100),0)</f>
        <v>130950</v>
      </c>
      <c r="F167" s="90">
        <f>IF(売上入力!A58="","",売上入力!A58)</f>
        <v>46204</v>
      </c>
      <c r="G167" s="16" t="s">
        <v>385</v>
      </c>
    </row>
    <row r="168" spans="1:7" ht="15" customHeight="1">
      <c r="A168" s="88">
        <f>IFERROR(IF(売上入力!A58="","",IF(INDEX(マスター_OTA!$D$4:$D$29,MATCH(売上入力!D58,マスター_OTA!$A$4:$A$29,0))=0,"",DATE(YEAR(売上入力!A58),MONTH(売上入力!A58)+2,IFERROR(INDEX(マスター_OTA!$G$4:$G$29,MATCH(売上入力!D58,マスター_OTA!$A$4:$A$29,0)),25)))),"")</f>
        <v>46290</v>
      </c>
      <c r="B168" s="16" t="str">
        <f>IF(売上入力!B58="","",売上入力!B58)</f>
        <v>リゾート</v>
      </c>
      <c r="C168" s="16" t="str">
        <f>IF(売上入力!C58="","",売上入力!C58)</f>
        <v>玖波</v>
      </c>
      <c r="D168" s="16" t="str">
        <f>IF(売上入力!D58="","",売上入力!D58)</f>
        <v>ホテル売上</v>
      </c>
      <c r="E168" s="89">
        <f>IFERROR(IF(売上入力!E58="",0,売上入力!E58*INDEX(マスター_OTA!$D$4:$D$29,MATCH(売上入力!D58,マスター_OTA!$A$4:$A$29,0))/100),0)</f>
        <v>17460</v>
      </c>
      <c r="F168" s="90">
        <f>IF(売上入力!A58="","",売上入力!A58)</f>
        <v>46204</v>
      </c>
      <c r="G168" s="16" t="s">
        <v>386</v>
      </c>
    </row>
    <row r="169" spans="1:7" ht="15" customHeight="1">
      <c r="A169" s="88" t="str">
        <f>IFERROR(IF(売上入力!A59="","",IF(INDEX(マスター_OTA!$B$4:$B$29,MATCH(売上入力!D59,マスター_OTA!$A$4:$A$29,0))=0,"",DATE(YEAR(売上入力!A59),MONTH(売上入力!A59),IFERROR(INDEX(マスター_OTA!$E$4:$E$29,MATCH(売上入力!D59,マスター_OTA!$A$4:$A$29,0)),28)))),"")</f>
        <v/>
      </c>
      <c r="B169" s="16" t="str">
        <f>IF(売上入力!B59="","",売上入力!B59)</f>
        <v>リゾート</v>
      </c>
      <c r="C169" s="16" t="str">
        <f>IF(売上入力!C59="","",売上入力!C59)</f>
        <v>竹原（ﾚｽﾄﾗﾝ含む）</v>
      </c>
      <c r="D169" s="16" t="str">
        <f>IF(売上入力!D59="","",売上入力!D59)</f>
        <v>竹原市</v>
      </c>
      <c r="E169" s="89">
        <f>IFERROR(IF(売上入力!E59="",0,売上入力!E59*INDEX(マスター_OTA!$B$4:$B$29,MATCH(売上入力!D59,マスター_OTA!$A$4:$A$29,0))/100),0)</f>
        <v>0</v>
      </c>
      <c r="F169" s="90">
        <f>IF(売上入力!A59="","",売上入力!A59)</f>
        <v>46204</v>
      </c>
      <c r="G169" s="16" t="s">
        <v>384</v>
      </c>
    </row>
    <row r="170" spans="1:7" ht="15" customHeight="1">
      <c r="A170" s="88">
        <f>IFERROR(IF(売上入力!A59="","",IF(INDEX(マスター_OTA!$C$4:$C$29,MATCH(売上入力!D59,マスター_OTA!$A$4:$A$29,0))=0,"",DATE(YEAR(売上入力!A59),MONTH(売上入力!A59)+1,IFERROR(INDEX(マスター_OTA!$F$4:$F$29,MATCH(売上入力!D59,マスター_OTA!$A$4:$A$29,0)),25)))),"")</f>
        <v>46249</v>
      </c>
      <c r="B170" s="16" t="str">
        <f>IF(売上入力!B59="","",売上入力!B59)</f>
        <v>リゾート</v>
      </c>
      <c r="C170" s="16" t="str">
        <f>IF(売上入力!C59="","",売上入力!C59)</f>
        <v>竹原（ﾚｽﾄﾗﾝ含む）</v>
      </c>
      <c r="D170" s="16" t="str">
        <f>IF(売上入力!D59="","",売上入力!D59)</f>
        <v>竹原市</v>
      </c>
      <c r="E170" s="89">
        <f>IFERROR(IF(売上入力!E59="",0,売上入力!E59*INDEX(マスター_OTA!$C$4:$C$29,MATCH(売上入力!D59,マスター_OTA!$A$4:$A$29,0))/100),0)</f>
        <v>1138566</v>
      </c>
      <c r="F170" s="90">
        <f>IF(売上入力!A59="","",売上入力!A59)</f>
        <v>46204</v>
      </c>
      <c r="G170" s="16" t="s">
        <v>385</v>
      </c>
    </row>
    <row r="171" spans="1:7" ht="15" customHeight="1">
      <c r="A171" s="88" t="str">
        <f>IFERROR(IF(売上入力!A59="","",IF(INDEX(マスター_OTA!$D$4:$D$29,MATCH(売上入力!D59,マスター_OTA!$A$4:$A$29,0))=0,"",DATE(YEAR(売上入力!A59),MONTH(売上入力!A59)+2,IFERROR(INDEX(マスター_OTA!$G$4:$G$29,MATCH(売上入力!D59,マスター_OTA!$A$4:$A$29,0)),25)))),"")</f>
        <v/>
      </c>
      <c r="B171" s="16" t="str">
        <f>IF(売上入力!B59="","",売上入力!B59)</f>
        <v>リゾート</v>
      </c>
      <c r="C171" s="16" t="str">
        <f>IF(売上入力!C59="","",売上入力!C59)</f>
        <v>竹原（ﾚｽﾄﾗﾝ含む）</v>
      </c>
      <c r="D171" s="16" t="str">
        <f>IF(売上入力!D59="","",売上入力!D59)</f>
        <v>竹原市</v>
      </c>
      <c r="E171" s="89">
        <f>IFERROR(IF(売上入力!E59="",0,売上入力!E59*INDEX(マスター_OTA!$D$4:$D$29,MATCH(売上入力!D59,マスター_OTA!$A$4:$A$29,0))/100),0)</f>
        <v>0</v>
      </c>
      <c r="F171" s="90">
        <f>IF(売上入力!A59="","",売上入力!A59)</f>
        <v>46204</v>
      </c>
      <c r="G171" s="16" t="s">
        <v>386</v>
      </c>
    </row>
    <row r="172" spans="1:7" ht="15" customHeight="1">
      <c r="A172" s="88">
        <f>IFERROR(IF(売上入力!A60="","",IF(INDEX(マスター_OTA!$B$4:$B$29,MATCH(売上入力!D60,マスター_OTA!$A$4:$A$29,0))=0,"",DATE(YEAR(売上入力!A60),MONTH(売上入力!A60),IFERROR(INDEX(マスター_OTA!$E$4:$E$29,MATCH(売上入力!D60,マスター_OTA!$A$4:$A$29,0)),28)))),"")</f>
        <v>46254</v>
      </c>
      <c r="B172" s="16" t="str">
        <f>IF(売上入力!B60="","",売上入力!B60)</f>
        <v>リゾート</v>
      </c>
      <c r="C172" s="16" t="str">
        <f>IF(売上入力!C60="","",売上入力!C60)</f>
        <v>TAKAYA</v>
      </c>
      <c r="D172" s="16" t="str">
        <f>IF(売上入力!D60="","",売上入力!D60)</f>
        <v>売上</v>
      </c>
      <c r="E172" s="89">
        <f>IFERROR(IF(売上入力!E60="",0,売上入力!E60*INDEX(マスター_OTA!$B$4:$B$29,MATCH(売上入力!D60,マスター_OTA!$A$4:$A$29,0))/100),0)</f>
        <v>29520</v>
      </c>
      <c r="F172" s="90">
        <f>IF(売上入力!A60="","",売上入力!A60)</f>
        <v>46235</v>
      </c>
      <c r="G172" s="16" t="s">
        <v>384</v>
      </c>
    </row>
    <row r="173" spans="1:7" ht="15" customHeight="1">
      <c r="A173" s="88">
        <f>IFERROR(IF(売上入力!A60="","",IF(INDEX(マスター_OTA!$C$4:$C$29,MATCH(売上入力!D60,マスター_OTA!$A$4:$A$29,0))=0,"",DATE(YEAR(売上入力!A60),MONTH(売上入力!A60)+1,IFERROR(INDEX(マスター_OTA!$F$4:$F$29,MATCH(売上入力!D60,マスター_OTA!$A$4:$A$29,0)),25)))),"")</f>
        <v>46275</v>
      </c>
      <c r="B173" s="16" t="str">
        <f>IF(売上入力!B60="","",売上入力!B60)</f>
        <v>リゾート</v>
      </c>
      <c r="C173" s="16" t="str">
        <f>IF(売上入力!C60="","",売上入力!C60)</f>
        <v>TAKAYA</v>
      </c>
      <c r="D173" s="16" t="str">
        <f>IF(売上入力!D60="","",売上入力!D60)</f>
        <v>売上</v>
      </c>
      <c r="E173" s="89">
        <f>IFERROR(IF(売上入力!E60="",0,売上入力!E60*INDEX(マスター_OTA!$C$4:$C$29,MATCH(売上入力!D60,マスター_OTA!$A$4:$A$29,0))/100),0)</f>
        <v>147600</v>
      </c>
      <c r="F173" s="90">
        <f>IF(売上入力!A60="","",売上入力!A60)</f>
        <v>46235</v>
      </c>
      <c r="G173" s="16" t="s">
        <v>385</v>
      </c>
    </row>
    <row r="174" spans="1:7" ht="15" customHeight="1">
      <c r="A174" s="88">
        <f>IFERROR(IF(売上入力!A60="","",IF(INDEX(マスター_OTA!$D$4:$D$29,MATCH(売上入力!D60,マスター_OTA!$A$4:$A$29,0))=0,"",DATE(YEAR(売上入力!A60),MONTH(売上入力!A60)+2,IFERROR(INDEX(マスター_OTA!$G$4:$G$29,MATCH(売上入力!D60,マスター_OTA!$A$4:$A$29,0)),25)))),"")</f>
        <v>46320</v>
      </c>
      <c r="B174" s="16" t="str">
        <f>IF(売上入力!B60="","",売上入力!B60)</f>
        <v>リゾート</v>
      </c>
      <c r="C174" s="16" t="str">
        <f>IF(売上入力!C60="","",売上入力!C60)</f>
        <v>TAKAYA</v>
      </c>
      <c r="D174" s="16" t="str">
        <f>IF(売上入力!D60="","",売上入力!D60)</f>
        <v>売上</v>
      </c>
      <c r="E174" s="89">
        <f>IFERROR(IF(売上入力!E60="",0,売上入力!E60*INDEX(マスター_OTA!$D$4:$D$29,MATCH(売上入力!D60,マスター_OTA!$A$4:$A$29,0))/100),0)</f>
        <v>19680</v>
      </c>
      <c r="F174" s="90">
        <f>IF(売上入力!A60="","",売上入力!A60)</f>
        <v>46235</v>
      </c>
      <c r="G174" s="16" t="s">
        <v>386</v>
      </c>
    </row>
    <row r="175" spans="1:7" ht="15" customHeight="1">
      <c r="A175" s="88">
        <f>IFERROR(IF(売上入力!A61="","",IF(INDEX(マスター_OTA!$B$4:$B$29,MATCH(売上入力!D61,マスター_OTA!$A$4:$A$29,0))=0,"",DATE(YEAR(売上入力!A61),MONTH(売上入力!A61),IFERROR(INDEX(マスター_OTA!$E$4:$E$29,MATCH(売上入力!D61,マスター_OTA!$A$4:$A$29,0)),28)))),"")</f>
        <v>46254</v>
      </c>
      <c r="B175" s="16" t="str">
        <f>IF(売上入力!B61="","",売上入力!B61)</f>
        <v>リゾート</v>
      </c>
      <c r="C175" s="16" t="str">
        <f>IF(売上入力!C61="","",売上入力!C61)</f>
        <v>VIEW</v>
      </c>
      <c r="D175" s="16" t="str">
        <f>IF(売上入力!D61="","",売上入力!D61)</f>
        <v>ホテル売上</v>
      </c>
      <c r="E175" s="89">
        <f>IFERROR(IF(売上入力!E61="",0,売上入力!E61*INDEX(マスター_OTA!$B$4:$B$29,MATCH(売上入力!D61,マスター_OTA!$A$4:$A$29,0))/100),0)</f>
        <v>536387.25</v>
      </c>
      <c r="F175" s="90">
        <f>IF(売上入力!A61="","",売上入力!A61)</f>
        <v>46235</v>
      </c>
      <c r="G175" s="16" t="s">
        <v>384</v>
      </c>
    </row>
    <row r="176" spans="1:7" ht="15" customHeight="1">
      <c r="A176" s="88">
        <f>IFERROR(IF(売上入力!A61="","",IF(INDEX(マスター_OTA!$C$4:$C$29,MATCH(売上入力!D61,マスター_OTA!$A$4:$A$29,0))=0,"",DATE(YEAR(売上入力!A61),MONTH(売上入力!A61)+1,IFERROR(INDEX(マスター_OTA!$F$4:$F$29,MATCH(売上入力!D61,マスター_OTA!$A$4:$A$29,0)),25)))),"")</f>
        <v>46275</v>
      </c>
      <c r="B176" s="16" t="str">
        <f>IF(売上入力!B61="","",売上入力!B61)</f>
        <v>リゾート</v>
      </c>
      <c r="C176" s="16" t="str">
        <f>IF(売上入力!C61="","",売上入力!C61)</f>
        <v>VIEW</v>
      </c>
      <c r="D176" s="16" t="str">
        <f>IF(売上入力!D61="","",売上入力!D61)</f>
        <v>ホテル売上</v>
      </c>
      <c r="E176" s="89">
        <f>IFERROR(IF(売上入力!E61="",0,売上入力!E61*INDEX(マスター_OTA!$C$4:$C$29,MATCH(売上入力!D61,マスター_OTA!$A$4:$A$29,0))/100),0)</f>
        <v>2681936.25</v>
      </c>
      <c r="F176" s="90">
        <f>IF(売上入力!A61="","",売上入力!A61)</f>
        <v>46235</v>
      </c>
      <c r="G176" s="16" t="s">
        <v>385</v>
      </c>
    </row>
    <row r="177" spans="1:7" ht="15" customHeight="1">
      <c r="A177" s="88">
        <f>IFERROR(IF(売上入力!A61="","",IF(INDEX(マスター_OTA!$D$4:$D$29,MATCH(売上入力!D61,マスター_OTA!$A$4:$A$29,0))=0,"",DATE(YEAR(売上入力!A61),MONTH(売上入力!A61)+2,IFERROR(INDEX(マスター_OTA!$G$4:$G$29,MATCH(売上入力!D61,マスター_OTA!$A$4:$A$29,0)),25)))),"")</f>
        <v>46320</v>
      </c>
      <c r="B177" s="16" t="str">
        <f>IF(売上入力!B61="","",売上入力!B61)</f>
        <v>リゾート</v>
      </c>
      <c r="C177" s="16" t="str">
        <f>IF(売上入力!C61="","",売上入力!C61)</f>
        <v>VIEW</v>
      </c>
      <c r="D177" s="16" t="str">
        <f>IF(売上入力!D61="","",売上入力!D61)</f>
        <v>ホテル売上</v>
      </c>
      <c r="E177" s="89">
        <f>IFERROR(IF(売上入力!E61="",0,売上入力!E61*INDEX(マスター_OTA!$D$4:$D$29,MATCH(売上入力!D61,マスター_OTA!$A$4:$A$29,0))/100),0)</f>
        <v>357591.5</v>
      </c>
      <c r="F177" s="90">
        <f>IF(売上入力!A61="","",売上入力!A61)</f>
        <v>46235</v>
      </c>
      <c r="G177" s="16" t="s">
        <v>386</v>
      </c>
    </row>
    <row r="178" spans="1:7" ht="15" customHeight="1">
      <c r="A178" s="88">
        <f>IFERROR(IF(売上入力!A62="","",IF(INDEX(マスター_OTA!$B$4:$B$29,MATCH(売上入力!D62,マスター_OTA!$A$4:$A$29,0))=0,"",DATE(YEAR(売上入力!A62),MONTH(売上入力!A62),IFERROR(INDEX(マスター_OTA!$E$4:$E$29,MATCH(売上入力!D62,マスター_OTA!$A$4:$A$29,0)),28)))),"")</f>
        <v>46254</v>
      </c>
      <c r="B178" s="16" t="str">
        <f>IF(売上入力!B62="","",売上入力!B62)</f>
        <v>リゾート</v>
      </c>
      <c r="C178" s="16" t="str">
        <f>IF(売上入力!C62="","",売上入力!C62)</f>
        <v>de Lune</v>
      </c>
      <c r="D178" s="16" t="str">
        <f>IF(売上入力!D62="","",売上入力!D62)</f>
        <v>ホテル売上</v>
      </c>
      <c r="E178" s="89">
        <f>IFERROR(IF(売上入力!E62="",0,売上入力!E62*INDEX(マスター_OTA!$B$4:$B$29,MATCH(売上入力!D62,マスター_OTA!$A$4:$A$29,0))/100),0)</f>
        <v>1600715.25</v>
      </c>
      <c r="F178" s="90">
        <f>IF(売上入力!A62="","",売上入力!A62)</f>
        <v>46235</v>
      </c>
      <c r="G178" s="16" t="s">
        <v>384</v>
      </c>
    </row>
    <row r="179" spans="1:7" ht="15" customHeight="1">
      <c r="A179" s="88">
        <f>IFERROR(IF(売上入力!A62="","",IF(INDEX(マスター_OTA!$C$4:$C$29,MATCH(売上入力!D62,マスター_OTA!$A$4:$A$29,0))=0,"",DATE(YEAR(売上入力!A62),MONTH(売上入力!A62)+1,IFERROR(INDEX(マスター_OTA!$F$4:$F$29,MATCH(売上入力!D62,マスター_OTA!$A$4:$A$29,0)),25)))),"")</f>
        <v>46275</v>
      </c>
      <c r="B179" s="16" t="str">
        <f>IF(売上入力!B62="","",売上入力!B62)</f>
        <v>リゾート</v>
      </c>
      <c r="C179" s="16" t="str">
        <f>IF(売上入力!C62="","",売上入力!C62)</f>
        <v>de Lune</v>
      </c>
      <c r="D179" s="16" t="str">
        <f>IF(売上入力!D62="","",売上入力!D62)</f>
        <v>ホテル売上</v>
      </c>
      <c r="E179" s="89">
        <f>IFERROR(IF(売上入力!E62="",0,売上入力!E62*INDEX(マスター_OTA!$C$4:$C$29,MATCH(売上入力!D62,マスター_OTA!$A$4:$A$29,0))/100),0)</f>
        <v>8003576.25</v>
      </c>
      <c r="F179" s="90">
        <f>IF(売上入力!A62="","",売上入力!A62)</f>
        <v>46235</v>
      </c>
      <c r="G179" s="16" t="s">
        <v>385</v>
      </c>
    </row>
    <row r="180" spans="1:7" ht="15" customHeight="1">
      <c r="A180" s="88">
        <f>IFERROR(IF(売上入力!A62="","",IF(INDEX(マスター_OTA!$D$4:$D$29,MATCH(売上入力!D62,マスター_OTA!$A$4:$A$29,0))=0,"",DATE(YEAR(売上入力!A62),MONTH(売上入力!A62)+2,IFERROR(INDEX(マスター_OTA!$G$4:$G$29,MATCH(売上入力!D62,マスター_OTA!$A$4:$A$29,0)),25)))),"")</f>
        <v>46320</v>
      </c>
      <c r="B180" s="16" t="str">
        <f>IF(売上入力!B62="","",売上入力!B62)</f>
        <v>リゾート</v>
      </c>
      <c r="C180" s="16" t="str">
        <f>IF(売上入力!C62="","",売上入力!C62)</f>
        <v>de Lune</v>
      </c>
      <c r="D180" s="16" t="str">
        <f>IF(売上入力!D62="","",売上入力!D62)</f>
        <v>ホテル売上</v>
      </c>
      <c r="E180" s="89">
        <f>IFERROR(IF(売上入力!E62="",0,売上入力!E62*INDEX(マスター_OTA!$D$4:$D$29,MATCH(売上入力!D62,マスター_OTA!$A$4:$A$29,0))/100),0)</f>
        <v>1067143.5</v>
      </c>
      <c r="F180" s="90">
        <f>IF(売上入力!A62="","",売上入力!A62)</f>
        <v>46235</v>
      </c>
      <c r="G180" s="16" t="s">
        <v>386</v>
      </c>
    </row>
    <row r="181" spans="1:7" ht="15" customHeight="1">
      <c r="A181" s="88">
        <f>IFERROR(IF(売上入力!A63="","",IF(INDEX(マスター_OTA!$B$4:$B$29,MATCH(売上入力!D63,マスター_OTA!$A$4:$A$29,0))=0,"",DATE(YEAR(売上入力!A63),MONTH(売上入力!A63),IFERROR(INDEX(マスター_OTA!$E$4:$E$29,MATCH(売上入力!D63,マスター_OTA!$A$4:$A$29,0)),28)))),"")</f>
        <v>46254</v>
      </c>
      <c r="B181" s="16" t="str">
        <f>IF(売上入力!B63="","",売上入力!B63)</f>
        <v>リゾート</v>
      </c>
      <c r="C181" s="16" t="str">
        <f>IF(売上入力!C63="","",売上入力!C63)</f>
        <v>いこいの村</v>
      </c>
      <c r="D181" s="16" t="str">
        <f>IF(売上入力!D63="","",売上入力!D63)</f>
        <v>ホテル売上</v>
      </c>
      <c r="E181" s="89">
        <f>IFERROR(IF(売上入力!E63="",0,売上入力!E63*INDEX(マスター_OTA!$B$4:$B$29,MATCH(売上入力!D63,マスター_OTA!$A$4:$A$29,0))/100),0)</f>
        <v>1766447.25</v>
      </c>
      <c r="F181" s="90">
        <f>IF(売上入力!A63="","",売上入力!A63)</f>
        <v>46235</v>
      </c>
      <c r="G181" s="16" t="s">
        <v>384</v>
      </c>
    </row>
    <row r="182" spans="1:7" ht="15" customHeight="1">
      <c r="A182" s="88">
        <f>IFERROR(IF(売上入力!A63="","",IF(INDEX(マスター_OTA!$C$4:$C$29,MATCH(売上入力!D63,マスター_OTA!$A$4:$A$29,0))=0,"",DATE(YEAR(売上入力!A63),MONTH(売上入力!A63)+1,IFERROR(INDEX(マスター_OTA!$F$4:$F$29,MATCH(売上入力!D63,マスター_OTA!$A$4:$A$29,0)),25)))),"")</f>
        <v>46275</v>
      </c>
      <c r="B182" s="16" t="str">
        <f>IF(売上入力!B63="","",売上入力!B63)</f>
        <v>リゾート</v>
      </c>
      <c r="C182" s="16" t="str">
        <f>IF(売上入力!C63="","",売上入力!C63)</f>
        <v>いこいの村</v>
      </c>
      <c r="D182" s="16" t="str">
        <f>IF(売上入力!D63="","",売上入力!D63)</f>
        <v>ホテル売上</v>
      </c>
      <c r="E182" s="89">
        <f>IFERROR(IF(売上入力!E63="",0,売上入力!E63*INDEX(マスター_OTA!$C$4:$C$29,MATCH(売上入力!D63,マスター_OTA!$A$4:$A$29,0))/100),0)</f>
        <v>8832236.25</v>
      </c>
      <c r="F182" s="90">
        <f>IF(売上入力!A63="","",売上入力!A63)</f>
        <v>46235</v>
      </c>
      <c r="G182" s="16" t="s">
        <v>385</v>
      </c>
    </row>
    <row r="183" spans="1:7" ht="15" customHeight="1">
      <c r="A183" s="88">
        <f>IFERROR(IF(売上入力!A63="","",IF(INDEX(マスター_OTA!$D$4:$D$29,MATCH(売上入力!D63,マスター_OTA!$A$4:$A$29,0))=0,"",DATE(YEAR(売上入力!A63),MONTH(売上入力!A63)+2,IFERROR(INDEX(マスター_OTA!$G$4:$G$29,MATCH(売上入力!D63,マスター_OTA!$A$4:$A$29,0)),25)))),"")</f>
        <v>46320</v>
      </c>
      <c r="B183" s="16" t="str">
        <f>IF(売上入力!B63="","",売上入力!B63)</f>
        <v>リゾート</v>
      </c>
      <c r="C183" s="16" t="str">
        <f>IF(売上入力!C63="","",売上入力!C63)</f>
        <v>いこいの村</v>
      </c>
      <c r="D183" s="16" t="str">
        <f>IF(売上入力!D63="","",売上入力!D63)</f>
        <v>ホテル売上</v>
      </c>
      <c r="E183" s="89">
        <f>IFERROR(IF(売上入力!E63="",0,売上入力!E63*INDEX(マスター_OTA!$D$4:$D$29,MATCH(売上入力!D63,マスター_OTA!$A$4:$A$29,0))/100),0)</f>
        <v>1177631.5</v>
      </c>
      <c r="F183" s="90">
        <f>IF(売上入力!A63="","",売上入力!A63)</f>
        <v>46235</v>
      </c>
      <c r="G183" s="16" t="s">
        <v>386</v>
      </c>
    </row>
    <row r="184" spans="1:7" ht="15" customHeight="1">
      <c r="A184" s="88">
        <f>IFERROR(IF(売上入力!A64="","",IF(INDEX(マスター_OTA!$B$4:$B$29,MATCH(売上入力!D64,マスター_OTA!$A$4:$A$29,0))=0,"",DATE(YEAR(売上入力!A64),MONTH(売上入力!A64),IFERROR(INDEX(マスター_OTA!$E$4:$E$29,MATCH(売上入力!D64,マスター_OTA!$A$4:$A$29,0)),28)))),"")</f>
        <v>46254</v>
      </c>
      <c r="B184" s="16" t="str">
        <f>IF(売上入力!B64="","",売上入力!B64)</f>
        <v>リゾート</v>
      </c>
      <c r="C184" s="16" t="str">
        <f>IF(売上入力!C64="","",売上入力!C64)</f>
        <v>グリーンシャワー</v>
      </c>
      <c r="D184" s="16" t="str">
        <f>IF(売上入力!D64="","",売上入力!D64)</f>
        <v>売上</v>
      </c>
      <c r="E184" s="89">
        <f>IFERROR(IF(売上入力!E64="",0,売上入力!E64*INDEX(マスター_OTA!$B$4:$B$29,MATCH(売上入力!D64,マスター_OTA!$A$4:$A$29,0))/100),0)</f>
        <v>66067.199999999997</v>
      </c>
      <c r="F184" s="90">
        <f>IF(売上入力!A64="","",売上入力!A64)</f>
        <v>46235</v>
      </c>
      <c r="G184" s="16" t="s">
        <v>384</v>
      </c>
    </row>
    <row r="185" spans="1:7" ht="15" customHeight="1">
      <c r="A185" s="88">
        <f>IFERROR(IF(売上入力!A64="","",IF(INDEX(マスター_OTA!$C$4:$C$29,MATCH(売上入力!D64,マスター_OTA!$A$4:$A$29,0))=0,"",DATE(YEAR(売上入力!A64),MONTH(売上入力!A64)+1,IFERROR(INDEX(マスター_OTA!$F$4:$F$29,MATCH(売上入力!D64,マスター_OTA!$A$4:$A$29,0)),25)))),"")</f>
        <v>46275</v>
      </c>
      <c r="B185" s="16" t="str">
        <f>IF(売上入力!B64="","",売上入力!B64)</f>
        <v>リゾート</v>
      </c>
      <c r="C185" s="16" t="str">
        <f>IF(売上入力!C64="","",売上入力!C64)</f>
        <v>グリーンシャワー</v>
      </c>
      <c r="D185" s="16" t="str">
        <f>IF(売上入力!D64="","",売上入力!D64)</f>
        <v>売上</v>
      </c>
      <c r="E185" s="89">
        <f>IFERROR(IF(売上入力!E64="",0,売上入力!E64*INDEX(マスター_OTA!$C$4:$C$29,MATCH(売上入力!D64,マスター_OTA!$A$4:$A$29,0))/100),0)</f>
        <v>330336</v>
      </c>
      <c r="F185" s="90">
        <f>IF(売上入力!A64="","",売上入力!A64)</f>
        <v>46235</v>
      </c>
      <c r="G185" s="16" t="s">
        <v>385</v>
      </c>
    </row>
    <row r="186" spans="1:7" ht="15" customHeight="1">
      <c r="A186" s="88">
        <f>IFERROR(IF(売上入力!A64="","",IF(INDEX(マスター_OTA!$D$4:$D$29,MATCH(売上入力!D64,マスター_OTA!$A$4:$A$29,0))=0,"",DATE(YEAR(売上入力!A64),MONTH(売上入力!A64)+2,IFERROR(INDEX(マスター_OTA!$G$4:$G$29,MATCH(売上入力!D64,マスター_OTA!$A$4:$A$29,0)),25)))),"")</f>
        <v>46320</v>
      </c>
      <c r="B186" s="16" t="str">
        <f>IF(売上入力!B64="","",売上入力!B64)</f>
        <v>リゾート</v>
      </c>
      <c r="C186" s="16" t="str">
        <f>IF(売上入力!C64="","",売上入力!C64)</f>
        <v>グリーンシャワー</v>
      </c>
      <c r="D186" s="16" t="str">
        <f>IF(売上入力!D64="","",売上入力!D64)</f>
        <v>売上</v>
      </c>
      <c r="E186" s="89">
        <f>IFERROR(IF(売上入力!E64="",0,売上入力!E64*INDEX(マスター_OTA!$D$4:$D$29,MATCH(売上入力!D64,マスター_OTA!$A$4:$A$29,0))/100),0)</f>
        <v>44044.800000000003</v>
      </c>
      <c r="F186" s="90">
        <f>IF(売上入力!A64="","",売上入力!A64)</f>
        <v>46235</v>
      </c>
      <c r="G186" s="16" t="s">
        <v>386</v>
      </c>
    </row>
    <row r="187" spans="1:7" ht="15" customHeight="1">
      <c r="A187" s="88">
        <f>IFERROR(IF(売上入力!A65="","",IF(INDEX(マスター_OTA!$B$4:$B$29,MATCH(売上入力!D65,マスター_OTA!$A$4:$A$29,0))=0,"",DATE(YEAR(売上入力!A65),MONTH(売上入力!A65),IFERROR(INDEX(マスター_OTA!$E$4:$E$29,MATCH(売上入力!D65,マスター_OTA!$A$4:$A$29,0)),28)))),"")</f>
        <v>46254</v>
      </c>
      <c r="B187" s="16" t="str">
        <f>IF(売上入力!B65="","",売上入力!B65)</f>
        <v>リゾート</v>
      </c>
      <c r="C187" s="16" t="str">
        <f>IF(売上入力!C65="","",売上入力!C65)</f>
        <v>フォレストヒルズガーデン</v>
      </c>
      <c r="D187" s="16" t="str">
        <f>IF(売上入力!D65="","",売上入力!D65)</f>
        <v>売上</v>
      </c>
      <c r="E187" s="89">
        <f>IFERROR(IF(売上入力!E65="",0,売上入力!E65*INDEX(マスター_OTA!$B$4:$B$29,MATCH(売上入力!D65,マスター_OTA!$A$4:$A$29,0))/100),0)</f>
        <v>789828.3</v>
      </c>
      <c r="F187" s="90">
        <f>IF(売上入力!A65="","",売上入力!A65)</f>
        <v>46235</v>
      </c>
      <c r="G187" s="16" t="s">
        <v>384</v>
      </c>
    </row>
    <row r="188" spans="1:7" ht="15" customHeight="1">
      <c r="A188" s="88">
        <f>IFERROR(IF(売上入力!A65="","",IF(INDEX(マスター_OTA!$C$4:$C$29,MATCH(売上入力!D65,マスター_OTA!$A$4:$A$29,0))=0,"",DATE(YEAR(売上入力!A65),MONTH(売上入力!A65)+1,IFERROR(INDEX(マスター_OTA!$F$4:$F$29,MATCH(売上入力!D65,マスター_OTA!$A$4:$A$29,0)),25)))),"")</f>
        <v>46275</v>
      </c>
      <c r="B188" s="16" t="str">
        <f>IF(売上入力!B65="","",売上入力!B65)</f>
        <v>リゾート</v>
      </c>
      <c r="C188" s="16" t="str">
        <f>IF(売上入力!C65="","",売上入力!C65)</f>
        <v>フォレストヒルズガーデン</v>
      </c>
      <c r="D188" s="16" t="str">
        <f>IF(売上入力!D65="","",売上入力!D65)</f>
        <v>売上</v>
      </c>
      <c r="E188" s="89">
        <f>IFERROR(IF(売上入力!E65="",0,売上入力!E65*INDEX(マスター_OTA!$C$4:$C$29,MATCH(売上入力!D65,マスター_OTA!$A$4:$A$29,0))/100),0)</f>
        <v>3949141.5</v>
      </c>
      <c r="F188" s="90">
        <f>IF(売上入力!A65="","",売上入力!A65)</f>
        <v>46235</v>
      </c>
      <c r="G188" s="16" t="s">
        <v>385</v>
      </c>
    </row>
    <row r="189" spans="1:7" ht="15" customHeight="1">
      <c r="A189" s="88">
        <f>IFERROR(IF(売上入力!A65="","",IF(INDEX(マスター_OTA!$D$4:$D$29,MATCH(売上入力!D65,マスター_OTA!$A$4:$A$29,0))=0,"",DATE(YEAR(売上入力!A65),MONTH(売上入力!A65)+2,IFERROR(INDEX(マスター_OTA!$G$4:$G$29,MATCH(売上入力!D65,マスター_OTA!$A$4:$A$29,0)),25)))),"")</f>
        <v>46320</v>
      </c>
      <c r="B189" s="16" t="str">
        <f>IF(売上入力!B65="","",売上入力!B65)</f>
        <v>リゾート</v>
      </c>
      <c r="C189" s="16" t="str">
        <f>IF(売上入力!C65="","",売上入力!C65)</f>
        <v>フォレストヒルズガーデン</v>
      </c>
      <c r="D189" s="16" t="str">
        <f>IF(売上入力!D65="","",売上入力!D65)</f>
        <v>売上</v>
      </c>
      <c r="E189" s="89">
        <f>IFERROR(IF(売上入力!E65="",0,売上入力!E65*INDEX(マスター_OTA!$D$4:$D$29,MATCH(売上入力!D65,マスター_OTA!$A$4:$A$29,0))/100),0)</f>
        <v>526552.19999999995</v>
      </c>
      <c r="F189" s="90">
        <f>IF(売上入力!A65="","",売上入力!A65)</f>
        <v>46235</v>
      </c>
      <c r="G189" s="16" t="s">
        <v>386</v>
      </c>
    </row>
    <row r="190" spans="1:7" ht="15" customHeight="1">
      <c r="A190" s="88">
        <f>IFERROR(IF(売上入力!A66="","",IF(INDEX(マスター_OTA!$B$4:$B$29,MATCH(売上入力!D66,マスター_OTA!$A$4:$A$29,0))=0,"",DATE(YEAR(売上入力!A66),MONTH(売上入力!A66),IFERROR(INDEX(マスター_OTA!$E$4:$E$29,MATCH(売上入力!D66,マスター_OTA!$A$4:$A$29,0)),28)))),"")</f>
        <v>46254</v>
      </c>
      <c r="B190" s="16" t="str">
        <f>IF(売上入力!B66="","",売上入力!B66)</f>
        <v>リゾート</v>
      </c>
      <c r="C190" s="16" t="str">
        <f>IF(売上入力!C66="","",売上入力!C66)</f>
        <v>弐番館</v>
      </c>
      <c r="D190" s="16" t="str">
        <f>IF(売上入力!D66="","",売上入力!D66)</f>
        <v>売上</v>
      </c>
      <c r="E190" s="89">
        <f>IFERROR(IF(売上入力!E66="",0,売上入力!E66*INDEX(マスター_OTA!$B$4:$B$29,MATCH(売上入力!D66,マスター_OTA!$A$4:$A$29,0))/100),0)</f>
        <v>11250</v>
      </c>
      <c r="F190" s="90">
        <f>IF(売上入力!A66="","",売上入力!A66)</f>
        <v>46235</v>
      </c>
      <c r="G190" s="16" t="s">
        <v>384</v>
      </c>
    </row>
    <row r="191" spans="1:7" ht="15" customHeight="1">
      <c r="A191" s="88">
        <f>IFERROR(IF(売上入力!A66="","",IF(INDEX(マスター_OTA!$C$4:$C$29,MATCH(売上入力!D66,マスター_OTA!$A$4:$A$29,0))=0,"",DATE(YEAR(売上入力!A66),MONTH(売上入力!A66)+1,IFERROR(INDEX(マスター_OTA!$F$4:$F$29,MATCH(売上入力!D66,マスター_OTA!$A$4:$A$29,0)),25)))),"")</f>
        <v>46275</v>
      </c>
      <c r="B191" s="16" t="str">
        <f>IF(売上入力!B66="","",売上入力!B66)</f>
        <v>リゾート</v>
      </c>
      <c r="C191" s="16" t="str">
        <f>IF(売上入力!C66="","",売上入力!C66)</f>
        <v>弐番館</v>
      </c>
      <c r="D191" s="16" t="str">
        <f>IF(売上入力!D66="","",売上入力!D66)</f>
        <v>売上</v>
      </c>
      <c r="E191" s="89">
        <f>IFERROR(IF(売上入力!E66="",0,売上入力!E66*INDEX(マスター_OTA!$C$4:$C$29,MATCH(売上入力!D66,マスター_OTA!$A$4:$A$29,0))/100),0)</f>
        <v>56250</v>
      </c>
      <c r="F191" s="90">
        <f>IF(売上入力!A66="","",売上入力!A66)</f>
        <v>46235</v>
      </c>
      <c r="G191" s="16" t="s">
        <v>385</v>
      </c>
    </row>
    <row r="192" spans="1:7" ht="15" customHeight="1">
      <c r="A192" s="88">
        <f>IFERROR(IF(売上入力!A66="","",IF(INDEX(マスター_OTA!$D$4:$D$29,MATCH(売上入力!D66,マスター_OTA!$A$4:$A$29,0))=0,"",DATE(YEAR(売上入力!A66),MONTH(売上入力!A66)+2,IFERROR(INDEX(マスター_OTA!$G$4:$G$29,MATCH(売上入力!D66,マスター_OTA!$A$4:$A$29,0)),25)))),"")</f>
        <v>46320</v>
      </c>
      <c r="B192" s="16" t="str">
        <f>IF(売上入力!B66="","",売上入力!B66)</f>
        <v>リゾート</v>
      </c>
      <c r="C192" s="16" t="str">
        <f>IF(売上入力!C66="","",売上入力!C66)</f>
        <v>弐番館</v>
      </c>
      <c r="D192" s="16" t="str">
        <f>IF(売上入力!D66="","",売上入力!D66)</f>
        <v>売上</v>
      </c>
      <c r="E192" s="89">
        <f>IFERROR(IF(売上入力!E66="",0,売上入力!E66*INDEX(マスター_OTA!$D$4:$D$29,MATCH(売上入力!D66,マスター_OTA!$A$4:$A$29,0))/100),0)</f>
        <v>7500</v>
      </c>
      <c r="F192" s="90">
        <f>IF(売上入力!A66="","",売上入力!A66)</f>
        <v>46235</v>
      </c>
      <c r="G192" s="16" t="s">
        <v>386</v>
      </c>
    </row>
    <row r="193" spans="1:7" ht="15" customHeight="1">
      <c r="A193" s="88">
        <f>IFERROR(IF(売上入力!A67="","",IF(INDEX(マスター_OTA!$B$4:$B$29,MATCH(売上入力!D67,マスター_OTA!$A$4:$A$29,0))=0,"",DATE(YEAR(売上入力!A67),MONTH(売上入力!A67),IFERROR(INDEX(マスター_OTA!$E$4:$E$29,MATCH(売上入力!D67,マスター_OTA!$A$4:$A$29,0)),28)))),"")</f>
        <v>46254</v>
      </c>
      <c r="B193" s="16" t="str">
        <f>IF(売上入力!B67="","",売上入力!B67)</f>
        <v>モーテル</v>
      </c>
      <c r="C193" s="16" t="str">
        <f>IF(売上入力!C67="","",売上入力!C67)</f>
        <v>弥山</v>
      </c>
      <c r="D193" s="16" t="str">
        <f>IF(売上入力!D67="","",売上入力!D67)</f>
        <v>ホテル売上</v>
      </c>
      <c r="E193" s="89">
        <f>IFERROR(IF(売上入力!E67="",0,売上入力!E67*INDEX(マスター_OTA!$B$4:$B$29,MATCH(売上入力!D67,マスター_OTA!$A$4:$A$29,0))/100),0)</f>
        <v>1147774.95</v>
      </c>
      <c r="F193" s="90">
        <f>IF(売上入力!A67="","",売上入力!A67)</f>
        <v>46235</v>
      </c>
      <c r="G193" s="16" t="s">
        <v>384</v>
      </c>
    </row>
    <row r="194" spans="1:7" ht="15" customHeight="1">
      <c r="A194" s="88">
        <f>IFERROR(IF(売上入力!A67="","",IF(INDEX(マスター_OTA!$C$4:$C$29,MATCH(売上入力!D67,マスター_OTA!$A$4:$A$29,0))=0,"",DATE(YEAR(売上入力!A67),MONTH(売上入力!A67)+1,IFERROR(INDEX(マスター_OTA!$F$4:$F$29,MATCH(売上入力!D67,マスター_OTA!$A$4:$A$29,0)),25)))),"")</f>
        <v>46275</v>
      </c>
      <c r="B194" s="16" t="str">
        <f>IF(売上入力!B67="","",売上入力!B67)</f>
        <v>モーテル</v>
      </c>
      <c r="C194" s="16" t="str">
        <f>IF(売上入力!C67="","",売上入力!C67)</f>
        <v>弥山</v>
      </c>
      <c r="D194" s="16" t="str">
        <f>IF(売上入力!D67="","",売上入力!D67)</f>
        <v>ホテル売上</v>
      </c>
      <c r="E194" s="89">
        <f>IFERROR(IF(売上入力!E67="",0,売上入力!E67*INDEX(マスター_OTA!$C$4:$C$29,MATCH(売上入力!D67,マスター_OTA!$A$4:$A$29,0))/100),0)</f>
        <v>5738874.75</v>
      </c>
      <c r="F194" s="90">
        <f>IF(売上入力!A67="","",売上入力!A67)</f>
        <v>46235</v>
      </c>
      <c r="G194" s="16" t="s">
        <v>385</v>
      </c>
    </row>
    <row r="195" spans="1:7" ht="15" customHeight="1">
      <c r="A195" s="88">
        <f>IFERROR(IF(売上入力!A67="","",IF(INDEX(マスター_OTA!$D$4:$D$29,MATCH(売上入力!D67,マスター_OTA!$A$4:$A$29,0))=0,"",DATE(YEAR(売上入力!A67),MONTH(売上入力!A67)+2,IFERROR(INDEX(マスター_OTA!$G$4:$G$29,MATCH(売上入力!D67,マスター_OTA!$A$4:$A$29,0)),25)))),"")</f>
        <v>46320</v>
      </c>
      <c r="B195" s="16" t="str">
        <f>IF(売上入力!B67="","",売上入力!B67)</f>
        <v>モーテル</v>
      </c>
      <c r="C195" s="16" t="str">
        <f>IF(売上入力!C67="","",売上入力!C67)</f>
        <v>弥山</v>
      </c>
      <c r="D195" s="16" t="str">
        <f>IF(売上入力!D67="","",売上入力!D67)</f>
        <v>ホテル売上</v>
      </c>
      <c r="E195" s="89">
        <f>IFERROR(IF(売上入力!E67="",0,売上入力!E67*INDEX(マスター_OTA!$D$4:$D$29,MATCH(売上入力!D67,マスター_OTA!$A$4:$A$29,0))/100),0)</f>
        <v>765183.3</v>
      </c>
      <c r="F195" s="90">
        <f>IF(売上入力!A67="","",売上入力!A67)</f>
        <v>46235</v>
      </c>
      <c r="G195" s="16" t="s">
        <v>386</v>
      </c>
    </row>
    <row r="196" spans="1:7" ht="15" customHeight="1">
      <c r="A196" s="88">
        <f>IFERROR(IF(売上入力!A68="","",IF(INDEX(マスター_OTA!$B$4:$B$29,MATCH(売上入力!D68,マスター_OTA!$A$4:$A$29,0))=0,"",DATE(YEAR(売上入力!A68),MONTH(売上入力!A68),IFERROR(INDEX(マスター_OTA!$E$4:$E$29,MATCH(売上入力!D68,マスター_OTA!$A$4:$A$29,0)),28)))),"")</f>
        <v>46254</v>
      </c>
      <c r="B196" s="16" t="str">
        <f>IF(売上入力!B68="","",売上入力!B68)</f>
        <v>リゾート</v>
      </c>
      <c r="C196" s="16" t="str">
        <f>IF(売上入力!C68="","",売上入力!C68)</f>
        <v>本川</v>
      </c>
      <c r="D196" s="16" t="str">
        <f>IF(売上入力!D68="","",売上入力!D68)</f>
        <v>ホテル売上</v>
      </c>
      <c r="E196" s="89">
        <f>IFERROR(IF(売上入力!E68="",0,売上入力!E68*INDEX(マスター_OTA!$B$4:$B$29,MATCH(売上入力!D68,マスター_OTA!$A$4:$A$29,0))/100),0)</f>
        <v>251677.95</v>
      </c>
      <c r="F196" s="90">
        <f>IF(売上入力!A68="","",売上入力!A68)</f>
        <v>46235</v>
      </c>
      <c r="G196" s="16" t="s">
        <v>384</v>
      </c>
    </row>
    <row r="197" spans="1:7" ht="15" customHeight="1">
      <c r="A197" s="88">
        <f>IFERROR(IF(売上入力!A68="","",IF(INDEX(マスター_OTA!$C$4:$C$29,MATCH(売上入力!D68,マスター_OTA!$A$4:$A$29,0))=0,"",DATE(YEAR(売上入力!A68),MONTH(売上入力!A68)+1,IFERROR(INDEX(マスター_OTA!$F$4:$F$29,MATCH(売上入力!D68,マスター_OTA!$A$4:$A$29,0)),25)))),"")</f>
        <v>46275</v>
      </c>
      <c r="B197" s="16" t="str">
        <f>IF(売上入力!B68="","",売上入力!B68)</f>
        <v>リゾート</v>
      </c>
      <c r="C197" s="16" t="str">
        <f>IF(売上入力!C68="","",売上入力!C68)</f>
        <v>本川</v>
      </c>
      <c r="D197" s="16" t="str">
        <f>IF(売上入力!D68="","",売上入力!D68)</f>
        <v>ホテル売上</v>
      </c>
      <c r="E197" s="89">
        <f>IFERROR(IF(売上入力!E68="",0,売上入力!E68*INDEX(マスター_OTA!$C$4:$C$29,MATCH(売上入力!D68,マスター_OTA!$A$4:$A$29,0))/100),0)</f>
        <v>1258389.75</v>
      </c>
      <c r="F197" s="90">
        <f>IF(売上入力!A68="","",売上入力!A68)</f>
        <v>46235</v>
      </c>
      <c r="G197" s="16" t="s">
        <v>385</v>
      </c>
    </row>
    <row r="198" spans="1:7" ht="15" customHeight="1">
      <c r="A198" s="88">
        <f>IFERROR(IF(売上入力!A68="","",IF(INDEX(マスター_OTA!$D$4:$D$29,MATCH(売上入力!D68,マスター_OTA!$A$4:$A$29,0))=0,"",DATE(YEAR(売上入力!A68),MONTH(売上入力!A68)+2,IFERROR(INDEX(マスター_OTA!$G$4:$G$29,MATCH(売上入力!D68,マスター_OTA!$A$4:$A$29,0)),25)))),"")</f>
        <v>46320</v>
      </c>
      <c r="B198" s="16" t="str">
        <f>IF(売上入力!B68="","",売上入力!B68)</f>
        <v>リゾート</v>
      </c>
      <c r="C198" s="16" t="str">
        <f>IF(売上入力!C68="","",売上入力!C68)</f>
        <v>本川</v>
      </c>
      <c r="D198" s="16" t="str">
        <f>IF(売上入力!D68="","",売上入力!D68)</f>
        <v>ホテル売上</v>
      </c>
      <c r="E198" s="89">
        <f>IFERROR(IF(売上入力!E68="",0,売上入力!E68*INDEX(マスター_OTA!$D$4:$D$29,MATCH(売上入力!D68,マスター_OTA!$A$4:$A$29,0))/100),0)</f>
        <v>167785.3</v>
      </c>
      <c r="F198" s="90">
        <f>IF(売上入力!A68="","",売上入力!A68)</f>
        <v>46235</v>
      </c>
      <c r="G198" s="16" t="s">
        <v>386</v>
      </c>
    </row>
    <row r="199" spans="1:7" ht="15" customHeight="1">
      <c r="A199" s="88">
        <f>IFERROR(IF(売上入力!A69="","",IF(INDEX(マスター_OTA!$B$4:$B$29,MATCH(売上入力!D69,マスター_OTA!$A$4:$A$29,0))=0,"",DATE(YEAR(売上入力!A69),MONTH(売上入力!A69),IFERROR(INDEX(マスター_OTA!$E$4:$E$29,MATCH(売上入力!D69,マスター_OTA!$A$4:$A$29,0)),28)))),"")</f>
        <v>46254</v>
      </c>
      <c r="B199" s="16" t="str">
        <f>IF(売上入力!B69="","",売上入力!B69)</f>
        <v>リゾート</v>
      </c>
      <c r="C199" s="16" t="str">
        <f>IF(売上入力!C69="","",売上入力!C69)</f>
        <v>温井</v>
      </c>
      <c r="D199" s="16" t="str">
        <f>IF(売上入力!D69="","",売上入力!D69)</f>
        <v>ホテル売上</v>
      </c>
      <c r="E199" s="89">
        <f>IFERROR(IF(売上入力!E69="",0,売上入力!E69*INDEX(マスター_OTA!$B$4:$B$29,MATCH(売上入力!D69,マスター_OTA!$A$4:$A$29,0))/100),0)</f>
        <v>835464.75</v>
      </c>
      <c r="F199" s="90">
        <f>IF(売上入力!A69="","",売上入力!A69)</f>
        <v>46235</v>
      </c>
      <c r="G199" s="16" t="s">
        <v>384</v>
      </c>
    </row>
    <row r="200" spans="1:7" ht="15" customHeight="1">
      <c r="A200" s="88">
        <f>IFERROR(IF(売上入力!A69="","",IF(INDEX(マスター_OTA!$C$4:$C$29,MATCH(売上入力!D69,マスター_OTA!$A$4:$A$29,0))=0,"",DATE(YEAR(売上入力!A69),MONTH(売上入力!A69)+1,IFERROR(INDEX(マスター_OTA!$F$4:$F$29,MATCH(売上入力!D69,マスター_OTA!$A$4:$A$29,0)),25)))),"")</f>
        <v>46275</v>
      </c>
      <c r="B200" s="16" t="str">
        <f>IF(売上入力!B69="","",売上入力!B69)</f>
        <v>リゾート</v>
      </c>
      <c r="C200" s="16" t="str">
        <f>IF(売上入力!C69="","",売上入力!C69)</f>
        <v>温井</v>
      </c>
      <c r="D200" s="16" t="str">
        <f>IF(売上入力!D69="","",売上入力!D69)</f>
        <v>ホテル売上</v>
      </c>
      <c r="E200" s="89">
        <f>IFERROR(IF(売上入力!E69="",0,売上入力!E69*INDEX(マスター_OTA!$C$4:$C$29,MATCH(売上入力!D69,マスター_OTA!$A$4:$A$29,0))/100),0)</f>
        <v>4177323.75</v>
      </c>
      <c r="F200" s="90">
        <f>IF(売上入力!A69="","",売上入力!A69)</f>
        <v>46235</v>
      </c>
      <c r="G200" s="16" t="s">
        <v>385</v>
      </c>
    </row>
    <row r="201" spans="1:7" ht="15" customHeight="1">
      <c r="A201" s="88">
        <f>IFERROR(IF(売上入力!A69="","",IF(INDEX(マスター_OTA!$D$4:$D$29,MATCH(売上入力!D69,マスター_OTA!$A$4:$A$29,0))=0,"",DATE(YEAR(売上入力!A69),MONTH(売上入力!A69)+2,IFERROR(INDEX(マスター_OTA!$G$4:$G$29,MATCH(売上入力!D69,マスター_OTA!$A$4:$A$29,0)),25)))),"")</f>
        <v>46320</v>
      </c>
      <c r="B201" s="16" t="str">
        <f>IF(売上入力!B69="","",売上入力!B69)</f>
        <v>リゾート</v>
      </c>
      <c r="C201" s="16" t="str">
        <f>IF(売上入力!C69="","",売上入力!C69)</f>
        <v>温井</v>
      </c>
      <c r="D201" s="16" t="str">
        <f>IF(売上入力!D69="","",売上入力!D69)</f>
        <v>ホテル売上</v>
      </c>
      <c r="E201" s="89">
        <f>IFERROR(IF(売上入力!E69="",0,売上入力!E69*INDEX(マスター_OTA!$D$4:$D$29,MATCH(売上入力!D69,マスター_OTA!$A$4:$A$29,0))/100),0)</f>
        <v>556976.5</v>
      </c>
      <c r="F201" s="90">
        <f>IF(売上入力!A69="","",売上入力!A69)</f>
        <v>46235</v>
      </c>
      <c r="G201" s="16" t="s">
        <v>386</v>
      </c>
    </row>
    <row r="202" spans="1:7" ht="15" customHeight="1">
      <c r="A202" s="88" t="str">
        <f>IFERROR(IF(売上入力!A70="","",IF(INDEX(マスター_OTA!$B$4:$B$29,MATCH(売上入力!D70,マスター_OTA!$A$4:$A$29,0))=0,"",DATE(YEAR(売上入力!A70),MONTH(売上入力!A70),IFERROR(INDEX(マスター_OTA!$E$4:$E$29,MATCH(売上入力!D70,マスター_OTA!$A$4:$A$29,0)),28)))),"")</f>
        <v/>
      </c>
      <c r="B202" s="16" t="str">
        <f>IF(売上入力!B70="","",売上入力!B70)</f>
        <v>リゾート</v>
      </c>
      <c r="C202" s="16" t="str">
        <f>IF(売上入力!C70="","",売上入力!C70)</f>
        <v>竹原（ﾚｽﾄﾗﾝ含む）</v>
      </c>
      <c r="D202" s="16" t="str">
        <f>IF(売上入力!D70="","",売上入力!D70)</f>
        <v>竹原市</v>
      </c>
      <c r="E202" s="89">
        <f>IFERROR(IF(売上入力!E70="",0,売上入力!E70*INDEX(マスター_OTA!$B$4:$B$29,MATCH(売上入力!D70,マスター_OTA!$A$4:$A$29,0))/100),0)</f>
        <v>0</v>
      </c>
      <c r="F202" s="90">
        <f>IF(売上入力!A70="","",売上入力!A70)</f>
        <v>46235</v>
      </c>
      <c r="G202" s="16" t="s">
        <v>384</v>
      </c>
    </row>
    <row r="203" spans="1:7" ht="15" customHeight="1">
      <c r="A203" s="88">
        <f>IFERROR(IF(売上入力!A70="","",IF(INDEX(マスター_OTA!$C$4:$C$29,MATCH(売上入力!D70,マスター_OTA!$A$4:$A$29,0))=0,"",DATE(YEAR(売上入力!A70),MONTH(売上入力!A70)+1,IFERROR(INDEX(マスター_OTA!$F$4:$F$29,MATCH(売上入力!D70,マスター_OTA!$A$4:$A$29,0)),25)))),"")</f>
        <v>46280</v>
      </c>
      <c r="B203" s="16" t="str">
        <f>IF(売上入力!B70="","",売上入力!B70)</f>
        <v>リゾート</v>
      </c>
      <c r="C203" s="16" t="str">
        <f>IF(売上入力!C70="","",売上入力!C70)</f>
        <v>竹原（ﾚｽﾄﾗﾝ含む）</v>
      </c>
      <c r="D203" s="16" t="str">
        <f>IF(売上入力!D70="","",売上入力!D70)</f>
        <v>竹原市</v>
      </c>
      <c r="E203" s="89">
        <f>IFERROR(IF(売上入力!E70="",0,売上入力!E70*INDEX(マスター_OTA!$C$4:$C$29,MATCH(売上入力!D70,マスター_OTA!$A$4:$A$29,0))/100),0)</f>
        <v>970670</v>
      </c>
      <c r="F203" s="90">
        <f>IF(売上入力!A70="","",売上入力!A70)</f>
        <v>46235</v>
      </c>
      <c r="G203" s="16" t="s">
        <v>385</v>
      </c>
    </row>
    <row r="204" spans="1:7" ht="15" customHeight="1">
      <c r="A204" s="88" t="str">
        <f>IFERROR(IF(売上入力!A70="","",IF(INDEX(マスター_OTA!$D$4:$D$29,MATCH(売上入力!D70,マスター_OTA!$A$4:$A$29,0))=0,"",DATE(YEAR(売上入力!A70),MONTH(売上入力!A70)+2,IFERROR(INDEX(マスター_OTA!$G$4:$G$29,MATCH(売上入力!D70,マスター_OTA!$A$4:$A$29,0)),25)))),"")</f>
        <v/>
      </c>
      <c r="B204" s="16" t="str">
        <f>IF(売上入力!B70="","",売上入力!B70)</f>
        <v>リゾート</v>
      </c>
      <c r="C204" s="16" t="str">
        <f>IF(売上入力!C70="","",売上入力!C70)</f>
        <v>竹原（ﾚｽﾄﾗﾝ含む）</v>
      </c>
      <c r="D204" s="16" t="str">
        <f>IF(売上入力!D70="","",売上入力!D70)</f>
        <v>竹原市</v>
      </c>
      <c r="E204" s="89">
        <f>IFERROR(IF(売上入力!E70="",0,売上入力!E70*INDEX(マスター_OTA!$D$4:$D$29,MATCH(売上入力!D70,マスター_OTA!$A$4:$A$29,0))/100),0)</f>
        <v>0</v>
      </c>
      <c r="F204" s="90">
        <f>IF(売上入力!A70="","",売上入力!A70)</f>
        <v>46235</v>
      </c>
      <c r="G204" s="16" t="s">
        <v>386</v>
      </c>
    </row>
    <row r="205" spans="1:7" ht="15" customHeight="1">
      <c r="A205" s="88">
        <f>IFERROR(IF(売上入力!A71="","",IF(INDEX(マスター_OTA!$B$4:$B$29,MATCH(売上入力!D71,マスター_OTA!$A$4:$A$29,0))=0,"",DATE(YEAR(売上入力!A71),MONTH(売上入力!A71),IFERROR(INDEX(マスター_OTA!$E$4:$E$29,MATCH(売上入力!D71,マスター_OTA!$A$4:$A$29,0)),28)))),"")</f>
        <v>46285</v>
      </c>
      <c r="B205" s="16" t="str">
        <f>IF(売上入力!B71="","",売上入力!B71)</f>
        <v>リゾート</v>
      </c>
      <c r="C205" s="16" t="str">
        <f>IF(売上入力!C71="","",売上入力!C71)</f>
        <v>VIEW</v>
      </c>
      <c r="D205" s="16" t="str">
        <f>IF(売上入力!D71="","",売上入力!D71)</f>
        <v>ホテル売上</v>
      </c>
      <c r="E205" s="89">
        <f>IFERROR(IF(売上入力!E71="",0,売上入力!E71*INDEX(マスター_OTA!$B$4:$B$29,MATCH(売上入力!D71,マスター_OTA!$A$4:$A$29,0))/100),0)</f>
        <v>328851.3</v>
      </c>
      <c r="F205" s="90">
        <f>IF(売上入力!A71="","",売上入力!A71)</f>
        <v>46266</v>
      </c>
      <c r="G205" s="16" t="s">
        <v>384</v>
      </c>
    </row>
    <row r="206" spans="1:7" ht="15" customHeight="1">
      <c r="A206" s="88">
        <f>IFERROR(IF(売上入力!A71="","",IF(INDEX(マスター_OTA!$C$4:$C$29,MATCH(売上入力!D71,マスター_OTA!$A$4:$A$29,0))=0,"",DATE(YEAR(売上入力!A71),MONTH(売上入力!A71)+1,IFERROR(INDEX(マスター_OTA!$F$4:$F$29,MATCH(売上入力!D71,マスター_OTA!$A$4:$A$29,0)),25)))),"")</f>
        <v>46305</v>
      </c>
      <c r="B206" s="16" t="str">
        <f>IF(売上入力!B71="","",売上入力!B71)</f>
        <v>リゾート</v>
      </c>
      <c r="C206" s="16" t="str">
        <f>IF(売上入力!C71="","",売上入力!C71)</f>
        <v>VIEW</v>
      </c>
      <c r="D206" s="16" t="str">
        <f>IF(売上入力!D71="","",売上入力!D71)</f>
        <v>ホテル売上</v>
      </c>
      <c r="E206" s="89">
        <f>IFERROR(IF(売上入力!E71="",0,売上入力!E71*INDEX(マスター_OTA!$C$4:$C$29,MATCH(売上入力!D71,マスター_OTA!$A$4:$A$29,0))/100),0)</f>
        <v>1644256.5</v>
      </c>
      <c r="F206" s="90">
        <f>IF(売上入力!A71="","",売上入力!A71)</f>
        <v>46266</v>
      </c>
      <c r="G206" s="16" t="s">
        <v>385</v>
      </c>
    </row>
    <row r="207" spans="1:7" ht="15" customHeight="1">
      <c r="A207" s="88">
        <f>IFERROR(IF(売上入力!A71="","",IF(INDEX(マスター_OTA!$D$4:$D$29,MATCH(売上入力!D71,マスター_OTA!$A$4:$A$29,0))=0,"",DATE(YEAR(売上入力!A71),MONTH(売上入力!A71)+2,IFERROR(INDEX(マスター_OTA!$G$4:$G$29,MATCH(売上入力!D71,マスター_OTA!$A$4:$A$29,0)),25)))),"")</f>
        <v>46351</v>
      </c>
      <c r="B207" s="16" t="str">
        <f>IF(売上入力!B71="","",売上入力!B71)</f>
        <v>リゾート</v>
      </c>
      <c r="C207" s="16" t="str">
        <f>IF(売上入力!C71="","",売上入力!C71)</f>
        <v>VIEW</v>
      </c>
      <c r="D207" s="16" t="str">
        <f>IF(売上入力!D71="","",売上入力!D71)</f>
        <v>ホテル売上</v>
      </c>
      <c r="E207" s="89">
        <f>IFERROR(IF(売上入力!E71="",0,売上入力!E71*INDEX(マスター_OTA!$D$4:$D$29,MATCH(売上入力!D71,マスター_OTA!$A$4:$A$29,0))/100),0)</f>
        <v>219234.2</v>
      </c>
      <c r="F207" s="90">
        <f>IF(売上入力!A71="","",売上入力!A71)</f>
        <v>46266</v>
      </c>
      <c r="G207" s="16" t="s">
        <v>386</v>
      </c>
    </row>
    <row r="208" spans="1:7" ht="15" customHeight="1">
      <c r="A208" s="88">
        <f>IFERROR(IF(売上入力!A72="","",IF(INDEX(マスター_OTA!$B$4:$B$29,MATCH(売上入力!D72,マスター_OTA!$A$4:$A$29,0))=0,"",DATE(YEAR(売上入力!A72),MONTH(売上入力!A72),IFERROR(INDEX(マスター_OTA!$E$4:$E$29,MATCH(売上入力!D72,マスター_OTA!$A$4:$A$29,0)),28)))),"")</f>
        <v>46285</v>
      </c>
      <c r="B208" s="16" t="str">
        <f>IF(売上入力!B72="","",売上入力!B72)</f>
        <v>リゾート</v>
      </c>
      <c r="C208" s="16" t="str">
        <f>IF(売上入力!C72="","",売上入力!C72)</f>
        <v>de Lune</v>
      </c>
      <c r="D208" s="16" t="str">
        <f>IF(売上入力!D72="","",売上入力!D72)</f>
        <v>ホテル売上</v>
      </c>
      <c r="E208" s="89">
        <f>IFERROR(IF(売上入力!E72="",0,売上入力!E72*INDEX(マスター_OTA!$B$4:$B$29,MATCH(売上入力!D72,マスター_OTA!$A$4:$A$29,0))/100),0)</f>
        <v>1077141</v>
      </c>
      <c r="F208" s="90">
        <f>IF(売上入力!A72="","",売上入力!A72)</f>
        <v>46266</v>
      </c>
      <c r="G208" s="16" t="s">
        <v>384</v>
      </c>
    </row>
    <row r="209" spans="1:7" ht="15" customHeight="1">
      <c r="A209" s="88">
        <f>IFERROR(IF(売上入力!A72="","",IF(INDEX(マスター_OTA!$C$4:$C$29,MATCH(売上入力!D72,マスター_OTA!$A$4:$A$29,0))=0,"",DATE(YEAR(売上入力!A72),MONTH(売上入力!A72)+1,IFERROR(INDEX(マスター_OTA!$F$4:$F$29,MATCH(売上入力!D72,マスター_OTA!$A$4:$A$29,0)),25)))),"")</f>
        <v>46305</v>
      </c>
      <c r="B209" s="16" t="str">
        <f>IF(売上入力!B72="","",売上入力!B72)</f>
        <v>リゾート</v>
      </c>
      <c r="C209" s="16" t="str">
        <f>IF(売上入力!C72="","",売上入力!C72)</f>
        <v>de Lune</v>
      </c>
      <c r="D209" s="16" t="str">
        <f>IF(売上入力!D72="","",売上入力!D72)</f>
        <v>ホテル売上</v>
      </c>
      <c r="E209" s="89">
        <f>IFERROR(IF(売上入力!E72="",0,売上入力!E72*INDEX(マスター_OTA!$C$4:$C$29,MATCH(売上入力!D72,マスター_OTA!$A$4:$A$29,0))/100),0)</f>
        <v>5385705</v>
      </c>
      <c r="F209" s="90">
        <f>IF(売上入力!A72="","",売上入力!A72)</f>
        <v>46266</v>
      </c>
      <c r="G209" s="16" t="s">
        <v>385</v>
      </c>
    </row>
    <row r="210" spans="1:7" ht="15" customHeight="1">
      <c r="A210" s="88">
        <f>IFERROR(IF(売上入力!A72="","",IF(INDEX(マスター_OTA!$D$4:$D$29,MATCH(売上入力!D72,マスター_OTA!$A$4:$A$29,0))=0,"",DATE(YEAR(売上入力!A72),MONTH(売上入力!A72)+2,IFERROR(INDEX(マスター_OTA!$G$4:$G$29,MATCH(売上入力!D72,マスター_OTA!$A$4:$A$29,0)),25)))),"")</f>
        <v>46351</v>
      </c>
      <c r="B210" s="16" t="str">
        <f>IF(売上入力!B72="","",売上入力!B72)</f>
        <v>リゾート</v>
      </c>
      <c r="C210" s="16" t="str">
        <f>IF(売上入力!C72="","",売上入力!C72)</f>
        <v>de Lune</v>
      </c>
      <c r="D210" s="16" t="str">
        <f>IF(売上入力!D72="","",売上入力!D72)</f>
        <v>ホテル売上</v>
      </c>
      <c r="E210" s="89">
        <f>IFERROR(IF(売上入力!E72="",0,売上入力!E72*INDEX(マスター_OTA!$D$4:$D$29,MATCH(売上入力!D72,マスター_OTA!$A$4:$A$29,0))/100),0)</f>
        <v>718094</v>
      </c>
      <c r="F210" s="90">
        <f>IF(売上入力!A72="","",売上入力!A72)</f>
        <v>46266</v>
      </c>
      <c r="G210" s="16" t="s">
        <v>386</v>
      </c>
    </row>
    <row r="211" spans="1:7" ht="15" customHeight="1">
      <c r="A211" s="88">
        <f>IFERROR(IF(売上入力!A73="","",IF(INDEX(マスター_OTA!$B$4:$B$29,MATCH(売上入力!D73,マスター_OTA!$A$4:$A$29,0))=0,"",DATE(YEAR(売上入力!A73),MONTH(売上入力!A73),IFERROR(INDEX(マスター_OTA!$E$4:$E$29,MATCH(売上入力!D73,マスター_OTA!$A$4:$A$29,0)),28)))),"")</f>
        <v>46285</v>
      </c>
      <c r="B211" s="16" t="str">
        <f>IF(売上入力!B73="","",売上入力!B73)</f>
        <v>リゾート</v>
      </c>
      <c r="C211" s="16" t="str">
        <f>IF(売上入力!C73="","",売上入力!C73)</f>
        <v>いこいの村</v>
      </c>
      <c r="D211" s="16" t="str">
        <f>IF(売上入力!D73="","",売上入力!D73)</f>
        <v>ホテル売上</v>
      </c>
      <c r="E211" s="89">
        <f>IFERROR(IF(売上入力!E73="",0,売上入力!E73*INDEX(マスター_OTA!$B$4:$B$29,MATCH(売上入力!D73,マスター_OTA!$A$4:$A$29,0))/100),0)</f>
        <v>613400.69999999995</v>
      </c>
      <c r="F211" s="90">
        <f>IF(売上入力!A73="","",売上入力!A73)</f>
        <v>46266</v>
      </c>
      <c r="G211" s="16" t="s">
        <v>384</v>
      </c>
    </row>
    <row r="212" spans="1:7" ht="15" customHeight="1">
      <c r="A212" s="88">
        <f>IFERROR(IF(売上入力!A73="","",IF(INDEX(マスター_OTA!$C$4:$C$29,MATCH(売上入力!D73,マスター_OTA!$A$4:$A$29,0))=0,"",DATE(YEAR(売上入力!A73),MONTH(売上入力!A73)+1,IFERROR(INDEX(マスター_OTA!$F$4:$F$29,MATCH(売上入力!D73,マスター_OTA!$A$4:$A$29,0)),25)))),"")</f>
        <v>46305</v>
      </c>
      <c r="B212" s="16" t="str">
        <f>IF(売上入力!B73="","",売上入力!B73)</f>
        <v>リゾート</v>
      </c>
      <c r="C212" s="16" t="str">
        <f>IF(売上入力!C73="","",売上入力!C73)</f>
        <v>いこいの村</v>
      </c>
      <c r="D212" s="16" t="str">
        <f>IF(売上入力!D73="","",売上入力!D73)</f>
        <v>ホテル売上</v>
      </c>
      <c r="E212" s="89">
        <f>IFERROR(IF(売上入力!E73="",0,売上入力!E73*INDEX(マスター_OTA!$C$4:$C$29,MATCH(売上入力!D73,マスター_OTA!$A$4:$A$29,0))/100),0)</f>
        <v>3067003.5</v>
      </c>
      <c r="F212" s="90">
        <f>IF(売上入力!A73="","",売上入力!A73)</f>
        <v>46266</v>
      </c>
      <c r="G212" s="16" t="s">
        <v>385</v>
      </c>
    </row>
    <row r="213" spans="1:7" ht="15" customHeight="1">
      <c r="A213" s="88">
        <f>IFERROR(IF(売上入力!A73="","",IF(INDEX(マスター_OTA!$D$4:$D$29,MATCH(売上入力!D73,マスター_OTA!$A$4:$A$29,0))=0,"",DATE(YEAR(売上入力!A73),MONTH(売上入力!A73)+2,IFERROR(INDEX(マスター_OTA!$G$4:$G$29,MATCH(売上入力!D73,マスター_OTA!$A$4:$A$29,0)),25)))),"")</f>
        <v>46351</v>
      </c>
      <c r="B213" s="16" t="str">
        <f>IF(売上入力!B73="","",売上入力!B73)</f>
        <v>リゾート</v>
      </c>
      <c r="C213" s="16" t="str">
        <f>IF(売上入力!C73="","",売上入力!C73)</f>
        <v>いこいの村</v>
      </c>
      <c r="D213" s="16" t="str">
        <f>IF(売上入力!D73="","",売上入力!D73)</f>
        <v>ホテル売上</v>
      </c>
      <c r="E213" s="89">
        <f>IFERROR(IF(売上入力!E73="",0,売上入力!E73*INDEX(マスター_OTA!$D$4:$D$29,MATCH(売上入力!D73,マスター_OTA!$A$4:$A$29,0))/100),0)</f>
        <v>408933.8</v>
      </c>
      <c r="F213" s="90">
        <f>IF(売上入力!A73="","",売上入力!A73)</f>
        <v>46266</v>
      </c>
      <c r="G213" s="16" t="s">
        <v>386</v>
      </c>
    </row>
    <row r="214" spans="1:7" ht="15" customHeight="1">
      <c r="A214" s="88">
        <f>IFERROR(IF(売上入力!A74="","",IF(INDEX(マスター_OTA!$B$4:$B$29,MATCH(売上入力!D74,マスター_OTA!$A$4:$A$29,0))=0,"",DATE(YEAR(売上入力!A74),MONTH(売上入力!A74),IFERROR(INDEX(マスター_OTA!$E$4:$E$29,MATCH(売上入力!D74,マスター_OTA!$A$4:$A$29,0)),28)))),"")</f>
        <v>46285</v>
      </c>
      <c r="B214" s="16" t="str">
        <f>IF(売上入力!B74="","",売上入力!B74)</f>
        <v>リゾート</v>
      </c>
      <c r="C214" s="16" t="str">
        <f>IF(売上入力!C74="","",売上入力!C74)</f>
        <v>グリーンシャワー</v>
      </c>
      <c r="D214" s="16" t="str">
        <f>IF(売上入力!D74="","",売上入力!D74)</f>
        <v>売上</v>
      </c>
      <c r="E214" s="89">
        <f>IFERROR(IF(売上入力!E74="",0,売上入力!E74*INDEX(マスター_OTA!$B$4:$B$29,MATCH(売上入力!D74,マスター_OTA!$A$4:$A$29,0))/100),0)</f>
        <v>63561.599999999999</v>
      </c>
      <c r="F214" s="90">
        <f>IF(売上入力!A74="","",売上入力!A74)</f>
        <v>46266</v>
      </c>
      <c r="G214" s="16" t="s">
        <v>384</v>
      </c>
    </row>
    <row r="215" spans="1:7" ht="15" customHeight="1">
      <c r="A215" s="88">
        <f>IFERROR(IF(売上入力!A74="","",IF(INDEX(マスター_OTA!$C$4:$C$29,MATCH(売上入力!D74,マスター_OTA!$A$4:$A$29,0))=0,"",DATE(YEAR(売上入力!A74),MONTH(売上入力!A74)+1,IFERROR(INDEX(マスター_OTA!$F$4:$F$29,MATCH(売上入力!D74,マスター_OTA!$A$4:$A$29,0)),25)))),"")</f>
        <v>46305</v>
      </c>
      <c r="B215" s="16" t="str">
        <f>IF(売上入力!B74="","",売上入力!B74)</f>
        <v>リゾート</v>
      </c>
      <c r="C215" s="16" t="str">
        <f>IF(売上入力!C74="","",売上入力!C74)</f>
        <v>グリーンシャワー</v>
      </c>
      <c r="D215" s="16" t="str">
        <f>IF(売上入力!D74="","",売上入力!D74)</f>
        <v>売上</v>
      </c>
      <c r="E215" s="89">
        <f>IFERROR(IF(売上入力!E74="",0,売上入力!E74*INDEX(マスター_OTA!$C$4:$C$29,MATCH(売上入力!D74,マスター_OTA!$A$4:$A$29,0))/100),0)</f>
        <v>317808</v>
      </c>
      <c r="F215" s="90">
        <f>IF(売上入力!A74="","",売上入力!A74)</f>
        <v>46266</v>
      </c>
      <c r="G215" s="16" t="s">
        <v>385</v>
      </c>
    </row>
    <row r="216" spans="1:7" ht="15" customHeight="1">
      <c r="A216" s="88">
        <f>IFERROR(IF(売上入力!A74="","",IF(INDEX(マスター_OTA!$D$4:$D$29,MATCH(売上入力!D74,マスター_OTA!$A$4:$A$29,0))=0,"",DATE(YEAR(売上入力!A74),MONTH(売上入力!A74)+2,IFERROR(INDEX(マスター_OTA!$G$4:$G$29,MATCH(売上入力!D74,マスター_OTA!$A$4:$A$29,0)),25)))),"")</f>
        <v>46351</v>
      </c>
      <c r="B216" s="16" t="str">
        <f>IF(売上入力!B74="","",売上入力!B74)</f>
        <v>リゾート</v>
      </c>
      <c r="C216" s="16" t="str">
        <f>IF(売上入力!C74="","",売上入力!C74)</f>
        <v>グリーンシャワー</v>
      </c>
      <c r="D216" s="16" t="str">
        <f>IF(売上入力!D74="","",売上入力!D74)</f>
        <v>売上</v>
      </c>
      <c r="E216" s="89">
        <f>IFERROR(IF(売上入力!E74="",0,売上入力!E74*INDEX(マスター_OTA!$D$4:$D$29,MATCH(売上入力!D74,マスター_OTA!$A$4:$A$29,0))/100),0)</f>
        <v>42374.400000000001</v>
      </c>
      <c r="F216" s="90">
        <f>IF(売上入力!A74="","",売上入力!A74)</f>
        <v>46266</v>
      </c>
      <c r="G216" s="16" t="s">
        <v>386</v>
      </c>
    </row>
    <row r="217" spans="1:7" ht="15" customHeight="1">
      <c r="A217" s="88">
        <f>IFERROR(IF(売上入力!A75="","",IF(INDEX(マスター_OTA!$B$4:$B$29,MATCH(売上入力!D75,マスター_OTA!$A$4:$A$29,0))=0,"",DATE(YEAR(売上入力!A75),MONTH(売上入力!A75),IFERROR(INDEX(マスター_OTA!$E$4:$E$29,MATCH(売上入力!D75,マスター_OTA!$A$4:$A$29,0)),28)))),"")</f>
        <v>46285</v>
      </c>
      <c r="B217" s="16" t="str">
        <f>IF(売上入力!B75="","",売上入力!B75)</f>
        <v>リゾート</v>
      </c>
      <c r="C217" s="16" t="str">
        <f>IF(売上入力!C75="","",売上入力!C75)</f>
        <v>フォレストヒルズガーデン</v>
      </c>
      <c r="D217" s="16" t="str">
        <f>IF(売上入力!D75="","",売上入力!D75)</f>
        <v>売上</v>
      </c>
      <c r="E217" s="89">
        <f>IFERROR(IF(売上入力!E75="",0,売上入力!E75*INDEX(マスター_OTA!$B$4:$B$29,MATCH(売上入力!D75,マスター_OTA!$A$4:$A$29,0))/100),0)</f>
        <v>713764.95</v>
      </c>
      <c r="F217" s="90">
        <f>IF(売上入力!A75="","",売上入力!A75)</f>
        <v>46266</v>
      </c>
      <c r="G217" s="16" t="s">
        <v>384</v>
      </c>
    </row>
    <row r="218" spans="1:7" ht="15" customHeight="1">
      <c r="A218" s="88">
        <f>IFERROR(IF(売上入力!A75="","",IF(INDEX(マスター_OTA!$C$4:$C$29,MATCH(売上入力!D75,マスター_OTA!$A$4:$A$29,0))=0,"",DATE(YEAR(売上入力!A75),MONTH(売上入力!A75)+1,IFERROR(INDEX(マスター_OTA!$F$4:$F$29,MATCH(売上入力!D75,マスター_OTA!$A$4:$A$29,0)),25)))),"")</f>
        <v>46305</v>
      </c>
      <c r="B218" s="16" t="str">
        <f>IF(売上入力!B75="","",売上入力!B75)</f>
        <v>リゾート</v>
      </c>
      <c r="C218" s="16" t="str">
        <f>IF(売上入力!C75="","",売上入力!C75)</f>
        <v>フォレストヒルズガーデン</v>
      </c>
      <c r="D218" s="16" t="str">
        <f>IF(売上入力!D75="","",売上入力!D75)</f>
        <v>売上</v>
      </c>
      <c r="E218" s="89">
        <f>IFERROR(IF(売上入力!E75="",0,売上入力!E75*INDEX(マスター_OTA!$C$4:$C$29,MATCH(売上入力!D75,マスター_OTA!$A$4:$A$29,0))/100),0)</f>
        <v>3568824.75</v>
      </c>
      <c r="F218" s="90">
        <f>IF(売上入力!A75="","",売上入力!A75)</f>
        <v>46266</v>
      </c>
      <c r="G218" s="16" t="s">
        <v>385</v>
      </c>
    </row>
    <row r="219" spans="1:7" ht="15" customHeight="1">
      <c r="A219" s="88">
        <f>IFERROR(IF(売上入力!A75="","",IF(INDEX(マスター_OTA!$D$4:$D$29,MATCH(売上入力!D75,マスター_OTA!$A$4:$A$29,0))=0,"",DATE(YEAR(売上入力!A75),MONTH(売上入力!A75)+2,IFERROR(INDEX(マスター_OTA!$G$4:$G$29,MATCH(売上入力!D75,マスター_OTA!$A$4:$A$29,0)),25)))),"")</f>
        <v>46351</v>
      </c>
      <c r="B219" s="16" t="str">
        <f>IF(売上入力!B75="","",売上入力!B75)</f>
        <v>リゾート</v>
      </c>
      <c r="C219" s="16" t="str">
        <f>IF(売上入力!C75="","",売上入力!C75)</f>
        <v>フォレストヒルズガーデン</v>
      </c>
      <c r="D219" s="16" t="str">
        <f>IF(売上入力!D75="","",売上入力!D75)</f>
        <v>売上</v>
      </c>
      <c r="E219" s="89">
        <f>IFERROR(IF(売上入力!E75="",0,売上入力!E75*INDEX(マスター_OTA!$D$4:$D$29,MATCH(売上入力!D75,マスター_OTA!$A$4:$A$29,0))/100),0)</f>
        <v>475843.3</v>
      </c>
      <c r="F219" s="90">
        <f>IF(売上入力!A75="","",売上入力!A75)</f>
        <v>46266</v>
      </c>
      <c r="G219" s="16" t="s">
        <v>386</v>
      </c>
    </row>
    <row r="220" spans="1:7" ht="15" customHeight="1">
      <c r="A220" s="88">
        <f>IFERROR(IF(売上入力!A76="","",IF(INDEX(マスター_OTA!$B$4:$B$29,MATCH(売上入力!D76,マスター_OTA!$A$4:$A$29,0))=0,"",DATE(YEAR(売上入力!A76),MONTH(売上入力!A76),IFERROR(INDEX(マスター_OTA!$E$4:$E$29,MATCH(売上入力!D76,マスター_OTA!$A$4:$A$29,0)),28)))),"")</f>
        <v>46285</v>
      </c>
      <c r="B220" s="16" t="str">
        <f>IF(売上入力!B76="","",売上入力!B76)</f>
        <v>モーテル</v>
      </c>
      <c r="C220" s="16" t="str">
        <f>IF(売上入力!C76="","",売上入力!C76)</f>
        <v>弥山</v>
      </c>
      <c r="D220" s="16" t="str">
        <f>IF(売上入力!D76="","",売上入力!D76)</f>
        <v>ホテル売上</v>
      </c>
      <c r="E220" s="89">
        <f>IFERROR(IF(売上入力!E76="",0,売上入力!E76*INDEX(マスター_OTA!$B$4:$B$29,MATCH(売上入力!D76,マスター_OTA!$A$4:$A$29,0))/100),0)</f>
        <v>655875.6</v>
      </c>
      <c r="F220" s="90">
        <f>IF(売上入力!A76="","",売上入力!A76)</f>
        <v>46266</v>
      </c>
      <c r="G220" s="16" t="s">
        <v>384</v>
      </c>
    </row>
    <row r="221" spans="1:7" ht="15" customHeight="1">
      <c r="A221" s="88">
        <f>IFERROR(IF(売上入力!A76="","",IF(INDEX(マスター_OTA!$C$4:$C$29,MATCH(売上入力!D76,マスター_OTA!$A$4:$A$29,0))=0,"",DATE(YEAR(売上入力!A76),MONTH(売上入力!A76)+1,IFERROR(INDEX(マスター_OTA!$F$4:$F$29,MATCH(売上入力!D76,マスター_OTA!$A$4:$A$29,0)),25)))),"")</f>
        <v>46305</v>
      </c>
      <c r="B221" s="16" t="str">
        <f>IF(売上入力!B76="","",売上入力!B76)</f>
        <v>モーテル</v>
      </c>
      <c r="C221" s="16" t="str">
        <f>IF(売上入力!C76="","",売上入力!C76)</f>
        <v>弥山</v>
      </c>
      <c r="D221" s="16" t="str">
        <f>IF(売上入力!D76="","",売上入力!D76)</f>
        <v>ホテル売上</v>
      </c>
      <c r="E221" s="89">
        <f>IFERROR(IF(売上入力!E76="",0,売上入力!E76*INDEX(マスター_OTA!$C$4:$C$29,MATCH(売上入力!D76,マスター_OTA!$A$4:$A$29,0))/100),0)</f>
        <v>3279378</v>
      </c>
      <c r="F221" s="90">
        <f>IF(売上入力!A76="","",売上入力!A76)</f>
        <v>46266</v>
      </c>
      <c r="G221" s="16" t="s">
        <v>385</v>
      </c>
    </row>
    <row r="222" spans="1:7" ht="15" customHeight="1">
      <c r="A222" s="88">
        <f>IFERROR(IF(売上入力!A76="","",IF(INDEX(マスター_OTA!$D$4:$D$29,MATCH(売上入力!D76,マスター_OTA!$A$4:$A$29,0))=0,"",DATE(YEAR(売上入力!A76),MONTH(売上入力!A76)+2,IFERROR(INDEX(マスター_OTA!$G$4:$G$29,MATCH(売上入力!D76,マスター_OTA!$A$4:$A$29,0)),25)))),"")</f>
        <v>46351</v>
      </c>
      <c r="B222" s="16" t="str">
        <f>IF(売上入力!B76="","",売上入力!B76)</f>
        <v>モーテル</v>
      </c>
      <c r="C222" s="16" t="str">
        <f>IF(売上入力!C76="","",売上入力!C76)</f>
        <v>弥山</v>
      </c>
      <c r="D222" s="16" t="str">
        <f>IF(売上入力!D76="","",売上入力!D76)</f>
        <v>ホテル売上</v>
      </c>
      <c r="E222" s="89">
        <f>IFERROR(IF(売上入力!E76="",0,売上入力!E76*INDEX(マスター_OTA!$D$4:$D$29,MATCH(売上入力!D76,マスター_OTA!$A$4:$A$29,0))/100),0)</f>
        <v>437250.4</v>
      </c>
      <c r="F222" s="90">
        <f>IF(売上入力!A76="","",売上入力!A76)</f>
        <v>46266</v>
      </c>
      <c r="G222" s="16" t="s">
        <v>386</v>
      </c>
    </row>
    <row r="223" spans="1:7" ht="15" customHeight="1">
      <c r="A223" s="88">
        <f>IFERROR(IF(売上入力!A77="","",IF(INDEX(マスター_OTA!$B$4:$B$29,MATCH(売上入力!D77,マスター_OTA!$A$4:$A$29,0))=0,"",DATE(YEAR(売上入力!A77),MONTH(売上入力!A77),IFERROR(INDEX(マスター_OTA!$E$4:$E$29,MATCH(売上入力!D77,マスター_OTA!$A$4:$A$29,0)),28)))),"")</f>
        <v>46285</v>
      </c>
      <c r="B223" s="16" t="str">
        <f>IF(売上入力!B77="","",売上入力!B77)</f>
        <v>リゾート</v>
      </c>
      <c r="C223" s="16" t="str">
        <f>IF(売上入力!C77="","",売上入力!C77)</f>
        <v>本川</v>
      </c>
      <c r="D223" s="16" t="str">
        <f>IF(売上入力!D77="","",売上入力!D77)</f>
        <v>ホテル売上</v>
      </c>
      <c r="E223" s="89">
        <f>IFERROR(IF(売上入力!E77="",0,売上入力!E77*INDEX(マスター_OTA!$B$4:$B$29,MATCH(売上入力!D77,マスター_OTA!$A$4:$A$29,0))/100),0)</f>
        <v>188013.3</v>
      </c>
      <c r="F223" s="90">
        <f>IF(売上入力!A77="","",売上入力!A77)</f>
        <v>46266</v>
      </c>
      <c r="G223" s="16" t="s">
        <v>384</v>
      </c>
    </row>
    <row r="224" spans="1:7" ht="15" customHeight="1">
      <c r="A224" s="88">
        <f>IFERROR(IF(売上入力!A77="","",IF(INDEX(マスター_OTA!$C$4:$C$29,MATCH(売上入力!D77,マスター_OTA!$A$4:$A$29,0))=0,"",DATE(YEAR(売上入力!A77),MONTH(売上入力!A77)+1,IFERROR(INDEX(マスター_OTA!$F$4:$F$29,MATCH(売上入力!D77,マスター_OTA!$A$4:$A$29,0)),25)))),"")</f>
        <v>46305</v>
      </c>
      <c r="B224" s="16" t="str">
        <f>IF(売上入力!B77="","",売上入力!B77)</f>
        <v>リゾート</v>
      </c>
      <c r="C224" s="16" t="str">
        <f>IF(売上入力!C77="","",売上入力!C77)</f>
        <v>本川</v>
      </c>
      <c r="D224" s="16" t="str">
        <f>IF(売上入力!D77="","",売上入力!D77)</f>
        <v>ホテル売上</v>
      </c>
      <c r="E224" s="89">
        <f>IFERROR(IF(売上入力!E77="",0,売上入力!E77*INDEX(マスター_OTA!$C$4:$C$29,MATCH(売上入力!D77,マスター_OTA!$A$4:$A$29,0))/100),0)</f>
        <v>940066.5</v>
      </c>
      <c r="F224" s="90">
        <f>IF(売上入力!A77="","",売上入力!A77)</f>
        <v>46266</v>
      </c>
      <c r="G224" s="16" t="s">
        <v>385</v>
      </c>
    </row>
    <row r="225" spans="1:7" ht="15" customHeight="1">
      <c r="A225" s="88">
        <f>IFERROR(IF(売上入力!A77="","",IF(INDEX(マスター_OTA!$D$4:$D$29,MATCH(売上入力!D77,マスター_OTA!$A$4:$A$29,0))=0,"",DATE(YEAR(売上入力!A77),MONTH(売上入力!A77)+2,IFERROR(INDEX(マスター_OTA!$G$4:$G$29,MATCH(売上入力!D77,マスター_OTA!$A$4:$A$29,0)),25)))),"")</f>
        <v>46351</v>
      </c>
      <c r="B225" s="16" t="str">
        <f>IF(売上入力!B77="","",売上入力!B77)</f>
        <v>リゾート</v>
      </c>
      <c r="C225" s="16" t="str">
        <f>IF(売上入力!C77="","",売上入力!C77)</f>
        <v>本川</v>
      </c>
      <c r="D225" s="16" t="str">
        <f>IF(売上入力!D77="","",売上入力!D77)</f>
        <v>ホテル売上</v>
      </c>
      <c r="E225" s="89">
        <f>IFERROR(IF(売上入力!E77="",0,売上入力!E77*INDEX(マスター_OTA!$D$4:$D$29,MATCH(売上入力!D77,マスター_OTA!$A$4:$A$29,0))/100),0)</f>
        <v>125342.2</v>
      </c>
      <c r="F225" s="90">
        <f>IF(売上入力!A77="","",売上入力!A77)</f>
        <v>46266</v>
      </c>
      <c r="G225" s="16" t="s">
        <v>386</v>
      </c>
    </row>
    <row r="226" spans="1:7" ht="15" customHeight="1">
      <c r="A226" s="88">
        <f>IFERROR(IF(売上入力!A78="","",IF(INDEX(マスター_OTA!$B$4:$B$29,MATCH(売上入力!D78,マスター_OTA!$A$4:$A$29,0))=0,"",DATE(YEAR(売上入力!A78),MONTH(売上入力!A78),IFERROR(INDEX(マスター_OTA!$E$4:$E$29,MATCH(売上入力!D78,マスター_OTA!$A$4:$A$29,0)),28)))),"")</f>
        <v>46285</v>
      </c>
      <c r="B226" s="16" t="str">
        <f>IF(売上入力!B78="","",売上入力!B78)</f>
        <v>リゾート</v>
      </c>
      <c r="C226" s="16" t="str">
        <f>IF(売上入力!C78="","",売上入力!C78)</f>
        <v>温井</v>
      </c>
      <c r="D226" s="16" t="str">
        <f>IF(売上入力!D78="","",売上入力!D78)</f>
        <v>ホテル売上</v>
      </c>
      <c r="E226" s="89">
        <f>IFERROR(IF(売上入力!E78="",0,売上入力!E78*INDEX(マスター_OTA!$B$4:$B$29,MATCH(売上入力!D78,マスター_OTA!$A$4:$A$29,0))/100),0)</f>
        <v>493323.3</v>
      </c>
      <c r="F226" s="90">
        <f>IF(売上入力!A78="","",売上入力!A78)</f>
        <v>46266</v>
      </c>
      <c r="G226" s="16" t="s">
        <v>384</v>
      </c>
    </row>
    <row r="227" spans="1:7" ht="15" customHeight="1">
      <c r="A227" s="88">
        <f>IFERROR(IF(売上入力!A78="","",IF(INDEX(マスター_OTA!$C$4:$C$29,MATCH(売上入力!D78,マスター_OTA!$A$4:$A$29,0))=0,"",DATE(YEAR(売上入力!A78),MONTH(売上入力!A78)+1,IFERROR(INDEX(マスター_OTA!$F$4:$F$29,MATCH(売上入力!D78,マスター_OTA!$A$4:$A$29,0)),25)))),"")</f>
        <v>46305</v>
      </c>
      <c r="B227" s="16" t="str">
        <f>IF(売上入力!B78="","",売上入力!B78)</f>
        <v>リゾート</v>
      </c>
      <c r="C227" s="16" t="str">
        <f>IF(売上入力!C78="","",売上入力!C78)</f>
        <v>温井</v>
      </c>
      <c r="D227" s="16" t="str">
        <f>IF(売上入力!D78="","",売上入力!D78)</f>
        <v>ホテル売上</v>
      </c>
      <c r="E227" s="89">
        <f>IFERROR(IF(売上入力!E78="",0,売上入力!E78*INDEX(マスター_OTA!$C$4:$C$29,MATCH(売上入力!D78,マスター_OTA!$A$4:$A$29,0))/100),0)</f>
        <v>2466616.5</v>
      </c>
      <c r="F227" s="90">
        <f>IF(売上入力!A78="","",売上入力!A78)</f>
        <v>46266</v>
      </c>
      <c r="G227" s="16" t="s">
        <v>385</v>
      </c>
    </row>
    <row r="228" spans="1:7" ht="15" customHeight="1">
      <c r="A228" s="88">
        <f>IFERROR(IF(売上入力!A78="","",IF(INDEX(マスター_OTA!$D$4:$D$29,MATCH(売上入力!D78,マスター_OTA!$A$4:$A$29,0))=0,"",DATE(YEAR(売上入力!A78),MONTH(売上入力!A78)+2,IFERROR(INDEX(マスター_OTA!$G$4:$G$29,MATCH(売上入力!D78,マスター_OTA!$A$4:$A$29,0)),25)))),"")</f>
        <v>46351</v>
      </c>
      <c r="B228" s="16" t="str">
        <f>IF(売上入力!B78="","",売上入力!B78)</f>
        <v>リゾート</v>
      </c>
      <c r="C228" s="16" t="str">
        <f>IF(売上入力!C78="","",売上入力!C78)</f>
        <v>温井</v>
      </c>
      <c r="D228" s="16" t="str">
        <f>IF(売上入力!D78="","",売上入力!D78)</f>
        <v>ホテル売上</v>
      </c>
      <c r="E228" s="89">
        <f>IFERROR(IF(売上入力!E78="",0,売上入力!E78*INDEX(マスター_OTA!$D$4:$D$29,MATCH(売上入力!D78,マスター_OTA!$A$4:$A$29,0))/100),0)</f>
        <v>328882.2</v>
      </c>
      <c r="F228" s="90">
        <f>IF(売上入力!A78="","",売上入力!A78)</f>
        <v>46266</v>
      </c>
      <c r="G228" s="16" t="s">
        <v>386</v>
      </c>
    </row>
    <row r="229" spans="1:7" ht="15" customHeight="1">
      <c r="A229" s="88" t="str">
        <f>IFERROR(IF(売上入力!A79="","",IF(INDEX(マスター_OTA!$B$4:$B$29,MATCH(売上入力!D79,マスター_OTA!$A$4:$A$29,0))=0,"",DATE(YEAR(売上入力!A79),MONTH(売上入力!A79),IFERROR(INDEX(マスター_OTA!$E$4:$E$29,MATCH(売上入力!D79,マスター_OTA!$A$4:$A$29,0)),28)))),"")</f>
        <v/>
      </c>
      <c r="B229" s="16" t="str">
        <f>IF(売上入力!B79="","",売上入力!B79)</f>
        <v>リゾート</v>
      </c>
      <c r="C229" s="16" t="str">
        <f>IF(売上入力!C79="","",売上入力!C79)</f>
        <v>竹原（ﾚｽﾄﾗﾝ含む）</v>
      </c>
      <c r="D229" s="16" t="str">
        <f>IF(売上入力!D79="","",売上入力!D79)</f>
        <v>竹原市</v>
      </c>
      <c r="E229" s="89">
        <f>IFERROR(IF(売上入力!E79="",0,売上入力!E79*INDEX(マスター_OTA!$B$4:$B$29,MATCH(売上入力!D79,マスター_OTA!$A$4:$A$29,0))/100),0)</f>
        <v>0</v>
      </c>
      <c r="F229" s="90">
        <f>IF(売上入力!A79="","",売上入力!A79)</f>
        <v>46266</v>
      </c>
      <c r="G229" s="16" t="s">
        <v>384</v>
      </c>
    </row>
    <row r="230" spans="1:7" ht="15" customHeight="1">
      <c r="A230" s="88">
        <f>IFERROR(IF(売上入力!A79="","",IF(INDEX(マスター_OTA!$C$4:$C$29,MATCH(売上入力!D79,マスター_OTA!$A$4:$A$29,0))=0,"",DATE(YEAR(売上入力!A79),MONTH(売上入力!A79)+1,IFERROR(INDEX(マスター_OTA!$F$4:$F$29,MATCH(売上入力!D79,マスター_OTA!$A$4:$A$29,0)),25)))),"")</f>
        <v>46310</v>
      </c>
      <c r="B230" s="16" t="str">
        <f>IF(売上入力!B79="","",売上入力!B79)</f>
        <v>リゾート</v>
      </c>
      <c r="C230" s="16" t="str">
        <f>IF(売上入力!C79="","",売上入力!C79)</f>
        <v>竹原（ﾚｽﾄﾗﾝ含む）</v>
      </c>
      <c r="D230" s="16" t="str">
        <f>IF(売上入力!D79="","",売上入力!D79)</f>
        <v>竹原市</v>
      </c>
      <c r="E230" s="89">
        <f>IFERROR(IF(売上入力!E79="",0,売上入力!E79*INDEX(マスター_OTA!$C$4:$C$29,MATCH(売上入力!D79,マスター_OTA!$A$4:$A$29,0))/100),0)</f>
        <v>1231266</v>
      </c>
      <c r="F230" s="90">
        <f>IF(売上入力!A79="","",売上入力!A79)</f>
        <v>46266</v>
      </c>
      <c r="G230" s="16" t="s">
        <v>385</v>
      </c>
    </row>
    <row r="231" spans="1:7" ht="15" customHeight="1">
      <c r="A231" s="88" t="str">
        <f>IFERROR(IF(売上入力!A79="","",IF(INDEX(マスター_OTA!$D$4:$D$29,MATCH(売上入力!D79,マスター_OTA!$A$4:$A$29,0))=0,"",DATE(YEAR(売上入力!A79),MONTH(売上入力!A79)+2,IFERROR(INDEX(マスター_OTA!$G$4:$G$29,MATCH(売上入力!D79,マスター_OTA!$A$4:$A$29,0)),25)))),"")</f>
        <v/>
      </c>
      <c r="B231" s="16" t="str">
        <f>IF(売上入力!B79="","",売上入力!B79)</f>
        <v>リゾート</v>
      </c>
      <c r="C231" s="16" t="str">
        <f>IF(売上入力!C79="","",売上入力!C79)</f>
        <v>竹原（ﾚｽﾄﾗﾝ含む）</v>
      </c>
      <c r="D231" s="16" t="str">
        <f>IF(売上入力!D79="","",売上入力!D79)</f>
        <v>竹原市</v>
      </c>
      <c r="E231" s="89">
        <f>IFERROR(IF(売上入力!E79="",0,売上入力!E79*INDEX(マスター_OTA!$D$4:$D$29,MATCH(売上入力!D79,マスター_OTA!$A$4:$A$29,0))/100),0)</f>
        <v>0</v>
      </c>
      <c r="F231" s="90">
        <f>IF(売上入力!A79="","",売上入力!A79)</f>
        <v>46266</v>
      </c>
      <c r="G231" s="16" t="s">
        <v>386</v>
      </c>
    </row>
    <row r="232" spans="1:7" ht="15" customHeight="1">
      <c r="A232" s="88">
        <f>IFERROR(IF(売上入力!A80="","",IF(INDEX(マスター_OTA!$B$4:$B$29,MATCH(売上入力!D80,マスター_OTA!$A$4:$A$29,0))=0,"",DATE(YEAR(売上入力!A80),MONTH(売上入力!A80),IFERROR(INDEX(マスター_OTA!$E$4:$E$29,MATCH(売上入力!D80,マスター_OTA!$A$4:$A$29,0)),28)))),"")</f>
        <v>46315</v>
      </c>
      <c r="B232" s="16" t="str">
        <f>IF(売上入力!B80="","",売上入力!B80)</f>
        <v>リゾート</v>
      </c>
      <c r="C232" s="16" t="str">
        <f>IF(売上入力!C80="","",売上入力!C80)</f>
        <v>VIEW</v>
      </c>
      <c r="D232" s="16" t="str">
        <f>IF(売上入力!D80="","",売上入力!D80)</f>
        <v>ホテル売上</v>
      </c>
      <c r="E232" s="89">
        <f>IFERROR(IF(売上入力!E80="",0,売上入力!E80*INDEX(マスター_OTA!$B$4:$B$29,MATCH(売上入力!D80,マスター_OTA!$A$4:$A$29,0))/100),0)</f>
        <v>440300.1</v>
      </c>
      <c r="F232" s="90">
        <f>IF(売上入力!A80="","",売上入力!A80)</f>
        <v>46296</v>
      </c>
      <c r="G232" s="16" t="s">
        <v>384</v>
      </c>
    </row>
    <row r="233" spans="1:7" ht="15" customHeight="1">
      <c r="A233" s="88">
        <f>IFERROR(IF(売上入力!A80="","",IF(INDEX(マスター_OTA!$C$4:$C$29,MATCH(売上入力!D80,マスター_OTA!$A$4:$A$29,0))=0,"",DATE(YEAR(売上入力!A80),MONTH(売上入力!A80)+1,IFERROR(INDEX(マスター_OTA!$F$4:$F$29,MATCH(売上入力!D80,マスター_OTA!$A$4:$A$29,0)),25)))),"")</f>
        <v>46336</v>
      </c>
      <c r="B233" s="16" t="str">
        <f>IF(売上入力!B80="","",売上入力!B80)</f>
        <v>リゾート</v>
      </c>
      <c r="C233" s="16" t="str">
        <f>IF(売上入力!C80="","",売上入力!C80)</f>
        <v>VIEW</v>
      </c>
      <c r="D233" s="16" t="str">
        <f>IF(売上入力!D80="","",売上入力!D80)</f>
        <v>ホテル売上</v>
      </c>
      <c r="E233" s="89">
        <f>IFERROR(IF(売上入力!E80="",0,売上入力!E80*INDEX(マスター_OTA!$C$4:$C$29,MATCH(売上入力!D80,マスター_OTA!$A$4:$A$29,0))/100),0)</f>
        <v>2201500.5</v>
      </c>
      <c r="F233" s="90">
        <f>IF(売上入力!A80="","",売上入力!A80)</f>
        <v>46296</v>
      </c>
      <c r="G233" s="16" t="s">
        <v>385</v>
      </c>
    </row>
    <row r="234" spans="1:7" ht="15" customHeight="1">
      <c r="A234" s="88">
        <f>IFERROR(IF(売上入力!A80="","",IF(INDEX(マスター_OTA!$D$4:$D$29,MATCH(売上入力!D80,マスター_OTA!$A$4:$A$29,0))=0,"",DATE(YEAR(売上入力!A80),MONTH(売上入力!A80)+2,IFERROR(INDEX(マスター_OTA!$G$4:$G$29,MATCH(売上入力!D80,マスター_OTA!$A$4:$A$29,0)),25)))),"")</f>
        <v>46381</v>
      </c>
      <c r="B234" s="16" t="str">
        <f>IF(売上入力!B80="","",売上入力!B80)</f>
        <v>リゾート</v>
      </c>
      <c r="C234" s="16" t="str">
        <f>IF(売上入力!C80="","",売上入力!C80)</f>
        <v>VIEW</v>
      </c>
      <c r="D234" s="16" t="str">
        <f>IF(売上入力!D80="","",売上入力!D80)</f>
        <v>ホテル売上</v>
      </c>
      <c r="E234" s="89">
        <f>IFERROR(IF(売上入力!E80="",0,売上入力!E80*INDEX(マスター_OTA!$D$4:$D$29,MATCH(売上入力!D80,マスター_OTA!$A$4:$A$29,0))/100),0)</f>
        <v>293533.40000000002</v>
      </c>
      <c r="F234" s="90">
        <f>IF(売上入力!A80="","",売上入力!A80)</f>
        <v>46296</v>
      </c>
      <c r="G234" s="16" t="s">
        <v>386</v>
      </c>
    </row>
    <row r="235" spans="1:7" ht="15" customHeight="1">
      <c r="A235" s="88">
        <f>IFERROR(IF(売上入力!A81="","",IF(INDEX(マスター_OTA!$B$4:$B$29,MATCH(売上入力!D81,マスター_OTA!$A$4:$A$29,0))=0,"",DATE(YEAR(売上入力!A81),MONTH(売上入力!A81),IFERROR(INDEX(マスター_OTA!$E$4:$E$29,MATCH(売上入力!D81,マスター_OTA!$A$4:$A$29,0)),28)))),"")</f>
        <v>46315</v>
      </c>
      <c r="B235" s="16" t="str">
        <f>IF(売上入力!B81="","",売上入力!B81)</f>
        <v>リゾート</v>
      </c>
      <c r="C235" s="16" t="str">
        <f>IF(売上入力!C81="","",売上入力!C81)</f>
        <v>de Lune</v>
      </c>
      <c r="D235" s="16" t="str">
        <f>IF(売上入力!D81="","",売上入力!D81)</f>
        <v>ホテル売上</v>
      </c>
      <c r="E235" s="89">
        <f>IFERROR(IF(売上入力!E81="",0,売上入力!E81*INDEX(マスター_OTA!$B$4:$B$29,MATCH(売上入力!D81,マスター_OTA!$A$4:$A$29,0))/100),0)</f>
        <v>1556122.65</v>
      </c>
      <c r="F235" s="90">
        <f>IF(売上入力!A81="","",売上入力!A81)</f>
        <v>46296</v>
      </c>
      <c r="G235" s="16" t="s">
        <v>384</v>
      </c>
    </row>
    <row r="236" spans="1:7" ht="15" customHeight="1">
      <c r="A236" s="88">
        <f>IFERROR(IF(売上入力!A81="","",IF(INDEX(マスター_OTA!$C$4:$C$29,MATCH(売上入力!D81,マスター_OTA!$A$4:$A$29,0))=0,"",DATE(YEAR(売上入力!A81),MONTH(売上入力!A81)+1,IFERROR(INDEX(マスター_OTA!$F$4:$F$29,MATCH(売上入力!D81,マスター_OTA!$A$4:$A$29,0)),25)))),"")</f>
        <v>46336</v>
      </c>
      <c r="B236" s="16" t="str">
        <f>IF(売上入力!B81="","",売上入力!B81)</f>
        <v>リゾート</v>
      </c>
      <c r="C236" s="16" t="str">
        <f>IF(売上入力!C81="","",売上入力!C81)</f>
        <v>de Lune</v>
      </c>
      <c r="D236" s="16" t="str">
        <f>IF(売上入力!D81="","",売上入力!D81)</f>
        <v>ホテル売上</v>
      </c>
      <c r="E236" s="89">
        <f>IFERROR(IF(売上入力!E81="",0,売上入力!E81*INDEX(マスター_OTA!$C$4:$C$29,MATCH(売上入力!D81,マスター_OTA!$A$4:$A$29,0))/100),0)</f>
        <v>7780613.25</v>
      </c>
      <c r="F236" s="90">
        <f>IF(売上入力!A81="","",売上入力!A81)</f>
        <v>46296</v>
      </c>
      <c r="G236" s="16" t="s">
        <v>385</v>
      </c>
    </row>
    <row r="237" spans="1:7" ht="15" customHeight="1">
      <c r="A237" s="88">
        <f>IFERROR(IF(売上入力!A81="","",IF(INDEX(マスター_OTA!$D$4:$D$29,MATCH(売上入力!D81,マスター_OTA!$A$4:$A$29,0))=0,"",DATE(YEAR(売上入力!A81),MONTH(売上入力!A81)+2,IFERROR(INDEX(マスター_OTA!$G$4:$G$29,MATCH(売上入力!D81,マスター_OTA!$A$4:$A$29,0)),25)))),"")</f>
        <v>46381</v>
      </c>
      <c r="B237" s="16" t="str">
        <f>IF(売上入力!B81="","",売上入力!B81)</f>
        <v>リゾート</v>
      </c>
      <c r="C237" s="16" t="str">
        <f>IF(売上入力!C81="","",売上入力!C81)</f>
        <v>de Lune</v>
      </c>
      <c r="D237" s="16" t="str">
        <f>IF(売上入力!D81="","",売上入力!D81)</f>
        <v>ホテル売上</v>
      </c>
      <c r="E237" s="89">
        <f>IFERROR(IF(売上入力!E81="",0,売上入力!E81*INDEX(マスター_OTA!$D$4:$D$29,MATCH(売上入力!D81,マスター_OTA!$A$4:$A$29,0))/100),0)</f>
        <v>1037415.1</v>
      </c>
      <c r="F237" s="90">
        <f>IF(売上入力!A81="","",売上入力!A81)</f>
        <v>46296</v>
      </c>
      <c r="G237" s="16" t="s">
        <v>386</v>
      </c>
    </row>
    <row r="238" spans="1:7" ht="15" customHeight="1">
      <c r="A238" s="88">
        <f>IFERROR(IF(売上入力!A82="","",IF(INDEX(マスター_OTA!$B$4:$B$29,MATCH(売上入力!D82,マスター_OTA!$A$4:$A$29,0))=0,"",DATE(YEAR(売上入力!A82),MONTH(売上入力!A82),IFERROR(INDEX(マスター_OTA!$E$4:$E$29,MATCH(売上入力!D82,マスター_OTA!$A$4:$A$29,0)),28)))),"")</f>
        <v>46315</v>
      </c>
      <c r="B238" s="16" t="str">
        <f>IF(売上入力!B82="","",売上入力!B82)</f>
        <v>リゾート</v>
      </c>
      <c r="C238" s="16" t="str">
        <f>IF(売上入力!C82="","",売上入力!C82)</f>
        <v>いこいの村</v>
      </c>
      <c r="D238" s="16" t="str">
        <f>IF(売上入力!D82="","",売上入力!D82)</f>
        <v>ホテル売上</v>
      </c>
      <c r="E238" s="89">
        <f>IFERROR(IF(売上入力!E82="",0,売上入力!E82*INDEX(マスター_OTA!$B$4:$B$29,MATCH(売上入力!D82,マスター_OTA!$A$4:$A$29,0))/100),0)</f>
        <v>653417.85</v>
      </c>
      <c r="F238" s="90">
        <f>IF(売上入力!A82="","",売上入力!A82)</f>
        <v>46296</v>
      </c>
      <c r="G238" s="16" t="s">
        <v>384</v>
      </c>
    </row>
    <row r="239" spans="1:7" ht="15" customHeight="1">
      <c r="A239" s="88">
        <f>IFERROR(IF(売上入力!A82="","",IF(INDEX(マスター_OTA!$C$4:$C$29,MATCH(売上入力!D82,マスター_OTA!$A$4:$A$29,0))=0,"",DATE(YEAR(売上入力!A82),MONTH(売上入力!A82)+1,IFERROR(INDEX(マスター_OTA!$F$4:$F$29,MATCH(売上入力!D82,マスター_OTA!$A$4:$A$29,0)),25)))),"")</f>
        <v>46336</v>
      </c>
      <c r="B239" s="16" t="str">
        <f>IF(売上入力!B82="","",売上入力!B82)</f>
        <v>リゾート</v>
      </c>
      <c r="C239" s="16" t="str">
        <f>IF(売上入力!C82="","",売上入力!C82)</f>
        <v>いこいの村</v>
      </c>
      <c r="D239" s="16" t="str">
        <f>IF(売上入力!D82="","",売上入力!D82)</f>
        <v>ホテル売上</v>
      </c>
      <c r="E239" s="89">
        <f>IFERROR(IF(売上入力!E82="",0,売上入力!E82*INDEX(マスター_OTA!$C$4:$C$29,MATCH(売上入力!D82,マスター_OTA!$A$4:$A$29,0))/100),0)</f>
        <v>3267089.25</v>
      </c>
      <c r="F239" s="90">
        <f>IF(売上入力!A82="","",売上入力!A82)</f>
        <v>46296</v>
      </c>
      <c r="G239" s="16" t="s">
        <v>385</v>
      </c>
    </row>
    <row r="240" spans="1:7" ht="15" customHeight="1">
      <c r="A240" s="88">
        <f>IFERROR(IF(売上入力!A82="","",IF(INDEX(マスター_OTA!$D$4:$D$29,MATCH(売上入力!D82,マスター_OTA!$A$4:$A$29,0))=0,"",DATE(YEAR(売上入力!A82),MONTH(売上入力!A82)+2,IFERROR(INDEX(マスター_OTA!$G$4:$G$29,MATCH(売上入力!D82,マスター_OTA!$A$4:$A$29,0)),25)))),"")</f>
        <v>46381</v>
      </c>
      <c r="B240" s="16" t="str">
        <f>IF(売上入力!B82="","",売上入力!B82)</f>
        <v>リゾート</v>
      </c>
      <c r="C240" s="16" t="str">
        <f>IF(売上入力!C82="","",売上入力!C82)</f>
        <v>いこいの村</v>
      </c>
      <c r="D240" s="16" t="str">
        <f>IF(売上入力!D82="","",売上入力!D82)</f>
        <v>ホテル売上</v>
      </c>
      <c r="E240" s="89">
        <f>IFERROR(IF(売上入力!E82="",0,売上入力!E82*INDEX(マスター_OTA!$D$4:$D$29,MATCH(売上入力!D82,マスター_OTA!$A$4:$A$29,0))/100),0)</f>
        <v>435611.9</v>
      </c>
      <c r="F240" s="90">
        <f>IF(売上入力!A82="","",売上入力!A82)</f>
        <v>46296</v>
      </c>
      <c r="G240" s="16" t="s">
        <v>386</v>
      </c>
    </row>
    <row r="241" spans="1:7" ht="15" customHeight="1">
      <c r="A241" s="88">
        <f>IFERROR(IF(売上入力!A83="","",IF(INDEX(マスター_OTA!$B$4:$B$29,MATCH(売上入力!D83,マスター_OTA!$A$4:$A$29,0))=0,"",DATE(YEAR(売上入力!A83),MONTH(売上入力!A83),IFERROR(INDEX(マスター_OTA!$E$4:$E$29,MATCH(売上入力!D83,マスター_OTA!$A$4:$A$29,0)),28)))),"")</f>
        <v>46315</v>
      </c>
      <c r="B241" s="16" t="str">
        <f>IF(売上入力!B83="","",売上入力!B83)</f>
        <v>リゾート</v>
      </c>
      <c r="C241" s="16" t="str">
        <f>IF(売上入力!C83="","",売上入力!C83)</f>
        <v>グリーンシャワー</v>
      </c>
      <c r="D241" s="16" t="str">
        <f>IF(売上入力!D83="","",売上入力!D83)</f>
        <v>売上</v>
      </c>
      <c r="E241" s="89">
        <f>IFERROR(IF(売上入力!E83="",0,売上入力!E83*INDEX(マスター_OTA!$B$4:$B$29,MATCH(売上入力!D83,マスター_OTA!$A$4:$A$29,0))/100),0)</f>
        <v>107596.8</v>
      </c>
      <c r="F241" s="90">
        <f>IF(売上入力!A83="","",売上入力!A83)</f>
        <v>46296</v>
      </c>
      <c r="G241" s="16" t="s">
        <v>384</v>
      </c>
    </row>
    <row r="242" spans="1:7" ht="15" customHeight="1">
      <c r="A242" s="88">
        <f>IFERROR(IF(売上入力!A83="","",IF(INDEX(マスター_OTA!$C$4:$C$29,MATCH(売上入力!D83,マスター_OTA!$A$4:$A$29,0))=0,"",DATE(YEAR(売上入力!A83),MONTH(売上入力!A83)+1,IFERROR(INDEX(マスター_OTA!$F$4:$F$29,MATCH(売上入力!D83,マスター_OTA!$A$4:$A$29,0)),25)))),"")</f>
        <v>46336</v>
      </c>
      <c r="B242" s="16" t="str">
        <f>IF(売上入力!B83="","",売上入力!B83)</f>
        <v>リゾート</v>
      </c>
      <c r="C242" s="16" t="str">
        <f>IF(売上入力!C83="","",売上入力!C83)</f>
        <v>グリーンシャワー</v>
      </c>
      <c r="D242" s="16" t="str">
        <f>IF(売上入力!D83="","",売上入力!D83)</f>
        <v>売上</v>
      </c>
      <c r="E242" s="89">
        <f>IFERROR(IF(売上入力!E83="",0,売上入力!E83*INDEX(マスター_OTA!$C$4:$C$29,MATCH(売上入力!D83,マスター_OTA!$A$4:$A$29,0))/100),0)</f>
        <v>537984</v>
      </c>
      <c r="F242" s="90">
        <f>IF(売上入力!A83="","",売上入力!A83)</f>
        <v>46296</v>
      </c>
      <c r="G242" s="16" t="s">
        <v>385</v>
      </c>
    </row>
    <row r="243" spans="1:7" ht="15" customHeight="1">
      <c r="A243" s="88">
        <f>IFERROR(IF(売上入力!A83="","",IF(INDEX(マスター_OTA!$D$4:$D$29,MATCH(売上入力!D83,マスター_OTA!$A$4:$A$29,0))=0,"",DATE(YEAR(売上入力!A83),MONTH(売上入力!A83)+2,IFERROR(INDEX(マスター_OTA!$G$4:$G$29,MATCH(売上入力!D83,マスター_OTA!$A$4:$A$29,0)),25)))),"")</f>
        <v>46381</v>
      </c>
      <c r="B243" s="16" t="str">
        <f>IF(売上入力!B83="","",売上入力!B83)</f>
        <v>リゾート</v>
      </c>
      <c r="C243" s="16" t="str">
        <f>IF(売上入力!C83="","",売上入力!C83)</f>
        <v>グリーンシャワー</v>
      </c>
      <c r="D243" s="16" t="str">
        <f>IF(売上入力!D83="","",売上入力!D83)</f>
        <v>売上</v>
      </c>
      <c r="E243" s="89">
        <f>IFERROR(IF(売上入力!E83="",0,売上入力!E83*INDEX(マスター_OTA!$D$4:$D$29,MATCH(売上入力!D83,マスター_OTA!$A$4:$A$29,0))/100),0)</f>
        <v>71731.199999999997</v>
      </c>
      <c r="F243" s="90">
        <f>IF(売上入力!A83="","",売上入力!A83)</f>
        <v>46296</v>
      </c>
      <c r="G243" s="16" t="s">
        <v>386</v>
      </c>
    </row>
    <row r="244" spans="1:7" ht="15" customHeight="1">
      <c r="A244" s="88">
        <f>IFERROR(IF(売上入力!A84="","",IF(INDEX(マスター_OTA!$B$4:$B$29,MATCH(売上入力!D84,マスター_OTA!$A$4:$A$29,0))=0,"",DATE(YEAR(売上入力!A84),MONTH(売上入力!A84),IFERROR(INDEX(マスター_OTA!$E$4:$E$29,MATCH(売上入力!D84,マスター_OTA!$A$4:$A$29,0)),28)))),"")</f>
        <v>46315</v>
      </c>
      <c r="B244" s="16" t="str">
        <f>IF(売上入力!B84="","",売上入力!B84)</f>
        <v>リゾート</v>
      </c>
      <c r="C244" s="16" t="str">
        <f>IF(売上入力!C84="","",売上入力!C84)</f>
        <v>フォレストヒルズガーデン</v>
      </c>
      <c r="D244" s="16" t="str">
        <f>IF(売上入力!D84="","",売上入力!D84)</f>
        <v>売上</v>
      </c>
      <c r="E244" s="89">
        <f>IFERROR(IF(売上入力!E84="",0,売上入力!E84*INDEX(マスター_OTA!$B$4:$B$29,MATCH(売上入力!D84,マスター_OTA!$A$4:$A$29,0))/100),0)</f>
        <v>693274.95</v>
      </c>
      <c r="F244" s="90">
        <f>IF(売上入力!A84="","",売上入力!A84)</f>
        <v>46296</v>
      </c>
      <c r="G244" s="16" t="s">
        <v>384</v>
      </c>
    </row>
    <row r="245" spans="1:7" ht="15" customHeight="1">
      <c r="A245" s="88">
        <f>IFERROR(IF(売上入力!A84="","",IF(INDEX(マスター_OTA!$C$4:$C$29,MATCH(売上入力!D84,マスター_OTA!$A$4:$A$29,0))=0,"",DATE(YEAR(売上入力!A84),MONTH(売上入力!A84)+1,IFERROR(INDEX(マスター_OTA!$F$4:$F$29,MATCH(売上入力!D84,マスター_OTA!$A$4:$A$29,0)),25)))),"")</f>
        <v>46336</v>
      </c>
      <c r="B245" s="16" t="str">
        <f>IF(売上入力!B84="","",売上入力!B84)</f>
        <v>リゾート</v>
      </c>
      <c r="C245" s="16" t="str">
        <f>IF(売上入力!C84="","",売上入力!C84)</f>
        <v>フォレストヒルズガーデン</v>
      </c>
      <c r="D245" s="16" t="str">
        <f>IF(売上入力!D84="","",売上入力!D84)</f>
        <v>売上</v>
      </c>
      <c r="E245" s="89">
        <f>IFERROR(IF(売上入力!E84="",0,売上入力!E84*INDEX(マスター_OTA!$C$4:$C$29,MATCH(売上入力!D84,マスター_OTA!$A$4:$A$29,0))/100),0)</f>
        <v>3466374.75</v>
      </c>
      <c r="F245" s="90">
        <f>IF(売上入力!A84="","",売上入力!A84)</f>
        <v>46296</v>
      </c>
      <c r="G245" s="16" t="s">
        <v>385</v>
      </c>
    </row>
    <row r="246" spans="1:7" ht="15" customHeight="1">
      <c r="A246" s="88">
        <f>IFERROR(IF(売上入力!A84="","",IF(INDEX(マスター_OTA!$D$4:$D$29,MATCH(売上入力!D84,マスター_OTA!$A$4:$A$29,0))=0,"",DATE(YEAR(売上入力!A84),MONTH(売上入力!A84)+2,IFERROR(INDEX(マスター_OTA!$G$4:$G$29,MATCH(売上入力!D84,マスター_OTA!$A$4:$A$29,0)),25)))),"")</f>
        <v>46381</v>
      </c>
      <c r="B246" s="16" t="str">
        <f>IF(売上入力!B84="","",売上入力!B84)</f>
        <v>リゾート</v>
      </c>
      <c r="C246" s="16" t="str">
        <f>IF(売上入力!C84="","",売上入力!C84)</f>
        <v>フォレストヒルズガーデン</v>
      </c>
      <c r="D246" s="16" t="str">
        <f>IF(売上入力!D84="","",売上入力!D84)</f>
        <v>売上</v>
      </c>
      <c r="E246" s="89">
        <f>IFERROR(IF(売上入力!E84="",0,売上入力!E84*INDEX(マスター_OTA!$D$4:$D$29,MATCH(売上入力!D84,マスター_OTA!$A$4:$A$29,0))/100),0)</f>
        <v>462183.3</v>
      </c>
      <c r="F246" s="90">
        <f>IF(売上入力!A84="","",売上入力!A84)</f>
        <v>46296</v>
      </c>
      <c r="G246" s="16" t="s">
        <v>386</v>
      </c>
    </row>
    <row r="247" spans="1:7" ht="15" customHeight="1">
      <c r="A247" s="88">
        <f>IFERROR(IF(売上入力!A85="","",IF(INDEX(マスター_OTA!$B$4:$B$29,MATCH(売上入力!D85,マスター_OTA!$A$4:$A$29,0))=0,"",DATE(YEAR(売上入力!A85),MONTH(売上入力!A85),IFERROR(INDEX(マスター_OTA!$E$4:$E$29,MATCH(売上入力!D85,マスター_OTA!$A$4:$A$29,0)),28)))),"")</f>
        <v>46315</v>
      </c>
      <c r="B247" s="16" t="str">
        <f>IF(売上入力!B85="","",売上入力!B85)</f>
        <v>モーテル</v>
      </c>
      <c r="C247" s="16" t="str">
        <f>IF(売上入力!C85="","",売上入力!C85)</f>
        <v>弥山</v>
      </c>
      <c r="D247" s="16" t="str">
        <f>IF(売上入力!D85="","",売上入力!D85)</f>
        <v>ホテル売上</v>
      </c>
      <c r="E247" s="89">
        <f>IFERROR(IF(売上入力!E85="",0,売上入力!E85*INDEX(マスター_OTA!$B$4:$B$29,MATCH(売上入力!D85,マスター_OTA!$A$4:$A$29,0))/100),0)</f>
        <v>1075007.3999999999</v>
      </c>
      <c r="F247" s="90">
        <f>IF(売上入力!A85="","",売上入力!A85)</f>
        <v>46296</v>
      </c>
      <c r="G247" s="16" t="s">
        <v>384</v>
      </c>
    </row>
    <row r="248" spans="1:7" ht="15" customHeight="1">
      <c r="A248" s="88">
        <f>IFERROR(IF(売上入力!A85="","",IF(INDEX(マスター_OTA!$C$4:$C$29,MATCH(売上入力!D85,マスター_OTA!$A$4:$A$29,0))=0,"",DATE(YEAR(売上入力!A85),MONTH(売上入力!A85)+1,IFERROR(INDEX(マスター_OTA!$F$4:$F$29,MATCH(売上入力!D85,マスター_OTA!$A$4:$A$29,0)),25)))),"")</f>
        <v>46336</v>
      </c>
      <c r="B248" s="16" t="str">
        <f>IF(売上入力!B85="","",売上入力!B85)</f>
        <v>モーテル</v>
      </c>
      <c r="C248" s="16" t="str">
        <f>IF(売上入力!C85="","",売上入力!C85)</f>
        <v>弥山</v>
      </c>
      <c r="D248" s="16" t="str">
        <f>IF(売上入力!D85="","",売上入力!D85)</f>
        <v>ホテル売上</v>
      </c>
      <c r="E248" s="89">
        <f>IFERROR(IF(売上入力!E85="",0,売上入力!E85*INDEX(マスター_OTA!$C$4:$C$29,MATCH(売上入力!D85,マスター_OTA!$A$4:$A$29,0))/100),0)</f>
        <v>5375037</v>
      </c>
      <c r="F248" s="90">
        <f>IF(売上入力!A85="","",売上入力!A85)</f>
        <v>46296</v>
      </c>
      <c r="G248" s="16" t="s">
        <v>385</v>
      </c>
    </row>
    <row r="249" spans="1:7" ht="15" customHeight="1">
      <c r="A249" s="88">
        <f>IFERROR(IF(売上入力!A85="","",IF(INDEX(マスター_OTA!$D$4:$D$29,MATCH(売上入力!D85,マスター_OTA!$A$4:$A$29,0))=0,"",DATE(YEAR(売上入力!A85),MONTH(売上入力!A85)+2,IFERROR(INDEX(マスター_OTA!$G$4:$G$29,MATCH(売上入力!D85,マスター_OTA!$A$4:$A$29,0)),25)))),"")</f>
        <v>46381</v>
      </c>
      <c r="B249" s="16" t="str">
        <f>IF(売上入力!B85="","",売上入力!B85)</f>
        <v>モーテル</v>
      </c>
      <c r="C249" s="16" t="str">
        <f>IF(売上入力!C85="","",売上入力!C85)</f>
        <v>弥山</v>
      </c>
      <c r="D249" s="16" t="str">
        <f>IF(売上入力!D85="","",売上入力!D85)</f>
        <v>ホテル売上</v>
      </c>
      <c r="E249" s="89">
        <f>IFERROR(IF(売上入力!E85="",0,売上入力!E85*INDEX(マスター_OTA!$D$4:$D$29,MATCH(売上入力!D85,マスター_OTA!$A$4:$A$29,0))/100),0)</f>
        <v>716671.6</v>
      </c>
      <c r="F249" s="90">
        <f>IF(売上入力!A85="","",売上入力!A85)</f>
        <v>46296</v>
      </c>
      <c r="G249" s="16" t="s">
        <v>386</v>
      </c>
    </row>
    <row r="250" spans="1:7" ht="15" customHeight="1">
      <c r="A250" s="88">
        <f>IFERROR(IF(売上入力!A86="","",IF(INDEX(マスター_OTA!$B$4:$B$29,MATCH(売上入力!D86,マスター_OTA!$A$4:$A$29,0))=0,"",DATE(YEAR(売上入力!A86),MONTH(売上入力!A86),IFERROR(INDEX(マスター_OTA!$E$4:$E$29,MATCH(売上入力!D86,マスター_OTA!$A$4:$A$29,0)),28)))),"")</f>
        <v>46315</v>
      </c>
      <c r="B250" s="16" t="str">
        <f>IF(売上入力!B86="","",売上入力!B86)</f>
        <v>リゾート</v>
      </c>
      <c r="C250" s="16" t="str">
        <f>IF(売上入力!C86="","",売上入力!C86)</f>
        <v>本川</v>
      </c>
      <c r="D250" s="16" t="str">
        <f>IF(売上入力!D86="","",売上入力!D86)</f>
        <v>ホテル売上</v>
      </c>
      <c r="E250" s="89">
        <f>IFERROR(IF(売上入力!E86="",0,売上入力!E86*INDEX(マスター_OTA!$B$4:$B$29,MATCH(売上入力!D86,マスター_OTA!$A$4:$A$29,0))/100),0)</f>
        <v>297274.8</v>
      </c>
      <c r="F250" s="90">
        <f>IF(売上入力!A86="","",売上入力!A86)</f>
        <v>46296</v>
      </c>
      <c r="G250" s="16" t="s">
        <v>384</v>
      </c>
    </row>
    <row r="251" spans="1:7" ht="15" customHeight="1">
      <c r="A251" s="88">
        <f>IFERROR(IF(売上入力!A86="","",IF(INDEX(マスター_OTA!$C$4:$C$29,MATCH(売上入力!D86,マスター_OTA!$A$4:$A$29,0))=0,"",DATE(YEAR(売上入力!A86),MONTH(売上入力!A86)+1,IFERROR(INDEX(マスター_OTA!$F$4:$F$29,MATCH(売上入力!D86,マスター_OTA!$A$4:$A$29,0)),25)))),"")</f>
        <v>46336</v>
      </c>
      <c r="B251" s="16" t="str">
        <f>IF(売上入力!B86="","",売上入力!B86)</f>
        <v>リゾート</v>
      </c>
      <c r="C251" s="16" t="str">
        <f>IF(売上入力!C86="","",売上入力!C86)</f>
        <v>本川</v>
      </c>
      <c r="D251" s="16" t="str">
        <f>IF(売上入力!D86="","",売上入力!D86)</f>
        <v>ホテル売上</v>
      </c>
      <c r="E251" s="89">
        <f>IFERROR(IF(売上入力!E86="",0,売上入力!E86*INDEX(マスター_OTA!$C$4:$C$29,MATCH(売上入力!D86,マスター_OTA!$A$4:$A$29,0))/100),0)</f>
        <v>1486374</v>
      </c>
      <c r="F251" s="90">
        <f>IF(売上入力!A86="","",売上入力!A86)</f>
        <v>46296</v>
      </c>
      <c r="G251" s="16" t="s">
        <v>385</v>
      </c>
    </row>
    <row r="252" spans="1:7" ht="15" customHeight="1">
      <c r="A252" s="88">
        <f>IFERROR(IF(売上入力!A86="","",IF(INDEX(マスター_OTA!$D$4:$D$29,MATCH(売上入力!D86,マスター_OTA!$A$4:$A$29,0))=0,"",DATE(YEAR(売上入力!A86),MONTH(売上入力!A86)+2,IFERROR(INDEX(マスター_OTA!$G$4:$G$29,MATCH(売上入力!D86,マスター_OTA!$A$4:$A$29,0)),25)))),"")</f>
        <v>46381</v>
      </c>
      <c r="B252" s="16" t="str">
        <f>IF(売上入力!B86="","",売上入力!B86)</f>
        <v>リゾート</v>
      </c>
      <c r="C252" s="16" t="str">
        <f>IF(売上入力!C86="","",売上入力!C86)</f>
        <v>本川</v>
      </c>
      <c r="D252" s="16" t="str">
        <f>IF(売上入力!D86="","",売上入力!D86)</f>
        <v>ホテル売上</v>
      </c>
      <c r="E252" s="89">
        <f>IFERROR(IF(売上入力!E86="",0,売上入力!E86*INDEX(マスター_OTA!$D$4:$D$29,MATCH(売上入力!D86,マスター_OTA!$A$4:$A$29,0))/100),0)</f>
        <v>198183.2</v>
      </c>
      <c r="F252" s="90">
        <f>IF(売上入力!A86="","",売上入力!A86)</f>
        <v>46296</v>
      </c>
      <c r="G252" s="16" t="s">
        <v>386</v>
      </c>
    </row>
    <row r="253" spans="1:7" ht="15" customHeight="1">
      <c r="A253" s="88">
        <f>IFERROR(IF(売上入力!A87="","",IF(INDEX(マスター_OTA!$B$4:$B$29,MATCH(売上入力!D87,マスター_OTA!$A$4:$A$29,0))=0,"",DATE(YEAR(売上入力!A87),MONTH(売上入力!A87),IFERROR(INDEX(マスター_OTA!$E$4:$E$29,MATCH(売上入力!D87,マスター_OTA!$A$4:$A$29,0)),28)))),"")</f>
        <v>46315</v>
      </c>
      <c r="B253" s="16" t="str">
        <f>IF(売上入力!B87="","",売上入力!B87)</f>
        <v>リゾート</v>
      </c>
      <c r="C253" s="16" t="str">
        <f>IF(売上入力!C87="","",売上入力!C87)</f>
        <v>温井</v>
      </c>
      <c r="D253" s="16" t="str">
        <f>IF(売上入力!D87="","",売上入力!D87)</f>
        <v>ホテル売上</v>
      </c>
      <c r="E253" s="89">
        <f>IFERROR(IF(売上入力!E87="",0,売上入力!E87*INDEX(マスター_OTA!$B$4:$B$29,MATCH(売上入力!D87,マスター_OTA!$A$4:$A$29,0))/100),0)</f>
        <v>684421.65</v>
      </c>
      <c r="F253" s="90">
        <f>IF(売上入力!A87="","",売上入力!A87)</f>
        <v>46296</v>
      </c>
      <c r="G253" s="16" t="s">
        <v>384</v>
      </c>
    </row>
    <row r="254" spans="1:7" ht="15" customHeight="1">
      <c r="A254" s="88">
        <f>IFERROR(IF(売上入力!A87="","",IF(INDEX(マスター_OTA!$C$4:$C$29,MATCH(売上入力!D87,マスター_OTA!$A$4:$A$29,0))=0,"",DATE(YEAR(売上入力!A87),MONTH(売上入力!A87)+1,IFERROR(INDEX(マスター_OTA!$F$4:$F$29,MATCH(売上入力!D87,マスター_OTA!$A$4:$A$29,0)),25)))),"")</f>
        <v>46336</v>
      </c>
      <c r="B254" s="16" t="str">
        <f>IF(売上入力!B87="","",売上入力!B87)</f>
        <v>リゾート</v>
      </c>
      <c r="C254" s="16" t="str">
        <f>IF(売上入力!C87="","",売上入力!C87)</f>
        <v>温井</v>
      </c>
      <c r="D254" s="16" t="str">
        <f>IF(売上入力!D87="","",売上入力!D87)</f>
        <v>ホテル売上</v>
      </c>
      <c r="E254" s="89">
        <f>IFERROR(IF(売上入力!E87="",0,売上入力!E87*INDEX(マスター_OTA!$C$4:$C$29,MATCH(売上入力!D87,マスター_OTA!$A$4:$A$29,0))/100),0)</f>
        <v>3422108.25</v>
      </c>
      <c r="F254" s="90">
        <f>IF(売上入力!A87="","",売上入力!A87)</f>
        <v>46296</v>
      </c>
      <c r="G254" s="16" t="s">
        <v>385</v>
      </c>
    </row>
    <row r="255" spans="1:7" ht="15" customHeight="1">
      <c r="A255" s="88">
        <f>IFERROR(IF(売上入力!A87="","",IF(INDEX(マスター_OTA!$D$4:$D$29,MATCH(売上入力!D87,マスター_OTA!$A$4:$A$29,0))=0,"",DATE(YEAR(売上入力!A87),MONTH(売上入力!A87)+2,IFERROR(INDEX(マスター_OTA!$G$4:$G$29,MATCH(売上入力!D87,マスター_OTA!$A$4:$A$29,0)),25)))),"")</f>
        <v>46381</v>
      </c>
      <c r="B255" s="16" t="str">
        <f>IF(売上入力!B87="","",売上入力!B87)</f>
        <v>リゾート</v>
      </c>
      <c r="C255" s="16" t="str">
        <f>IF(売上入力!C87="","",売上入力!C87)</f>
        <v>温井</v>
      </c>
      <c r="D255" s="16" t="str">
        <f>IF(売上入力!D87="","",売上入力!D87)</f>
        <v>ホテル売上</v>
      </c>
      <c r="E255" s="89">
        <f>IFERROR(IF(売上入力!E87="",0,売上入力!E87*INDEX(マスター_OTA!$D$4:$D$29,MATCH(売上入力!D87,マスター_OTA!$A$4:$A$29,0))/100),0)</f>
        <v>456281.1</v>
      </c>
      <c r="F255" s="90">
        <f>IF(売上入力!A87="","",売上入力!A87)</f>
        <v>46296</v>
      </c>
      <c r="G255" s="16" t="s">
        <v>386</v>
      </c>
    </row>
    <row r="256" spans="1:7" ht="15" customHeight="1">
      <c r="A256" s="88" t="str">
        <f>IFERROR(IF(売上入力!A88="","",IF(INDEX(マスター_OTA!$B$4:$B$29,MATCH(売上入力!D88,マスター_OTA!$A$4:$A$29,0))=0,"",DATE(YEAR(売上入力!A88),MONTH(売上入力!A88),IFERROR(INDEX(マスター_OTA!$E$4:$E$29,MATCH(売上入力!D88,マスター_OTA!$A$4:$A$29,0)),28)))),"")</f>
        <v/>
      </c>
      <c r="B256" s="16" t="str">
        <f>IF(売上入力!B88="","",売上入力!B88)</f>
        <v>リゾート</v>
      </c>
      <c r="C256" s="16" t="str">
        <f>IF(売上入力!C88="","",売上入力!C88)</f>
        <v>竹原（ﾚｽﾄﾗﾝ含む）</v>
      </c>
      <c r="D256" s="16" t="str">
        <f>IF(売上入力!D88="","",売上入力!D88)</f>
        <v>竹原市</v>
      </c>
      <c r="E256" s="89">
        <f>IFERROR(IF(売上入力!E88="",0,売上入力!E88*INDEX(マスター_OTA!$B$4:$B$29,MATCH(売上入力!D88,マスター_OTA!$A$4:$A$29,0))/100),0)</f>
        <v>0</v>
      </c>
      <c r="F256" s="90">
        <f>IF(売上入力!A88="","",売上入力!A88)</f>
        <v>46296</v>
      </c>
      <c r="G256" s="16" t="s">
        <v>384</v>
      </c>
    </row>
    <row r="257" spans="1:7" ht="15" customHeight="1">
      <c r="A257" s="88">
        <f>IFERROR(IF(売上入力!A88="","",IF(INDEX(マスター_OTA!$C$4:$C$29,MATCH(売上入力!D88,マスター_OTA!$A$4:$A$29,0))=0,"",DATE(YEAR(売上入力!A88),MONTH(売上入力!A88)+1,IFERROR(INDEX(マスター_OTA!$F$4:$F$29,MATCH(売上入力!D88,マスター_OTA!$A$4:$A$29,0)),25)))),"")</f>
        <v>46341</v>
      </c>
      <c r="B257" s="16" t="str">
        <f>IF(売上入力!B88="","",売上入力!B88)</f>
        <v>リゾート</v>
      </c>
      <c r="C257" s="16" t="str">
        <f>IF(売上入力!C88="","",売上入力!C88)</f>
        <v>竹原（ﾚｽﾄﾗﾝ含む）</v>
      </c>
      <c r="D257" s="16" t="str">
        <f>IF(売上入力!D88="","",売上入力!D88)</f>
        <v>竹原市</v>
      </c>
      <c r="E257" s="89">
        <f>IFERROR(IF(売上入力!E88="",0,売上入力!E88*INDEX(マスター_OTA!$C$4:$C$29,MATCH(売上入力!D88,マスター_OTA!$A$4:$A$29,0))/100),0)</f>
        <v>683000</v>
      </c>
      <c r="F257" s="90">
        <f>IF(売上入力!A88="","",売上入力!A88)</f>
        <v>46296</v>
      </c>
      <c r="G257" s="16" t="s">
        <v>385</v>
      </c>
    </row>
    <row r="258" spans="1:7" ht="15" customHeight="1">
      <c r="A258" s="88" t="str">
        <f>IFERROR(IF(売上入力!A88="","",IF(INDEX(マスター_OTA!$D$4:$D$29,MATCH(売上入力!D88,マスター_OTA!$A$4:$A$29,0))=0,"",DATE(YEAR(売上入力!A88),MONTH(売上入力!A88)+2,IFERROR(INDEX(マスター_OTA!$G$4:$G$29,MATCH(売上入力!D88,マスター_OTA!$A$4:$A$29,0)),25)))),"")</f>
        <v/>
      </c>
      <c r="B258" s="16" t="str">
        <f>IF(売上入力!B88="","",売上入力!B88)</f>
        <v>リゾート</v>
      </c>
      <c r="C258" s="16" t="str">
        <f>IF(売上入力!C88="","",売上入力!C88)</f>
        <v>竹原（ﾚｽﾄﾗﾝ含む）</v>
      </c>
      <c r="D258" s="16" t="str">
        <f>IF(売上入力!D88="","",売上入力!D88)</f>
        <v>竹原市</v>
      </c>
      <c r="E258" s="89">
        <f>IFERROR(IF(売上入力!E88="",0,売上入力!E88*INDEX(マスター_OTA!$D$4:$D$29,MATCH(売上入力!D88,マスター_OTA!$A$4:$A$29,0))/100),0)</f>
        <v>0</v>
      </c>
      <c r="F258" s="90">
        <f>IF(売上入力!A88="","",売上入力!A88)</f>
        <v>46296</v>
      </c>
      <c r="G258" s="16" t="s">
        <v>386</v>
      </c>
    </row>
    <row r="259" spans="1:7" ht="15" customHeight="1">
      <c r="A259" s="88">
        <f>IFERROR(IF(売上入力!A89="","",IF(INDEX(マスター_OTA!$B$4:$B$29,MATCH(売上入力!D89,マスター_OTA!$A$4:$A$29,0))=0,"",DATE(YEAR(売上入力!A89),MONTH(売上入力!A89),IFERROR(INDEX(マスター_OTA!$E$4:$E$29,MATCH(売上入力!D89,マスター_OTA!$A$4:$A$29,0)),28)))),"")</f>
        <v>46346</v>
      </c>
      <c r="B259" s="16" t="str">
        <f>IF(売上入力!B89="","",売上入力!B89)</f>
        <v>リゾート</v>
      </c>
      <c r="C259" s="16" t="str">
        <f>IF(売上入力!C89="","",売上入力!C89)</f>
        <v>de Lune</v>
      </c>
      <c r="D259" s="16" t="str">
        <f>IF(売上入力!D89="","",売上入力!D89)</f>
        <v>ホテル売上</v>
      </c>
      <c r="E259" s="89">
        <f>IFERROR(IF(売上入力!E89="",0,売上入力!E89*INDEX(マスター_OTA!$B$4:$B$29,MATCH(売上入力!D89,マスター_OTA!$A$4:$A$29,0))/100),0)</f>
        <v>1569101.25</v>
      </c>
      <c r="F259" s="90">
        <f>IF(売上入力!A89="","",売上入力!A89)</f>
        <v>46327</v>
      </c>
      <c r="G259" s="16" t="s">
        <v>384</v>
      </c>
    </row>
    <row r="260" spans="1:7" ht="15" customHeight="1">
      <c r="A260" s="88">
        <f>IFERROR(IF(売上入力!A89="","",IF(INDEX(マスター_OTA!$C$4:$C$29,MATCH(売上入力!D89,マスター_OTA!$A$4:$A$29,0))=0,"",DATE(YEAR(売上入力!A89),MONTH(売上入力!A89)+1,IFERROR(INDEX(マスター_OTA!$F$4:$F$29,MATCH(売上入力!D89,マスター_OTA!$A$4:$A$29,0)),25)))),"")</f>
        <v>46366</v>
      </c>
      <c r="B260" s="16" t="str">
        <f>IF(売上入力!B89="","",売上入力!B89)</f>
        <v>リゾート</v>
      </c>
      <c r="C260" s="16" t="str">
        <f>IF(売上入力!C89="","",売上入力!C89)</f>
        <v>de Lune</v>
      </c>
      <c r="D260" s="16" t="str">
        <f>IF(売上入力!D89="","",売上入力!D89)</f>
        <v>ホテル売上</v>
      </c>
      <c r="E260" s="89">
        <f>IFERROR(IF(売上入力!E89="",0,売上入力!E89*INDEX(マスター_OTA!$C$4:$C$29,MATCH(売上入力!D89,マスター_OTA!$A$4:$A$29,0))/100),0)</f>
        <v>7845506.25</v>
      </c>
      <c r="F260" s="90">
        <f>IF(売上入力!A89="","",売上入力!A89)</f>
        <v>46327</v>
      </c>
      <c r="G260" s="16" t="s">
        <v>385</v>
      </c>
    </row>
    <row r="261" spans="1:7" ht="15" customHeight="1">
      <c r="A261" s="88">
        <f>IFERROR(IF(売上入力!A89="","",IF(INDEX(マスター_OTA!$D$4:$D$29,MATCH(売上入力!D89,マスター_OTA!$A$4:$A$29,0))=0,"",DATE(YEAR(売上入力!A89),MONTH(売上入力!A89)+2,IFERROR(INDEX(マスター_OTA!$G$4:$G$29,MATCH(売上入力!D89,マスター_OTA!$A$4:$A$29,0)),25)))),"")</f>
        <v>46412</v>
      </c>
      <c r="B261" s="16" t="str">
        <f>IF(売上入力!B89="","",売上入力!B89)</f>
        <v>リゾート</v>
      </c>
      <c r="C261" s="16" t="str">
        <f>IF(売上入力!C89="","",売上入力!C89)</f>
        <v>de Lune</v>
      </c>
      <c r="D261" s="16" t="str">
        <f>IF(売上入力!D89="","",売上入力!D89)</f>
        <v>ホテル売上</v>
      </c>
      <c r="E261" s="89">
        <f>IFERROR(IF(売上入力!E89="",0,売上入力!E89*INDEX(マスター_OTA!$D$4:$D$29,MATCH(売上入力!D89,マスター_OTA!$A$4:$A$29,0))/100),0)</f>
        <v>1046067.5</v>
      </c>
      <c r="F261" s="90">
        <f>IF(売上入力!A89="","",売上入力!A89)</f>
        <v>46327</v>
      </c>
      <c r="G261" s="16" t="s">
        <v>386</v>
      </c>
    </row>
    <row r="262" spans="1:7" ht="15" customHeight="1">
      <c r="A262" s="88">
        <f>IFERROR(IF(売上入力!A90="","",IF(INDEX(マスター_OTA!$B$4:$B$29,MATCH(売上入力!D90,マスター_OTA!$A$4:$A$29,0))=0,"",DATE(YEAR(売上入力!A90),MONTH(売上入力!A90),IFERROR(INDEX(マスター_OTA!$E$4:$E$29,MATCH(売上入力!D90,マスター_OTA!$A$4:$A$29,0)),28)))),"")</f>
        <v>46346</v>
      </c>
      <c r="B262" s="16" t="str">
        <f>IF(売上入力!B90="","",売上入力!B90)</f>
        <v>リゾート</v>
      </c>
      <c r="C262" s="16" t="str">
        <f>IF(売上入力!C90="","",売上入力!C90)</f>
        <v>グリーンシャワー</v>
      </c>
      <c r="D262" s="16" t="str">
        <f>IF(売上入力!D90="","",売上入力!D90)</f>
        <v>売上</v>
      </c>
      <c r="E262" s="89">
        <f>IFERROR(IF(売上入力!E90="",0,売上入力!E90*INDEX(マスター_OTA!$B$4:$B$29,MATCH(売上入力!D90,マスター_OTA!$A$4:$A$29,0))/100),0)</f>
        <v>142069.20000000001</v>
      </c>
      <c r="F262" s="90">
        <f>IF(売上入力!A90="","",売上入力!A90)</f>
        <v>46327</v>
      </c>
      <c r="G262" s="16" t="s">
        <v>384</v>
      </c>
    </row>
    <row r="263" spans="1:7" ht="15" customHeight="1">
      <c r="A263" s="88">
        <f>IFERROR(IF(売上入力!A90="","",IF(INDEX(マスター_OTA!$C$4:$C$29,MATCH(売上入力!D90,マスター_OTA!$A$4:$A$29,0))=0,"",DATE(YEAR(売上入力!A90),MONTH(売上入力!A90)+1,IFERROR(INDEX(マスター_OTA!$F$4:$F$29,MATCH(売上入力!D90,マスター_OTA!$A$4:$A$29,0)),25)))),"")</f>
        <v>46366</v>
      </c>
      <c r="B263" s="16" t="str">
        <f>IF(売上入力!B90="","",売上入力!B90)</f>
        <v>リゾート</v>
      </c>
      <c r="C263" s="16" t="str">
        <f>IF(売上入力!C90="","",売上入力!C90)</f>
        <v>グリーンシャワー</v>
      </c>
      <c r="D263" s="16" t="str">
        <f>IF(売上入力!D90="","",売上入力!D90)</f>
        <v>売上</v>
      </c>
      <c r="E263" s="89">
        <f>IFERROR(IF(売上入力!E90="",0,売上入力!E90*INDEX(マスター_OTA!$C$4:$C$29,MATCH(売上入力!D90,マスター_OTA!$A$4:$A$29,0))/100),0)</f>
        <v>710346</v>
      </c>
      <c r="F263" s="90">
        <f>IF(売上入力!A90="","",売上入力!A90)</f>
        <v>46327</v>
      </c>
      <c r="G263" s="16" t="s">
        <v>385</v>
      </c>
    </row>
    <row r="264" spans="1:7" ht="15" customHeight="1">
      <c r="A264" s="88">
        <f>IFERROR(IF(売上入力!A90="","",IF(INDEX(マスター_OTA!$D$4:$D$29,MATCH(売上入力!D90,マスター_OTA!$A$4:$A$29,0))=0,"",DATE(YEAR(売上入力!A90),MONTH(売上入力!A90)+2,IFERROR(INDEX(マスター_OTA!$G$4:$G$29,MATCH(売上入力!D90,マスター_OTA!$A$4:$A$29,0)),25)))),"")</f>
        <v>46412</v>
      </c>
      <c r="B264" s="16" t="str">
        <f>IF(売上入力!B90="","",売上入力!B90)</f>
        <v>リゾート</v>
      </c>
      <c r="C264" s="16" t="str">
        <f>IF(売上入力!C90="","",売上入力!C90)</f>
        <v>グリーンシャワー</v>
      </c>
      <c r="D264" s="16" t="str">
        <f>IF(売上入力!D90="","",売上入力!D90)</f>
        <v>売上</v>
      </c>
      <c r="E264" s="89">
        <f>IFERROR(IF(売上入力!E90="",0,売上入力!E90*INDEX(マスター_OTA!$D$4:$D$29,MATCH(売上入力!D90,マスター_OTA!$A$4:$A$29,0))/100),0)</f>
        <v>94712.8</v>
      </c>
      <c r="F264" s="90">
        <f>IF(売上入力!A90="","",売上入力!A90)</f>
        <v>46327</v>
      </c>
      <c r="G264" s="16" t="s">
        <v>386</v>
      </c>
    </row>
    <row r="265" spans="1:7" ht="15" customHeight="1">
      <c r="A265" s="88">
        <f>IFERROR(IF(売上入力!A91="","",IF(INDEX(マスター_OTA!$B$4:$B$29,MATCH(売上入力!D91,マスター_OTA!$A$4:$A$29,0))=0,"",DATE(YEAR(売上入力!A91),MONTH(売上入力!A91),IFERROR(INDEX(マスター_OTA!$E$4:$E$29,MATCH(売上入力!D91,マスター_OTA!$A$4:$A$29,0)),28)))),"")</f>
        <v>46346</v>
      </c>
      <c r="B265" s="16" t="str">
        <f>IF(売上入力!B91="","",売上入力!B91)</f>
        <v>リゾート</v>
      </c>
      <c r="C265" s="16" t="str">
        <f>IF(売上入力!C91="","",売上入力!C91)</f>
        <v>フォレストヒルズガーデン</v>
      </c>
      <c r="D265" s="16" t="str">
        <f>IF(売上入力!D91="","",売上入力!D91)</f>
        <v>売上</v>
      </c>
      <c r="E265" s="89">
        <f>IFERROR(IF(売上入力!E91="",0,売上入力!E91*INDEX(マスター_OTA!$B$4:$B$29,MATCH(売上入力!D91,マスター_OTA!$A$4:$A$29,0))/100),0)</f>
        <v>704524.95</v>
      </c>
      <c r="F265" s="90">
        <f>IF(売上入力!A91="","",売上入力!A91)</f>
        <v>46327</v>
      </c>
      <c r="G265" s="16" t="s">
        <v>384</v>
      </c>
    </row>
    <row r="266" spans="1:7" ht="15" customHeight="1">
      <c r="A266" s="88">
        <f>IFERROR(IF(売上入力!A91="","",IF(INDEX(マスター_OTA!$C$4:$C$29,MATCH(売上入力!D91,マスター_OTA!$A$4:$A$29,0))=0,"",DATE(YEAR(売上入力!A91),MONTH(売上入力!A91)+1,IFERROR(INDEX(マスター_OTA!$F$4:$F$29,MATCH(売上入力!D91,マスター_OTA!$A$4:$A$29,0)),25)))),"")</f>
        <v>46366</v>
      </c>
      <c r="B266" s="16" t="str">
        <f>IF(売上入力!B91="","",売上入力!B91)</f>
        <v>リゾート</v>
      </c>
      <c r="C266" s="16" t="str">
        <f>IF(売上入力!C91="","",売上入力!C91)</f>
        <v>フォレストヒルズガーデン</v>
      </c>
      <c r="D266" s="16" t="str">
        <f>IF(売上入力!D91="","",売上入力!D91)</f>
        <v>売上</v>
      </c>
      <c r="E266" s="89">
        <f>IFERROR(IF(売上入力!E91="",0,売上入力!E91*INDEX(マスター_OTA!$C$4:$C$29,MATCH(売上入力!D91,マスター_OTA!$A$4:$A$29,0))/100),0)</f>
        <v>3522624.75</v>
      </c>
      <c r="F266" s="90">
        <f>IF(売上入力!A91="","",売上入力!A91)</f>
        <v>46327</v>
      </c>
      <c r="G266" s="16" t="s">
        <v>385</v>
      </c>
    </row>
    <row r="267" spans="1:7" ht="15" customHeight="1">
      <c r="A267" s="88">
        <f>IFERROR(IF(売上入力!A91="","",IF(INDEX(マスター_OTA!$D$4:$D$29,MATCH(売上入力!D91,マスター_OTA!$A$4:$A$29,0))=0,"",DATE(YEAR(売上入力!A91),MONTH(売上入力!A91)+2,IFERROR(INDEX(マスター_OTA!$G$4:$G$29,MATCH(売上入力!D91,マスター_OTA!$A$4:$A$29,0)),25)))),"")</f>
        <v>46412</v>
      </c>
      <c r="B267" s="16" t="str">
        <f>IF(売上入力!B91="","",売上入力!B91)</f>
        <v>リゾート</v>
      </c>
      <c r="C267" s="16" t="str">
        <f>IF(売上入力!C91="","",売上入力!C91)</f>
        <v>フォレストヒルズガーデン</v>
      </c>
      <c r="D267" s="16" t="str">
        <f>IF(売上入力!D91="","",売上入力!D91)</f>
        <v>売上</v>
      </c>
      <c r="E267" s="89">
        <f>IFERROR(IF(売上入力!E91="",0,売上入力!E91*INDEX(マスター_OTA!$D$4:$D$29,MATCH(売上入力!D91,マスター_OTA!$A$4:$A$29,0))/100),0)</f>
        <v>469683.3</v>
      </c>
      <c r="F267" s="90">
        <f>IF(売上入力!A91="","",売上入力!A91)</f>
        <v>46327</v>
      </c>
      <c r="G267" s="16" t="s">
        <v>386</v>
      </c>
    </row>
    <row r="268" spans="1:7" ht="15" customHeight="1">
      <c r="A268" s="88">
        <f>IFERROR(IF(売上入力!A92="","",IF(INDEX(マスター_OTA!$B$4:$B$29,MATCH(売上入力!D92,マスター_OTA!$A$4:$A$29,0))=0,"",DATE(YEAR(売上入力!A92),MONTH(売上入力!A92),IFERROR(INDEX(マスター_OTA!$E$4:$E$29,MATCH(売上入力!D92,マスター_OTA!$A$4:$A$29,0)),28)))),"")</f>
        <v>46346</v>
      </c>
      <c r="B268" s="16" t="str">
        <f>IF(売上入力!B92="","",売上入力!B92)</f>
        <v>モーテル</v>
      </c>
      <c r="C268" s="16" t="str">
        <f>IF(売上入力!C92="","",売上入力!C92)</f>
        <v>弥山</v>
      </c>
      <c r="D268" s="16" t="str">
        <f>IF(売上入力!D92="","",売上入力!D92)</f>
        <v>ホテル売上</v>
      </c>
      <c r="E268" s="89">
        <f>IFERROR(IF(売上入力!E92="",0,売上入力!E92*INDEX(マスター_OTA!$B$4:$B$29,MATCH(売上入力!D92,マスター_OTA!$A$4:$A$29,0))/100),0)</f>
        <v>1003464</v>
      </c>
      <c r="F268" s="90">
        <f>IF(売上入力!A92="","",売上入力!A92)</f>
        <v>46327</v>
      </c>
      <c r="G268" s="16" t="s">
        <v>384</v>
      </c>
    </row>
    <row r="269" spans="1:7" ht="15" customHeight="1">
      <c r="A269" s="88">
        <f>IFERROR(IF(売上入力!A92="","",IF(INDEX(マスター_OTA!$C$4:$C$29,MATCH(売上入力!D92,マスター_OTA!$A$4:$A$29,0))=0,"",DATE(YEAR(売上入力!A92),MONTH(売上入力!A92)+1,IFERROR(INDEX(マスター_OTA!$F$4:$F$29,MATCH(売上入力!D92,マスター_OTA!$A$4:$A$29,0)),25)))),"")</f>
        <v>46366</v>
      </c>
      <c r="B269" s="16" t="str">
        <f>IF(売上入力!B92="","",売上入力!B92)</f>
        <v>モーテル</v>
      </c>
      <c r="C269" s="16" t="str">
        <f>IF(売上入力!C92="","",売上入力!C92)</f>
        <v>弥山</v>
      </c>
      <c r="D269" s="16" t="str">
        <f>IF(売上入力!D92="","",売上入力!D92)</f>
        <v>ホテル売上</v>
      </c>
      <c r="E269" s="89">
        <f>IFERROR(IF(売上入力!E92="",0,売上入力!E92*INDEX(マスター_OTA!$C$4:$C$29,MATCH(売上入力!D92,マスター_OTA!$A$4:$A$29,0))/100),0)</f>
        <v>5017320</v>
      </c>
      <c r="F269" s="90">
        <f>IF(売上入力!A92="","",売上入力!A92)</f>
        <v>46327</v>
      </c>
      <c r="G269" s="16" t="s">
        <v>385</v>
      </c>
    </row>
    <row r="270" spans="1:7" ht="15" customHeight="1">
      <c r="A270" s="88">
        <f>IFERROR(IF(売上入力!A92="","",IF(INDEX(マスター_OTA!$D$4:$D$29,MATCH(売上入力!D92,マスター_OTA!$A$4:$A$29,0))=0,"",DATE(YEAR(売上入力!A92),MONTH(売上入力!A92)+2,IFERROR(INDEX(マスター_OTA!$G$4:$G$29,MATCH(売上入力!D92,マスター_OTA!$A$4:$A$29,0)),25)))),"")</f>
        <v>46412</v>
      </c>
      <c r="B270" s="16" t="str">
        <f>IF(売上入力!B92="","",売上入力!B92)</f>
        <v>モーテル</v>
      </c>
      <c r="C270" s="16" t="str">
        <f>IF(売上入力!C92="","",売上入力!C92)</f>
        <v>弥山</v>
      </c>
      <c r="D270" s="16" t="str">
        <f>IF(売上入力!D92="","",売上入力!D92)</f>
        <v>ホテル売上</v>
      </c>
      <c r="E270" s="89">
        <f>IFERROR(IF(売上入力!E92="",0,売上入力!E92*INDEX(マスター_OTA!$D$4:$D$29,MATCH(売上入力!D92,マスター_OTA!$A$4:$A$29,0))/100),0)</f>
        <v>668976</v>
      </c>
      <c r="F270" s="90">
        <f>IF(売上入力!A92="","",売上入力!A92)</f>
        <v>46327</v>
      </c>
      <c r="G270" s="16" t="s">
        <v>386</v>
      </c>
    </row>
    <row r="271" spans="1:7" ht="15" customHeight="1">
      <c r="A271" s="88" t="str">
        <f>IFERROR(IF(売上入力!A93="","",IF(INDEX(マスター_OTA!$B$4:$B$29,MATCH(売上入力!D93,マスター_OTA!$A$4:$A$29,0))=0,"",DATE(YEAR(売上入力!A93),MONTH(売上入力!A93),IFERROR(INDEX(マスター_OTA!$E$4:$E$29,MATCH(売上入力!D93,マスター_OTA!$A$4:$A$29,0)),28)))),"")</f>
        <v/>
      </c>
      <c r="B271" s="16" t="str">
        <f>IF(売上入力!B93="","",売上入力!B93)</f>
        <v>リゾート</v>
      </c>
      <c r="C271" s="16" t="str">
        <f>IF(売上入力!C93="","",売上入力!C93)</f>
        <v>竹原（ﾚｽﾄﾗﾝ含む）</v>
      </c>
      <c r="D271" s="16" t="str">
        <f>IF(売上入力!D93="","",売上入力!D93)</f>
        <v>竹原市</v>
      </c>
      <c r="E271" s="89">
        <f>IFERROR(IF(売上入力!E93="",0,売上入力!E93*INDEX(マスター_OTA!$B$4:$B$29,MATCH(売上入力!D93,マスター_OTA!$A$4:$A$29,0))/100),0)</f>
        <v>0</v>
      </c>
      <c r="F271" s="90">
        <f>IF(売上入力!A93="","",売上入力!A93)</f>
        <v>46327</v>
      </c>
      <c r="G271" s="16" t="s">
        <v>384</v>
      </c>
    </row>
    <row r="272" spans="1:7" ht="15" customHeight="1">
      <c r="A272" s="88">
        <f>IFERROR(IF(売上入力!A93="","",IF(INDEX(マスター_OTA!$C$4:$C$29,MATCH(売上入力!D93,マスター_OTA!$A$4:$A$29,0))=0,"",DATE(YEAR(売上入力!A93),MONTH(売上入力!A93)+1,IFERROR(INDEX(マスター_OTA!$F$4:$F$29,MATCH(売上入力!D93,マスター_OTA!$A$4:$A$29,0)),25)))),"")</f>
        <v>46371</v>
      </c>
      <c r="B272" s="16" t="str">
        <f>IF(売上入力!B93="","",売上入力!B93)</f>
        <v>リゾート</v>
      </c>
      <c r="C272" s="16" t="str">
        <f>IF(売上入力!C93="","",売上入力!C93)</f>
        <v>竹原（ﾚｽﾄﾗﾝ含む）</v>
      </c>
      <c r="D272" s="16" t="str">
        <f>IF(売上入力!D93="","",売上入力!D93)</f>
        <v>竹原市</v>
      </c>
      <c r="E272" s="89">
        <f>IFERROR(IF(売上入力!E93="",0,売上入力!E93*INDEX(マスター_OTA!$C$4:$C$29,MATCH(売上入力!D93,マスター_OTA!$A$4:$A$29,0))/100),0)</f>
        <v>683000</v>
      </c>
      <c r="F272" s="90">
        <f>IF(売上入力!A93="","",売上入力!A93)</f>
        <v>46327</v>
      </c>
      <c r="G272" s="16" t="s">
        <v>385</v>
      </c>
    </row>
    <row r="273" spans="1:7" ht="15" customHeight="1">
      <c r="A273" s="88" t="str">
        <f>IFERROR(IF(売上入力!A93="","",IF(INDEX(マスター_OTA!$D$4:$D$29,MATCH(売上入力!D93,マスター_OTA!$A$4:$A$29,0))=0,"",DATE(YEAR(売上入力!A93),MONTH(売上入力!A93)+2,IFERROR(INDEX(マスター_OTA!$G$4:$G$29,MATCH(売上入力!D93,マスター_OTA!$A$4:$A$29,0)),25)))),"")</f>
        <v/>
      </c>
      <c r="B273" s="16" t="str">
        <f>IF(売上入力!B93="","",売上入力!B93)</f>
        <v>リゾート</v>
      </c>
      <c r="C273" s="16" t="str">
        <f>IF(売上入力!C93="","",売上入力!C93)</f>
        <v>竹原（ﾚｽﾄﾗﾝ含む）</v>
      </c>
      <c r="D273" s="16" t="str">
        <f>IF(売上入力!D93="","",売上入力!D93)</f>
        <v>竹原市</v>
      </c>
      <c r="E273" s="89">
        <f>IFERROR(IF(売上入力!E93="",0,売上入力!E93*INDEX(マスター_OTA!$D$4:$D$29,MATCH(売上入力!D93,マスター_OTA!$A$4:$A$29,0))/100),0)</f>
        <v>0</v>
      </c>
      <c r="F273" s="90">
        <f>IF(売上入力!A93="","",売上入力!A93)</f>
        <v>46327</v>
      </c>
      <c r="G273" s="16" t="s">
        <v>386</v>
      </c>
    </row>
    <row r="274" spans="1:7" ht="15" customHeight="1">
      <c r="A274" s="88">
        <f>IFERROR(IF(売上入力!A94="","",IF(INDEX(マスター_OTA!$B$4:$B$29,MATCH(売上入力!D94,マスター_OTA!$A$4:$A$29,0))=0,"",DATE(YEAR(売上入力!A94),MONTH(売上入力!A94),IFERROR(INDEX(マスター_OTA!$E$4:$E$29,MATCH(売上入力!D94,マスター_OTA!$A$4:$A$29,0)),28)))),"")</f>
        <v>46376</v>
      </c>
      <c r="B274" s="16" t="str">
        <f>IF(売上入力!B94="","",売上入力!B94)</f>
        <v>リゾート</v>
      </c>
      <c r="C274" s="16" t="str">
        <f>IF(売上入力!C94="","",売上入力!C94)</f>
        <v>de Lune</v>
      </c>
      <c r="D274" s="16" t="str">
        <f>IF(売上入力!D94="","",売上入力!D94)</f>
        <v>ホテル売上</v>
      </c>
      <c r="E274" s="89">
        <f>IFERROR(IF(売上入力!E94="",0,売上入力!E94*INDEX(マスター_OTA!$B$4:$B$29,MATCH(売上入力!D94,マスター_OTA!$A$4:$A$29,0))/100),0)</f>
        <v>819714.75</v>
      </c>
      <c r="F274" s="90">
        <f>IF(売上入力!A94="","",売上入力!A94)</f>
        <v>46357</v>
      </c>
      <c r="G274" s="16" t="s">
        <v>384</v>
      </c>
    </row>
    <row r="275" spans="1:7" ht="15" customHeight="1">
      <c r="A275" s="88">
        <f>IFERROR(IF(売上入力!A94="","",IF(INDEX(マスター_OTA!$C$4:$C$29,MATCH(売上入力!D94,マスター_OTA!$A$4:$A$29,0))=0,"",DATE(YEAR(売上入力!A94),MONTH(売上入力!A94)+1,IFERROR(INDEX(マスター_OTA!$F$4:$F$29,MATCH(売上入力!D94,マスター_OTA!$A$4:$A$29,0)),25)))),"")</f>
        <v>46397</v>
      </c>
      <c r="B275" s="16" t="str">
        <f>IF(売上入力!B94="","",売上入力!B94)</f>
        <v>リゾート</v>
      </c>
      <c r="C275" s="16" t="str">
        <f>IF(売上入力!C94="","",売上入力!C94)</f>
        <v>de Lune</v>
      </c>
      <c r="D275" s="16" t="str">
        <f>IF(売上入力!D94="","",売上入力!D94)</f>
        <v>ホテル売上</v>
      </c>
      <c r="E275" s="89">
        <f>IFERROR(IF(売上入力!E94="",0,売上入力!E94*INDEX(マスター_OTA!$C$4:$C$29,MATCH(売上入力!D94,マスター_OTA!$A$4:$A$29,0))/100),0)</f>
        <v>4098573.75</v>
      </c>
      <c r="F275" s="90">
        <f>IF(売上入力!A94="","",売上入力!A94)</f>
        <v>46357</v>
      </c>
      <c r="G275" s="16" t="s">
        <v>385</v>
      </c>
    </row>
    <row r="276" spans="1:7" ht="15" customHeight="1">
      <c r="A276" s="88">
        <f>IFERROR(IF(売上入力!A94="","",IF(INDEX(マスター_OTA!$D$4:$D$29,MATCH(売上入力!D94,マスター_OTA!$A$4:$A$29,0))=0,"",DATE(YEAR(売上入力!A94),MONTH(売上入力!A94)+2,IFERROR(INDEX(マスター_OTA!$G$4:$G$29,MATCH(売上入力!D94,マスター_OTA!$A$4:$A$29,0)),25)))),"")</f>
        <v>46443</v>
      </c>
      <c r="B276" s="16" t="str">
        <f>IF(売上入力!B94="","",売上入力!B94)</f>
        <v>リゾート</v>
      </c>
      <c r="C276" s="16" t="str">
        <f>IF(売上入力!C94="","",売上入力!C94)</f>
        <v>de Lune</v>
      </c>
      <c r="D276" s="16" t="str">
        <f>IF(売上入力!D94="","",売上入力!D94)</f>
        <v>ホテル売上</v>
      </c>
      <c r="E276" s="89">
        <f>IFERROR(IF(売上入力!E94="",0,売上入力!E94*INDEX(マスター_OTA!$D$4:$D$29,MATCH(売上入力!D94,マスター_OTA!$A$4:$A$29,0))/100),0)</f>
        <v>546476.5</v>
      </c>
      <c r="F276" s="90">
        <f>IF(売上入力!A94="","",売上入力!A94)</f>
        <v>46357</v>
      </c>
      <c r="G276" s="16" t="s">
        <v>386</v>
      </c>
    </row>
    <row r="277" spans="1:7" ht="15" customHeight="1">
      <c r="A277" s="88">
        <f>IFERROR(IF(売上入力!A95="","",IF(INDEX(マスター_OTA!$B$4:$B$29,MATCH(売上入力!D95,マスター_OTA!$A$4:$A$29,0))=0,"",DATE(YEAR(売上入力!A95),MONTH(売上入力!A95),IFERROR(INDEX(マスター_OTA!$E$4:$E$29,MATCH(売上入力!D95,マスター_OTA!$A$4:$A$29,0)),28)))),"")</f>
        <v>46376</v>
      </c>
      <c r="B277" s="16" t="str">
        <f>IF(売上入力!B95="","",売上入力!B95)</f>
        <v>リゾート</v>
      </c>
      <c r="C277" s="16" t="str">
        <f>IF(売上入力!C95="","",売上入力!C95)</f>
        <v>グリーンシャワー</v>
      </c>
      <c r="D277" s="16" t="str">
        <f>IF(売上入力!D95="","",売上入力!D95)</f>
        <v>売上</v>
      </c>
      <c r="E277" s="89">
        <f>IFERROR(IF(売上入力!E95="",0,売上入力!E95*INDEX(マスター_OTA!$B$4:$B$29,MATCH(売上入力!D95,マスター_OTA!$A$4:$A$29,0))/100),0)</f>
        <v>37337.550000000003</v>
      </c>
      <c r="F277" s="90">
        <f>IF(売上入力!A95="","",売上入力!A95)</f>
        <v>46357</v>
      </c>
      <c r="G277" s="16" t="s">
        <v>384</v>
      </c>
    </row>
    <row r="278" spans="1:7" ht="15" customHeight="1">
      <c r="A278" s="88">
        <f>IFERROR(IF(売上入力!A95="","",IF(INDEX(マスター_OTA!$C$4:$C$29,MATCH(売上入力!D95,マスター_OTA!$A$4:$A$29,0))=0,"",DATE(YEAR(売上入力!A95),MONTH(売上入力!A95)+1,IFERROR(INDEX(マスター_OTA!$F$4:$F$29,MATCH(売上入力!D95,マスター_OTA!$A$4:$A$29,0)),25)))),"")</f>
        <v>46397</v>
      </c>
      <c r="B278" s="16" t="str">
        <f>IF(売上入力!B95="","",売上入力!B95)</f>
        <v>リゾート</v>
      </c>
      <c r="C278" s="16" t="str">
        <f>IF(売上入力!C95="","",売上入力!C95)</f>
        <v>グリーンシャワー</v>
      </c>
      <c r="D278" s="16" t="str">
        <f>IF(売上入力!D95="","",売上入力!D95)</f>
        <v>売上</v>
      </c>
      <c r="E278" s="89">
        <f>IFERROR(IF(売上入力!E95="",0,売上入力!E95*INDEX(マスター_OTA!$C$4:$C$29,MATCH(売上入力!D95,マスター_OTA!$A$4:$A$29,0))/100),0)</f>
        <v>186687.75</v>
      </c>
      <c r="F278" s="90">
        <f>IF(売上入力!A95="","",売上入力!A95)</f>
        <v>46357</v>
      </c>
      <c r="G278" s="16" t="s">
        <v>385</v>
      </c>
    </row>
    <row r="279" spans="1:7" ht="15" customHeight="1">
      <c r="A279" s="88">
        <f>IFERROR(IF(売上入力!A95="","",IF(INDEX(マスター_OTA!$D$4:$D$29,MATCH(売上入力!D95,マスター_OTA!$A$4:$A$29,0))=0,"",DATE(YEAR(売上入力!A95),MONTH(売上入力!A95)+2,IFERROR(INDEX(マスター_OTA!$G$4:$G$29,MATCH(売上入力!D95,マスター_OTA!$A$4:$A$29,0)),25)))),"")</f>
        <v>46443</v>
      </c>
      <c r="B279" s="16" t="str">
        <f>IF(売上入力!B95="","",売上入力!B95)</f>
        <v>リゾート</v>
      </c>
      <c r="C279" s="16" t="str">
        <f>IF(売上入力!C95="","",売上入力!C95)</f>
        <v>グリーンシャワー</v>
      </c>
      <c r="D279" s="16" t="str">
        <f>IF(売上入力!D95="","",売上入力!D95)</f>
        <v>売上</v>
      </c>
      <c r="E279" s="89">
        <f>IFERROR(IF(売上入力!E95="",0,売上入力!E95*INDEX(マスター_OTA!$D$4:$D$29,MATCH(売上入力!D95,マスター_OTA!$A$4:$A$29,0))/100),0)</f>
        <v>24891.7</v>
      </c>
      <c r="F279" s="90">
        <f>IF(売上入力!A95="","",売上入力!A95)</f>
        <v>46357</v>
      </c>
      <c r="G279" s="16" t="s">
        <v>386</v>
      </c>
    </row>
    <row r="280" spans="1:7" ht="15" customHeight="1">
      <c r="A280" s="88">
        <f>IFERROR(IF(売上入力!A96="","",IF(INDEX(マスター_OTA!$B$4:$B$29,MATCH(売上入力!D96,マスター_OTA!$A$4:$A$29,0))=0,"",DATE(YEAR(売上入力!A96),MONTH(売上入力!A96),IFERROR(INDEX(マスター_OTA!$E$4:$E$29,MATCH(売上入力!D96,マスター_OTA!$A$4:$A$29,0)),28)))),"")</f>
        <v>46376</v>
      </c>
      <c r="B280" s="16" t="str">
        <f>IF(売上入力!B96="","",売上入力!B96)</f>
        <v>リゾート</v>
      </c>
      <c r="C280" s="16" t="str">
        <f>IF(売上入力!C96="","",売上入力!C96)</f>
        <v>フォレストヒルズガーデン</v>
      </c>
      <c r="D280" s="16" t="str">
        <f>IF(売上入力!D96="","",売上入力!D96)</f>
        <v>売上</v>
      </c>
      <c r="E280" s="89">
        <f>IFERROR(IF(売上入力!E96="",0,売上入力!E96*INDEX(マスター_OTA!$B$4:$B$29,MATCH(売上入力!D96,マスター_OTA!$A$4:$A$29,0))/100),0)</f>
        <v>693274.95</v>
      </c>
      <c r="F280" s="90">
        <f>IF(売上入力!A96="","",売上入力!A96)</f>
        <v>46357</v>
      </c>
      <c r="G280" s="16" t="s">
        <v>384</v>
      </c>
    </row>
    <row r="281" spans="1:7" ht="15" customHeight="1">
      <c r="A281" s="88">
        <f>IFERROR(IF(売上入力!A96="","",IF(INDEX(マスター_OTA!$C$4:$C$29,MATCH(売上入力!D96,マスター_OTA!$A$4:$A$29,0))=0,"",DATE(YEAR(売上入力!A96),MONTH(売上入力!A96)+1,IFERROR(INDEX(マスター_OTA!$F$4:$F$29,MATCH(売上入力!D96,マスター_OTA!$A$4:$A$29,0)),25)))),"")</f>
        <v>46397</v>
      </c>
      <c r="B281" s="16" t="str">
        <f>IF(売上入力!B96="","",売上入力!B96)</f>
        <v>リゾート</v>
      </c>
      <c r="C281" s="16" t="str">
        <f>IF(売上入力!C96="","",売上入力!C96)</f>
        <v>フォレストヒルズガーデン</v>
      </c>
      <c r="D281" s="16" t="str">
        <f>IF(売上入力!D96="","",売上入力!D96)</f>
        <v>売上</v>
      </c>
      <c r="E281" s="89">
        <f>IFERROR(IF(売上入力!E96="",0,売上入力!E96*INDEX(マスター_OTA!$C$4:$C$29,MATCH(売上入力!D96,マスター_OTA!$A$4:$A$29,0))/100),0)</f>
        <v>3466374.75</v>
      </c>
      <c r="F281" s="90">
        <f>IF(売上入力!A96="","",売上入力!A96)</f>
        <v>46357</v>
      </c>
      <c r="G281" s="16" t="s">
        <v>385</v>
      </c>
    </row>
    <row r="282" spans="1:7" ht="15" customHeight="1">
      <c r="A282" s="88">
        <f>IFERROR(IF(売上入力!A96="","",IF(INDEX(マスター_OTA!$D$4:$D$29,MATCH(売上入力!D96,マスター_OTA!$A$4:$A$29,0))=0,"",DATE(YEAR(売上入力!A96),MONTH(売上入力!A96)+2,IFERROR(INDEX(マスター_OTA!$G$4:$G$29,MATCH(売上入力!D96,マスター_OTA!$A$4:$A$29,0)),25)))),"")</f>
        <v>46443</v>
      </c>
      <c r="B282" s="16" t="str">
        <f>IF(売上入力!B96="","",売上入力!B96)</f>
        <v>リゾート</v>
      </c>
      <c r="C282" s="16" t="str">
        <f>IF(売上入力!C96="","",売上入力!C96)</f>
        <v>フォレストヒルズガーデン</v>
      </c>
      <c r="D282" s="16" t="str">
        <f>IF(売上入力!D96="","",売上入力!D96)</f>
        <v>売上</v>
      </c>
      <c r="E282" s="89">
        <f>IFERROR(IF(売上入力!E96="",0,売上入力!E96*INDEX(マスター_OTA!$D$4:$D$29,MATCH(売上入力!D96,マスター_OTA!$A$4:$A$29,0))/100),0)</f>
        <v>462183.3</v>
      </c>
      <c r="F282" s="90">
        <f>IF(売上入力!A96="","",売上入力!A96)</f>
        <v>46357</v>
      </c>
      <c r="G282" s="16" t="s">
        <v>386</v>
      </c>
    </row>
    <row r="283" spans="1:7" ht="15" customHeight="1">
      <c r="A283" s="88">
        <f>IFERROR(IF(売上入力!A97="","",IF(INDEX(マスター_OTA!$B$4:$B$29,MATCH(売上入力!D97,マスター_OTA!$A$4:$A$29,0))=0,"",DATE(YEAR(売上入力!A97),MONTH(売上入力!A97),IFERROR(INDEX(マスター_OTA!$E$4:$E$29,MATCH(売上入力!D97,マスター_OTA!$A$4:$A$29,0)),28)))),"")</f>
        <v>46376</v>
      </c>
      <c r="B283" s="16" t="str">
        <f>IF(売上入力!B97="","",売上入力!B97)</f>
        <v>モーテル</v>
      </c>
      <c r="C283" s="16" t="str">
        <f>IF(売上入力!C97="","",売上入力!C97)</f>
        <v>弥山</v>
      </c>
      <c r="D283" s="16" t="str">
        <f>IF(売上入力!D97="","",売上入力!D97)</f>
        <v>ホテル売上</v>
      </c>
      <c r="E283" s="89">
        <f>IFERROR(IF(売上入力!E97="",0,売上入力!E97*INDEX(マスター_OTA!$B$4:$B$29,MATCH(売上入力!D97,マスター_OTA!$A$4:$A$29,0))/100),0)</f>
        <v>680653.5</v>
      </c>
      <c r="F283" s="90">
        <f>IF(売上入力!A97="","",売上入力!A97)</f>
        <v>46357</v>
      </c>
      <c r="G283" s="16" t="s">
        <v>384</v>
      </c>
    </row>
    <row r="284" spans="1:7" ht="15" customHeight="1">
      <c r="A284" s="88">
        <f>IFERROR(IF(売上入力!A97="","",IF(INDEX(マスター_OTA!$C$4:$C$29,MATCH(売上入力!D97,マスター_OTA!$A$4:$A$29,0))=0,"",DATE(YEAR(売上入力!A97),MONTH(売上入力!A97)+1,IFERROR(INDEX(マスター_OTA!$F$4:$F$29,MATCH(売上入力!D97,マスター_OTA!$A$4:$A$29,0)),25)))),"")</f>
        <v>46397</v>
      </c>
      <c r="B284" s="16" t="str">
        <f>IF(売上入力!B97="","",売上入力!B97)</f>
        <v>モーテル</v>
      </c>
      <c r="C284" s="16" t="str">
        <f>IF(売上入力!C97="","",売上入力!C97)</f>
        <v>弥山</v>
      </c>
      <c r="D284" s="16" t="str">
        <f>IF(売上入力!D97="","",売上入力!D97)</f>
        <v>ホテル売上</v>
      </c>
      <c r="E284" s="89">
        <f>IFERROR(IF(売上入力!E97="",0,売上入力!E97*INDEX(マスター_OTA!$C$4:$C$29,MATCH(売上入力!D97,マスター_OTA!$A$4:$A$29,0))/100),0)</f>
        <v>3403267.5</v>
      </c>
      <c r="F284" s="90">
        <f>IF(売上入力!A97="","",売上入力!A97)</f>
        <v>46357</v>
      </c>
      <c r="G284" s="16" t="s">
        <v>385</v>
      </c>
    </row>
    <row r="285" spans="1:7" ht="15" customHeight="1">
      <c r="A285" s="88">
        <f>IFERROR(IF(売上入力!A97="","",IF(INDEX(マスター_OTA!$D$4:$D$29,MATCH(売上入力!D97,マスター_OTA!$A$4:$A$29,0))=0,"",DATE(YEAR(売上入力!A97),MONTH(売上入力!A97)+2,IFERROR(INDEX(マスター_OTA!$G$4:$G$29,MATCH(売上入力!D97,マスター_OTA!$A$4:$A$29,0)),25)))),"")</f>
        <v>46443</v>
      </c>
      <c r="B285" s="16" t="str">
        <f>IF(売上入力!B97="","",売上入力!B97)</f>
        <v>モーテル</v>
      </c>
      <c r="C285" s="16" t="str">
        <f>IF(売上入力!C97="","",売上入力!C97)</f>
        <v>弥山</v>
      </c>
      <c r="D285" s="16" t="str">
        <f>IF(売上入力!D97="","",売上入力!D97)</f>
        <v>ホテル売上</v>
      </c>
      <c r="E285" s="89">
        <f>IFERROR(IF(売上入力!E97="",0,売上入力!E97*INDEX(マスター_OTA!$D$4:$D$29,MATCH(売上入力!D97,マスター_OTA!$A$4:$A$29,0))/100),0)</f>
        <v>453769</v>
      </c>
      <c r="F285" s="90">
        <f>IF(売上入力!A97="","",売上入力!A97)</f>
        <v>46357</v>
      </c>
      <c r="G285" s="16" t="s">
        <v>386</v>
      </c>
    </row>
    <row r="286" spans="1:7" ht="15" customHeight="1">
      <c r="A286" s="88" t="str">
        <f>IFERROR(IF(売上入力!A98="","",IF(INDEX(マスター_OTA!$B$4:$B$29,MATCH(売上入力!D98,マスター_OTA!$A$4:$A$29,0))=0,"",DATE(YEAR(売上入力!A98),MONTH(売上入力!A98),IFERROR(INDEX(マスター_OTA!$E$4:$E$29,MATCH(売上入力!D98,マスター_OTA!$A$4:$A$29,0)),28)))),"")</f>
        <v/>
      </c>
      <c r="B286" s="16" t="str">
        <f>IF(売上入力!B98="","",売上入力!B98)</f>
        <v>リゾート</v>
      </c>
      <c r="C286" s="16" t="str">
        <f>IF(売上入力!C98="","",売上入力!C98)</f>
        <v>竹原（ﾚｽﾄﾗﾝ含む）</v>
      </c>
      <c r="D286" s="16" t="str">
        <f>IF(売上入力!D98="","",売上入力!D98)</f>
        <v>竹原市</v>
      </c>
      <c r="E286" s="89">
        <f>IFERROR(IF(売上入力!E98="",0,売上入力!E98*INDEX(マスター_OTA!$B$4:$B$29,MATCH(売上入力!D98,マスター_OTA!$A$4:$A$29,0))/100),0)</f>
        <v>0</v>
      </c>
      <c r="F286" s="90">
        <f>IF(売上入力!A98="","",売上入力!A98)</f>
        <v>46357</v>
      </c>
      <c r="G286" s="16" t="s">
        <v>384</v>
      </c>
    </row>
    <row r="287" spans="1:7" ht="15" customHeight="1">
      <c r="A287" s="88">
        <f>IFERROR(IF(売上入力!A98="","",IF(INDEX(マスター_OTA!$C$4:$C$29,MATCH(売上入力!D98,マスター_OTA!$A$4:$A$29,0))=0,"",DATE(YEAR(売上入力!A98),MONTH(売上入力!A98)+1,IFERROR(INDEX(マスター_OTA!$F$4:$F$29,MATCH(売上入力!D98,マスター_OTA!$A$4:$A$29,0)),25)))),"")</f>
        <v>46402</v>
      </c>
      <c r="B287" s="16" t="str">
        <f>IF(売上入力!B98="","",売上入力!B98)</f>
        <v>リゾート</v>
      </c>
      <c r="C287" s="16" t="str">
        <f>IF(売上入力!C98="","",売上入力!C98)</f>
        <v>竹原（ﾚｽﾄﾗﾝ含む）</v>
      </c>
      <c r="D287" s="16" t="str">
        <f>IF(売上入力!D98="","",売上入力!D98)</f>
        <v>竹原市</v>
      </c>
      <c r="E287" s="89">
        <f>IFERROR(IF(売上入力!E98="",0,売上入力!E98*INDEX(マスター_OTA!$C$4:$C$29,MATCH(売上入力!D98,マスター_OTA!$A$4:$A$29,0))/100),0)</f>
        <v>683000</v>
      </c>
      <c r="F287" s="90">
        <f>IF(売上入力!A98="","",売上入力!A98)</f>
        <v>46357</v>
      </c>
      <c r="G287" s="16" t="s">
        <v>385</v>
      </c>
    </row>
    <row r="288" spans="1:7" ht="15" customHeight="1">
      <c r="A288" s="88" t="str">
        <f>IFERROR(IF(売上入力!A98="","",IF(INDEX(マスター_OTA!$D$4:$D$29,MATCH(売上入力!D98,マスター_OTA!$A$4:$A$29,0))=0,"",DATE(YEAR(売上入力!A98),MONTH(売上入力!A98)+2,IFERROR(INDEX(マスター_OTA!$G$4:$G$29,MATCH(売上入力!D98,マスター_OTA!$A$4:$A$29,0)),25)))),"")</f>
        <v/>
      </c>
      <c r="B288" s="16" t="str">
        <f>IF(売上入力!B98="","",売上入力!B98)</f>
        <v>リゾート</v>
      </c>
      <c r="C288" s="16" t="str">
        <f>IF(売上入力!C98="","",売上入力!C98)</f>
        <v>竹原（ﾚｽﾄﾗﾝ含む）</v>
      </c>
      <c r="D288" s="16" t="str">
        <f>IF(売上入力!D98="","",売上入力!D98)</f>
        <v>竹原市</v>
      </c>
      <c r="E288" s="89">
        <f>IFERROR(IF(売上入力!E98="",0,売上入力!E98*INDEX(マスター_OTA!$D$4:$D$29,MATCH(売上入力!D98,マスター_OTA!$A$4:$A$29,0))/100),0)</f>
        <v>0</v>
      </c>
      <c r="F288" s="90">
        <f>IF(売上入力!A98="","",売上入力!A98)</f>
        <v>46357</v>
      </c>
      <c r="G288" s="16" t="s">
        <v>386</v>
      </c>
    </row>
    <row r="289" spans="1:7" ht="15" customHeight="1">
      <c r="A289" s="88" t="str">
        <f>IFERROR(IF(売上入力!A99="","",IF(INDEX(マスター_OTA!$B$4:$B$29,MATCH(売上入力!D99,マスター_OTA!$A$4:$A$29,0))=0,"",DATE(YEAR(売上入力!A99),MONTH(売上入力!A99),IFERROR(INDEX(マスター_OTA!$E$4:$E$29,MATCH(売上入力!D99,マスター_OTA!$A$4:$A$29,0)),28)))),"")</f>
        <v/>
      </c>
      <c r="B289" s="16" t="str">
        <f>IF(売上入力!B99="","",売上入力!B99)</f>
        <v/>
      </c>
      <c r="C289" s="16" t="str">
        <f>IF(売上入力!C99="","",売上入力!C99)</f>
        <v/>
      </c>
      <c r="D289" s="16" t="str">
        <f>IF(売上入力!D99="","",売上入力!D99)</f>
        <v/>
      </c>
      <c r="E289" s="89">
        <f>IFERROR(IF(売上入力!E99="",0,売上入力!E99*INDEX(マスター_OTA!$B$4:$B$29,MATCH(売上入力!D99,マスター_OTA!$A$4:$A$29,0))/100),0)</f>
        <v>0</v>
      </c>
      <c r="F289" s="90" t="str">
        <f>IF(売上入力!A99="","",売上入力!A99)</f>
        <v/>
      </c>
      <c r="G289" s="16" t="s">
        <v>384</v>
      </c>
    </row>
    <row r="290" spans="1:7" ht="15" customHeight="1">
      <c r="A290" s="88" t="str">
        <f>IFERROR(IF(売上入力!A99="","",IF(INDEX(マスター_OTA!$C$4:$C$29,MATCH(売上入力!D99,マスター_OTA!$A$4:$A$29,0))=0,"",DATE(YEAR(売上入力!A99),MONTH(売上入力!A99)+1,IFERROR(INDEX(マスター_OTA!$F$4:$F$29,MATCH(売上入力!D99,マスター_OTA!$A$4:$A$29,0)),25)))),"")</f>
        <v/>
      </c>
      <c r="B290" s="16" t="str">
        <f>IF(売上入力!B99="","",売上入力!B99)</f>
        <v/>
      </c>
      <c r="C290" s="16" t="str">
        <f>IF(売上入力!C99="","",売上入力!C99)</f>
        <v/>
      </c>
      <c r="D290" s="16" t="str">
        <f>IF(売上入力!D99="","",売上入力!D99)</f>
        <v/>
      </c>
      <c r="E290" s="89">
        <f>IFERROR(IF(売上入力!E99="",0,売上入力!E99*INDEX(マスター_OTA!$C$4:$C$29,MATCH(売上入力!D99,マスター_OTA!$A$4:$A$29,0))/100),0)</f>
        <v>0</v>
      </c>
      <c r="F290" s="90" t="str">
        <f>IF(売上入力!A99="","",売上入力!A99)</f>
        <v/>
      </c>
      <c r="G290" s="16" t="s">
        <v>385</v>
      </c>
    </row>
    <row r="291" spans="1:7" ht="15" customHeight="1">
      <c r="A291" s="88" t="str">
        <f>IFERROR(IF(売上入力!A99="","",IF(INDEX(マスター_OTA!$D$4:$D$29,MATCH(売上入力!D99,マスター_OTA!$A$4:$A$29,0))=0,"",DATE(YEAR(売上入力!A99),MONTH(売上入力!A99)+2,IFERROR(INDEX(マスター_OTA!$G$4:$G$29,MATCH(売上入力!D99,マスター_OTA!$A$4:$A$29,0)),25)))),"")</f>
        <v/>
      </c>
      <c r="B291" s="16" t="str">
        <f>IF(売上入力!B99="","",売上入力!B99)</f>
        <v/>
      </c>
      <c r="C291" s="16" t="str">
        <f>IF(売上入力!C99="","",売上入力!C99)</f>
        <v/>
      </c>
      <c r="D291" s="16" t="str">
        <f>IF(売上入力!D99="","",売上入力!D99)</f>
        <v/>
      </c>
      <c r="E291" s="89">
        <f>IFERROR(IF(売上入力!E99="",0,売上入力!E99*INDEX(マスター_OTA!$D$4:$D$29,MATCH(売上入力!D99,マスター_OTA!$A$4:$A$29,0))/100),0)</f>
        <v>0</v>
      </c>
      <c r="F291" s="90" t="str">
        <f>IF(売上入力!A99="","",売上入力!A99)</f>
        <v/>
      </c>
      <c r="G291" s="16" t="s">
        <v>386</v>
      </c>
    </row>
    <row r="292" spans="1:7" ht="15" customHeight="1">
      <c r="A292" s="88" t="str">
        <f>IFERROR(IF(売上入力!A100="","",IF(INDEX(マスター_OTA!$B$4:$B$29,MATCH(売上入力!D100,マスター_OTA!$A$4:$A$29,0))=0,"",DATE(YEAR(売上入力!A100),MONTH(売上入力!A100),IFERROR(INDEX(マスター_OTA!$E$4:$E$29,MATCH(売上入力!D100,マスター_OTA!$A$4:$A$29,0)),28)))),"")</f>
        <v/>
      </c>
      <c r="B292" s="16" t="str">
        <f>IF(売上入力!B100="","",売上入力!B100)</f>
        <v/>
      </c>
      <c r="C292" s="16" t="str">
        <f>IF(売上入力!C100="","",売上入力!C100)</f>
        <v/>
      </c>
      <c r="D292" s="16" t="str">
        <f>IF(売上入力!D100="","",売上入力!D100)</f>
        <v/>
      </c>
      <c r="E292" s="89">
        <f>IFERROR(IF(売上入力!E100="",0,売上入力!E100*INDEX(マスター_OTA!$B$4:$B$29,MATCH(売上入力!D100,マスター_OTA!$A$4:$A$29,0))/100),0)</f>
        <v>0</v>
      </c>
      <c r="F292" s="90" t="str">
        <f>IF(売上入力!A100="","",売上入力!A100)</f>
        <v/>
      </c>
      <c r="G292" s="16" t="s">
        <v>384</v>
      </c>
    </row>
    <row r="293" spans="1:7" ht="15" customHeight="1">
      <c r="A293" s="88" t="str">
        <f>IFERROR(IF(売上入力!A100="","",IF(INDEX(マスター_OTA!$C$4:$C$29,MATCH(売上入力!D100,マスター_OTA!$A$4:$A$29,0))=0,"",DATE(YEAR(売上入力!A100),MONTH(売上入力!A100)+1,IFERROR(INDEX(マスター_OTA!$F$4:$F$29,MATCH(売上入力!D100,マスター_OTA!$A$4:$A$29,0)),25)))),"")</f>
        <v/>
      </c>
      <c r="B293" s="16" t="str">
        <f>IF(売上入力!B100="","",売上入力!B100)</f>
        <v/>
      </c>
      <c r="C293" s="16" t="str">
        <f>IF(売上入力!C100="","",売上入力!C100)</f>
        <v/>
      </c>
      <c r="D293" s="16" t="str">
        <f>IF(売上入力!D100="","",売上入力!D100)</f>
        <v/>
      </c>
      <c r="E293" s="89">
        <f>IFERROR(IF(売上入力!E100="",0,売上入力!E100*INDEX(マスター_OTA!$C$4:$C$29,MATCH(売上入力!D100,マスター_OTA!$A$4:$A$29,0))/100),0)</f>
        <v>0</v>
      </c>
      <c r="F293" s="90" t="str">
        <f>IF(売上入力!A100="","",売上入力!A100)</f>
        <v/>
      </c>
      <c r="G293" s="16" t="s">
        <v>385</v>
      </c>
    </row>
    <row r="294" spans="1:7" ht="15" customHeight="1">
      <c r="A294" s="88" t="str">
        <f>IFERROR(IF(売上入力!A100="","",IF(INDEX(マスター_OTA!$D$4:$D$29,MATCH(売上入力!D100,マスター_OTA!$A$4:$A$29,0))=0,"",DATE(YEAR(売上入力!A100),MONTH(売上入力!A100)+2,IFERROR(INDEX(マスター_OTA!$G$4:$G$29,MATCH(売上入力!D100,マスター_OTA!$A$4:$A$29,0)),25)))),"")</f>
        <v/>
      </c>
      <c r="B294" s="16" t="str">
        <f>IF(売上入力!B100="","",売上入力!B100)</f>
        <v/>
      </c>
      <c r="C294" s="16" t="str">
        <f>IF(売上入力!C100="","",売上入力!C100)</f>
        <v/>
      </c>
      <c r="D294" s="16" t="str">
        <f>IF(売上入力!D100="","",売上入力!D100)</f>
        <v/>
      </c>
      <c r="E294" s="89">
        <f>IFERROR(IF(売上入力!E100="",0,売上入力!E100*INDEX(マスター_OTA!$D$4:$D$29,MATCH(売上入力!D100,マスター_OTA!$A$4:$A$29,0))/100),0)</f>
        <v>0</v>
      </c>
      <c r="F294" s="90" t="str">
        <f>IF(売上入力!A100="","",売上入力!A100)</f>
        <v/>
      </c>
      <c r="G294" s="16" t="s">
        <v>386</v>
      </c>
    </row>
    <row r="295" spans="1:7" ht="15" customHeight="1">
      <c r="A295" s="88" t="str">
        <f>IFERROR(IF(売上入力!A101="","",IF(INDEX(マスター_OTA!$B$4:$B$29,MATCH(売上入力!D101,マスター_OTA!$A$4:$A$29,0))=0,"",DATE(YEAR(売上入力!A101),MONTH(売上入力!A101),IFERROR(INDEX(マスター_OTA!$E$4:$E$29,MATCH(売上入力!D101,マスター_OTA!$A$4:$A$29,0)),28)))),"")</f>
        <v/>
      </c>
      <c r="B295" s="16" t="str">
        <f>IF(売上入力!B101="","",売上入力!B101)</f>
        <v/>
      </c>
      <c r="C295" s="16" t="str">
        <f>IF(売上入力!C101="","",売上入力!C101)</f>
        <v/>
      </c>
      <c r="D295" s="16" t="str">
        <f>IF(売上入力!D101="","",売上入力!D101)</f>
        <v/>
      </c>
      <c r="E295" s="89">
        <f>IFERROR(IF(売上入力!E101="",0,売上入力!E101*INDEX(マスター_OTA!$B$4:$B$29,MATCH(売上入力!D101,マスター_OTA!$A$4:$A$29,0))/100),0)</f>
        <v>0</v>
      </c>
      <c r="F295" s="90" t="str">
        <f>IF(売上入力!A101="","",売上入力!A101)</f>
        <v/>
      </c>
      <c r="G295" s="16" t="s">
        <v>384</v>
      </c>
    </row>
    <row r="296" spans="1:7" ht="15" customHeight="1">
      <c r="A296" s="88" t="str">
        <f>IFERROR(IF(売上入力!A101="","",IF(INDEX(マスター_OTA!$C$4:$C$29,MATCH(売上入力!D101,マスター_OTA!$A$4:$A$29,0))=0,"",DATE(YEAR(売上入力!A101),MONTH(売上入力!A101)+1,IFERROR(INDEX(マスター_OTA!$F$4:$F$29,MATCH(売上入力!D101,マスター_OTA!$A$4:$A$29,0)),25)))),"")</f>
        <v/>
      </c>
      <c r="B296" s="16" t="str">
        <f>IF(売上入力!B101="","",売上入力!B101)</f>
        <v/>
      </c>
      <c r="C296" s="16" t="str">
        <f>IF(売上入力!C101="","",売上入力!C101)</f>
        <v/>
      </c>
      <c r="D296" s="16" t="str">
        <f>IF(売上入力!D101="","",売上入力!D101)</f>
        <v/>
      </c>
      <c r="E296" s="89">
        <f>IFERROR(IF(売上入力!E101="",0,売上入力!E101*INDEX(マスター_OTA!$C$4:$C$29,MATCH(売上入力!D101,マスター_OTA!$A$4:$A$29,0))/100),0)</f>
        <v>0</v>
      </c>
      <c r="F296" s="90" t="str">
        <f>IF(売上入力!A101="","",売上入力!A101)</f>
        <v/>
      </c>
      <c r="G296" s="16" t="s">
        <v>385</v>
      </c>
    </row>
    <row r="297" spans="1:7" ht="15" customHeight="1">
      <c r="A297" s="88" t="str">
        <f>IFERROR(IF(売上入力!A101="","",IF(INDEX(マスター_OTA!$D$4:$D$29,MATCH(売上入力!D101,マスター_OTA!$A$4:$A$29,0))=0,"",DATE(YEAR(売上入力!A101),MONTH(売上入力!A101)+2,IFERROR(INDEX(マスター_OTA!$G$4:$G$29,MATCH(売上入力!D101,マスター_OTA!$A$4:$A$29,0)),25)))),"")</f>
        <v/>
      </c>
      <c r="B297" s="16" t="str">
        <f>IF(売上入力!B101="","",売上入力!B101)</f>
        <v/>
      </c>
      <c r="C297" s="16" t="str">
        <f>IF(売上入力!C101="","",売上入力!C101)</f>
        <v/>
      </c>
      <c r="D297" s="16" t="str">
        <f>IF(売上入力!D101="","",売上入力!D101)</f>
        <v/>
      </c>
      <c r="E297" s="89">
        <f>IFERROR(IF(売上入力!E101="",0,売上入力!E101*INDEX(マスター_OTA!$D$4:$D$29,MATCH(売上入力!D101,マスター_OTA!$A$4:$A$29,0))/100),0)</f>
        <v>0</v>
      </c>
      <c r="F297" s="90" t="str">
        <f>IF(売上入力!A101="","",売上入力!A101)</f>
        <v/>
      </c>
      <c r="G297" s="16" t="s">
        <v>386</v>
      </c>
    </row>
    <row r="298" spans="1:7" ht="15" customHeight="1">
      <c r="A298" s="88" t="str">
        <f>IFERROR(IF(売上入力!A102="","",IF(INDEX(マスター_OTA!$B$4:$B$29,MATCH(売上入力!D102,マスター_OTA!$A$4:$A$29,0))=0,"",DATE(YEAR(売上入力!A102),MONTH(売上入力!A102),IFERROR(INDEX(マスター_OTA!$E$4:$E$29,MATCH(売上入力!D102,マスター_OTA!$A$4:$A$29,0)),28)))),"")</f>
        <v/>
      </c>
      <c r="B298" s="16" t="str">
        <f>IF(売上入力!B102="","",売上入力!B102)</f>
        <v/>
      </c>
      <c r="C298" s="16" t="str">
        <f>IF(売上入力!C102="","",売上入力!C102)</f>
        <v/>
      </c>
      <c r="D298" s="16" t="str">
        <f>IF(売上入力!D102="","",売上入力!D102)</f>
        <v/>
      </c>
      <c r="E298" s="89">
        <f>IFERROR(IF(売上入力!E102="",0,売上入力!E102*INDEX(マスター_OTA!$B$4:$B$29,MATCH(売上入力!D102,マスター_OTA!$A$4:$A$29,0))/100),0)</f>
        <v>0</v>
      </c>
      <c r="F298" s="90" t="str">
        <f>IF(売上入力!A102="","",売上入力!A102)</f>
        <v/>
      </c>
      <c r="G298" s="16" t="s">
        <v>384</v>
      </c>
    </row>
    <row r="299" spans="1:7" ht="15" customHeight="1">
      <c r="A299" s="88" t="str">
        <f>IFERROR(IF(売上入力!A102="","",IF(INDEX(マスター_OTA!$C$4:$C$29,MATCH(売上入力!D102,マスター_OTA!$A$4:$A$29,0))=0,"",DATE(YEAR(売上入力!A102),MONTH(売上入力!A102)+1,IFERROR(INDEX(マスター_OTA!$F$4:$F$29,MATCH(売上入力!D102,マスター_OTA!$A$4:$A$29,0)),25)))),"")</f>
        <v/>
      </c>
      <c r="B299" s="16" t="str">
        <f>IF(売上入力!B102="","",売上入力!B102)</f>
        <v/>
      </c>
      <c r="C299" s="16" t="str">
        <f>IF(売上入力!C102="","",売上入力!C102)</f>
        <v/>
      </c>
      <c r="D299" s="16" t="str">
        <f>IF(売上入力!D102="","",売上入力!D102)</f>
        <v/>
      </c>
      <c r="E299" s="89">
        <f>IFERROR(IF(売上入力!E102="",0,売上入力!E102*INDEX(マスター_OTA!$C$4:$C$29,MATCH(売上入力!D102,マスター_OTA!$A$4:$A$29,0))/100),0)</f>
        <v>0</v>
      </c>
      <c r="F299" s="90" t="str">
        <f>IF(売上入力!A102="","",売上入力!A102)</f>
        <v/>
      </c>
      <c r="G299" s="16" t="s">
        <v>385</v>
      </c>
    </row>
    <row r="300" spans="1:7" ht="15" customHeight="1">
      <c r="A300" s="88" t="str">
        <f>IFERROR(IF(売上入力!A102="","",IF(INDEX(マスター_OTA!$D$4:$D$29,MATCH(売上入力!D102,マスター_OTA!$A$4:$A$29,0))=0,"",DATE(YEAR(売上入力!A102),MONTH(売上入力!A102)+2,IFERROR(INDEX(マスター_OTA!$G$4:$G$29,MATCH(売上入力!D102,マスター_OTA!$A$4:$A$29,0)),25)))),"")</f>
        <v/>
      </c>
      <c r="B300" s="16" t="str">
        <f>IF(売上入力!B102="","",売上入力!B102)</f>
        <v/>
      </c>
      <c r="C300" s="16" t="str">
        <f>IF(売上入力!C102="","",売上入力!C102)</f>
        <v/>
      </c>
      <c r="D300" s="16" t="str">
        <f>IF(売上入力!D102="","",売上入力!D102)</f>
        <v/>
      </c>
      <c r="E300" s="89">
        <f>IFERROR(IF(売上入力!E102="",0,売上入力!E102*INDEX(マスター_OTA!$D$4:$D$29,MATCH(売上入力!D102,マスター_OTA!$A$4:$A$29,0))/100),0)</f>
        <v>0</v>
      </c>
      <c r="F300" s="90" t="str">
        <f>IF(売上入力!A102="","",売上入力!A102)</f>
        <v/>
      </c>
      <c r="G300" s="16" t="s">
        <v>386</v>
      </c>
    </row>
    <row r="301" spans="1:7" ht="15" customHeight="1">
      <c r="A301" s="88" t="str">
        <f>IFERROR(IF(売上入力!A103="","",IF(INDEX(マスター_OTA!$B$4:$B$29,MATCH(売上入力!D103,マスター_OTA!$A$4:$A$29,0))=0,"",DATE(YEAR(売上入力!A103),MONTH(売上入力!A103),IFERROR(INDEX(マスター_OTA!$E$4:$E$29,MATCH(売上入力!D103,マスター_OTA!$A$4:$A$29,0)),28)))),"")</f>
        <v/>
      </c>
      <c r="B301" s="16" t="str">
        <f>IF(売上入力!B103="","",売上入力!B103)</f>
        <v/>
      </c>
      <c r="C301" s="16" t="str">
        <f>IF(売上入力!C103="","",売上入力!C103)</f>
        <v/>
      </c>
      <c r="D301" s="16" t="str">
        <f>IF(売上入力!D103="","",売上入力!D103)</f>
        <v/>
      </c>
      <c r="E301" s="89">
        <f>IFERROR(IF(売上入力!E103="",0,売上入力!E103*INDEX(マスター_OTA!$B$4:$B$29,MATCH(売上入力!D103,マスター_OTA!$A$4:$A$29,0))/100),0)</f>
        <v>0</v>
      </c>
      <c r="F301" s="90" t="str">
        <f>IF(売上入力!A103="","",売上入力!A103)</f>
        <v/>
      </c>
      <c r="G301" s="16" t="s">
        <v>384</v>
      </c>
    </row>
    <row r="302" spans="1:7" ht="15" customHeight="1">
      <c r="A302" s="88" t="str">
        <f>IFERROR(IF(売上入力!A103="","",IF(INDEX(マスター_OTA!$C$4:$C$29,MATCH(売上入力!D103,マスター_OTA!$A$4:$A$29,0))=0,"",DATE(YEAR(売上入力!A103),MONTH(売上入力!A103)+1,IFERROR(INDEX(マスター_OTA!$F$4:$F$29,MATCH(売上入力!D103,マスター_OTA!$A$4:$A$29,0)),25)))),"")</f>
        <v/>
      </c>
      <c r="B302" s="16" t="str">
        <f>IF(売上入力!B103="","",売上入力!B103)</f>
        <v/>
      </c>
      <c r="C302" s="16" t="str">
        <f>IF(売上入力!C103="","",売上入力!C103)</f>
        <v/>
      </c>
      <c r="D302" s="16" t="str">
        <f>IF(売上入力!D103="","",売上入力!D103)</f>
        <v/>
      </c>
      <c r="E302" s="89">
        <f>IFERROR(IF(売上入力!E103="",0,売上入力!E103*INDEX(マスター_OTA!$C$4:$C$29,MATCH(売上入力!D103,マスター_OTA!$A$4:$A$29,0))/100),0)</f>
        <v>0</v>
      </c>
      <c r="F302" s="90" t="str">
        <f>IF(売上入力!A103="","",売上入力!A103)</f>
        <v/>
      </c>
      <c r="G302" s="16" t="s">
        <v>385</v>
      </c>
    </row>
    <row r="303" spans="1:7" ht="15" customHeight="1">
      <c r="A303" s="88" t="str">
        <f>IFERROR(IF(売上入力!A103="","",IF(INDEX(マスター_OTA!$D$4:$D$29,MATCH(売上入力!D103,マスター_OTA!$A$4:$A$29,0))=0,"",DATE(YEAR(売上入力!A103),MONTH(売上入力!A103)+2,IFERROR(INDEX(マスター_OTA!$G$4:$G$29,MATCH(売上入力!D103,マスター_OTA!$A$4:$A$29,0)),25)))),"")</f>
        <v/>
      </c>
      <c r="B303" s="16" t="str">
        <f>IF(売上入力!B103="","",売上入力!B103)</f>
        <v/>
      </c>
      <c r="C303" s="16" t="str">
        <f>IF(売上入力!C103="","",売上入力!C103)</f>
        <v/>
      </c>
      <c r="D303" s="16" t="str">
        <f>IF(売上入力!D103="","",売上入力!D103)</f>
        <v/>
      </c>
      <c r="E303" s="89">
        <f>IFERROR(IF(売上入力!E103="",0,売上入力!E103*INDEX(マスター_OTA!$D$4:$D$29,MATCH(売上入力!D103,マスター_OTA!$A$4:$A$29,0))/100),0)</f>
        <v>0</v>
      </c>
      <c r="F303" s="90" t="str">
        <f>IF(売上入力!A103="","",売上入力!A103)</f>
        <v/>
      </c>
      <c r="G303" s="16" t="s">
        <v>386</v>
      </c>
    </row>
    <row r="304" spans="1:7" ht="15" customHeight="1">
      <c r="A304" s="88" t="str">
        <f>IFERROR(IF(売上入力!A104="","",IF(INDEX(マスター_OTA!$B$4:$B$29,MATCH(売上入力!D104,マスター_OTA!$A$4:$A$29,0))=0,"",DATE(YEAR(売上入力!A104),MONTH(売上入力!A104),IFERROR(INDEX(マスター_OTA!$E$4:$E$29,MATCH(売上入力!D104,マスター_OTA!$A$4:$A$29,0)),28)))),"")</f>
        <v/>
      </c>
      <c r="B304" s="16" t="str">
        <f>IF(売上入力!B104="","",売上入力!B104)</f>
        <v/>
      </c>
      <c r="C304" s="16" t="str">
        <f>IF(売上入力!C104="","",売上入力!C104)</f>
        <v/>
      </c>
      <c r="D304" s="16" t="str">
        <f>IF(売上入力!D104="","",売上入力!D104)</f>
        <v/>
      </c>
      <c r="E304" s="89">
        <f>IFERROR(IF(売上入力!E104="",0,売上入力!E104*INDEX(マスター_OTA!$B$4:$B$29,MATCH(売上入力!D104,マスター_OTA!$A$4:$A$29,0))/100),0)</f>
        <v>0</v>
      </c>
      <c r="F304" s="90" t="str">
        <f>IF(売上入力!A104="","",売上入力!A104)</f>
        <v/>
      </c>
      <c r="G304" s="16" t="s">
        <v>384</v>
      </c>
    </row>
    <row r="305" spans="1:7" ht="15" customHeight="1">
      <c r="A305" s="88" t="str">
        <f>IFERROR(IF(売上入力!A104="","",IF(INDEX(マスター_OTA!$C$4:$C$29,MATCH(売上入力!D104,マスター_OTA!$A$4:$A$29,0))=0,"",DATE(YEAR(売上入力!A104),MONTH(売上入力!A104)+1,IFERROR(INDEX(マスター_OTA!$F$4:$F$29,MATCH(売上入力!D104,マスター_OTA!$A$4:$A$29,0)),25)))),"")</f>
        <v/>
      </c>
      <c r="B305" s="16" t="str">
        <f>IF(売上入力!B104="","",売上入力!B104)</f>
        <v/>
      </c>
      <c r="C305" s="16" t="str">
        <f>IF(売上入力!C104="","",売上入力!C104)</f>
        <v/>
      </c>
      <c r="D305" s="16" t="str">
        <f>IF(売上入力!D104="","",売上入力!D104)</f>
        <v/>
      </c>
      <c r="E305" s="89">
        <f>IFERROR(IF(売上入力!E104="",0,売上入力!E104*INDEX(マスター_OTA!$C$4:$C$29,MATCH(売上入力!D104,マスター_OTA!$A$4:$A$29,0))/100),0)</f>
        <v>0</v>
      </c>
      <c r="F305" s="90" t="str">
        <f>IF(売上入力!A104="","",売上入力!A104)</f>
        <v/>
      </c>
      <c r="G305" s="16" t="s">
        <v>385</v>
      </c>
    </row>
    <row r="306" spans="1:7" ht="15" customHeight="1">
      <c r="A306" s="88" t="str">
        <f>IFERROR(IF(売上入力!A104="","",IF(INDEX(マスター_OTA!$D$4:$D$29,MATCH(売上入力!D104,マスター_OTA!$A$4:$A$29,0))=0,"",DATE(YEAR(売上入力!A104),MONTH(売上入力!A104)+2,IFERROR(INDEX(マスター_OTA!$G$4:$G$29,MATCH(売上入力!D104,マスター_OTA!$A$4:$A$29,0)),25)))),"")</f>
        <v/>
      </c>
      <c r="B306" s="16" t="str">
        <f>IF(売上入力!B104="","",売上入力!B104)</f>
        <v/>
      </c>
      <c r="C306" s="16" t="str">
        <f>IF(売上入力!C104="","",売上入力!C104)</f>
        <v/>
      </c>
      <c r="D306" s="16" t="str">
        <f>IF(売上入力!D104="","",売上入力!D104)</f>
        <v/>
      </c>
      <c r="E306" s="89">
        <f>IFERROR(IF(売上入力!E104="",0,売上入力!E104*INDEX(マスター_OTA!$D$4:$D$29,MATCH(売上入力!D104,マスター_OTA!$A$4:$A$29,0))/100),0)</f>
        <v>0</v>
      </c>
      <c r="F306" s="90" t="str">
        <f>IF(売上入力!A104="","",売上入力!A104)</f>
        <v/>
      </c>
      <c r="G306" s="16" t="s">
        <v>386</v>
      </c>
    </row>
    <row r="307" spans="1:7" ht="15" customHeight="1">
      <c r="A307" s="88" t="str">
        <f>IFERROR(IF(売上入力!A105="","",IF(INDEX(マスター_OTA!$B$4:$B$29,MATCH(売上入力!D105,マスター_OTA!$A$4:$A$29,0))=0,"",DATE(YEAR(売上入力!A105),MONTH(売上入力!A105),IFERROR(INDEX(マスター_OTA!$E$4:$E$29,MATCH(売上入力!D105,マスター_OTA!$A$4:$A$29,0)),28)))),"")</f>
        <v/>
      </c>
      <c r="B307" s="16" t="str">
        <f>IF(売上入力!B105="","",売上入力!B105)</f>
        <v/>
      </c>
      <c r="C307" s="16" t="str">
        <f>IF(売上入力!C105="","",売上入力!C105)</f>
        <v/>
      </c>
      <c r="D307" s="16" t="str">
        <f>IF(売上入力!D105="","",売上入力!D105)</f>
        <v/>
      </c>
      <c r="E307" s="89">
        <f>IFERROR(IF(売上入力!E105="",0,売上入力!E105*INDEX(マスター_OTA!$B$4:$B$29,MATCH(売上入力!D105,マスター_OTA!$A$4:$A$29,0))/100),0)</f>
        <v>0</v>
      </c>
      <c r="F307" s="90" t="str">
        <f>IF(売上入力!A105="","",売上入力!A105)</f>
        <v/>
      </c>
      <c r="G307" s="16" t="s">
        <v>384</v>
      </c>
    </row>
    <row r="308" spans="1:7" ht="15" customHeight="1">
      <c r="A308" s="88" t="str">
        <f>IFERROR(IF(売上入力!A105="","",IF(INDEX(マスター_OTA!$C$4:$C$29,MATCH(売上入力!D105,マスター_OTA!$A$4:$A$29,0))=0,"",DATE(YEAR(売上入力!A105),MONTH(売上入力!A105)+1,IFERROR(INDEX(マスター_OTA!$F$4:$F$29,MATCH(売上入力!D105,マスター_OTA!$A$4:$A$29,0)),25)))),"")</f>
        <v/>
      </c>
      <c r="B308" s="16" t="str">
        <f>IF(売上入力!B105="","",売上入力!B105)</f>
        <v/>
      </c>
      <c r="C308" s="16" t="str">
        <f>IF(売上入力!C105="","",売上入力!C105)</f>
        <v/>
      </c>
      <c r="D308" s="16" t="str">
        <f>IF(売上入力!D105="","",売上入力!D105)</f>
        <v/>
      </c>
      <c r="E308" s="89">
        <f>IFERROR(IF(売上入力!E105="",0,売上入力!E105*INDEX(マスター_OTA!$C$4:$C$29,MATCH(売上入力!D105,マスター_OTA!$A$4:$A$29,0))/100),0)</f>
        <v>0</v>
      </c>
      <c r="F308" s="90" t="str">
        <f>IF(売上入力!A105="","",売上入力!A105)</f>
        <v/>
      </c>
      <c r="G308" s="16" t="s">
        <v>385</v>
      </c>
    </row>
    <row r="309" spans="1:7" ht="15" customHeight="1">
      <c r="A309" s="88" t="str">
        <f>IFERROR(IF(売上入力!A105="","",IF(INDEX(マスター_OTA!$D$4:$D$29,MATCH(売上入力!D105,マスター_OTA!$A$4:$A$29,0))=0,"",DATE(YEAR(売上入力!A105),MONTH(売上入力!A105)+2,IFERROR(INDEX(マスター_OTA!$G$4:$G$29,MATCH(売上入力!D105,マスター_OTA!$A$4:$A$29,0)),25)))),"")</f>
        <v/>
      </c>
      <c r="B309" s="16" t="str">
        <f>IF(売上入力!B105="","",売上入力!B105)</f>
        <v/>
      </c>
      <c r="C309" s="16" t="str">
        <f>IF(売上入力!C105="","",売上入力!C105)</f>
        <v/>
      </c>
      <c r="D309" s="16" t="str">
        <f>IF(売上入力!D105="","",売上入力!D105)</f>
        <v/>
      </c>
      <c r="E309" s="89">
        <f>IFERROR(IF(売上入力!E105="",0,売上入力!E105*INDEX(マスター_OTA!$D$4:$D$29,MATCH(売上入力!D105,マスター_OTA!$A$4:$A$29,0))/100),0)</f>
        <v>0</v>
      </c>
      <c r="F309" s="90" t="str">
        <f>IF(売上入力!A105="","",売上入力!A105)</f>
        <v/>
      </c>
      <c r="G309" s="16" t="s">
        <v>386</v>
      </c>
    </row>
    <row r="310" spans="1:7" ht="15" customHeight="1">
      <c r="A310" s="88" t="str">
        <f>IFERROR(IF(売上入力!A106="","",IF(INDEX(マスター_OTA!$B$4:$B$29,MATCH(売上入力!D106,マスター_OTA!$A$4:$A$29,0))=0,"",DATE(YEAR(売上入力!A106),MONTH(売上入力!A106),IFERROR(INDEX(マスター_OTA!$E$4:$E$29,MATCH(売上入力!D106,マスター_OTA!$A$4:$A$29,0)),28)))),"")</f>
        <v/>
      </c>
      <c r="B310" s="16" t="str">
        <f>IF(売上入力!B106="","",売上入力!B106)</f>
        <v/>
      </c>
      <c r="C310" s="16" t="str">
        <f>IF(売上入力!C106="","",売上入力!C106)</f>
        <v/>
      </c>
      <c r="D310" s="16" t="str">
        <f>IF(売上入力!D106="","",売上入力!D106)</f>
        <v/>
      </c>
      <c r="E310" s="89">
        <f>IFERROR(IF(売上入力!E106="",0,売上入力!E106*INDEX(マスター_OTA!$B$4:$B$29,MATCH(売上入力!D106,マスター_OTA!$A$4:$A$29,0))/100),0)</f>
        <v>0</v>
      </c>
      <c r="F310" s="90" t="str">
        <f>IF(売上入力!A106="","",売上入力!A106)</f>
        <v/>
      </c>
      <c r="G310" s="16" t="s">
        <v>384</v>
      </c>
    </row>
    <row r="311" spans="1:7" ht="15" customHeight="1">
      <c r="A311" s="88" t="str">
        <f>IFERROR(IF(売上入力!A106="","",IF(INDEX(マスター_OTA!$C$4:$C$29,MATCH(売上入力!D106,マスター_OTA!$A$4:$A$29,0))=0,"",DATE(YEAR(売上入力!A106),MONTH(売上入力!A106)+1,IFERROR(INDEX(マスター_OTA!$F$4:$F$29,MATCH(売上入力!D106,マスター_OTA!$A$4:$A$29,0)),25)))),"")</f>
        <v/>
      </c>
      <c r="B311" s="16" t="str">
        <f>IF(売上入力!B106="","",売上入力!B106)</f>
        <v/>
      </c>
      <c r="C311" s="16" t="str">
        <f>IF(売上入力!C106="","",売上入力!C106)</f>
        <v/>
      </c>
      <c r="D311" s="16" t="str">
        <f>IF(売上入力!D106="","",売上入力!D106)</f>
        <v/>
      </c>
      <c r="E311" s="89">
        <f>IFERROR(IF(売上入力!E106="",0,売上入力!E106*INDEX(マスター_OTA!$C$4:$C$29,MATCH(売上入力!D106,マスター_OTA!$A$4:$A$29,0))/100),0)</f>
        <v>0</v>
      </c>
      <c r="F311" s="90" t="str">
        <f>IF(売上入力!A106="","",売上入力!A106)</f>
        <v/>
      </c>
      <c r="G311" s="16" t="s">
        <v>385</v>
      </c>
    </row>
    <row r="312" spans="1:7" ht="15" customHeight="1">
      <c r="A312" s="88" t="str">
        <f>IFERROR(IF(売上入力!A106="","",IF(INDEX(マスター_OTA!$D$4:$D$29,MATCH(売上入力!D106,マスター_OTA!$A$4:$A$29,0))=0,"",DATE(YEAR(売上入力!A106),MONTH(売上入力!A106)+2,IFERROR(INDEX(マスター_OTA!$G$4:$G$29,MATCH(売上入力!D106,マスター_OTA!$A$4:$A$29,0)),25)))),"")</f>
        <v/>
      </c>
      <c r="B312" s="16" t="str">
        <f>IF(売上入力!B106="","",売上入力!B106)</f>
        <v/>
      </c>
      <c r="C312" s="16" t="str">
        <f>IF(売上入力!C106="","",売上入力!C106)</f>
        <v/>
      </c>
      <c r="D312" s="16" t="str">
        <f>IF(売上入力!D106="","",売上入力!D106)</f>
        <v/>
      </c>
      <c r="E312" s="89">
        <f>IFERROR(IF(売上入力!E106="",0,売上入力!E106*INDEX(マスター_OTA!$D$4:$D$29,MATCH(売上入力!D106,マスター_OTA!$A$4:$A$29,0))/100),0)</f>
        <v>0</v>
      </c>
      <c r="F312" s="90" t="str">
        <f>IF(売上入力!A106="","",売上入力!A106)</f>
        <v/>
      </c>
      <c r="G312" s="16" t="s">
        <v>386</v>
      </c>
    </row>
    <row r="313" spans="1:7" ht="15" customHeight="1">
      <c r="A313" s="88" t="str">
        <f>IFERROR(IF(売上入力!A107="","",IF(INDEX(マスター_OTA!$B$4:$B$29,MATCH(売上入力!D107,マスター_OTA!$A$4:$A$29,0))=0,"",DATE(YEAR(売上入力!A107),MONTH(売上入力!A107),IFERROR(INDEX(マスター_OTA!$E$4:$E$29,MATCH(売上入力!D107,マスター_OTA!$A$4:$A$29,0)),28)))),"")</f>
        <v/>
      </c>
      <c r="B313" s="16" t="str">
        <f>IF(売上入力!B107="","",売上入力!B107)</f>
        <v/>
      </c>
      <c r="C313" s="16" t="str">
        <f>IF(売上入力!C107="","",売上入力!C107)</f>
        <v/>
      </c>
      <c r="D313" s="16" t="str">
        <f>IF(売上入力!D107="","",売上入力!D107)</f>
        <v/>
      </c>
      <c r="E313" s="89">
        <f>IFERROR(IF(売上入力!E107="",0,売上入力!E107*INDEX(マスター_OTA!$B$4:$B$29,MATCH(売上入力!D107,マスター_OTA!$A$4:$A$29,0))/100),0)</f>
        <v>0</v>
      </c>
      <c r="F313" s="90" t="str">
        <f>IF(売上入力!A107="","",売上入力!A107)</f>
        <v/>
      </c>
      <c r="G313" s="16" t="s">
        <v>384</v>
      </c>
    </row>
    <row r="314" spans="1:7" ht="15" customHeight="1">
      <c r="A314" s="88" t="str">
        <f>IFERROR(IF(売上入力!A107="","",IF(INDEX(マスター_OTA!$C$4:$C$29,MATCH(売上入力!D107,マスター_OTA!$A$4:$A$29,0))=0,"",DATE(YEAR(売上入力!A107),MONTH(売上入力!A107)+1,IFERROR(INDEX(マスター_OTA!$F$4:$F$29,MATCH(売上入力!D107,マスター_OTA!$A$4:$A$29,0)),25)))),"")</f>
        <v/>
      </c>
      <c r="B314" s="16" t="str">
        <f>IF(売上入力!B107="","",売上入力!B107)</f>
        <v/>
      </c>
      <c r="C314" s="16" t="str">
        <f>IF(売上入力!C107="","",売上入力!C107)</f>
        <v/>
      </c>
      <c r="D314" s="16" t="str">
        <f>IF(売上入力!D107="","",売上入力!D107)</f>
        <v/>
      </c>
      <c r="E314" s="89">
        <f>IFERROR(IF(売上入力!E107="",0,売上入力!E107*INDEX(マスター_OTA!$C$4:$C$29,MATCH(売上入力!D107,マスター_OTA!$A$4:$A$29,0))/100),0)</f>
        <v>0</v>
      </c>
      <c r="F314" s="90" t="str">
        <f>IF(売上入力!A107="","",売上入力!A107)</f>
        <v/>
      </c>
      <c r="G314" s="16" t="s">
        <v>385</v>
      </c>
    </row>
    <row r="315" spans="1:7" ht="15" customHeight="1">
      <c r="A315" s="88" t="str">
        <f>IFERROR(IF(売上入力!A107="","",IF(INDEX(マスター_OTA!$D$4:$D$29,MATCH(売上入力!D107,マスター_OTA!$A$4:$A$29,0))=0,"",DATE(YEAR(売上入力!A107),MONTH(売上入力!A107)+2,IFERROR(INDEX(マスター_OTA!$G$4:$G$29,MATCH(売上入力!D107,マスター_OTA!$A$4:$A$29,0)),25)))),"")</f>
        <v/>
      </c>
      <c r="B315" s="16" t="str">
        <f>IF(売上入力!B107="","",売上入力!B107)</f>
        <v/>
      </c>
      <c r="C315" s="16" t="str">
        <f>IF(売上入力!C107="","",売上入力!C107)</f>
        <v/>
      </c>
      <c r="D315" s="16" t="str">
        <f>IF(売上入力!D107="","",売上入力!D107)</f>
        <v/>
      </c>
      <c r="E315" s="89">
        <f>IFERROR(IF(売上入力!E107="",0,売上入力!E107*INDEX(マスター_OTA!$D$4:$D$29,MATCH(売上入力!D107,マスター_OTA!$A$4:$A$29,0))/100),0)</f>
        <v>0</v>
      </c>
      <c r="F315" s="90" t="str">
        <f>IF(売上入力!A107="","",売上入力!A107)</f>
        <v/>
      </c>
      <c r="G315" s="16" t="s">
        <v>386</v>
      </c>
    </row>
    <row r="316" spans="1:7" ht="15" customHeight="1">
      <c r="A316" s="88" t="str">
        <f>IFERROR(IF(売上入力!A108="","",IF(INDEX(マスター_OTA!$B$4:$B$29,MATCH(売上入力!D108,マスター_OTA!$A$4:$A$29,0))=0,"",DATE(YEAR(売上入力!A108),MONTH(売上入力!A108),IFERROR(INDEX(マスター_OTA!$E$4:$E$29,MATCH(売上入力!D108,マスター_OTA!$A$4:$A$29,0)),28)))),"")</f>
        <v/>
      </c>
      <c r="B316" s="16" t="str">
        <f>IF(売上入力!B108="","",売上入力!B108)</f>
        <v/>
      </c>
      <c r="C316" s="16" t="str">
        <f>IF(売上入力!C108="","",売上入力!C108)</f>
        <v/>
      </c>
      <c r="D316" s="16" t="str">
        <f>IF(売上入力!D108="","",売上入力!D108)</f>
        <v/>
      </c>
      <c r="E316" s="89">
        <f>IFERROR(IF(売上入力!E108="",0,売上入力!E108*INDEX(マスター_OTA!$B$4:$B$29,MATCH(売上入力!D108,マスター_OTA!$A$4:$A$29,0))/100),0)</f>
        <v>0</v>
      </c>
      <c r="F316" s="90" t="str">
        <f>IF(売上入力!A108="","",売上入力!A108)</f>
        <v/>
      </c>
      <c r="G316" s="16" t="s">
        <v>384</v>
      </c>
    </row>
    <row r="317" spans="1:7" ht="15" customHeight="1">
      <c r="A317" s="88" t="str">
        <f>IFERROR(IF(売上入力!A108="","",IF(INDEX(マスター_OTA!$C$4:$C$29,MATCH(売上入力!D108,マスター_OTA!$A$4:$A$29,0))=0,"",DATE(YEAR(売上入力!A108),MONTH(売上入力!A108)+1,IFERROR(INDEX(マスター_OTA!$F$4:$F$29,MATCH(売上入力!D108,マスター_OTA!$A$4:$A$29,0)),25)))),"")</f>
        <v/>
      </c>
      <c r="B317" s="16" t="str">
        <f>IF(売上入力!B108="","",売上入力!B108)</f>
        <v/>
      </c>
      <c r="C317" s="16" t="str">
        <f>IF(売上入力!C108="","",売上入力!C108)</f>
        <v/>
      </c>
      <c r="D317" s="16" t="str">
        <f>IF(売上入力!D108="","",売上入力!D108)</f>
        <v/>
      </c>
      <c r="E317" s="89">
        <f>IFERROR(IF(売上入力!E108="",0,売上入力!E108*INDEX(マスター_OTA!$C$4:$C$29,MATCH(売上入力!D108,マスター_OTA!$A$4:$A$29,0))/100),0)</f>
        <v>0</v>
      </c>
      <c r="F317" s="90" t="str">
        <f>IF(売上入力!A108="","",売上入力!A108)</f>
        <v/>
      </c>
      <c r="G317" s="16" t="s">
        <v>385</v>
      </c>
    </row>
    <row r="318" spans="1:7" ht="15" customHeight="1">
      <c r="A318" s="88" t="str">
        <f>IFERROR(IF(売上入力!A108="","",IF(INDEX(マスター_OTA!$D$4:$D$29,MATCH(売上入力!D108,マスター_OTA!$A$4:$A$29,0))=0,"",DATE(YEAR(売上入力!A108),MONTH(売上入力!A108)+2,IFERROR(INDEX(マスター_OTA!$G$4:$G$29,MATCH(売上入力!D108,マスター_OTA!$A$4:$A$29,0)),25)))),"")</f>
        <v/>
      </c>
      <c r="B318" s="16" t="str">
        <f>IF(売上入力!B108="","",売上入力!B108)</f>
        <v/>
      </c>
      <c r="C318" s="16" t="str">
        <f>IF(売上入力!C108="","",売上入力!C108)</f>
        <v/>
      </c>
      <c r="D318" s="16" t="str">
        <f>IF(売上入力!D108="","",売上入力!D108)</f>
        <v/>
      </c>
      <c r="E318" s="89">
        <f>IFERROR(IF(売上入力!E108="",0,売上入力!E108*INDEX(マスター_OTA!$D$4:$D$29,MATCH(売上入力!D108,マスター_OTA!$A$4:$A$29,0))/100),0)</f>
        <v>0</v>
      </c>
      <c r="F318" s="90" t="str">
        <f>IF(売上入力!A108="","",売上入力!A108)</f>
        <v/>
      </c>
      <c r="G318" s="16" t="s">
        <v>386</v>
      </c>
    </row>
    <row r="319" spans="1:7" ht="15" customHeight="1">
      <c r="A319" s="88" t="str">
        <f>IFERROR(IF(売上入力!A109="","",IF(INDEX(マスター_OTA!$B$4:$B$29,MATCH(売上入力!D109,マスター_OTA!$A$4:$A$29,0))=0,"",DATE(YEAR(売上入力!A109),MONTH(売上入力!A109),IFERROR(INDEX(マスター_OTA!$E$4:$E$29,MATCH(売上入力!D109,マスター_OTA!$A$4:$A$29,0)),28)))),"")</f>
        <v/>
      </c>
      <c r="B319" s="16" t="str">
        <f>IF(売上入力!B109="","",売上入力!B109)</f>
        <v/>
      </c>
      <c r="C319" s="16" t="str">
        <f>IF(売上入力!C109="","",売上入力!C109)</f>
        <v/>
      </c>
      <c r="D319" s="16" t="str">
        <f>IF(売上入力!D109="","",売上入力!D109)</f>
        <v/>
      </c>
      <c r="E319" s="89">
        <f>IFERROR(IF(売上入力!E109="",0,売上入力!E109*INDEX(マスター_OTA!$B$4:$B$29,MATCH(売上入力!D109,マスター_OTA!$A$4:$A$29,0))/100),0)</f>
        <v>0</v>
      </c>
      <c r="F319" s="90" t="str">
        <f>IF(売上入力!A109="","",売上入力!A109)</f>
        <v/>
      </c>
      <c r="G319" s="16" t="s">
        <v>384</v>
      </c>
    </row>
    <row r="320" spans="1:7" ht="15" customHeight="1">
      <c r="A320" s="88" t="str">
        <f>IFERROR(IF(売上入力!A109="","",IF(INDEX(マスター_OTA!$C$4:$C$29,MATCH(売上入力!D109,マスター_OTA!$A$4:$A$29,0))=0,"",DATE(YEAR(売上入力!A109),MONTH(売上入力!A109)+1,IFERROR(INDEX(マスター_OTA!$F$4:$F$29,MATCH(売上入力!D109,マスター_OTA!$A$4:$A$29,0)),25)))),"")</f>
        <v/>
      </c>
      <c r="B320" s="16" t="str">
        <f>IF(売上入力!B109="","",売上入力!B109)</f>
        <v/>
      </c>
      <c r="C320" s="16" t="str">
        <f>IF(売上入力!C109="","",売上入力!C109)</f>
        <v/>
      </c>
      <c r="D320" s="16" t="str">
        <f>IF(売上入力!D109="","",売上入力!D109)</f>
        <v/>
      </c>
      <c r="E320" s="89">
        <f>IFERROR(IF(売上入力!E109="",0,売上入力!E109*INDEX(マスター_OTA!$C$4:$C$29,MATCH(売上入力!D109,マスター_OTA!$A$4:$A$29,0))/100),0)</f>
        <v>0</v>
      </c>
      <c r="F320" s="90" t="str">
        <f>IF(売上入力!A109="","",売上入力!A109)</f>
        <v/>
      </c>
      <c r="G320" s="16" t="s">
        <v>385</v>
      </c>
    </row>
    <row r="321" spans="1:7" ht="15" customHeight="1">
      <c r="A321" s="88" t="str">
        <f>IFERROR(IF(売上入力!A109="","",IF(INDEX(マスター_OTA!$D$4:$D$29,MATCH(売上入力!D109,マスター_OTA!$A$4:$A$29,0))=0,"",DATE(YEAR(売上入力!A109),MONTH(売上入力!A109)+2,IFERROR(INDEX(マスター_OTA!$G$4:$G$29,MATCH(売上入力!D109,マスター_OTA!$A$4:$A$29,0)),25)))),"")</f>
        <v/>
      </c>
      <c r="B321" s="16" t="str">
        <f>IF(売上入力!B109="","",売上入力!B109)</f>
        <v/>
      </c>
      <c r="C321" s="16" t="str">
        <f>IF(売上入力!C109="","",売上入力!C109)</f>
        <v/>
      </c>
      <c r="D321" s="16" t="str">
        <f>IF(売上入力!D109="","",売上入力!D109)</f>
        <v/>
      </c>
      <c r="E321" s="89">
        <f>IFERROR(IF(売上入力!E109="",0,売上入力!E109*INDEX(マスター_OTA!$D$4:$D$29,MATCH(売上入力!D109,マスター_OTA!$A$4:$A$29,0))/100),0)</f>
        <v>0</v>
      </c>
      <c r="F321" s="90" t="str">
        <f>IF(売上入力!A109="","",売上入力!A109)</f>
        <v/>
      </c>
      <c r="G321" s="16" t="s">
        <v>386</v>
      </c>
    </row>
    <row r="322" spans="1:7" ht="15" customHeight="1">
      <c r="A322" s="88" t="str">
        <f>IFERROR(IF(売上入力!A110="","",IF(INDEX(マスター_OTA!$B$4:$B$29,MATCH(売上入力!D110,マスター_OTA!$A$4:$A$29,0))=0,"",DATE(YEAR(売上入力!A110),MONTH(売上入力!A110),IFERROR(INDEX(マスター_OTA!$E$4:$E$29,MATCH(売上入力!D110,マスター_OTA!$A$4:$A$29,0)),28)))),"")</f>
        <v/>
      </c>
      <c r="B322" s="16" t="str">
        <f>IF(売上入力!B110="","",売上入力!B110)</f>
        <v/>
      </c>
      <c r="C322" s="16" t="str">
        <f>IF(売上入力!C110="","",売上入力!C110)</f>
        <v/>
      </c>
      <c r="D322" s="16" t="str">
        <f>IF(売上入力!D110="","",売上入力!D110)</f>
        <v/>
      </c>
      <c r="E322" s="89">
        <f>IFERROR(IF(売上入力!E110="",0,売上入力!E110*INDEX(マスター_OTA!$B$4:$B$29,MATCH(売上入力!D110,マスター_OTA!$A$4:$A$29,0))/100),0)</f>
        <v>0</v>
      </c>
      <c r="F322" s="90" t="str">
        <f>IF(売上入力!A110="","",売上入力!A110)</f>
        <v/>
      </c>
      <c r="G322" s="16" t="s">
        <v>384</v>
      </c>
    </row>
    <row r="323" spans="1:7" ht="15" customHeight="1">
      <c r="A323" s="88" t="str">
        <f>IFERROR(IF(売上入力!A110="","",IF(INDEX(マスター_OTA!$C$4:$C$29,MATCH(売上入力!D110,マスター_OTA!$A$4:$A$29,0))=0,"",DATE(YEAR(売上入力!A110),MONTH(売上入力!A110)+1,IFERROR(INDEX(マスター_OTA!$F$4:$F$29,MATCH(売上入力!D110,マスター_OTA!$A$4:$A$29,0)),25)))),"")</f>
        <v/>
      </c>
      <c r="B323" s="16" t="str">
        <f>IF(売上入力!B110="","",売上入力!B110)</f>
        <v/>
      </c>
      <c r="C323" s="16" t="str">
        <f>IF(売上入力!C110="","",売上入力!C110)</f>
        <v/>
      </c>
      <c r="D323" s="16" t="str">
        <f>IF(売上入力!D110="","",売上入力!D110)</f>
        <v/>
      </c>
      <c r="E323" s="89">
        <f>IFERROR(IF(売上入力!E110="",0,売上入力!E110*INDEX(マスター_OTA!$C$4:$C$29,MATCH(売上入力!D110,マスター_OTA!$A$4:$A$29,0))/100),0)</f>
        <v>0</v>
      </c>
      <c r="F323" s="90" t="str">
        <f>IF(売上入力!A110="","",売上入力!A110)</f>
        <v/>
      </c>
      <c r="G323" s="16" t="s">
        <v>385</v>
      </c>
    </row>
    <row r="324" spans="1:7" ht="15" customHeight="1">
      <c r="A324" s="88" t="str">
        <f>IFERROR(IF(売上入力!A110="","",IF(INDEX(マスター_OTA!$D$4:$D$29,MATCH(売上入力!D110,マスター_OTA!$A$4:$A$29,0))=0,"",DATE(YEAR(売上入力!A110),MONTH(売上入力!A110)+2,IFERROR(INDEX(マスター_OTA!$G$4:$G$29,MATCH(売上入力!D110,マスター_OTA!$A$4:$A$29,0)),25)))),"")</f>
        <v/>
      </c>
      <c r="B324" s="16" t="str">
        <f>IF(売上入力!B110="","",売上入力!B110)</f>
        <v/>
      </c>
      <c r="C324" s="16" t="str">
        <f>IF(売上入力!C110="","",売上入力!C110)</f>
        <v/>
      </c>
      <c r="D324" s="16" t="str">
        <f>IF(売上入力!D110="","",売上入力!D110)</f>
        <v/>
      </c>
      <c r="E324" s="89">
        <f>IFERROR(IF(売上入力!E110="",0,売上入力!E110*INDEX(マスター_OTA!$D$4:$D$29,MATCH(売上入力!D110,マスター_OTA!$A$4:$A$29,0))/100),0)</f>
        <v>0</v>
      </c>
      <c r="F324" s="90" t="str">
        <f>IF(売上入力!A110="","",売上入力!A110)</f>
        <v/>
      </c>
      <c r="G324" s="16" t="s">
        <v>386</v>
      </c>
    </row>
    <row r="325" spans="1:7" ht="15" customHeight="1">
      <c r="A325" s="88" t="str">
        <f>IFERROR(IF(売上入力!A111="","",IF(INDEX(マスター_OTA!$B$4:$B$29,MATCH(売上入力!D111,マスター_OTA!$A$4:$A$29,0))=0,"",DATE(YEAR(売上入力!A111),MONTH(売上入力!A111),IFERROR(INDEX(マスター_OTA!$E$4:$E$29,MATCH(売上入力!D111,マスター_OTA!$A$4:$A$29,0)),28)))),"")</f>
        <v/>
      </c>
      <c r="B325" s="16" t="str">
        <f>IF(売上入力!B111="","",売上入力!B111)</f>
        <v/>
      </c>
      <c r="C325" s="16" t="str">
        <f>IF(売上入力!C111="","",売上入力!C111)</f>
        <v/>
      </c>
      <c r="D325" s="16" t="str">
        <f>IF(売上入力!D111="","",売上入力!D111)</f>
        <v/>
      </c>
      <c r="E325" s="89">
        <f>IFERROR(IF(売上入力!E111="",0,売上入力!E111*INDEX(マスター_OTA!$B$4:$B$29,MATCH(売上入力!D111,マスター_OTA!$A$4:$A$29,0))/100),0)</f>
        <v>0</v>
      </c>
      <c r="F325" s="90" t="str">
        <f>IF(売上入力!A111="","",売上入力!A111)</f>
        <v/>
      </c>
      <c r="G325" s="16" t="s">
        <v>384</v>
      </c>
    </row>
    <row r="326" spans="1:7" ht="15" customHeight="1">
      <c r="A326" s="88" t="str">
        <f>IFERROR(IF(売上入力!A111="","",IF(INDEX(マスター_OTA!$C$4:$C$29,MATCH(売上入力!D111,マスター_OTA!$A$4:$A$29,0))=0,"",DATE(YEAR(売上入力!A111),MONTH(売上入力!A111)+1,IFERROR(INDEX(マスター_OTA!$F$4:$F$29,MATCH(売上入力!D111,マスター_OTA!$A$4:$A$29,0)),25)))),"")</f>
        <v/>
      </c>
      <c r="B326" s="16" t="str">
        <f>IF(売上入力!B111="","",売上入力!B111)</f>
        <v/>
      </c>
      <c r="C326" s="16" t="str">
        <f>IF(売上入力!C111="","",売上入力!C111)</f>
        <v/>
      </c>
      <c r="D326" s="16" t="str">
        <f>IF(売上入力!D111="","",売上入力!D111)</f>
        <v/>
      </c>
      <c r="E326" s="89">
        <f>IFERROR(IF(売上入力!E111="",0,売上入力!E111*INDEX(マスター_OTA!$C$4:$C$29,MATCH(売上入力!D111,マスター_OTA!$A$4:$A$29,0))/100),0)</f>
        <v>0</v>
      </c>
      <c r="F326" s="90" t="str">
        <f>IF(売上入力!A111="","",売上入力!A111)</f>
        <v/>
      </c>
      <c r="G326" s="16" t="s">
        <v>385</v>
      </c>
    </row>
    <row r="327" spans="1:7" ht="15" customHeight="1">
      <c r="A327" s="88" t="str">
        <f>IFERROR(IF(売上入力!A111="","",IF(INDEX(マスター_OTA!$D$4:$D$29,MATCH(売上入力!D111,マスター_OTA!$A$4:$A$29,0))=0,"",DATE(YEAR(売上入力!A111),MONTH(売上入力!A111)+2,IFERROR(INDEX(マスター_OTA!$G$4:$G$29,MATCH(売上入力!D111,マスター_OTA!$A$4:$A$29,0)),25)))),"")</f>
        <v/>
      </c>
      <c r="B327" s="16" t="str">
        <f>IF(売上入力!B111="","",売上入力!B111)</f>
        <v/>
      </c>
      <c r="C327" s="16" t="str">
        <f>IF(売上入力!C111="","",売上入力!C111)</f>
        <v/>
      </c>
      <c r="D327" s="16" t="str">
        <f>IF(売上入力!D111="","",売上入力!D111)</f>
        <v/>
      </c>
      <c r="E327" s="89">
        <f>IFERROR(IF(売上入力!E111="",0,売上入力!E111*INDEX(マスター_OTA!$D$4:$D$29,MATCH(売上入力!D111,マスター_OTA!$A$4:$A$29,0))/100),0)</f>
        <v>0</v>
      </c>
      <c r="F327" s="90" t="str">
        <f>IF(売上入力!A111="","",売上入力!A111)</f>
        <v/>
      </c>
      <c r="G327" s="16" t="s">
        <v>386</v>
      </c>
    </row>
    <row r="328" spans="1:7" ht="15" customHeight="1">
      <c r="A328" s="88" t="str">
        <f>IFERROR(IF(売上入力!A112="","",IF(INDEX(マスター_OTA!$B$4:$B$29,MATCH(売上入力!D112,マスター_OTA!$A$4:$A$29,0))=0,"",DATE(YEAR(売上入力!A112),MONTH(売上入力!A112),IFERROR(INDEX(マスター_OTA!$E$4:$E$29,MATCH(売上入力!D112,マスター_OTA!$A$4:$A$29,0)),28)))),"")</f>
        <v/>
      </c>
      <c r="B328" s="16" t="str">
        <f>IF(売上入力!B112="","",売上入力!B112)</f>
        <v/>
      </c>
      <c r="C328" s="16" t="str">
        <f>IF(売上入力!C112="","",売上入力!C112)</f>
        <v/>
      </c>
      <c r="D328" s="16" t="str">
        <f>IF(売上入力!D112="","",売上入力!D112)</f>
        <v/>
      </c>
      <c r="E328" s="89">
        <f>IFERROR(IF(売上入力!E112="",0,売上入力!E112*INDEX(マスター_OTA!$B$4:$B$29,MATCH(売上入力!D112,マスター_OTA!$A$4:$A$29,0))/100),0)</f>
        <v>0</v>
      </c>
      <c r="F328" s="90" t="str">
        <f>IF(売上入力!A112="","",売上入力!A112)</f>
        <v/>
      </c>
      <c r="G328" s="16" t="s">
        <v>384</v>
      </c>
    </row>
    <row r="329" spans="1:7" ht="15" customHeight="1">
      <c r="A329" s="88" t="str">
        <f>IFERROR(IF(売上入力!A112="","",IF(INDEX(マスター_OTA!$C$4:$C$29,MATCH(売上入力!D112,マスター_OTA!$A$4:$A$29,0))=0,"",DATE(YEAR(売上入力!A112),MONTH(売上入力!A112)+1,IFERROR(INDEX(マスター_OTA!$F$4:$F$29,MATCH(売上入力!D112,マスター_OTA!$A$4:$A$29,0)),25)))),"")</f>
        <v/>
      </c>
      <c r="B329" s="16" t="str">
        <f>IF(売上入力!B112="","",売上入力!B112)</f>
        <v/>
      </c>
      <c r="C329" s="16" t="str">
        <f>IF(売上入力!C112="","",売上入力!C112)</f>
        <v/>
      </c>
      <c r="D329" s="16" t="str">
        <f>IF(売上入力!D112="","",売上入力!D112)</f>
        <v/>
      </c>
      <c r="E329" s="89">
        <f>IFERROR(IF(売上入力!E112="",0,売上入力!E112*INDEX(マスター_OTA!$C$4:$C$29,MATCH(売上入力!D112,マスター_OTA!$A$4:$A$29,0))/100),0)</f>
        <v>0</v>
      </c>
      <c r="F329" s="90" t="str">
        <f>IF(売上入力!A112="","",売上入力!A112)</f>
        <v/>
      </c>
      <c r="G329" s="16" t="s">
        <v>385</v>
      </c>
    </row>
    <row r="330" spans="1:7" ht="15" customHeight="1">
      <c r="A330" s="88" t="str">
        <f>IFERROR(IF(売上入力!A112="","",IF(INDEX(マスター_OTA!$D$4:$D$29,MATCH(売上入力!D112,マスター_OTA!$A$4:$A$29,0))=0,"",DATE(YEAR(売上入力!A112),MONTH(売上入力!A112)+2,IFERROR(INDEX(マスター_OTA!$G$4:$G$29,MATCH(売上入力!D112,マスター_OTA!$A$4:$A$29,0)),25)))),"")</f>
        <v/>
      </c>
      <c r="B330" s="16" t="str">
        <f>IF(売上入力!B112="","",売上入力!B112)</f>
        <v/>
      </c>
      <c r="C330" s="16" t="str">
        <f>IF(売上入力!C112="","",売上入力!C112)</f>
        <v/>
      </c>
      <c r="D330" s="16" t="str">
        <f>IF(売上入力!D112="","",売上入力!D112)</f>
        <v/>
      </c>
      <c r="E330" s="89">
        <f>IFERROR(IF(売上入力!E112="",0,売上入力!E112*INDEX(マスター_OTA!$D$4:$D$29,MATCH(売上入力!D112,マスター_OTA!$A$4:$A$29,0))/100),0)</f>
        <v>0</v>
      </c>
      <c r="F330" s="90" t="str">
        <f>IF(売上入力!A112="","",売上入力!A112)</f>
        <v/>
      </c>
      <c r="G330" s="16" t="s">
        <v>386</v>
      </c>
    </row>
    <row r="331" spans="1:7" ht="15" customHeight="1">
      <c r="A331" s="88" t="str">
        <f>IFERROR(IF(売上入力!A113="","",IF(INDEX(マスター_OTA!$B$4:$B$29,MATCH(売上入力!D113,マスター_OTA!$A$4:$A$29,0))=0,"",DATE(YEAR(売上入力!A113),MONTH(売上入力!A113),IFERROR(INDEX(マスター_OTA!$E$4:$E$29,MATCH(売上入力!D113,マスター_OTA!$A$4:$A$29,0)),28)))),"")</f>
        <v/>
      </c>
      <c r="B331" s="16" t="str">
        <f>IF(売上入力!B113="","",売上入力!B113)</f>
        <v/>
      </c>
      <c r="C331" s="16" t="str">
        <f>IF(売上入力!C113="","",売上入力!C113)</f>
        <v/>
      </c>
      <c r="D331" s="16" t="str">
        <f>IF(売上入力!D113="","",売上入力!D113)</f>
        <v/>
      </c>
      <c r="E331" s="89">
        <f>IFERROR(IF(売上入力!E113="",0,売上入力!E113*INDEX(マスター_OTA!$B$4:$B$29,MATCH(売上入力!D113,マスター_OTA!$A$4:$A$29,0))/100),0)</f>
        <v>0</v>
      </c>
      <c r="F331" s="90" t="str">
        <f>IF(売上入力!A113="","",売上入力!A113)</f>
        <v/>
      </c>
      <c r="G331" s="16" t="s">
        <v>384</v>
      </c>
    </row>
    <row r="332" spans="1:7" ht="15" customHeight="1">
      <c r="A332" s="88" t="str">
        <f>IFERROR(IF(売上入力!A113="","",IF(INDEX(マスター_OTA!$C$4:$C$29,MATCH(売上入力!D113,マスター_OTA!$A$4:$A$29,0))=0,"",DATE(YEAR(売上入力!A113),MONTH(売上入力!A113)+1,IFERROR(INDEX(マスター_OTA!$F$4:$F$29,MATCH(売上入力!D113,マスター_OTA!$A$4:$A$29,0)),25)))),"")</f>
        <v/>
      </c>
      <c r="B332" s="16" t="str">
        <f>IF(売上入力!B113="","",売上入力!B113)</f>
        <v/>
      </c>
      <c r="C332" s="16" t="str">
        <f>IF(売上入力!C113="","",売上入力!C113)</f>
        <v/>
      </c>
      <c r="D332" s="16" t="str">
        <f>IF(売上入力!D113="","",売上入力!D113)</f>
        <v/>
      </c>
      <c r="E332" s="89">
        <f>IFERROR(IF(売上入力!E113="",0,売上入力!E113*INDEX(マスター_OTA!$C$4:$C$29,MATCH(売上入力!D113,マスター_OTA!$A$4:$A$29,0))/100),0)</f>
        <v>0</v>
      </c>
      <c r="F332" s="90" t="str">
        <f>IF(売上入力!A113="","",売上入力!A113)</f>
        <v/>
      </c>
      <c r="G332" s="16" t="s">
        <v>385</v>
      </c>
    </row>
    <row r="333" spans="1:7" ht="15" customHeight="1">
      <c r="A333" s="88" t="str">
        <f>IFERROR(IF(売上入力!A113="","",IF(INDEX(マスター_OTA!$D$4:$D$29,MATCH(売上入力!D113,マスター_OTA!$A$4:$A$29,0))=0,"",DATE(YEAR(売上入力!A113),MONTH(売上入力!A113)+2,IFERROR(INDEX(マスター_OTA!$G$4:$G$29,MATCH(売上入力!D113,マスター_OTA!$A$4:$A$29,0)),25)))),"")</f>
        <v/>
      </c>
      <c r="B333" s="16" t="str">
        <f>IF(売上入力!B113="","",売上入力!B113)</f>
        <v/>
      </c>
      <c r="C333" s="16" t="str">
        <f>IF(売上入力!C113="","",売上入力!C113)</f>
        <v/>
      </c>
      <c r="D333" s="16" t="str">
        <f>IF(売上入力!D113="","",売上入力!D113)</f>
        <v/>
      </c>
      <c r="E333" s="89">
        <f>IFERROR(IF(売上入力!E113="",0,売上入力!E113*INDEX(マスター_OTA!$D$4:$D$29,MATCH(売上入力!D113,マスター_OTA!$A$4:$A$29,0))/100),0)</f>
        <v>0</v>
      </c>
      <c r="F333" s="90" t="str">
        <f>IF(売上入力!A113="","",売上入力!A113)</f>
        <v/>
      </c>
      <c r="G333" s="16" t="s">
        <v>386</v>
      </c>
    </row>
    <row r="334" spans="1:7" ht="15" customHeight="1">
      <c r="A334" s="88" t="str">
        <f>IFERROR(IF(売上入力!A114="","",IF(INDEX(マスター_OTA!$B$4:$B$29,MATCH(売上入力!D114,マスター_OTA!$A$4:$A$29,0))=0,"",DATE(YEAR(売上入力!A114),MONTH(売上入力!A114),IFERROR(INDEX(マスター_OTA!$E$4:$E$29,MATCH(売上入力!D114,マスター_OTA!$A$4:$A$29,0)),28)))),"")</f>
        <v/>
      </c>
      <c r="B334" s="16" t="str">
        <f>IF(売上入力!B114="","",売上入力!B114)</f>
        <v/>
      </c>
      <c r="C334" s="16" t="str">
        <f>IF(売上入力!C114="","",売上入力!C114)</f>
        <v/>
      </c>
      <c r="D334" s="16" t="str">
        <f>IF(売上入力!D114="","",売上入力!D114)</f>
        <v/>
      </c>
      <c r="E334" s="89">
        <f>IFERROR(IF(売上入力!E114="",0,売上入力!E114*INDEX(マスター_OTA!$B$4:$B$29,MATCH(売上入力!D114,マスター_OTA!$A$4:$A$29,0))/100),0)</f>
        <v>0</v>
      </c>
      <c r="F334" s="90" t="str">
        <f>IF(売上入力!A114="","",売上入力!A114)</f>
        <v/>
      </c>
      <c r="G334" s="16" t="s">
        <v>384</v>
      </c>
    </row>
    <row r="335" spans="1:7" ht="15" customHeight="1">
      <c r="A335" s="88" t="str">
        <f>IFERROR(IF(売上入力!A114="","",IF(INDEX(マスター_OTA!$C$4:$C$29,MATCH(売上入力!D114,マスター_OTA!$A$4:$A$29,0))=0,"",DATE(YEAR(売上入力!A114),MONTH(売上入力!A114)+1,IFERROR(INDEX(マスター_OTA!$F$4:$F$29,MATCH(売上入力!D114,マスター_OTA!$A$4:$A$29,0)),25)))),"")</f>
        <v/>
      </c>
      <c r="B335" s="16" t="str">
        <f>IF(売上入力!B114="","",売上入力!B114)</f>
        <v/>
      </c>
      <c r="C335" s="16" t="str">
        <f>IF(売上入力!C114="","",売上入力!C114)</f>
        <v/>
      </c>
      <c r="D335" s="16" t="str">
        <f>IF(売上入力!D114="","",売上入力!D114)</f>
        <v/>
      </c>
      <c r="E335" s="89">
        <f>IFERROR(IF(売上入力!E114="",0,売上入力!E114*INDEX(マスター_OTA!$C$4:$C$29,MATCH(売上入力!D114,マスター_OTA!$A$4:$A$29,0))/100),0)</f>
        <v>0</v>
      </c>
      <c r="F335" s="90" t="str">
        <f>IF(売上入力!A114="","",売上入力!A114)</f>
        <v/>
      </c>
      <c r="G335" s="16" t="s">
        <v>385</v>
      </c>
    </row>
    <row r="336" spans="1:7" ht="15" customHeight="1">
      <c r="A336" s="88" t="str">
        <f>IFERROR(IF(売上入力!A114="","",IF(INDEX(マスター_OTA!$D$4:$D$29,MATCH(売上入力!D114,マスター_OTA!$A$4:$A$29,0))=0,"",DATE(YEAR(売上入力!A114),MONTH(売上入力!A114)+2,IFERROR(INDEX(マスター_OTA!$G$4:$G$29,MATCH(売上入力!D114,マスター_OTA!$A$4:$A$29,0)),25)))),"")</f>
        <v/>
      </c>
      <c r="B336" s="16" t="str">
        <f>IF(売上入力!B114="","",売上入力!B114)</f>
        <v/>
      </c>
      <c r="C336" s="16" t="str">
        <f>IF(売上入力!C114="","",売上入力!C114)</f>
        <v/>
      </c>
      <c r="D336" s="16" t="str">
        <f>IF(売上入力!D114="","",売上入力!D114)</f>
        <v/>
      </c>
      <c r="E336" s="89">
        <f>IFERROR(IF(売上入力!E114="",0,売上入力!E114*INDEX(マスター_OTA!$D$4:$D$29,MATCH(売上入力!D114,マスター_OTA!$A$4:$A$29,0))/100),0)</f>
        <v>0</v>
      </c>
      <c r="F336" s="90" t="str">
        <f>IF(売上入力!A114="","",売上入力!A114)</f>
        <v/>
      </c>
      <c r="G336" s="16" t="s">
        <v>386</v>
      </c>
    </row>
    <row r="337" spans="1:7" ht="15" customHeight="1">
      <c r="A337" s="88" t="str">
        <f>IFERROR(IF(売上入力!A115="","",IF(INDEX(マスター_OTA!$B$4:$B$29,MATCH(売上入力!D115,マスター_OTA!$A$4:$A$29,0))=0,"",DATE(YEAR(売上入力!A115),MONTH(売上入力!A115),IFERROR(INDEX(マスター_OTA!$E$4:$E$29,MATCH(売上入力!D115,マスター_OTA!$A$4:$A$29,0)),28)))),"")</f>
        <v/>
      </c>
      <c r="B337" s="16" t="str">
        <f>IF(売上入力!B115="","",売上入力!B115)</f>
        <v/>
      </c>
      <c r="C337" s="16" t="str">
        <f>IF(売上入力!C115="","",売上入力!C115)</f>
        <v/>
      </c>
      <c r="D337" s="16" t="str">
        <f>IF(売上入力!D115="","",売上入力!D115)</f>
        <v/>
      </c>
      <c r="E337" s="89">
        <f>IFERROR(IF(売上入力!E115="",0,売上入力!E115*INDEX(マスター_OTA!$B$4:$B$29,MATCH(売上入力!D115,マスター_OTA!$A$4:$A$29,0))/100),0)</f>
        <v>0</v>
      </c>
      <c r="F337" s="90" t="str">
        <f>IF(売上入力!A115="","",売上入力!A115)</f>
        <v/>
      </c>
      <c r="G337" s="16" t="s">
        <v>384</v>
      </c>
    </row>
    <row r="338" spans="1:7" ht="15" customHeight="1">
      <c r="A338" s="88" t="str">
        <f>IFERROR(IF(売上入力!A115="","",IF(INDEX(マスター_OTA!$C$4:$C$29,MATCH(売上入力!D115,マスター_OTA!$A$4:$A$29,0))=0,"",DATE(YEAR(売上入力!A115),MONTH(売上入力!A115)+1,IFERROR(INDEX(マスター_OTA!$F$4:$F$29,MATCH(売上入力!D115,マスター_OTA!$A$4:$A$29,0)),25)))),"")</f>
        <v/>
      </c>
      <c r="B338" s="16" t="str">
        <f>IF(売上入力!B115="","",売上入力!B115)</f>
        <v/>
      </c>
      <c r="C338" s="16" t="str">
        <f>IF(売上入力!C115="","",売上入力!C115)</f>
        <v/>
      </c>
      <c r="D338" s="16" t="str">
        <f>IF(売上入力!D115="","",売上入力!D115)</f>
        <v/>
      </c>
      <c r="E338" s="89">
        <f>IFERROR(IF(売上入力!E115="",0,売上入力!E115*INDEX(マスター_OTA!$C$4:$C$29,MATCH(売上入力!D115,マスター_OTA!$A$4:$A$29,0))/100),0)</f>
        <v>0</v>
      </c>
      <c r="F338" s="90" t="str">
        <f>IF(売上入力!A115="","",売上入力!A115)</f>
        <v/>
      </c>
      <c r="G338" s="16" t="s">
        <v>385</v>
      </c>
    </row>
    <row r="339" spans="1:7" ht="15" customHeight="1">
      <c r="A339" s="88" t="str">
        <f>IFERROR(IF(売上入力!A115="","",IF(INDEX(マスター_OTA!$D$4:$D$29,MATCH(売上入力!D115,マスター_OTA!$A$4:$A$29,0))=0,"",DATE(YEAR(売上入力!A115),MONTH(売上入力!A115)+2,IFERROR(INDEX(マスター_OTA!$G$4:$G$29,MATCH(売上入力!D115,マスター_OTA!$A$4:$A$29,0)),25)))),"")</f>
        <v/>
      </c>
      <c r="B339" s="16" t="str">
        <f>IF(売上入力!B115="","",売上入力!B115)</f>
        <v/>
      </c>
      <c r="C339" s="16" t="str">
        <f>IF(売上入力!C115="","",売上入力!C115)</f>
        <v/>
      </c>
      <c r="D339" s="16" t="str">
        <f>IF(売上入力!D115="","",売上入力!D115)</f>
        <v/>
      </c>
      <c r="E339" s="89">
        <f>IFERROR(IF(売上入力!E115="",0,売上入力!E115*INDEX(マスター_OTA!$D$4:$D$29,MATCH(売上入力!D115,マスター_OTA!$A$4:$A$29,0))/100),0)</f>
        <v>0</v>
      </c>
      <c r="F339" s="90" t="str">
        <f>IF(売上入力!A115="","",売上入力!A115)</f>
        <v/>
      </c>
      <c r="G339" s="16" t="s">
        <v>386</v>
      </c>
    </row>
    <row r="340" spans="1:7" ht="15" customHeight="1">
      <c r="A340" s="88" t="str">
        <f>IFERROR(IF(売上入力!A116="","",IF(INDEX(マスター_OTA!$B$4:$B$29,MATCH(売上入力!D116,マスター_OTA!$A$4:$A$29,0))=0,"",DATE(YEAR(売上入力!A116),MONTH(売上入力!A116),IFERROR(INDEX(マスター_OTA!$E$4:$E$29,MATCH(売上入力!D116,マスター_OTA!$A$4:$A$29,0)),28)))),"")</f>
        <v/>
      </c>
      <c r="B340" s="16" t="str">
        <f>IF(売上入力!B116="","",売上入力!B116)</f>
        <v/>
      </c>
      <c r="C340" s="16" t="str">
        <f>IF(売上入力!C116="","",売上入力!C116)</f>
        <v/>
      </c>
      <c r="D340" s="16" t="str">
        <f>IF(売上入力!D116="","",売上入力!D116)</f>
        <v/>
      </c>
      <c r="E340" s="89">
        <f>IFERROR(IF(売上入力!E116="",0,売上入力!E116*INDEX(マスター_OTA!$B$4:$B$29,MATCH(売上入力!D116,マスター_OTA!$A$4:$A$29,0))/100),0)</f>
        <v>0</v>
      </c>
      <c r="F340" s="90" t="str">
        <f>IF(売上入力!A116="","",売上入力!A116)</f>
        <v/>
      </c>
      <c r="G340" s="16" t="s">
        <v>384</v>
      </c>
    </row>
    <row r="341" spans="1:7" ht="15" customHeight="1">
      <c r="A341" s="88" t="str">
        <f>IFERROR(IF(売上入力!A116="","",IF(INDEX(マスター_OTA!$C$4:$C$29,MATCH(売上入力!D116,マスター_OTA!$A$4:$A$29,0))=0,"",DATE(YEAR(売上入力!A116),MONTH(売上入力!A116)+1,IFERROR(INDEX(マスター_OTA!$F$4:$F$29,MATCH(売上入力!D116,マスター_OTA!$A$4:$A$29,0)),25)))),"")</f>
        <v/>
      </c>
      <c r="B341" s="16" t="str">
        <f>IF(売上入力!B116="","",売上入力!B116)</f>
        <v/>
      </c>
      <c r="C341" s="16" t="str">
        <f>IF(売上入力!C116="","",売上入力!C116)</f>
        <v/>
      </c>
      <c r="D341" s="16" t="str">
        <f>IF(売上入力!D116="","",売上入力!D116)</f>
        <v/>
      </c>
      <c r="E341" s="89">
        <f>IFERROR(IF(売上入力!E116="",0,売上入力!E116*INDEX(マスター_OTA!$C$4:$C$29,MATCH(売上入力!D116,マスター_OTA!$A$4:$A$29,0))/100),0)</f>
        <v>0</v>
      </c>
      <c r="F341" s="90" t="str">
        <f>IF(売上入力!A116="","",売上入力!A116)</f>
        <v/>
      </c>
      <c r="G341" s="16" t="s">
        <v>385</v>
      </c>
    </row>
    <row r="342" spans="1:7" ht="15" customHeight="1">
      <c r="A342" s="88" t="str">
        <f>IFERROR(IF(売上入力!A116="","",IF(INDEX(マスター_OTA!$D$4:$D$29,MATCH(売上入力!D116,マスター_OTA!$A$4:$A$29,0))=0,"",DATE(YEAR(売上入力!A116),MONTH(売上入力!A116)+2,IFERROR(INDEX(マスター_OTA!$G$4:$G$29,MATCH(売上入力!D116,マスター_OTA!$A$4:$A$29,0)),25)))),"")</f>
        <v/>
      </c>
      <c r="B342" s="16" t="str">
        <f>IF(売上入力!B116="","",売上入力!B116)</f>
        <v/>
      </c>
      <c r="C342" s="16" t="str">
        <f>IF(売上入力!C116="","",売上入力!C116)</f>
        <v/>
      </c>
      <c r="D342" s="16" t="str">
        <f>IF(売上入力!D116="","",売上入力!D116)</f>
        <v/>
      </c>
      <c r="E342" s="89">
        <f>IFERROR(IF(売上入力!E116="",0,売上入力!E116*INDEX(マスター_OTA!$D$4:$D$29,MATCH(売上入力!D116,マスター_OTA!$A$4:$A$29,0))/100),0)</f>
        <v>0</v>
      </c>
      <c r="F342" s="90" t="str">
        <f>IF(売上入力!A116="","",売上入力!A116)</f>
        <v/>
      </c>
      <c r="G342" s="16" t="s">
        <v>386</v>
      </c>
    </row>
    <row r="343" spans="1:7" ht="15" customHeight="1">
      <c r="A343" s="88" t="str">
        <f>IFERROR(IF(売上入力!A117="","",IF(INDEX(マスター_OTA!$B$4:$B$29,MATCH(売上入力!D117,マスター_OTA!$A$4:$A$29,0))=0,"",DATE(YEAR(売上入力!A117),MONTH(売上入力!A117),IFERROR(INDEX(マスター_OTA!$E$4:$E$29,MATCH(売上入力!D117,マスター_OTA!$A$4:$A$29,0)),28)))),"")</f>
        <v/>
      </c>
      <c r="B343" s="16" t="str">
        <f>IF(売上入力!B117="","",売上入力!B117)</f>
        <v/>
      </c>
      <c r="C343" s="16" t="str">
        <f>IF(売上入力!C117="","",売上入力!C117)</f>
        <v/>
      </c>
      <c r="D343" s="16" t="str">
        <f>IF(売上入力!D117="","",売上入力!D117)</f>
        <v/>
      </c>
      <c r="E343" s="89">
        <f>IFERROR(IF(売上入力!E117="",0,売上入力!E117*INDEX(マスター_OTA!$B$4:$B$29,MATCH(売上入力!D117,マスター_OTA!$A$4:$A$29,0))/100),0)</f>
        <v>0</v>
      </c>
      <c r="F343" s="90" t="str">
        <f>IF(売上入力!A117="","",売上入力!A117)</f>
        <v/>
      </c>
      <c r="G343" s="16" t="s">
        <v>384</v>
      </c>
    </row>
    <row r="344" spans="1:7" ht="15" customHeight="1">
      <c r="A344" s="88" t="str">
        <f>IFERROR(IF(売上入力!A117="","",IF(INDEX(マスター_OTA!$C$4:$C$29,MATCH(売上入力!D117,マスター_OTA!$A$4:$A$29,0))=0,"",DATE(YEAR(売上入力!A117),MONTH(売上入力!A117)+1,IFERROR(INDEX(マスター_OTA!$F$4:$F$29,MATCH(売上入力!D117,マスター_OTA!$A$4:$A$29,0)),25)))),"")</f>
        <v/>
      </c>
      <c r="B344" s="16" t="str">
        <f>IF(売上入力!B117="","",売上入力!B117)</f>
        <v/>
      </c>
      <c r="C344" s="16" t="str">
        <f>IF(売上入力!C117="","",売上入力!C117)</f>
        <v/>
      </c>
      <c r="D344" s="16" t="str">
        <f>IF(売上入力!D117="","",売上入力!D117)</f>
        <v/>
      </c>
      <c r="E344" s="89">
        <f>IFERROR(IF(売上入力!E117="",0,売上入力!E117*INDEX(マスター_OTA!$C$4:$C$29,MATCH(売上入力!D117,マスター_OTA!$A$4:$A$29,0))/100),0)</f>
        <v>0</v>
      </c>
      <c r="F344" s="90" t="str">
        <f>IF(売上入力!A117="","",売上入力!A117)</f>
        <v/>
      </c>
      <c r="G344" s="16" t="s">
        <v>385</v>
      </c>
    </row>
    <row r="345" spans="1:7" ht="15" customHeight="1">
      <c r="A345" s="88" t="str">
        <f>IFERROR(IF(売上入力!A117="","",IF(INDEX(マスター_OTA!$D$4:$D$29,MATCH(売上入力!D117,マスター_OTA!$A$4:$A$29,0))=0,"",DATE(YEAR(売上入力!A117),MONTH(売上入力!A117)+2,IFERROR(INDEX(マスター_OTA!$G$4:$G$29,MATCH(売上入力!D117,マスター_OTA!$A$4:$A$29,0)),25)))),"")</f>
        <v/>
      </c>
      <c r="B345" s="16" t="str">
        <f>IF(売上入力!B117="","",売上入力!B117)</f>
        <v/>
      </c>
      <c r="C345" s="16" t="str">
        <f>IF(売上入力!C117="","",売上入力!C117)</f>
        <v/>
      </c>
      <c r="D345" s="16" t="str">
        <f>IF(売上入力!D117="","",売上入力!D117)</f>
        <v/>
      </c>
      <c r="E345" s="89">
        <f>IFERROR(IF(売上入力!E117="",0,売上入力!E117*INDEX(マスター_OTA!$D$4:$D$29,MATCH(売上入力!D117,マスター_OTA!$A$4:$A$29,0))/100),0)</f>
        <v>0</v>
      </c>
      <c r="F345" s="90" t="str">
        <f>IF(売上入力!A117="","",売上入力!A117)</f>
        <v/>
      </c>
      <c r="G345" s="16" t="s">
        <v>386</v>
      </c>
    </row>
    <row r="346" spans="1:7" ht="15" customHeight="1">
      <c r="A346" s="88" t="str">
        <f>IFERROR(IF(売上入力!A118="","",IF(INDEX(マスター_OTA!$B$4:$B$29,MATCH(売上入力!D118,マスター_OTA!$A$4:$A$29,0))=0,"",DATE(YEAR(売上入力!A118),MONTH(売上入力!A118),IFERROR(INDEX(マスター_OTA!$E$4:$E$29,MATCH(売上入力!D118,マスター_OTA!$A$4:$A$29,0)),28)))),"")</f>
        <v/>
      </c>
      <c r="B346" s="16" t="str">
        <f>IF(売上入力!B118="","",売上入力!B118)</f>
        <v/>
      </c>
      <c r="C346" s="16" t="str">
        <f>IF(売上入力!C118="","",売上入力!C118)</f>
        <v/>
      </c>
      <c r="D346" s="16" t="str">
        <f>IF(売上入力!D118="","",売上入力!D118)</f>
        <v/>
      </c>
      <c r="E346" s="89">
        <f>IFERROR(IF(売上入力!E118="",0,売上入力!E118*INDEX(マスター_OTA!$B$4:$B$29,MATCH(売上入力!D118,マスター_OTA!$A$4:$A$29,0))/100),0)</f>
        <v>0</v>
      </c>
      <c r="F346" s="90" t="str">
        <f>IF(売上入力!A118="","",売上入力!A118)</f>
        <v/>
      </c>
      <c r="G346" s="16" t="s">
        <v>384</v>
      </c>
    </row>
    <row r="347" spans="1:7" ht="15" customHeight="1">
      <c r="A347" s="88" t="str">
        <f>IFERROR(IF(売上入力!A118="","",IF(INDEX(マスター_OTA!$C$4:$C$29,MATCH(売上入力!D118,マスター_OTA!$A$4:$A$29,0))=0,"",DATE(YEAR(売上入力!A118),MONTH(売上入力!A118)+1,IFERROR(INDEX(マスター_OTA!$F$4:$F$29,MATCH(売上入力!D118,マスター_OTA!$A$4:$A$29,0)),25)))),"")</f>
        <v/>
      </c>
      <c r="B347" s="16" t="str">
        <f>IF(売上入力!B118="","",売上入力!B118)</f>
        <v/>
      </c>
      <c r="C347" s="16" t="str">
        <f>IF(売上入力!C118="","",売上入力!C118)</f>
        <v/>
      </c>
      <c r="D347" s="16" t="str">
        <f>IF(売上入力!D118="","",売上入力!D118)</f>
        <v/>
      </c>
      <c r="E347" s="89">
        <f>IFERROR(IF(売上入力!E118="",0,売上入力!E118*INDEX(マスター_OTA!$C$4:$C$29,MATCH(売上入力!D118,マスター_OTA!$A$4:$A$29,0))/100),0)</f>
        <v>0</v>
      </c>
      <c r="F347" s="90" t="str">
        <f>IF(売上入力!A118="","",売上入力!A118)</f>
        <v/>
      </c>
      <c r="G347" s="16" t="s">
        <v>385</v>
      </c>
    </row>
    <row r="348" spans="1:7" ht="15" customHeight="1">
      <c r="A348" s="88" t="str">
        <f>IFERROR(IF(売上入力!A118="","",IF(INDEX(マスター_OTA!$D$4:$D$29,MATCH(売上入力!D118,マスター_OTA!$A$4:$A$29,0))=0,"",DATE(YEAR(売上入力!A118),MONTH(売上入力!A118)+2,IFERROR(INDEX(マスター_OTA!$G$4:$G$29,MATCH(売上入力!D118,マスター_OTA!$A$4:$A$29,0)),25)))),"")</f>
        <v/>
      </c>
      <c r="B348" s="16" t="str">
        <f>IF(売上入力!B118="","",売上入力!B118)</f>
        <v/>
      </c>
      <c r="C348" s="16" t="str">
        <f>IF(売上入力!C118="","",売上入力!C118)</f>
        <v/>
      </c>
      <c r="D348" s="16" t="str">
        <f>IF(売上入力!D118="","",売上入力!D118)</f>
        <v/>
      </c>
      <c r="E348" s="89">
        <f>IFERROR(IF(売上入力!E118="",0,売上入力!E118*INDEX(マスター_OTA!$D$4:$D$29,MATCH(売上入力!D118,マスター_OTA!$A$4:$A$29,0))/100),0)</f>
        <v>0</v>
      </c>
      <c r="F348" s="90" t="str">
        <f>IF(売上入力!A118="","",売上入力!A118)</f>
        <v/>
      </c>
      <c r="G348" s="16" t="s">
        <v>386</v>
      </c>
    </row>
    <row r="349" spans="1:7" ht="15" customHeight="1">
      <c r="A349" s="88" t="str">
        <f>IFERROR(IF(売上入力!A119="","",IF(INDEX(マスター_OTA!$B$4:$B$29,MATCH(売上入力!D119,マスター_OTA!$A$4:$A$29,0))=0,"",DATE(YEAR(売上入力!A119),MONTH(売上入力!A119),IFERROR(INDEX(マスター_OTA!$E$4:$E$29,MATCH(売上入力!D119,マスター_OTA!$A$4:$A$29,0)),28)))),"")</f>
        <v/>
      </c>
      <c r="B349" s="16" t="str">
        <f>IF(売上入力!B119="","",売上入力!B119)</f>
        <v/>
      </c>
      <c r="C349" s="16" t="str">
        <f>IF(売上入力!C119="","",売上入力!C119)</f>
        <v/>
      </c>
      <c r="D349" s="16" t="str">
        <f>IF(売上入力!D119="","",売上入力!D119)</f>
        <v/>
      </c>
      <c r="E349" s="89">
        <f>IFERROR(IF(売上入力!E119="",0,売上入力!E119*INDEX(マスター_OTA!$B$4:$B$29,MATCH(売上入力!D119,マスター_OTA!$A$4:$A$29,0))/100),0)</f>
        <v>0</v>
      </c>
      <c r="F349" s="90" t="str">
        <f>IF(売上入力!A119="","",売上入力!A119)</f>
        <v/>
      </c>
      <c r="G349" s="16" t="s">
        <v>384</v>
      </c>
    </row>
    <row r="350" spans="1:7" ht="15" customHeight="1">
      <c r="A350" s="88" t="str">
        <f>IFERROR(IF(売上入力!A119="","",IF(INDEX(マスター_OTA!$C$4:$C$29,MATCH(売上入力!D119,マスター_OTA!$A$4:$A$29,0))=0,"",DATE(YEAR(売上入力!A119),MONTH(売上入力!A119)+1,IFERROR(INDEX(マスター_OTA!$F$4:$F$29,MATCH(売上入力!D119,マスター_OTA!$A$4:$A$29,0)),25)))),"")</f>
        <v/>
      </c>
      <c r="B350" s="16" t="str">
        <f>IF(売上入力!B119="","",売上入力!B119)</f>
        <v/>
      </c>
      <c r="C350" s="16" t="str">
        <f>IF(売上入力!C119="","",売上入力!C119)</f>
        <v/>
      </c>
      <c r="D350" s="16" t="str">
        <f>IF(売上入力!D119="","",売上入力!D119)</f>
        <v/>
      </c>
      <c r="E350" s="89">
        <f>IFERROR(IF(売上入力!E119="",0,売上入力!E119*INDEX(マスター_OTA!$C$4:$C$29,MATCH(売上入力!D119,マスター_OTA!$A$4:$A$29,0))/100),0)</f>
        <v>0</v>
      </c>
      <c r="F350" s="90" t="str">
        <f>IF(売上入力!A119="","",売上入力!A119)</f>
        <v/>
      </c>
      <c r="G350" s="16" t="s">
        <v>385</v>
      </c>
    </row>
    <row r="351" spans="1:7" ht="15" customHeight="1">
      <c r="A351" s="88" t="str">
        <f>IFERROR(IF(売上入力!A119="","",IF(INDEX(マスター_OTA!$D$4:$D$29,MATCH(売上入力!D119,マスター_OTA!$A$4:$A$29,0))=0,"",DATE(YEAR(売上入力!A119),MONTH(売上入力!A119)+2,IFERROR(INDEX(マスター_OTA!$G$4:$G$29,MATCH(売上入力!D119,マスター_OTA!$A$4:$A$29,0)),25)))),"")</f>
        <v/>
      </c>
      <c r="B351" s="16" t="str">
        <f>IF(売上入力!B119="","",売上入力!B119)</f>
        <v/>
      </c>
      <c r="C351" s="16" t="str">
        <f>IF(売上入力!C119="","",売上入力!C119)</f>
        <v/>
      </c>
      <c r="D351" s="16" t="str">
        <f>IF(売上入力!D119="","",売上入力!D119)</f>
        <v/>
      </c>
      <c r="E351" s="89">
        <f>IFERROR(IF(売上入力!E119="",0,売上入力!E119*INDEX(マスター_OTA!$D$4:$D$29,MATCH(売上入力!D119,マスター_OTA!$A$4:$A$29,0))/100),0)</f>
        <v>0</v>
      </c>
      <c r="F351" s="90" t="str">
        <f>IF(売上入力!A119="","",売上入力!A119)</f>
        <v/>
      </c>
      <c r="G351" s="16" t="s">
        <v>386</v>
      </c>
    </row>
    <row r="352" spans="1:7" ht="15" customHeight="1">
      <c r="A352" s="88" t="str">
        <f>IFERROR(IF(売上入力!A120="","",IF(INDEX(マスター_OTA!$B$4:$B$29,MATCH(売上入力!D120,マスター_OTA!$A$4:$A$29,0))=0,"",DATE(YEAR(売上入力!A120),MONTH(売上入力!A120),IFERROR(INDEX(マスター_OTA!$E$4:$E$29,MATCH(売上入力!D120,マスター_OTA!$A$4:$A$29,0)),28)))),"")</f>
        <v/>
      </c>
      <c r="B352" s="16" t="str">
        <f>IF(売上入力!B120="","",売上入力!B120)</f>
        <v/>
      </c>
      <c r="C352" s="16" t="str">
        <f>IF(売上入力!C120="","",売上入力!C120)</f>
        <v/>
      </c>
      <c r="D352" s="16" t="str">
        <f>IF(売上入力!D120="","",売上入力!D120)</f>
        <v/>
      </c>
      <c r="E352" s="89">
        <f>IFERROR(IF(売上入力!E120="",0,売上入力!E120*INDEX(マスター_OTA!$B$4:$B$29,MATCH(売上入力!D120,マスター_OTA!$A$4:$A$29,0))/100),0)</f>
        <v>0</v>
      </c>
      <c r="F352" s="90" t="str">
        <f>IF(売上入力!A120="","",売上入力!A120)</f>
        <v/>
      </c>
      <c r="G352" s="16" t="s">
        <v>384</v>
      </c>
    </row>
    <row r="353" spans="1:7" ht="15" customHeight="1">
      <c r="A353" s="88" t="str">
        <f>IFERROR(IF(売上入力!A120="","",IF(INDEX(マスター_OTA!$C$4:$C$29,MATCH(売上入力!D120,マスター_OTA!$A$4:$A$29,0))=0,"",DATE(YEAR(売上入力!A120),MONTH(売上入力!A120)+1,IFERROR(INDEX(マスター_OTA!$F$4:$F$29,MATCH(売上入力!D120,マスター_OTA!$A$4:$A$29,0)),25)))),"")</f>
        <v/>
      </c>
      <c r="B353" s="16" t="str">
        <f>IF(売上入力!B120="","",売上入力!B120)</f>
        <v/>
      </c>
      <c r="C353" s="16" t="str">
        <f>IF(売上入力!C120="","",売上入力!C120)</f>
        <v/>
      </c>
      <c r="D353" s="16" t="str">
        <f>IF(売上入力!D120="","",売上入力!D120)</f>
        <v/>
      </c>
      <c r="E353" s="89">
        <f>IFERROR(IF(売上入力!E120="",0,売上入力!E120*INDEX(マスター_OTA!$C$4:$C$29,MATCH(売上入力!D120,マスター_OTA!$A$4:$A$29,0))/100),0)</f>
        <v>0</v>
      </c>
      <c r="F353" s="90" t="str">
        <f>IF(売上入力!A120="","",売上入力!A120)</f>
        <v/>
      </c>
      <c r="G353" s="16" t="s">
        <v>385</v>
      </c>
    </row>
    <row r="354" spans="1:7" ht="15" customHeight="1">
      <c r="A354" s="88" t="str">
        <f>IFERROR(IF(売上入力!A120="","",IF(INDEX(マスター_OTA!$D$4:$D$29,MATCH(売上入力!D120,マスター_OTA!$A$4:$A$29,0))=0,"",DATE(YEAR(売上入力!A120),MONTH(売上入力!A120)+2,IFERROR(INDEX(マスター_OTA!$G$4:$G$29,MATCH(売上入力!D120,マスター_OTA!$A$4:$A$29,0)),25)))),"")</f>
        <v/>
      </c>
      <c r="B354" s="16" t="str">
        <f>IF(売上入力!B120="","",売上入力!B120)</f>
        <v/>
      </c>
      <c r="C354" s="16" t="str">
        <f>IF(売上入力!C120="","",売上入力!C120)</f>
        <v/>
      </c>
      <c r="D354" s="16" t="str">
        <f>IF(売上入力!D120="","",売上入力!D120)</f>
        <v/>
      </c>
      <c r="E354" s="89">
        <f>IFERROR(IF(売上入力!E120="",0,売上入力!E120*INDEX(マスター_OTA!$D$4:$D$29,MATCH(売上入力!D120,マスター_OTA!$A$4:$A$29,0))/100),0)</f>
        <v>0</v>
      </c>
      <c r="F354" s="90" t="str">
        <f>IF(売上入力!A120="","",売上入力!A120)</f>
        <v/>
      </c>
      <c r="G354" s="16" t="s">
        <v>386</v>
      </c>
    </row>
    <row r="355" spans="1:7" ht="15" customHeight="1">
      <c r="A355" s="88" t="str">
        <f>IFERROR(IF(売上入力!A121="","",IF(INDEX(マスター_OTA!$B$4:$B$29,MATCH(売上入力!D121,マスター_OTA!$A$4:$A$29,0))=0,"",DATE(YEAR(売上入力!A121),MONTH(売上入力!A121),IFERROR(INDEX(マスター_OTA!$E$4:$E$29,MATCH(売上入力!D121,マスター_OTA!$A$4:$A$29,0)),28)))),"")</f>
        <v/>
      </c>
      <c r="B355" s="16" t="str">
        <f>IF(売上入力!B121="","",売上入力!B121)</f>
        <v/>
      </c>
      <c r="C355" s="16" t="str">
        <f>IF(売上入力!C121="","",売上入力!C121)</f>
        <v/>
      </c>
      <c r="D355" s="16" t="str">
        <f>IF(売上入力!D121="","",売上入力!D121)</f>
        <v/>
      </c>
      <c r="E355" s="89">
        <f>IFERROR(IF(売上入力!E121="",0,売上入力!E121*INDEX(マスター_OTA!$B$4:$B$29,MATCH(売上入力!D121,マスター_OTA!$A$4:$A$29,0))/100),0)</f>
        <v>0</v>
      </c>
      <c r="F355" s="90" t="str">
        <f>IF(売上入力!A121="","",売上入力!A121)</f>
        <v/>
      </c>
      <c r="G355" s="16" t="s">
        <v>384</v>
      </c>
    </row>
    <row r="356" spans="1:7" ht="15" customHeight="1">
      <c r="A356" s="88" t="str">
        <f>IFERROR(IF(売上入力!A121="","",IF(INDEX(マスター_OTA!$C$4:$C$29,MATCH(売上入力!D121,マスター_OTA!$A$4:$A$29,0))=0,"",DATE(YEAR(売上入力!A121),MONTH(売上入力!A121)+1,IFERROR(INDEX(マスター_OTA!$F$4:$F$29,MATCH(売上入力!D121,マスター_OTA!$A$4:$A$29,0)),25)))),"")</f>
        <v/>
      </c>
      <c r="B356" s="16" t="str">
        <f>IF(売上入力!B121="","",売上入力!B121)</f>
        <v/>
      </c>
      <c r="C356" s="16" t="str">
        <f>IF(売上入力!C121="","",売上入力!C121)</f>
        <v/>
      </c>
      <c r="D356" s="16" t="str">
        <f>IF(売上入力!D121="","",売上入力!D121)</f>
        <v/>
      </c>
      <c r="E356" s="89">
        <f>IFERROR(IF(売上入力!E121="",0,売上入力!E121*INDEX(マスター_OTA!$C$4:$C$29,MATCH(売上入力!D121,マスター_OTA!$A$4:$A$29,0))/100),0)</f>
        <v>0</v>
      </c>
      <c r="F356" s="90" t="str">
        <f>IF(売上入力!A121="","",売上入力!A121)</f>
        <v/>
      </c>
      <c r="G356" s="16" t="s">
        <v>385</v>
      </c>
    </row>
    <row r="357" spans="1:7" ht="15" customHeight="1">
      <c r="A357" s="88" t="str">
        <f>IFERROR(IF(売上入力!A121="","",IF(INDEX(マスター_OTA!$D$4:$D$29,MATCH(売上入力!D121,マスター_OTA!$A$4:$A$29,0))=0,"",DATE(YEAR(売上入力!A121),MONTH(売上入力!A121)+2,IFERROR(INDEX(マスター_OTA!$G$4:$G$29,MATCH(売上入力!D121,マスター_OTA!$A$4:$A$29,0)),25)))),"")</f>
        <v/>
      </c>
      <c r="B357" s="16" t="str">
        <f>IF(売上入力!B121="","",売上入力!B121)</f>
        <v/>
      </c>
      <c r="C357" s="16" t="str">
        <f>IF(売上入力!C121="","",売上入力!C121)</f>
        <v/>
      </c>
      <c r="D357" s="16" t="str">
        <f>IF(売上入力!D121="","",売上入力!D121)</f>
        <v/>
      </c>
      <c r="E357" s="89">
        <f>IFERROR(IF(売上入力!E121="",0,売上入力!E121*INDEX(マスター_OTA!$D$4:$D$29,MATCH(売上入力!D121,マスター_OTA!$A$4:$A$29,0))/100),0)</f>
        <v>0</v>
      </c>
      <c r="F357" s="90" t="str">
        <f>IF(売上入力!A121="","",売上入力!A121)</f>
        <v/>
      </c>
      <c r="G357" s="16" t="s">
        <v>386</v>
      </c>
    </row>
    <row r="358" spans="1:7" ht="15" customHeight="1">
      <c r="A358" s="88" t="str">
        <f>IFERROR(IF(売上入力!A122="","",IF(INDEX(マスター_OTA!$B$4:$B$29,MATCH(売上入力!D122,マスター_OTA!$A$4:$A$29,0))=0,"",DATE(YEAR(売上入力!A122),MONTH(売上入力!A122),IFERROR(INDEX(マスター_OTA!$E$4:$E$29,MATCH(売上入力!D122,マスター_OTA!$A$4:$A$29,0)),28)))),"")</f>
        <v/>
      </c>
      <c r="B358" s="16" t="str">
        <f>IF(売上入力!B122="","",売上入力!B122)</f>
        <v/>
      </c>
      <c r="C358" s="16" t="str">
        <f>IF(売上入力!C122="","",売上入力!C122)</f>
        <v/>
      </c>
      <c r="D358" s="16" t="str">
        <f>IF(売上入力!D122="","",売上入力!D122)</f>
        <v/>
      </c>
      <c r="E358" s="89">
        <f>IFERROR(IF(売上入力!E122="",0,売上入力!E122*INDEX(マスター_OTA!$B$4:$B$29,MATCH(売上入力!D122,マスター_OTA!$A$4:$A$29,0))/100),0)</f>
        <v>0</v>
      </c>
      <c r="F358" s="90" t="str">
        <f>IF(売上入力!A122="","",売上入力!A122)</f>
        <v/>
      </c>
      <c r="G358" s="16" t="s">
        <v>384</v>
      </c>
    </row>
    <row r="359" spans="1:7" ht="15" customHeight="1">
      <c r="A359" s="88" t="str">
        <f>IFERROR(IF(売上入力!A122="","",IF(INDEX(マスター_OTA!$C$4:$C$29,MATCH(売上入力!D122,マスター_OTA!$A$4:$A$29,0))=0,"",DATE(YEAR(売上入力!A122),MONTH(売上入力!A122)+1,IFERROR(INDEX(マスター_OTA!$F$4:$F$29,MATCH(売上入力!D122,マスター_OTA!$A$4:$A$29,0)),25)))),"")</f>
        <v/>
      </c>
      <c r="B359" s="16" t="str">
        <f>IF(売上入力!B122="","",売上入力!B122)</f>
        <v/>
      </c>
      <c r="C359" s="16" t="str">
        <f>IF(売上入力!C122="","",売上入力!C122)</f>
        <v/>
      </c>
      <c r="D359" s="16" t="str">
        <f>IF(売上入力!D122="","",売上入力!D122)</f>
        <v/>
      </c>
      <c r="E359" s="89">
        <f>IFERROR(IF(売上入力!E122="",0,売上入力!E122*INDEX(マスター_OTA!$C$4:$C$29,MATCH(売上入力!D122,マスター_OTA!$A$4:$A$29,0))/100),0)</f>
        <v>0</v>
      </c>
      <c r="F359" s="90" t="str">
        <f>IF(売上入力!A122="","",売上入力!A122)</f>
        <v/>
      </c>
      <c r="G359" s="16" t="s">
        <v>385</v>
      </c>
    </row>
    <row r="360" spans="1:7" ht="15" customHeight="1">
      <c r="A360" s="88" t="str">
        <f>IFERROR(IF(売上入力!A122="","",IF(INDEX(マスター_OTA!$D$4:$D$29,MATCH(売上入力!D122,マスター_OTA!$A$4:$A$29,0))=0,"",DATE(YEAR(売上入力!A122),MONTH(売上入力!A122)+2,IFERROR(INDEX(マスター_OTA!$G$4:$G$29,MATCH(売上入力!D122,マスター_OTA!$A$4:$A$29,0)),25)))),"")</f>
        <v/>
      </c>
      <c r="B360" s="16" t="str">
        <f>IF(売上入力!B122="","",売上入力!B122)</f>
        <v/>
      </c>
      <c r="C360" s="16" t="str">
        <f>IF(売上入力!C122="","",売上入力!C122)</f>
        <v/>
      </c>
      <c r="D360" s="16" t="str">
        <f>IF(売上入力!D122="","",売上入力!D122)</f>
        <v/>
      </c>
      <c r="E360" s="89">
        <f>IFERROR(IF(売上入力!E122="",0,売上入力!E122*INDEX(マスター_OTA!$D$4:$D$29,MATCH(売上入力!D122,マスター_OTA!$A$4:$A$29,0))/100),0)</f>
        <v>0</v>
      </c>
      <c r="F360" s="90" t="str">
        <f>IF(売上入力!A122="","",売上入力!A122)</f>
        <v/>
      </c>
      <c r="G360" s="16" t="s">
        <v>386</v>
      </c>
    </row>
    <row r="361" spans="1:7" ht="15" customHeight="1">
      <c r="A361" s="88" t="str">
        <f>IFERROR(IF(売上入力!A123="","",IF(INDEX(マスター_OTA!$B$4:$B$29,MATCH(売上入力!D123,マスター_OTA!$A$4:$A$29,0))=0,"",DATE(YEAR(売上入力!A123),MONTH(売上入力!A123),IFERROR(INDEX(マスター_OTA!$E$4:$E$29,MATCH(売上入力!D123,マスター_OTA!$A$4:$A$29,0)),28)))),"")</f>
        <v/>
      </c>
      <c r="B361" s="16" t="str">
        <f>IF(売上入力!B123="","",売上入力!B123)</f>
        <v/>
      </c>
      <c r="C361" s="16" t="str">
        <f>IF(売上入力!C123="","",売上入力!C123)</f>
        <v/>
      </c>
      <c r="D361" s="16" t="str">
        <f>IF(売上入力!D123="","",売上入力!D123)</f>
        <v/>
      </c>
      <c r="E361" s="89">
        <f>IFERROR(IF(売上入力!E123="",0,売上入力!E123*INDEX(マスター_OTA!$B$4:$B$29,MATCH(売上入力!D123,マスター_OTA!$A$4:$A$29,0))/100),0)</f>
        <v>0</v>
      </c>
      <c r="F361" s="90" t="str">
        <f>IF(売上入力!A123="","",売上入力!A123)</f>
        <v/>
      </c>
      <c r="G361" s="16" t="s">
        <v>384</v>
      </c>
    </row>
    <row r="362" spans="1:7" ht="15" customHeight="1">
      <c r="A362" s="88" t="str">
        <f>IFERROR(IF(売上入力!A123="","",IF(INDEX(マスター_OTA!$C$4:$C$29,MATCH(売上入力!D123,マスター_OTA!$A$4:$A$29,0))=0,"",DATE(YEAR(売上入力!A123),MONTH(売上入力!A123)+1,IFERROR(INDEX(マスター_OTA!$F$4:$F$29,MATCH(売上入力!D123,マスター_OTA!$A$4:$A$29,0)),25)))),"")</f>
        <v/>
      </c>
      <c r="B362" s="16" t="str">
        <f>IF(売上入力!B123="","",売上入力!B123)</f>
        <v/>
      </c>
      <c r="C362" s="16" t="str">
        <f>IF(売上入力!C123="","",売上入力!C123)</f>
        <v/>
      </c>
      <c r="D362" s="16" t="str">
        <f>IF(売上入力!D123="","",売上入力!D123)</f>
        <v/>
      </c>
      <c r="E362" s="89">
        <f>IFERROR(IF(売上入力!E123="",0,売上入力!E123*INDEX(マスター_OTA!$C$4:$C$29,MATCH(売上入力!D123,マスター_OTA!$A$4:$A$29,0))/100),0)</f>
        <v>0</v>
      </c>
      <c r="F362" s="90" t="str">
        <f>IF(売上入力!A123="","",売上入力!A123)</f>
        <v/>
      </c>
      <c r="G362" s="16" t="s">
        <v>385</v>
      </c>
    </row>
    <row r="363" spans="1:7" ht="15" customHeight="1">
      <c r="A363" s="88" t="str">
        <f>IFERROR(IF(売上入力!A123="","",IF(INDEX(マスター_OTA!$D$4:$D$29,MATCH(売上入力!D123,マスター_OTA!$A$4:$A$29,0))=0,"",DATE(YEAR(売上入力!A123),MONTH(売上入力!A123)+2,IFERROR(INDEX(マスター_OTA!$G$4:$G$29,MATCH(売上入力!D123,マスター_OTA!$A$4:$A$29,0)),25)))),"")</f>
        <v/>
      </c>
      <c r="B363" s="16" t="str">
        <f>IF(売上入力!B123="","",売上入力!B123)</f>
        <v/>
      </c>
      <c r="C363" s="16" t="str">
        <f>IF(売上入力!C123="","",売上入力!C123)</f>
        <v/>
      </c>
      <c r="D363" s="16" t="str">
        <f>IF(売上入力!D123="","",売上入力!D123)</f>
        <v/>
      </c>
      <c r="E363" s="89">
        <f>IFERROR(IF(売上入力!E123="",0,売上入力!E123*INDEX(マスター_OTA!$D$4:$D$29,MATCH(売上入力!D123,マスター_OTA!$A$4:$A$29,0))/100),0)</f>
        <v>0</v>
      </c>
      <c r="F363" s="90" t="str">
        <f>IF(売上入力!A123="","",売上入力!A123)</f>
        <v/>
      </c>
      <c r="G363" s="16" t="s">
        <v>386</v>
      </c>
    </row>
    <row r="364" spans="1:7" ht="15" customHeight="1">
      <c r="A364" s="88" t="str">
        <f>IFERROR(IF(売上入力!A124="","",IF(INDEX(マスター_OTA!$B$4:$B$29,MATCH(売上入力!D124,マスター_OTA!$A$4:$A$29,0))=0,"",DATE(YEAR(売上入力!A124),MONTH(売上入力!A124),IFERROR(INDEX(マスター_OTA!$E$4:$E$29,MATCH(売上入力!D124,マスター_OTA!$A$4:$A$29,0)),28)))),"")</f>
        <v/>
      </c>
      <c r="B364" s="16" t="str">
        <f>IF(売上入力!B124="","",売上入力!B124)</f>
        <v/>
      </c>
      <c r="C364" s="16" t="str">
        <f>IF(売上入力!C124="","",売上入力!C124)</f>
        <v/>
      </c>
      <c r="D364" s="16" t="str">
        <f>IF(売上入力!D124="","",売上入力!D124)</f>
        <v/>
      </c>
      <c r="E364" s="89">
        <f>IFERROR(IF(売上入力!E124="",0,売上入力!E124*INDEX(マスター_OTA!$B$4:$B$29,MATCH(売上入力!D124,マスター_OTA!$A$4:$A$29,0))/100),0)</f>
        <v>0</v>
      </c>
      <c r="F364" s="90" t="str">
        <f>IF(売上入力!A124="","",売上入力!A124)</f>
        <v/>
      </c>
      <c r="G364" s="16" t="s">
        <v>384</v>
      </c>
    </row>
    <row r="365" spans="1:7" ht="15" customHeight="1">
      <c r="A365" s="88" t="str">
        <f>IFERROR(IF(売上入力!A124="","",IF(INDEX(マスター_OTA!$C$4:$C$29,MATCH(売上入力!D124,マスター_OTA!$A$4:$A$29,0))=0,"",DATE(YEAR(売上入力!A124),MONTH(売上入力!A124)+1,IFERROR(INDEX(マスター_OTA!$F$4:$F$29,MATCH(売上入力!D124,マスター_OTA!$A$4:$A$29,0)),25)))),"")</f>
        <v/>
      </c>
      <c r="B365" s="16" t="str">
        <f>IF(売上入力!B124="","",売上入力!B124)</f>
        <v/>
      </c>
      <c r="C365" s="16" t="str">
        <f>IF(売上入力!C124="","",売上入力!C124)</f>
        <v/>
      </c>
      <c r="D365" s="16" t="str">
        <f>IF(売上入力!D124="","",売上入力!D124)</f>
        <v/>
      </c>
      <c r="E365" s="89">
        <f>IFERROR(IF(売上入力!E124="",0,売上入力!E124*INDEX(マスター_OTA!$C$4:$C$29,MATCH(売上入力!D124,マスター_OTA!$A$4:$A$29,0))/100),0)</f>
        <v>0</v>
      </c>
      <c r="F365" s="90" t="str">
        <f>IF(売上入力!A124="","",売上入力!A124)</f>
        <v/>
      </c>
      <c r="G365" s="16" t="s">
        <v>385</v>
      </c>
    </row>
    <row r="366" spans="1:7" ht="15" customHeight="1">
      <c r="A366" s="88" t="str">
        <f>IFERROR(IF(売上入力!A124="","",IF(INDEX(マスター_OTA!$D$4:$D$29,MATCH(売上入力!D124,マスター_OTA!$A$4:$A$29,0))=0,"",DATE(YEAR(売上入力!A124),MONTH(売上入力!A124)+2,IFERROR(INDEX(マスター_OTA!$G$4:$G$29,MATCH(売上入力!D124,マスター_OTA!$A$4:$A$29,0)),25)))),"")</f>
        <v/>
      </c>
      <c r="B366" s="16" t="str">
        <f>IF(売上入力!B124="","",売上入力!B124)</f>
        <v/>
      </c>
      <c r="C366" s="16" t="str">
        <f>IF(売上入力!C124="","",売上入力!C124)</f>
        <v/>
      </c>
      <c r="D366" s="16" t="str">
        <f>IF(売上入力!D124="","",売上入力!D124)</f>
        <v/>
      </c>
      <c r="E366" s="89">
        <f>IFERROR(IF(売上入力!E124="",0,売上入力!E124*INDEX(マスター_OTA!$D$4:$D$29,MATCH(売上入力!D124,マスター_OTA!$A$4:$A$29,0))/100),0)</f>
        <v>0</v>
      </c>
      <c r="F366" s="90" t="str">
        <f>IF(売上入力!A124="","",売上入力!A124)</f>
        <v/>
      </c>
      <c r="G366" s="16" t="s">
        <v>386</v>
      </c>
    </row>
    <row r="367" spans="1:7" ht="15" customHeight="1">
      <c r="A367" s="88" t="str">
        <f>IFERROR(IF(売上入力!A125="","",IF(INDEX(マスター_OTA!$B$4:$B$29,MATCH(売上入力!D125,マスター_OTA!$A$4:$A$29,0))=0,"",DATE(YEAR(売上入力!A125),MONTH(売上入力!A125),IFERROR(INDEX(マスター_OTA!$E$4:$E$29,MATCH(売上入力!D125,マスター_OTA!$A$4:$A$29,0)),28)))),"")</f>
        <v/>
      </c>
      <c r="B367" s="16" t="str">
        <f>IF(売上入力!B125="","",売上入力!B125)</f>
        <v/>
      </c>
      <c r="C367" s="16" t="str">
        <f>IF(売上入力!C125="","",売上入力!C125)</f>
        <v/>
      </c>
      <c r="D367" s="16" t="str">
        <f>IF(売上入力!D125="","",売上入力!D125)</f>
        <v/>
      </c>
      <c r="E367" s="89">
        <f>IFERROR(IF(売上入力!E125="",0,売上入力!E125*INDEX(マスター_OTA!$B$4:$B$29,MATCH(売上入力!D125,マスター_OTA!$A$4:$A$29,0))/100),0)</f>
        <v>0</v>
      </c>
      <c r="F367" s="90" t="str">
        <f>IF(売上入力!A125="","",売上入力!A125)</f>
        <v/>
      </c>
      <c r="G367" s="16" t="s">
        <v>384</v>
      </c>
    </row>
    <row r="368" spans="1:7" ht="15" customHeight="1">
      <c r="A368" s="88" t="str">
        <f>IFERROR(IF(売上入力!A125="","",IF(INDEX(マスター_OTA!$C$4:$C$29,MATCH(売上入力!D125,マスター_OTA!$A$4:$A$29,0))=0,"",DATE(YEAR(売上入力!A125),MONTH(売上入力!A125)+1,IFERROR(INDEX(マスター_OTA!$F$4:$F$29,MATCH(売上入力!D125,マスター_OTA!$A$4:$A$29,0)),25)))),"")</f>
        <v/>
      </c>
      <c r="B368" s="16" t="str">
        <f>IF(売上入力!B125="","",売上入力!B125)</f>
        <v/>
      </c>
      <c r="C368" s="16" t="str">
        <f>IF(売上入力!C125="","",売上入力!C125)</f>
        <v/>
      </c>
      <c r="D368" s="16" t="str">
        <f>IF(売上入力!D125="","",売上入力!D125)</f>
        <v/>
      </c>
      <c r="E368" s="89">
        <f>IFERROR(IF(売上入力!E125="",0,売上入力!E125*INDEX(マスター_OTA!$C$4:$C$29,MATCH(売上入力!D125,マスター_OTA!$A$4:$A$29,0))/100),0)</f>
        <v>0</v>
      </c>
      <c r="F368" s="90" t="str">
        <f>IF(売上入力!A125="","",売上入力!A125)</f>
        <v/>
      </c>
      <c r="G368" s="16" t="s">
        <v>385</v>
      </c>
    </row>
    <row r="369" spans="1:7" ht="15" customHeight="1">
      <c r="A369" s="88" t="str">
        <f>IFERROR(IF(売上入力!A125="","",IF(INDEX(マスター_OTA!$D$4:$D$29,MATCH(売上入力!D125,マスター_OTA!$A$4:$A$29,0))=0,"",DATE(YEAR(売上入力!A125),MONTH(売上入力!A125)+2,IFERROR(INDEX(マスター_OTA!$G$4:$G$29,MATCH(売上入力!D125,マスター_OTA!$A$4:$A$29,0)),25)))),"")</f>
        <v/>
      </c>
      <c r="B369" s="16" t="str">
        <f>IF(売上入力!B125="","",売上入力!B125)</f>
        <v/>
      </c>
      <c r="C369" s="16" t="str">
        <f>IF(売上入力!C125="","",売上入力!C125)</f>
        <v/>
      </c>
      <c r="D369" s="16" t="str">
        <f>IF(売上入力!D125="","",売上入力!D125)</f>
        <v/>
      </c>
      <c r="E369" s="89">
        <f>IFERROR(IF(売上入力!E125="",0,売上入力!E125*INDEX(マスター_OTA!$D$4:$D$29,MATCH(売上入力!D125,マスター_OTA!$A$4:$A$29,0))/100),0)</f>
        <v>0</v>
      </c>
      <c r="F369" s="90" t="str">
        <f>IF(売上入力!A125="","",売上入力!A125)</f>
        <v/>
      </c>
      <c r="G369" s="16" t="s">
        <v>386</v>
      </c>
    </row>
    <row r="370" spans="1:7" ht="15" customHeight="1">
      <c r="A370" s="88" t="str">
        <f>IFERROR(IF(売上入力!A126="","",IF(INDEX(マスター_OTA!$B$4:$B$29,MATCH(売上入力!D126,マスター_OTA!$A$4:$A$29,0))=0,"",DATE(YEAR(売上入力!A126),MONTH(売上入力!A126),IFERROR(INDEX(マスター_OTA!$E$4:$E$29,MATCH(売上入力!D126,マスター_OTA!$A$4:$A$29,0)),28)))),"")</f>
        <v/>
      </c>
      <c r="B370" s="16" t="str">
        <f>IF(売上入力!B126="","",売上入力!B126)</f>
        <v/>
      </c>
      <c r="C370" s="16" t="str">
        <f>IF(売上入力!C126="","",売上入力!C126)</f>
        <v/>
      </c>
      <c r="D370" s="16" t="str">
        <f>IF(売上入力!D126="","",売上入力!D126)</f>
        <v/>
      </c>
      <c r="E370" s="89">
        <f>IFERROR(IF(売上入力!E126="",0,売上入力!E126*INDEX(マスター_OTA!$B$4:$B$29,MATCH(売上入力!D126,マスター_OTA!$A$4:$A$29,0))/100),0)</f>
        <v>0</v>
      </c>
      <c r="F370" s="90" t="str">
        <f>IF(売上入力!A126="","",売上入力!A126)</f>
        <v/>
      </c>
      <c r="G370" s="16" t="s">
        <v>384</v>
      </c>
    </row>
    <row r="371" spans="1:7" ht="15" customHeight="1">
      <c r="A371" s="88" t="str">
        <f>IFERROR(IF(売上入力!A126="","",IF(INDEX(マスター_OTA!$C$4:$C$29,MATCH(売上入力!D126,マスター_OTA!$A$4:$A$29,0))=0,"",DATE(YEAR(売上入力!A126),MONTH(売上入力!A126)+1,IFERROR(INDEX(マスター_OTA!$F$4:$F$29,MATCH(売上入力!D126,マスター_OTA!$A$4:$A$29,0)),25)))),"")</f>
        <v/>
      </c>
      <c r="B371" s="16" t="str">
        <f>IF(売上入力!B126="","",売上入力!B126)</f>
        <v/>
      </c>
      <c r="C371" s="16" t="str">
        <f>IF(売上入力!C126="","",売上入力!C126)</f>
        <v/>
      </c>
      <c r="D371" s="16" t="str">
        <f>IF(売上入力!D126="","",売上入力!D126)</f>
        <v/>
      </c>
      <c r="E371" s="89">
        <f>IFERROR(IF(売上入力!E126="",0,売上入力!E126*INDEX(マスター_OTA!$C$4:$C$29,MATCH(売上入力!D126,マスター_OTA!$A$4:$A$29,0))/100),0)</f>
        <v>0</v>
      </c>
      <c r="F371" s="90" t="str">
        <f>IF(売上入力!A126="","",売上入力!A126)</f>
        <v/>
      </c>
      <c r="G371" s="16" t="s">
        <v>385</v>
      </c>
    </row>
    <row r="372" spans="1:7" ht="15" customHeight="1">
      <c r="A372" s="88" t="str">
        <f>IFERROR(IF(売上入力!A126="","",IF(INDEX(マスター_OTA!$D$4:$D$29,MATCH(売上入力!D126,マスター_OTA!$A$4:$A$29,0))=0,"",DATE(YEAR(売上入力!A126),MONTH(売上入力!A126)+2,IFERROR(INDEX(マスター_OTA!$G$4:$G$29,MATCH(売上入力!D126,マスター_OTA!$A$4:$A$29,0)),25)))),"")</f>
        <v/>
      </c>
      <c r="B372" s="16" t="str">
        <f>IF(売上入力!B126="","",売上入力!B126)</f>
        <v/>
      </c>
      <c r="C372" s="16" t="str">
        <f>IF(売上入力!C126="","",売上入力!C126)</f>
        <v/>
      </c>
      <c r="D372" s="16" t="str">
        <f>IF(売上入力!D126="","",売上入力!D126)</f>
        <v/>
      </c>
      <c r="E372" s="89">
        <f>IFERROR(IF(売上入力!E126="",0,売上入力!E126*INDEX(マスター_OTA!$D$4:$D$29,MATCH(売上入力!D126,マスター_OTA!$A$4:$A$29,0))/100),0)</f>
        <v>0</v>
      </c>
      <c r="F372" s="90" t="str">
        <f>IF(売上入力!A126="","",売上入力!A126)</f>
        <v/>
      </c>
      <c r="G372" s="16" t="s">
        <v>386</v>
      </c>
    </row>
    <row r="373" spans="1:7" ht="15" customHeight="1">
      <c r="A373" s="88" t="str">
        <f>IFERROR(IF(売上入力!A127="","",IF(INDEX(マスター_OTA!$B$4:$B$29,MATCH(売上入力!D127,マスター_OTA!$A$4:$A$29,0))=0,"",DATE(YEAR(売上入力!A127),MONTH(売上入力!A127),IFERROR(INDEX(マスター_OTA!$E$4:$E$29,MATCH(売上入力!D127,マスター_OTA!$A$4:$A$29,0)),28)))),"")</f>
        <v/>
      </c>
      <c r="B373" s="16" t="str">
        <f>IF(売上入力!B127="","",売上入力!B127)</f>
        <v/>
      </c>
      <c r="C373" s="16" t="str">
        <f>IF(売上入力!C127="","",売上入力!C127)</f>
        <v/>
      </c>
      <c r="D373" s="16" t="str">
        <f>IF(売上入力!D127="","",売上入力!D127)</f>
        <v/>
      </c>
      <c r="E373" s="89">
        <f>IFERROR(IF(売上入力!E127="",0,売上入力!E127*INDEX(マスター_OTA!$B$4:$B$29,MATCH(売上入力!D127,マスター_OTA!$A$4:$A$29,0))/100),0)</f>
        <v>0</v>
      </c>
      <c r="F373" s="90" t="str">
        <f>IF(売上入力!A127="","",売上入力!A127)</f>
        <v/>
      </c>
      <c r="G373" s="16" t="s">
        <v>384</v>
      </c>
    </row>
    <row r="374" spans="1:7" ht="15" customHeight="1">
      <c r="A374" s="88" t="str">
        <f>IFERROR(IF(売上入力!A127="","",IF(INDEX(マスター_OTA!$C$4:$C$29,MATCH(売上入力!D127,マスター_OTA!$A$4:$A$29,0))=0,"",DATE(YEAR(売上入力!A127),MONTH(売上入力!A127)+1,IFERROR(INDEX(マスター_OTA!$F$4:$F$29,MATCH(売上入力!D127,マスター_OTA!$A$4:$A$29,0)),25)))),"")</f>
        <v/>
      </c>
      <c r="B374" s="16" t="str">
        <f>IF(売上入力!B127="","",売上入力!B127)</f>
        <v/>
      </c>
      <c r="C374" s="16" t="str">
        <f>IF(売上入力!C127="","",売上入力!C127)</f>
        <v/>
      </c>
      <c r="D374" s="16" t="str">
        <f>IF(売上入力!D127="","",売上入力!D127)</f>
        <v/>
      </c>
      <c r="E374" s="89">
        <f>IFERROR(IF(売上入力!E127="",0,売上入力!E127*INDEX(マスター_OTA!$C$4:$C$29,MATCH(売上入力!D127,マスター_OTA!$A$4:$A$29,0))/100),0)</f>
        <v>0</v>
      </c>
      <c r="F374" s="90" t="str">
        <f>IF(売上入力!A127="","",売上入力!A127)</f>
        <v/>
      </c>
      <c r="G374" s="16" t="s">
        <v>385</v>
      </c>
    </row>
    <row r="375" spans="1:7" ht="15" customHeight="1">
      <c r="A375" s="88" t="str">
        <f>IFERROR(IF(売上入力!A127="","",IF(INDEX(マスター_OTA!$D$4:$D$29,MATCH(売上入力!D127,マスター_OTA!$A$4:$A$29,0))=0,"",DATE(YEAR(売上入力!A127),MONTH(売上入力!A127)+2,IFERROR(INDEX(マスター_OTA!$G$4:$G$29,MATCH(売上入力!D127,マスター_OTA!$A$4:$A$29,0)),25)))),"")</f>
        <v/>
      </c>
      <c r="B375" s="16" t="str">
        <f>IF(売上入力!B127="","",売上入力!B127)</f>
        <v/>
      </c>
      <c r="C375" s="16" t="str">
        <f>IF(売上入力!C127="","",売上入力!C127)</f>
        <v/>
      </c>
      <c r="D375" s="16" t="str">
        <f>IF(売上入力!D127="","",売上入力!D127)</f>
        <v/>
      </c>
      <c r="E375" s="89">
        <f>IFERROR(IF(売上入力!E127="",0,売上入力!E127*INDEX(マスター_OTA!$D$4:$D$29,MATCH(売上入力!D127,マスター_OTA!$A$4:$A$29,0))/100),0)</f>
        <v>0</v>
      </c>
      <c r="F375" s="90" t="str">
        <f>IF(売上入力!A127="","",売上入力!A127)</f>
        <v/>
      </c>
      <c r="G375" s="16" t="s">
        <v>386</v>
      </c>
    </row>
    <row r="376" spans="1:7" ht="15" customHeight="1">
      <c r="A376" s="88" t="str">
        <f>IFERROR(IF(売上入力!A128="","",IF(INDEX(マスター_OTA!$B$4:$B$29,MATCH(売上入力!D128,マスター_OTA!$A$4:$A$29,0))=0,"",DATE(YEAR(売上入力!A128),MONTH(売上入力!A128),IFERROR(INDEX(マスター_OTA!$E$4:$E$29,MATCH(売上入力!D128,マスター_OTA!$A$4:$A$29,0)),28)))),"")</f>
        <v/>
      </c>
      <c r="B376" s="16" t="str">
        <f>IF(売上入力!B128="","",売上入力!B128)</f>
        <v/>
      </c>
      <c r="C376" s="16" t="str">
        <f>IF(売上入力!C128="","",売上入力!C128)</f>
        <v/>
      </c>
      <c r="D376" s="16" t="str">
        <f>IF(売上入力!D128="","",売上入力!D128)</f>
        <v/>
      </c>
      <c r="E376" s="89">
        <f>IFERROR(IF(売上入力!E128="",0,売上入力!E128*INDEX(マスター_OTA!$B$4:$B$29,MATCH(売上入力!D128,マスター_OTA!$A$4:$A$29,0))/100),0)</f>
        <v>0</v>
      </c>
      <c r="F376" s="90" t="str">
        <f>IF(売上入力!A128="","",売上入力!A128)</f>
        <v/>
      </c>
      <c r="G376" s="16" t="s">
        <v>384</v>
      </c>
    </row>
    <row r="377" spans="1:7" ht="15" customHeight="1">
      <c r="A377" s="88" t="str">
        <f>IFERROR(IF(売上入力!A128="","",IF(INDEX(マスター_OTA!$C$4:$C$29,MATCH(売上入力!D128,マスター_OTA!$A$4:$A$29,0))=0,"",DATE(YEAR(売上入力!A128),MONTH(売上入力!A128)+1,IFERROR(INDEX(マスター_OTA!$F$4:$F$29,MATCH(売上入力!D128,マスター_OTA!$A$4:$A$29,0)),25)))),"")</f>
        <v/>
      </c>
      <c r="B377" s="16" t="str">
        <f>IF(売上入力!B128="","",売上入力!B128)</f>
        <v/>
      </c>
      <c r="C377" s="16" t="str">
        <f>IF(売上入力!C128="","",売上入力!C128)</f>
        <v/>
      </c>
      <c r="D377" s="16" t="str">
        <f>IF(売上入力!D128="","",売上入力!D128)</f>
        <v/>
      </c>
      <c r="E377" s="89">
        <f>IFERROR(IF(売上入力!E128="",0,売上入力!E128*INDEX(マスター_OTA!$C$4:$C$29,MATCH(売上入力!D128,マスター_OTA!$A$4:$A$29,0))/100),0)</f>
        <v>0</v>
      </c>
      <c r="F377" s="90" t="str">
        <f>IF(売上入力!A128="","",売上入力!A128)</f>
        <v/>
      </c>
      <c r="G377" s="16" t="s">
        <v>385</v>
      </c>
    </row>
    <row r="378" spans="1:7" ht="15" customHeight="1">
      <c r="A378" s="88" t="str">
        <f>IFERROR(IF(売上入力!A128="","",IF(INDEX(マスター_OTA!$D$4:$D$29,MATCH(売上入力!D128,マスター_OTA!$A$4:$A$29,0))=0,"",DATE(YEAR(売上入力!A128),MONTH(売上入力!A128)+2,IFERROR(INDEX(マスター_OTA!$G$4:$G$29,MATCH(売上入力!D128,マスター_OTA!$A$4:$A$29,0)),25)))),"")</f>
        <v/>
      </c>
      <c r="B378" s="16" t="str">
        <f>IF(売上入力!B128="","",売上入力!B128)</f>
        <v/>
      </c>
      <c r="C378" s="16" t="str">
        <f>IF(売上入力!C128="","",売上入力!C128)</f>
        <v/>
      </c>
      <c r="D378" s="16" t="str">
        <f>IF(売上入力!D128="","",売上入力!D128)</f>
        <v/>
      </c>
      <c r="E378" s="89">
        <f>IFERROR(IF(売上入力!E128="",0,売上入力!E128*INDEX(マスター_OTA!$D$4:$D$29,MATCH(売上入力!D128,マスター_OTA!$A$4:$A$29,0))/100),0)</f>
        <v>0</v>
      </c>
      <c r="F378" s="90" t="str">
        <f>IF(売上入力!A128="","",売上入力!A128)</f>
        <v/>
      </c>
      <c r="G378" s="16" t="s">
        <v>386</v>
      </c>
    </row>
    <row r="379" spans="1:7" ht="15" customHeight="1">
      <c r="A379" s="88" t="str">
        <f>IFERROR(IF(売上入力!A129="","",IF(INDEX(マスター_OTA!$B$4:$B$29,MATCH(売上入力!D129,マスター_OTA!$A$4:$A$29,0))=0,"",DATE(YEAR(売上入力!A129),MONTH(売上入力!A129),IFERROR(INDEX(マスター_OTA!$E$4:$E$29,MATCH(売上入力!D129,マスター_OTA!$A$4:$A$29,0)),28)))),"")</f>
        <v/>
      </c>
      <c r="B379" s="16" t="str">
        <f>IF(売上入力!B129="","",売上入力!B129)</f>
        <v/>
      </c>
      <c r="C379" s="16" t="str">
        <f>IF(売上入力!C129="","",売上入力!C129)</f>
        <v/>
      </c>
      <c r="D379" s="16" t="str">
        <f>IF(売上入力!D129="","",売上入力!D129)</f>
        <v/>
      </c>
      <c r="E379" s="89">
        <f>IFERROR(IF(売上入力!E129="",0,売上入力!E129*INDEX(マスター_OTA!$B$4:$B$29,MATCH(売上入力!D129,マスター_OTA!$A$4:$A$29,0))/100),0)</f>
        <v>0</v>
      </c>
      <c r="F379" s="90" t="str">
        <f>IF(売上入力!A129="","",売上入力!A129)</f>
        <v/>
      </c>
      <c r="G379" s="16" t="s">
        <v>384</v>
      </c>
    </row>
    <row r="380" spans="1:7" ht="15" customHeight="1">
      <c r="A380" s="88" t="str">
        <f>IFERROR(IF(売上入力!A129="","",IF(INDEX(マスター_OTA!$C$4:$C$29,MATCH(売上入力!D129,マスター_OTA!$A$4:$A$29,0))=0,"",DATE(YEAR(売上入力!A129),MONTH(売上入力!A129)+1,IFERROR(INDEX(マスター_OTA!$F$4:$F$29,MATCH(売上入力!D129,マスター_OTA!$A$4:$A$29,0)),25)))),"")</f>
        <v/>
      </c>
      <c r="B380" s="16" t="str">
        <f>IF(売上入力!B129="","",売上入力!B129)</f>
        <v/>
      </c>
      <c r="C380" s="16" t="str">
        <f>IF(売上入力!C129="","",売上入力!C129)</f>
        <v/>
      </c>
      <c r="D380" s="16" t="str">
        <f>IF(売上入力!D129="","",売上入力!D129)</f>
        <v/>
      </c>
      <c r="E380" s="89">
        <f>IFERROR(IF(売上入力!E129="",0,売上入力!E129*INDEX(マスター_OTA!$C$4:$C$29,MATCH(売上入力!D129,マスター_OTA!$A$4:$A$29,0))/100),0)</f>
        <v>0</v>
      </c>
      <c r="F380" s="90" t="str">
        <f>IF(売上入力!A129="","",売上入力!A129)</f>
        <v/>
      </c>
      <c r="G380" s="16" t="s">
        <v>385</v>
      </c>
    </row>
    <row r="381" spans="1:7" ht="15" customHeight="1">
      <c r="A381" s="88" t="str">
        <f>IFERROR(IF(売上入力!A129="","",IF(INDEX(マスター_OTA!$D$4:$D$29,MATCH(売上入力!D129,マスター_OTA!$A$4:$A$29,0))=0,"",DATE(YEAR(売上入力!A129),MONTH(売上入力!A129)+2,IFERROR(INDEX(マスター_OTA!$G$4:$G$29,MATCH(売上入力!D129,マスター_OTA!$A$4:$A$29,0)),25)))),"")</f>
        <v/>
      </c>
      <c r="B381" s="16" t="str">
        <f>IF(売上入力!B129="","",売上入力!B129)</f>
        <v/>
      </c>
      <c r="C381" s="16" t="str">
        <f>IF(売上入力!C129="","",売上入力!C129)</f>
        <v/>
      </c>
      <c r="D381" s="16" t="str">
        <f>IF(売上入力!D129="","",売上入力!D129)</f>
        <v/>
      </c>
      <c r="E381" s="89">
        <f>IFERROR(IF(売上入力!E129="",0,売上入力!E129*INDEX(マスター_OTA!$D$4:$D$29,MATCH(売上入力!D129,マスター_OTA!$A$4:$A$29,0))/100),0)</f>
        <v>0</v>
      </c>
      <c r="F381" s="90" t="str">
        <f>IF(売上入力!A129="","",売上入力!A129)</f>
        <v/>
      </c>
      <c r="G381" s="16" t="s">
        <v>386</v>
      </c>
    </row>
    <row r="382" spans="1:7" ht="15" customHeight="1">
      <c r="A382" s="88" t="str">
        <f>IFERROR(IF(売上入力!A130="","",IF(INDEX(マスター_OTA!$B$4:$B$29,MATCH(売上入力!D130,マスター_OTA!$A$4:$A$29,0))=0,"",DATE(YEAR(売上入力!A130),MONTH(売上入力!A130),IFERROR(INDEX(マスター_OTA!$E$4:$E$29,MATCH(売上入力!D130,マスター_OTA!$A$4:$A$29,0)),28)))),"")</f>
        <v/>
      </c>
      <c r="B382" s="16" t="str">
        <f>IF(売上入力!B130="","",売上入力!B130)</f>
        <v/>
      </c>
      <c r="C382" s="16" t="str">
        <f>IF(売上入力!C130="","",売上入力!C130)</f>
        <v/>
      </c>
      <c r="D382" s="16" t="str">
        <f>IF(売上入力!D130="","",売上入力!D130)</f>
        <v/>
      </c>
      <c r="E382" s="89">
        <f>IFERROR(IF(売上入力!E130="",0,売上入力!E130*INDEX(マスター_OTA!$B$4:$B$29,MATCH(売上入力!D130,マスター_OTA!$A$4:$A$29,0))/100),0)</f>
        <v>0</v>
      </c>
      <c r="F382" s="90" t="str">
        <f>IF(売上入力!A130="","",売上入力!A130)</f>
        <v/>
      </c>
      <c r="G382" s="16" t="s">
        <v>384</v>
      </c>
    </row>
    <row r="383" spans="1:7" ht="15" customHeight="1">
      <c r="A383" s="88" t="str">
        <f>IFERROR(IF(売上入力!A130="","",IF(INDEX(マスター_OTA!$C$4:$C$29,MATCH(売上入力!D130,マスター_OTA!$A$4:$A$29,0))=0,"",DATE(YEAR(売上入力!A130),MONTH(売上入力!A130)+1,IFERROR(INDEX(マスター_OTA!$F$4:$F$29,MATCH(売上入力!D130,マスター_OTA!$A$4:$A$29,0)),25)))),"")</f>
        <v/>
      </c>
      <c r="B383" s="16" t="str">
        <f>IF(売上入力!B130="","",売上入力!B130)</f>
        <v/>
      </c>
      <c r="C383" s="16" t="str">
        <f>IF(売上入力!C130="","",売上入力!C130)</f>
        <v/>
      </c>
      <c r="D383" s="16" t="str">
        <f>IF(売上入力!D130="","",売上入力!D130)</f>
        <v/>
      </c>
      <c r="E383" s="89">
        <f>IFERROR(IF(売上入力!E130="",0,売上入力!E130*INDEX(マスター_OTA!$C$4:$C$29,MATCH(売上入力!D130,マスター_OTA!$A$4:$A$29,0))/100),0)</f>
        <v>0</v>
      </c>
      <c r="F383" s="90" t="str">
        <f>IF(売上入力!A130="","",売上入力!A130)</f>
        <v/>
      </c>
      <c r="G383" s="16" t="s">
        <v>385</v>
      </c>
    </row>
    <row r="384" spans="1:7" ht="15" customHeight="1">
      <c r="A384" s="88" t="str">
        <f>IFERROR(IF(売上入力!A130="","",IF(INDEX(マスター_OTA!$D$4:$D$29,MATCH(売上入力!D130,マスター_OTA!$A$4:$A$29,0))=0,"",DATE(YEAR(売上入力!A130),MONTH(売上入力!A130)+2,IFERROR(INDEX(マスター_OTA!$G$4:$G$29,MATCH(売上入力!D130,マスター_OTA!$A$4:$A$29,0)),25)))),"")</f>
        <v/>
      </c>
      <c r="B384" s="16" t="str">
        <f>IF(売上入力!B130="","",売上入力!B130)</f>
        <v/>
      </c>
      <c r="C384" s="16" t="str">
        <f>IF(売上入力!C130="","",売上入力!C130)</f>
        <v/>
      </c>
      <c r="D384" s="16" t="str">
        <f>IF(売上入力!D130="","",売上入力!D130)</f>
        <v/>
      </c>
      <c r="E384" s="89">
        <f>IFERROR(IF(売上入力!E130="",0,売上入力!E130*INDEX(マスター_OTA!$D$4:$D$29,MATCH(売上入力!D130,マスター_OTA!$A$4:$A$29,0))/100),0)</f>
        <v>0</v>
      </c>
      <c r="F384" s="90" t="str">
        <f>IF(売上入力!A130="","",売上入力!A130)</f>
        <v/>
      </c>
      <c r="G384" s="16" t="s">
        <v>386</v>
      </c>
    </row>
    <row r="385" spans="1:7" ht="15" customHeight="1">
      <c r="A385" s="88" t="str">
        <f>IFERROR(IF(売上入力!A131="","",IF(INDEX(マスター_OTA!$B$4:$B$29,MATCH(売上入力!D131,マスター_OTA!$A$4:$A$29,0))=0,"",DATE(YEAR(売上入力!A131),MONTH(売上入力!A131),IFERROR(INDEX(マスター_OTA!$E$4:$E$29,MATCH(売上入力!D131,マスター_OTA!$A$4:$A$29,0)),28)))),"")</f>
        <v/>
      </c>
      <c r="B385" s="16" t="str">
        <f>IF(売上入力!B131="","",売上入力!B131)</f>
        <v/>
      </c>
      <c r="C385" s="16" t="str">
        <f>IF(売上入力!C131="","",売上入力!C131)</f>
        <v/>
      </c>
      <c r="D385" s="16" t="str">
        <f>IF(売上入力!D131="","",売上入力!D131)</f>
        <v/>
      </c>
      <c r="E385" s="89">
        <f>IFERROR(IF(売上入力!E131="",0,売上入力!E131*INDEX(マスター_OTA!$B$4:$B$29,MATCH(売上入力!D131,マスター_OTA!$A$4:$A$29,0))/100),0)</f>
        <v>0</v>
      </c>
      <c r="F385" s="90" t="str">
        <f>IF(売上入力!A131="","",売上入力!A131)</f>
        <v/>
      </c>
      <c r="G385" s="16" t="s">
        <v>384</v>
      </c>
    </row>
    <row r="386" spans="1:7" ht="15" customHeight="1">
      <c r="A386" s="88" t="str">
        <f>IFERROR(IF(売上入力!A131="","",IF(INDEX(マスター_OTA!$C$4:$C$29,MATCH(売上入力!D131,マスター_OTA!$A$4:$A$29,0))=0,"",DATE(YEAR(売上入力!A131),MONTH(売上入力!A131)+1,IFERROR(INDEX(マスター_OTA!$F$4:$F$29,MATCH(売上入力!D131,マスター_OTA!$A$4:$A$29,0)),25)))),"")</f>
        <v/>
      </c>
      <c r="B386" s="16" t="str">
        <f>IF(売上入力!B131="","",売上入力!B131)</f>
        <v/>
      </c>
      <c r="C386" s="16" t="str">
        <f>IF(売上入力!C131="","",売上入力!C131)</f>
        <v/>
      </c>
      <c r="D386" s="16" t="str">
        <f>IF(売上入力!D131="","",売上入力!D131)</f>
        <v/>
      </c>
      <c r="E386" s="89">
        <f>IFERROR(IF(売上入力!E131="",0,売上入力!E131*INDEX(マスター_OTA!$C$4:$C$29,MATCH(売上入力!D131,マスター_OTA!$A$4:$A$29,0))/100),0)</f>
        <v>0</v>
      </c>
      <c r="F386" s="90" t="str">
        <f>IF(売上入力!A131="","",売上入力!A131)</f>
        <v/>
      </c>
      <c r="G386" s="16" t="s">
        <v>385</v>
      </c>
    </row>
    <row r="387" spans="1:7" ht="15" customHeight="1">
      <c r="A387" s="88" t="str">
        <f>IFERROR(IF(売上入力!A131="","",IF(INDEX(マスター_OTA!$D$4:$D$29,MATCH(売上入力!D131,マスター_OTA!$A$4:$A$29,0))=0,"",DATE(YEAR(売上入力!A131),MONTH(売上入力!A131)+2,IFERROR(INDEX(マスター_OTA!$G$4:$G$29,MATCH(売上入力!D131,マスター_OTA!$A$4:$A$29,0)),25)))),"")</f>
        <v/>
      </c>
      <c r="B387" s="16" t="str">
        <f>IF(売上入力!B131="","",売上入力!B131)</f>
        <v/>
      </c>
      <c r="C387" s="16" t="str">
        <f>IF(売上入力!C131="","",売上入力!C131)</f>
        <v/>
      </c>
      <c r="D387" s="16" t="str">
        <f>IF(売上入力!D131="","",売上入力!D131)</f>
        <v/>
      </c>
      <c r="E387" s="89">
        <f>IFERROR(IF(売上入力!E131="",0,売上入力!E131*INDEX(マスター_OTA!$D$4:$D$29,MATCH(売上入力!D131,マスター_OTA!$A$4:$A$29,0))/100),0)</f>
        <v>0</v>
      </c>
      <c r="F387" s="90" t="str">
        <f>IF(売上入力!A131="","",売上入力!A131)</f>
        <v/>
      </c>
      <c r="G387" s="16" t="s">
        <v>386</v>
      </c>
    </row>
    <row r="388" spans="1:7" ht="15" customHeight="1">
      <c r="A388" s="88" t="str">
        <f>IFERROR(IF(売上入力!A132="","",IF(INDEX(マスター_OTA!$B$4:$B$29,MATCH(売上入力!D132,マスター_OTA!$A$4:$A$29,0))=0,"",DATE(YEAR(売上入力!A132),MONTH(売上入力!A132),IFERROR(INDEX(マスター_OTA!$E$4:$E$29,MATCH(売上入力!D132,マスター_OTA!$A$4:$A$29,0)),28)))),"")</f>
        <v/>
      </c>
      <c r="B388" s="16" t="str">
        <f>IF(売上入力!B132="","",売上入力!B132)</f>
        <v/>
      </c>
      <c r="C388" s="16" t="str">
        <f>IF(売上入力!C132="","",売上入力!C132)</f>
        <v/>
      </c>
      <c r="D388" s="16" t="str">
        <f>IF(売上入力!D132="","",売上入力!D132)</f>
        <v/>
      </c>
      <c r="E388" s="89">
        <f>IFERROR(IF(売上入力!E132="",0,売上入力!E132*INDEX(マスター_OTA!$B$4:$B$29,MATCH(売上入力!D132,マスター_OTA!$A$4:$A$29,0))/100),0)</f>
        <v>0</v>
      </c>
      <c r="F388" s="90" t="str">
        <f>IF(売上入力!A132="","",売上入力!A132)</f>
        <v/>
      </c>
      <c r="G388" s="16" t="s">
        <v>384</v>
      </c>
    </row>
    <row r="389" spans="1:7" ht="15" customHeight="1">
      <c r="A389" s="88" t="str">
        <f>IFERROR(IF(売上入力!A132="","",IF(INDEX(マスター_OTA!$C$4:$C$29,MATCH(売上入力!D132,マスター_OTA!$A$4:$A$29,0))=0,"",DATE(YEAR(売上入力!A132),MONTH(売上入力!A132)+1,IFERROR(INDEX(マスター_OTA!$F$4:$F$29,MATCH(売上入力!D132,マスター_OTA!$A$4:$A$29,0)),25)))),"")</f>
        <v/>
      </c>
      <c r="B389" s="16" t="str">
        <f>IF(売上入力!B132="","",売上入力!B132)</f>
        <v/>
      </c>
      <c r="C389" s="16" t="str">
        <f>IF(売上入力!C132="","",売上入力!C132)</f>
        <v/>
      </c>
      <c r="D389" s="16" t="str">
        <f>IF(売上入力!D132="","",売上入力!D132)</f>
        <v/>
      </c>
      <c r="E389" s="89">
        <f>IFERROR(IF(売上入力!E132="",0,売上入力!E132*INDEX(マスター_OTA!$C$4:$C$29,MATCH(売上入力!D132,マスター_OTA!$A$4:$A$29,0))/100),0)</f>
        <v>0</v>
      </c>
      <c r="F389" s="90" t="str">
        <f>IF(売上入力!A132="","",売上入力!A132)</f>
        <v/>
      </c>
      <c r="G389" s="16" t="s">
        <v>385</v>
      </c>
    </row>
    <row r="390" spans="1:7" ht="15" customHeight="1">
      <c r="A390" s="88" t="str">
        <f>IFERROR(IF(売上入力!A132="","",IF(INDEX(マスター_OTA!$D$4:$D$29,MATCH(売上入力!D132,マスター_OTA!$A$4:$A$29,0))=0,"",DATE(YEAR(売上入力!A132),MONTH(売上入力!A132)+2,IFERROR(INDEX(マスター_OTA!$G$4:$G$29,MATCH(売上入力!D132,マスター_OTA!$A$4:$A$29,0)),25)))),"")</f>
        <v/>
      </c>
      <c r="B390" s="16" t="str">
        <f>IF(売上入力!B132="","",売上入力!B132)</f>
        <v/>
      </c>
      <c r="C390" s="16" t="str">
        <f>IF(売上入力!C132="","",売上入力!C132)</f>
        <v/>
      </c>
      <c r="D390" s="16" t="str">
        <f>IF(売上入力!D132="","",売上入力!D132)</f>
        <v/>
      </c>
      <c r="E390" s="89">
        <f>IFERROR(IF(売上入力!E132="",0,売上入力!E132*INDEX(マスター_OTA!$D$4:$D$29,MATCH(売上入力!D132,マスター_OTA!$A$4:$A$29,0))/100),0)</f>
        <v>0</v>
      </c>
      <c r="F390" s="90" t="str">
        <f>IF(売上入力!A132="","",売上入力!A132)</f>
        <v/>
      </c>
      <c r="G390" s="16" t="s">
        <v>386</v>
      </c>
    </row>
    <row r="391" spans="1:7" ht="15" customHeight="1">
      <c r="A391" s="88" t="str">
        <f>IFERROR(IF(売上入力!A133="","",IF(INDEX(マスター_OTA!$B$4:$B$29,MATCH(売上入力!D133,マスター_OTA!$A$4:$A$29,0))=0,"",DATE(YEAR(売上入力!A133),MONTH(売上入力!A133),IFERROR(INDEX(マスター_OTA!$E$4:$E$29,MATCH(売上入力!D133,マスター_OTA!$A$4:$A$29,0)),28)))),"")</f>
        <v/>
      </c>
      <c r="B391" s="16" t="str">
        <f>IF(売上入力!B133="","",売上入力!B133)</f>
        <v/>
      </c>
      <c r="C391" s="16" t="str">
        <f>IF(売上入力!C133="","",売上入力!C133)</f>
        <v/>
      </c>
      <c r="D391" s="16" t="str">
        <f>IF(売上入力!D133="","",売上入力!D133)</f>
        <v/>
      </c>
      <c r="E391" s="89">
        <f>IFERROR(IF(売上入力!E133="",0,売上入力!E133*INDEX(マスター_OTA!$B$4:$B$29,MATCH(売上入力!D133,マスター_OTA!$A$4:$A$29,0))/100),0)</f>
        <v>0</v>
      </c>
      <c r="F391" s="90" t="str">
        <f>IF(売上入力!A133="","",売上入力!A133)</f>
        <v/>
      </c>
      <c r="G391" s="16" t="s">
        <v>384</v>
      </c>
    </row>
    <row r="392" spans="1:7" ht="15" customHeight="1">
      <c r="A392" s="88" t="str">
        <f>IFERROR(IF(売上入力!A133="","",IF(INDEX(マスター_OTA!$C$4:$C$29,MATCH(売上入力!D133,マスター_OTA!$A$4:$A$29,0))=0,"",DATE(YEAR(売上入力!A133),MONTH(売上入力!A133)+1,IFERROR(INDEX(マスター_OTA!$F$4:$F$29,MATCH(売上入力!D133,マスター_OTA!$A$4:$A$29,0)),25)))),"")</f>
        <v/>
      </c>
      <c r="B392" s="16" t="str">
        <f>IF(売上入力!B133="","",売上入力!B133)</f>
        <v/>
      </c>
      <c r="C392" s="16" t="str">
        <f>IF(売上入力!C133="","",売上入力!C133)</f>
        <v/>
      </c>
      <c r="D392" s="16" t="str">
        <f>IF(売上入力!D133="","",売上入力!D133)</f>
        <v/>
      </c>
      <c r="E392" s="89">
        <f>IFERROR(IF(売上入力!E133="",0,売上入力!E133*INDEX(マスター_OTA!$C$4:$C$29,MATCH(売上入力!D133,マスター_OTA!$A$4:$A$29,0))/100),0)</f>
        <v>0</v>
      </c>
      <c r="F392" s="90" t="str">
        <f>IF(売上入力!A133="","",売上入力!A133)</f>
        <v/>
      </c>
      <c r="G392" s="16" t="s">
        <v>385</v>
      </c>
    </row>
    <row r="393" spans="1:7" ht="15" customHeight="1">
      <c r="A393" s="88" t="str">
        <f>IFERROR(IF(売上入力!A133="","",IF(INDEX(マスター_OTA!$D$4:$D$29,MATCH(売上入力!D133,マスター_OTA!$A$4:$A$29,0))=0,"",DATE(YEAR(売上入力!A133),MONTH(売上入力!A133)+2,IFERROR(INDEX(マスター_OTA!$G$4:$G$29,MATCH(売上入力!D133,マスター_OTA!$A$4:$A$29,0)),25)))),"")</f>
        <v/>
      </c>
      <c r="B393" s="16" t="str">
        <f>IF(売上入力!B133="","",売上入力!B133)</f>
        <v/>
      </c>
      <c r="C393" s="16" t="str">
        <f>IF(売上入力!C133="","",売上入力!C133)</f>
        <v/>
      </c>
      <c r="D393" s="16" t="str">
        <f>IF(売上入力!D133="","",売上入力!D133)</f>
        <v/>
      </c>
      <c r="E393" s="89">
        <f>IFERROR(IF(売上入力!E133="",0,売上入力!E133*INDEX(マスター_OTA!$D$4:$D$29,MATCH(売上入力!D133,マスター_OTA!$A$4:$A$29,0))/100),0)</f>
        <v>0</v>
      </c>
      <c r="F393" s="90" t="str">
        <f>IF(売上入力!A133="","",売上入力!A133)</f>
        <v/>
      </c>
      <c r="G393" s="16" t="s">
        <v>386</v>
      </c>
    </row>
    <row r="394" spans="1:7" ht="15" customHeight="1">
      <c r="A394" s="88" t="str">
        <f>IFERROR(IF(売上入力!A134="","",IF(INDEX(マスター_OTA!$B$4:$B$29,MATCH(売上入力!D134,マスター_OTA!$A$4:$A$29,0))=0,"",DATE(YEAR(売上入力!A134),MONTH(売上入力!A134),IFERROR(INDEX(マスター_OTA!$E$4:$E$29,MATCH(売上入力!D134,マスター_OTA!$A$4:$A$29,0)),28)))),"")</f>
        <v/>
      </c>
      <c r="B394" s="16" t="str">
        <f>IF(売上入力!B134="","",売上入力!B134)</f>
        <v/>
      </c>
      <c r="C394" s="16" t="str">
        <f>IF(売上入力!C134="","",売上入力!C134)</f>
        <v/>
      </c>
      <c r="D394" s="16" t="str">
        <f>IF(売上入力!D134="","",売上入力!D134)</f>
        <v/>
      </c>
      <c r="E394" s="89">
        <f>IFERROR(IF(売上入力!E134="",0,売上入力!E134*INDEX(マスター_OTA!$B$4:$B$29,MATCH(売上入力!D134,マスター_OTA!$A$4:$A$29,0))/100),0)</f>
        <v>0</v>
      </c>
      <c r="F394" s="90" t="str">
        <f>IF(売上入力!A134="","",売上入力!A134)</f>
        <v/>
      </c>
      <c r="G394" s="16" t="s">
        <v>384</v>
      </c>
    </row>
    <row r="395" spans="1:7" ht="15" customHeight="1">
      <c r="A395" s="88" t="str">
        <f>IFERROR(IF(売上入力!A134="","",IF(INDEX(マスター_OTA!$C$4:$C$29,MATCH(売上入力!D134,マスター_OTA!$A$4:$A$29,0))=0,"",DATE(YEAR(売上入力!A134),MONTH(売上入力!A134)+1,IFERROR(INDEX(マスター_OTA!$F$4:$F$29,MATCH(売上入力!D134,マスター_OTA!$A$4:$A$29,0)),25)))),"")</f>
        <v/>
      </c>
      <c r="B395" s="16" t="str">
        <f>IF(売上入力!B134="","",売上入力!B134)</f>
        <v/>
      </c>
      <c r="C395" s="16" t="str">
        <f>IF(売上入力!C134="","",売上入力!C134)</f>
        <v/>
      </c>
      <c r="D395" s="16" t="str">
        <f>IF(売上入力!D134="","",売上入力!D134)</f>
        <v/>
      </c>
      <c r="E395" s="89">
        <f>IFERROR(IF(売上入力!E134="",0,売上入力!E134*INDEX(マスター_OTA!$C$4:$C$29,MATCH(売上入力!D134,マスター_OTA!$A$4:$A$29,0))/100),0)</f>
        <v>0</v>
      </c>
      <c r="F395" s="90" t="str">
        <f>IF(売上入力!A134="","",売上入力!A134)</f>
        <v/>
      </c>
      <c r="G395" s="16" t="s">
        <v>385</v>
      </c>
    </row>
    <row r="396" spans="1:7" ht="15" customHeight="1">
      <c r="A396" s="88" t="str">
        <f>IFERROR(IF(売上入力!A134="","",IF(INDEX(マスター_OTA!$D$4:$D$29,MATCH(売上入力!D134,マスター_OTA!$A$4:$A$29,0))=0,"",DATE(YEAR(売上入力!A134),MONTH(売上入力!A134)+2,IFERROR(INDEX(マスター_OTA!$G$4:$G$29,MATCH(売上入力!D134,マスター_OTA!$A$4:$A$29,0)),25)))),"")</f>
        <v/>
      </c>
      <c r="B396" s="16" t="str">
        <f>IF(売上入力!B134="","",売上入力!B134)</f>
        <v/>
      </c>
      <c r="C396" s="16" t="str">
        <f>IF(売上入力!C134="","",売上入力!C134)</f>
        <v/>
      </c>
      <c r="D396" s="16" t="str">
        <f>IF(売上入力!D134="","",売上入力!D134)</f>
        <v/>
      </c>
      <c r="E396" s="89">
        <f>IFERROR(IF(売上入力!E134="",0,売上入力!E134*INDEX(マスター_OTA!$D$4:$D$29,MATCH(売上入力!D134,マスター_OTA!$A$4:$A$29,0))/100),0)</f>
        <v>0</v>
      </c>
      <c r="F396" s="90" t="str">
        <f>IF(売上入力!A134="","",売上入力!A134)</f>
        <v/>
      </c>
      <c r="G396" s="16" t="s">
        <v>386</v>
      </c>
    </row>
    <row r="397" spans="1:7" ht="15" customHeight="1">
      <c r="A397" s="88" t="str">
        <f>IFERROR(IF(売上入力!A135="","",IF(INDEX(マスター_OTA!$B$4:$B$29,MATCH(売上入力!D135,マスター_OTA!$A$4:$A$29,0))=0,"",DATE(YEAR(売上入力!A135),MONTH(売上入力!A135),IFERROR(INDEX(マスター_OTA!$E$4:$E$29,MATCH(売上入力!D135,マスター_OTA!$A$4:$A$29,0)),28)))),"")</f>
        <v/>
      </c>
      <c r="B397" s="16" t="str">
        <f>IF(売上入力!B135="","",売上入力!B135)</f>
        <v/>
      </c>
      <c r="C397" s="16" t="str">
        <f>IF(売上入力!C135="","",売上入力!C135)</f>
        <v/>
      </c>
      <c r="D397" s="16" t="str">
        <f>IF(売上入力!D135="","",売上入力!D135)</f>
        <v/>
      </c>
      <c r="E397" s="89">
        <f>IFERROR(IF(売上入力!E135="",0,売上入力!E135*INDEX(マスター_OTA!$B$4:$B$29,MATCH(売上入力!D135,マスター_OTA!$A$4:$A$29,0))/100),0)</f>
        <v>0</v>
      </c>
      <c r="F397" s="90" t="str">
        <f>IF(売上入力!A135="","",売上入力!A135)</f>
        <v/>
      </c>
      <c r="G397" s="16" t="s">
        <v>384</v>
      </c>
    </row>
    <row r="398" spans="1:7" ht="15" customHeight="1">
      <c r="A398" s="88" t="str">
        <f>IFERROR(IF(売上入力!A135="","",IF(INDEX(マスター_OTA!$C$4:$C$29,MATCH(売上入力!D135,マスター_OTA!$A$4:$A$29,0))=0,"",DATE(YEAR(売上入力!A135),MONTH(売上入力!A135)+1,IFERROR(INDEX(マスター_OTA!$F$4:$F$29,MATCH(売上入力!D135,マスター_OTA!$A$4:$A$29,0)),25)))),"")</f>
        <v/>
      </c>
      <c r="B398" s="16" t="str">
        <f>IF(売上入力!B135="","",売上入力!B135)</f>
        <v/>
      </c>
      <c r="C398" s="16" t="str">
        <f>IF(売上入力!C135="","",売上入力!C135)</f>
        <v/>
      </c>
      <c r="D398" s="16" t="str">
        <f>IF(売上入力!D135="","",売上入力!D135)</f>
        <v/>
      </c>
      <c r="E398" s="89">
        <f>IFERROR(IF(売上入力!E135="",0,売上入力!E135*INDEX(マスター_OTA!$C$4:$C$29,MATCH(売上入力!D135,マスター_OTA!$A$4:$A$29,0))/100),0)</f>
        <v>0</v>
      </c>
      <c r="F398" s="90" t="str">
        <f>IF(売上入力!A135="","",売上入力!A135)</f>
        <v/>
      </c>
      <c r="G398" s="16" t="s">
        <v>385</v>
      </c>
    </row>
    <row r="399" spans="1:7" ht="15" customHeight="1">
      <c r="A399" s="88" t="str">
        <f>IFERROR(IF(売上入力!A135="","",IF(INDEX(マスター_OTA!$D$4:$D$29,MATCH(売上入力!D135,マスター_OTA!$A$4:$A$29,0))=0,"",DATE(YEAR(売上入力!A135),MONTH(売上入力!A135)+2,IFERROR(INDEX(マスター_OTA!$G$4:$G$29,MATCH(売上入力!D135,マスター_OTA!$A$4:$A$29,0)),25)))),"")</f>
        <v/>
      </c>
      <c r="B399" s="16" t="str">
        <f>IF(売上入力!B135="","",売上入力!B135)</f>
        <v/>
      </c>
      <c r="C399" s="16" t="str">
        <f>IF(売上入力!C135="","",売上入力!C135)</f>
        <v/>
      </c>
      <c r="D399" s="16" t="str">
        <f>IF(売上入力!D135="","",売上入力!D135)</f>
        <v/>
      </c>
      <c r="E399" s="89">
        <f>IFERROR(IF(売上入力!E135="",0,売上入力!E135*INDEX(マスター_OTA!$D$4:$D$29,MATCH(売上入力!D135,マスター_OTA!$A$4:$A$29,0))/100),0)</f>
        <v>0</v>
      </c>
      <c r="F399" s="90" t="str">
        <f>IF(売上入力!A135="","",売上入力!A135)</f>
        <v/>
      </c>
      <c r="G399" s="16" t="s">
        <v>386</v>
      </c>
    </row>
    <row r="400" spans="1:7" ht="15" customHeight="1">
      <c r="A400" s="88" t="str">
        <f>IFERROR(IF(売上入力!A136="","",IF(INDEX(マスター_OTA!$B$4:$B$29,MATCH(売上入力!D136,マスター_OTA!$A$4:$A$29,0))=0,"",DATE(YEAR(売上入力!A136),MONTH(売上入力!A136),IFERROR(INDEX(マスター_OTA!$E$4:$E$29,MATCH(売上入力!D136,マスター_OTA!$A$4:$A$29,0)),28)))),"")</f>
        <v/>
      </c>
      <c r="B400" s="16" t="str">
        <f>IF(売上入力!B136="","",売上入力!B136)</f>
        <v/>
      </c>
      <c r="C400" s="16" t="str">
        <f>IF(売上入力!C136="","",売上入力!C136)</f>
        <v/>
      </c>
      <c r="D400" s="16" t="str">
        <f>IF(売上入力!D136="","",売上入力!D136)</f>
        <v/>
      </c>
      <c r="E400" s="89">
        <f>IFERROR(IF(売上入力!E136="",0,売上入力!E136*INDEX(マスター_OTA!$B$4:$B$29,MATCH(売上入力!D136,マスター_OTA!$A$4:$A$29,0))/100),0)</f>
        <v>0</v>
      </c>
      <c r="F400" s="90" t="str">
        <f>IF(売上入力!A136="","",売上入力!A136)</f>
        <v/>
      </c>
      <c r="G400" s="16" t="s">
        <v>384</v>
      </c>
    </row>
    <row r="401" spans="1:7" ht="15" customHeight="1">
      <c r="A401" s="88" t="str">
        <f>IFERROR(IF(売上入力!A136="","",IF(INDEX(マスター_OTA!$C$4:$C$29,MATCH(売上入力!D136,マスター_OTA!$A$4:$A$29,0))=0,"",DATE(YEAR(売上入力!A136),MONTH(売上入力!A136)+1,IFERROR(INDEX(マスター_OTA!$F$4:$F$29,MATCH(売上入力!D136,マスター_OTA!$A$4:$A$29,0)),25)))),"")</f>
        <v/>
      </c>
      <c r="B401" s="16" t="str">
        <f>IF(売上入力!B136="","",売上入力!B136)</f>
        <v/>
      </c>
      <c r="C401" s="16" t="str">
        <f>IF(売上入力!C136="","",売上入力!C136)</f>
        <v/>
      </c>
      <c r="D401" s="16" t="str">
        <f>IF(売上入力!D136="","",売上入力!D136)</f>
        <v/>
      </c>
      <c r="E401" s="89">
        <f>IFERROR(IF(売上入力!E136="",0,売上入力!E136*INDEX(マスター_OTA!$C$4:$C$29,MATCH(売上入力!D136,マスター_OTA!$A$4:$A$29,0))/100),0)</f>
        <v>0</v>
      </c>
      <c r="F401" s="90" t="str">
        <f>IF(売上入力!A136="","",売上入力!A136)</f>
        <v/>
      </c>
      <c r="G401" s="16" t="s">
        <v>385</v>
      </c>
    </row>
    <row r="402" spans="1:7" ht="15" customHeight="1">
      <c r="A402" s="88" t="str">
        <f>IFERROR(IF(売上入力!A136="","",IF(INDEX(マスター_OTA!$D$4:$D$29,MATCH(売上入力!D136,マスター_OTA!$A$4:$A$29,0))=0,"",DATE(YEAR(売上入力!A136),MONTH(売上入力!A136)+2,IFERROR(INDEX(マスター_OTA!$G$4:$G$29,MATCH(売上入力!D136,マスター_OTA!$A$4:$A$29,0)),25)))),"")</f>
        <v/>
      </c>
      <c r="B402" s="16" t="str">
        <f>IF(売上入力!B136="","",売上入力!B136)</f>
        <v/>
      </c>
      <c r="C402" s="16" t="str">
        <f>IF(売上入力!C136="","",売上入力!C136)</f>
        <v/>
      </c>
      <c r="D402" s="16" t="str">
        <f>IF(売上入力!D136="","",売上入力!D136)</f>
        <v/>
      </c>
      <c r="E402" s="89">
        <f>IFERROR(IF(売上入力!E136="",0,売上入力!E136*INDEX(マスター_OTA!$D$4:$D$29,MATCH(売上入力!D136,マスター_OTA!$A$4:$A$29,0))/100),0)</f>
        <v>0</v>
      </c>
      <c r="F402" s="90" t="str">
        <f>IF(売上入力!A136="","",売上入力!A136)</f>
        <v/>
      </c>
      <c r="G402" s="16" t="s">
        <v>386</v>
      </c>
    </row>
    <row r="403" spans="1:7" ht="15" customHeight="1">
      <c r="A403" s="88" t="str">
        <f>IFERROR(IF(売上入力!A137="","",IF(INDEX(マスター_OTA!$B$4:$B$29,MATCH(売上入力!D137,マスター_OTA!$A$4:$A$29,0))=0,"",DATE(YEAR(売上入力!A137),MONTH(売上入力!A137),IFERROR(INDEX(マスター_OTA!$E$4:$E$29,MATCH(売上入力!D137,マスター_OTA!$A$4:$A$29,0)),28)))),"")</f>
        <v/>
      </c>
      <c r="B403" s="16" t="str">
        <f>IF(売上入力!B137="","",売上入力!B137)</f>
        <v/>
      </c>
      <c r="C403" s="16" t="str">
        <f>IF(売上入力!C137="","",売上入力!C137)</f>
        <v/>
      </c>
      <c r="D403" s="16" t="str">
        <f>IF(売上入力!D137="","",売上入力!D137)</f>
        <v/>
      </c>
      <c r="E403" s="89">
        <f>IFERROR(IF(売上入力!E137="",0,売上入力!E137*INDEX(マスター_OTA!$B$4:$B$29,MATCH(売上入力!D137,マスター_OTA!$A$4:$A$29,0))/100),0)</f>
        <v>0</v>
      </c>
      <c r="F403" s="90" t="str">
        <f>IF(売上入力!A137="","",売上入力!A137)</f>
        <v/>
      </c>
      <c r="G403" s="16" t="s">
        <v>384</v>
      </c>
    </row>
    <row r="404" spans="1:7" ht="15" customHeight="1">
      <c r="A404" s="88" t="str">
        <f>IFERROR(IF(売上入力!A137="","",IF(INDEX(マスター_OTA!$C$4:$C$29,MATCH(売上入力!D137,マスター_OTA!$A$4:$A$29,0))=0,"",DATE(YEAR(売上入力!A137),MONTH(売上入力!A137)+1,IFERROR(INDEX(マスター_OTA!$F$4:$F$29,MATCH(売上入力!D137,マスター_OTA!$A$4:$A$29,0)),25)))),"")</f>
        <v/>
      </c>
      <c r="B404" s="16" t="str">
        <f>IF(売上入力!B137="","",売上入力!B137)</f>
        <v/>
      </c>
      <c r="C404" s="16" t="str">
        <f>IF(売上入力!C137="","",売上入力!C137)</f>
        <v/>
      </c>
      <c r="D404" s="16" t="str">
        <f>IF(売上入力!D137="","",売上入力!D137)</f>
        <v/>
      </c>
      <c r="E404" s="89">
        <f>IFERROR(IF(売上入力!E137="",0,売上入力!E137*INDEX(マスター_OTA!$C$4:$C$29,MATCH(売上入力!D137,マスター_OTA!$A$4:$A$29,0))/100),0)</f>
        <v>0</v>
      </c>
      <c r="F404" s="90" t="str">
        <f>IF(売上入力!A137="","",売上入力!A137)</f>
        <v/>
      </c>
      <c r="G404" s="16" t="s">
        <v>385</v>
      </c>
    </row>
    <row r="405" spans="1:7" ht="15" customHeight="1">
      <c r="A405" s="88" t="str">
        <f>IFERROR(IF(売上入力!A137="","",IF(INDEX(マスター_OTA!$D$4:$D$29,MATCH(売上入力!D137,マスター_OTA!$A$4:$A$29,0))=0,"",DATE(YEAR(売上入力!A137),MONTH(売上入力!A137)+2,IFERROR(INDEX(マスター_OTA!$G$4:$G$29,MATCH(売上入力!D137,マスター_OTA!$A$4:$A$29,0)),25)))),"")</f>
        <v/>
      </c>
      <c r="B405" s="16" t="str">
        <f>IF(売上入力!B137="","",売上入力!B137)</f>
        <v/>
      </c>
      <c r="C405" s="16" t="str">
        <f>IF(売上入力!C137="","",売上入力!C137)</f>
        <v/>
      </c>
      <c r="D405" s="16" t="str">
        <f>IF(売上入力!D137="","",売上入力!D137)</f>
        <v/>
      </c>
      <c r="E405" s="89">
        <f>IFERROR(IF(売上入力!E137="",0,売上入力!E137*INDEX(マスター_OTA!$D$4:$D$29,MATCH(売上入力!D137,マスター_OTA!$A$4:$A$29,0))/100),0)</f>
        <v>0</v>
      </c>
      <c r="F405" s="90" t="str">
        <f>IF(売上入力!A137="","",売上入力!A137)</f>
        <v/>
      </c>
      <c r="G405" s="16" t="s">
        <v>386</v>
      </c>
    </row>
    <row r="406" spans="1:7" ht="15" customHeight="1">
      <c r="A406" s="88" t="str">
        <f>IFERROR(IF(売上入力!A138="","",IF(INDEX(マスター_OTA!$B$4:$B$29,MATCH(売上入力!D138,マスター_OTA!$A$4:$A$29,0))=0,"",DATE(YEAR(売上入力!A138),MONTH(売上入力!A138),IFERROR(INDEX(マスター_OTA!$E$4:$E$29,MATCH(売上入力!D138,マスター_OTA!$A$4:$A$29,0)),28)))),"")</f>
        <v/>
      </c>
      <c r="B406" s="16" t="str">
        <f>IF(売上入力!B138="","",売上入力!B138)</f>
        <v/>
      </c>
      <c r="C406" s="16" t="str">
        <f>IF(売上入力!C138="","",売上入力!C138)</f>
        <v/>
      </c>
      <c r="D406" s="16" t="str">
        <f>IF(売上入力!D138="","",売上入力!D138)</f>
        <v/>
      </c>
      <c r="E406" s="89">
        <f>IFERROR(IF(売上入力!E138="",0,売上入力!E138*INDEX(マスター_OTA!$B$4:$B$29,MATCH(売上入力!D138,マスター_OTA!$A$4:$A$29,0))/100),0)</f>
        <v>0</v>
      </c>
      <c r="F406" s="90" t="str">
        <f>IF(売上入力!A138="","",売上入力!A138)</f>
        <v/>
      </c>
      <c r="G406" s="16" t="s">
        <v>384</v>
      </c>
    </row>
    <row r="407" spans="1:7" ht="15" customHeight="1">
      <c r="A407" s="88" t="str">
        <f>IFERROR(IF(売上入力!A138="","",IF(INDEX(マスター_OTA!$C$4:$C$29,MATCH(売上入力!D138,マスター_OTA!$A$4:$A$29,0))=0,"",DATE(YEAR(売上入力!A138),MONTH(売上入力!A138)+1,IFERROR(INDEX(マスター_OTA!$F$4:$F$29,MATCH(売上入力!D138,マスター_OTA!$A$4:$A$29,0)),25)))),"")</f>
        <v/>
      </c>
      <c r="B407" s="16" t="str">
        <f>IF(売上入力!B138="","",売上入力!B138)</f>
        <v/>
      </c>
      <c r="C407" s="16" t="str">
        <f>IF(売上入力!C138="","",売上入力!C138)</f>
        <v/>
      </c>
      <c r="D407" s="16" t="str">
        <f>IF(売上入力!D138="","",売上入力!D138)</f>
        <v/>
      </c>
      <c r="E407" s="89">
        <f>IFERROR(IF(売上入力!E138="",0,売上入力!E138*INDEX(マスター_OTA!$C$4:$C$29,MATCH(売上入力!D138,マスター_OTA!$A$4:$A$29,0))/100),0)</f>
        <v>0</v>
      </c>
      <c r="F407" s="90" t="str">
        <f>IF(売上入力!A138="","",売上入力!A138)</f>
        <v/>
      </c>
      <c r="G407" s="16" t="s">
        <v>385</v>
      </c>
    </row>
    <row r="408" spans="1:7" ht="15" customHeight="1">
      <c r="A408" s="88" t="str">
        <f>IFERROR(IF(売上入力!A138="","",IF(INDEX(マスター_OTA!$D$4:$D$29,MATCH(売上入力!D138,マスター_OTA!$A$4:$A$29,0))=0,"",DATE(YEAR(売上入力!A138),MONTH(売上入力!A138)+2,IFERROR(INDEX(マスター_OTA!$G$4:$G$29,MATCH(売上入力!D138,マスター_OTA!$A$4:$A$29,0)),25)))),"")</f>
        <v/>
      </c>
      <c r="B408" s="16" t="str">
        <f>IF(売上入力!B138="","",売上入力!B138)</f>
        <v/>
      </c>
      <c r="C408" s="16" t="str">
        <f>IF(売上入力!C138="","",売上入力!C138)</f>
        <v/>
      </c>
      <c r="D408" s="16" t="str">
        <f>IF(売上入力!D138="","",売上入力!D138)</f>
        <v/>
      </c>
      <c r="E408" s="89">
        <f>IFERROR(IF(売上入力!E138="",0,売上入力!E138*INDEX(マスター_OTA!$D$4:$D$29,MATCH(売上入力!D138,マスター_OTA!$A$4:$A$29,0))/100),0)</f>
        <v>0</v>
      </c>
      <c r="F408" s="90" t="str">
        <f>IF(売上入力!A138="","",売上入力!A138)</f>
        <v/>
      </c>
      <c r="G408" s="16" t="s">
        <v>386</v>
      </c>
    </row>
    <row r="409" spans="1:7" ht="15" customHeight="1">
      <c r="A409" s="88" t="str">
        <f>IFERROR(IF(売上入力!A139="","",IF(INDEX(マスター_OTA!$B$4:$B$29,MATCH(売上入力!D139,マスター_OTA!$A$4:$A$29,0))=0,"",DATE(YEAR(売上入力!A139),MONTH(売上入力!A139),IFERROR(INDEX(マスター_OTA!$E$4:$E$29,MATCH(売上入力!D139,マスター_OTA!$A$4:$A$29,0)),28)))),"")</f>
        <v/>
      </c>
      <c r="B409" s="16" t="str">
        <f>IF(売上入力!B139="","",売上入力!B139)</f>
        <v/>
      </c>
      <c r="C409" s="16" t="str">
        <f>IF(売上入力!C139="","",売上入力!C139)</f>
        <v/>
      </c>
      <c r="D409" s="16" t="str">
        <f>IF(売上入力!D139="","",売上入力!D139)</f>
        <v/>
      </c>
      <c r="E409" s="89">
        <f>IFERROR(IF(売上入力!E139="",0,売上入力!E139*INDEX(マスター_OTA!$B$4:$B$29,MATCH(売上入力!D139,マスター_OTA!$A$4:$A$29,0))/100),0)</f>
        <v>0</v>
      </c>
      <c r="F409" s="90" t="str">
        <f>IF(売上入力!A139="","",売上入力!A139)</f>
        <v/>
      </c>
      <c r="G409" s="16" t="s">
        <v>384</v>
      </c>
    </row>
    <row r="410" spans="1:7" ht="15" customHeight="1">
      <c r="A410" s="88" t="str">
        <f>IFERROR(IF(売上入力!A139="","",IF(INDEX(マスター_OTA!$C$4:$C$29,MATCH(売上入力!D139,マスター_OTA!$A$4:$A$29,0))=0,"",DATE(YEAR(売上入力!A139),MONTH(売上入力!A139)+1,IFERROR(INDEX(マスター_OTA!$F$4:$F$29,MATCH(売上入力!D139,マスター_OTA!$A$4:$A$29,0)),25)))),"")</f>
        <v/>
      </c>
      <c r="B410" s="16" t="str">
        <f>IF(売上入力!B139="","",売上入力!B139)</f>
        <v/>
      </c>
      <c r="C410" s="16" t="str">
        <f>IF(売上入力!C139="","",売上入力!C139)</f>
        <v/>
      </c>
      <c r="D410" s="16" t="str">
        <f>IF(売上入力!D139="","",売上入力!D139)</f>
        <v/>
      </c>
      <c r="E410" s="89">
        <f>IFERROR(IF(売上入力!E139="",0,売上入力!E139*INDEX(マスター_OTA!$C$4:$C$29,MATCH(売上入力!D139,マスター_OTA!$A$4:$A$29,0))/100),0)</f>
        <v>0</v>
      </c>
      <c r="F410" s="90" t="str">
        <f>IF(売上入力!A139="","",売上入力!A139)</f>
        <v/>
      </c>
      <c r="G410" s="16" t="s">
        <v>385</v>
      </c>
    </row>
    <row r="411" spans="1:7" ht="15" customHeight="1">
      <c r="A411" s="88" t="str">
        <f>IFERROR(IF(売上入力!A139="","",IF(INDEX(マスター_OTA!$D$4:$D$29,MATCH(売上入力!D139,マスター_OTA!$A$4:$A$29,0))=0,"",DATE(YEAR(売上入力!A139),MONTH(売上入力!A139)+2,IFERROR(INDEX(マスター_OTA!$G$4:$G$29,MATCH(売上入力!D139,マスター_OTA!$A$4:$A$29,0)),25)))),"")</f>
        <v/>
      </c>
      <c r="B411" s="16" t="str">
        <f>IF(売上入力!B139="","",売上入力!B139)</f>
        <v/>
      </c>
      <c r="C411" s="16" t="str">
        <f>IF(売上入力!C139="","",売上入力!C139)</f>
        <v/>
      </c>
      <c r="D411" s="16" t="str">
        <f>IF(売上入力!D139="","",売上入力!D139)</f>
        <v/>
      </c>
      <c r="E411" s="89">
        <f>IFERROR(IF(売上入力!E139="",0,売上入力!E139*INDEX(マスター_OTA!$D$4:$D$29,MATCH(売上入力!D139,マスター_OTA!$A$4:$A$29,0))/100),0)</f>
        <v>0</v>
      </c>
      <c r="F411" s="90" t="str">
        <f>IF(売上入力!A139="","",売上入力!A139)</f>
        <v/>
      </c>
      <c r="G411" s="16" t="s">
        <v>386</v>
      </c>
    </row>
    <row r="412" spans="1:7" ht="15" customHeight="1">
      <c r="A412" s="88" t="str">
        <f>IFERROR(IF(売上入力!A140="","",IF(INDEX(マスター_OTA!$B$4:$B$29,MATCH(売上入力!D140,マスター_OTA!$A$4:$A$29,0))=0,"",DATE(YEAR(売上入力!A140),MONTH(売上入力!A140),IFERROR(INDEX(マスター_OTA!$E$4:$E$29,MATCH(売上入力!D140,マスター_OTA!$A$4:$A$29,0)),28)))),"")</f>
        <v/>
      </c>
      <c r="B412" s="16" t="str">
        <f>IF(売上入力!B140="","",売上入力!B140)</f>
        <v/>
      </c>
      <c r="C412" s="16" t="str">
        <f>IF(売上入力!C140="","",売上入力!C140)</f>
        <v/>
      </c>
      <c r="D412" s="16" t="str">
        <f>IF(売上入力!D140="","",売上入力!D140)</f>
        <v/>
      </c>
      <c r="E412" s="89">
        <f>IFERROR(IF(売上入力!E140="",0,売上入力!E140*INDEX(マスター_OTA!$B$4:$B$29,MATCH(売上入力!D140,マスター_OTA!$A$4:$A$29,0))/100),0)</f>
        <v>0</v>
      </c>
      <c r="F412" s="90" t="str">
        <f>IF(売上入力!A140="","",売上入力!A140)</f>
        <v/>
      </c>
      <c r="G412" s="16" t="s">
        <v>384</v>
      </c>
    </row>
    <row r="413" spans="1:7" ht="15" customHeight="1">
      <c r="A413" s="88" t="str">
        <f>IFERROR(IF(売上入力!A140="","",IF(INDEX(マスター_OTA!$C$4:$C$29,MATCH(売上入力!D140,マスター_OTA!$A$4:$A$29,0))=0,"",DATE(YEAR(売上入力!A140),MONTH(売上入力!A140)+1,IFERROR(INDEX(マスター_OTA!$F$4:$F$29,MATCH(売上入力!D140,マスター_OTA!$A$4:$A$29,0)),25)))),"")</f>
        <v/>
      </c>
      <c r="B413" s="16" t="str">
        <f>IF(売上入力!B140="","",売上入力!B140)</f>
        <v/>
      </c>
      <c r="C413" s="16" t="str">
        <f>IF(売上入力!C140="","",売上入力!C140)</f>
        <v/>
      </c>
      <c r="D413" s="16" t="str">
        <f>IF(売上入力!D140="","",売上入力!D140)</f>
        <v/>
      </c>
      <c r="E413" s="89">
        <f>IFERROR(IF(売上入力!E140="",0,売上入力!E140*INDEX(マスター_OTA!$C$4:$C$29,MATCH(売上入力!D140,マスター_OTA!$A$4:$A$29,0))/100),0)</f>
        <v>0</v>
      </c>
      <c r="F413" s="90" t="str">
        <f>IF(売上入力!A140="","",売上入力!A140)</f>
        <v/>
      </c>
      <c r="G413" s="16" t="s">
        <v>385</v>
      </c>
    </row>
    <row r="414" spans="1:7" ht="15" customHeight="1">
      <c r="A414" s="88" t="str">
        <f>IFERROR(IF(売上入力!A140="","",IF(INDEX(マスター_OTA!$D$4:$D$29,MATCH(売上入力!D140,マスター_OTA!$A$4:$A$29,0))=0,"",DATE(YEAR(売上入力!A140),MONTH(売上入力!A140)+2,IFERROR(INDEX(マスター_OTA!$G$4:$G$29,MATCH(売上入力!D140,マスター_OTA!$A$4:$A$29,0)),25)))),"")</f>
        <v/>
      </c>
      <c r="B414" s="16" t="str">
        <f>IF(売上入力!B140="","",売上入力!B140)</f>
        <v/>
      </c>
      <c r="C414" s="16" t="str">
        <f>IF(売上入力!C140="","",売上入力!C140)</f>
        <v/>
      </c>
      <c r="D414" s="16" t="str">
        <f>IF(売上入力!D140="","",売上入力!D140)</f>
        <v/>
      </c>
      <c r="E414" s="89">
        <f>IFERROR(IF(売上入力!E140="",0,売上入力!E140*INDEX(マスター_OTA!$D$4:$D$29,MATCH(売上入力!D140,マスター_OTA!$A$4:$A$29,0))/100),0)</f>
        <v>0</v>
      </c>
      <c r="F414" s="90" t="str">
        <f>IF(売上入力!A140="","",売上入力!A140)</f>
        <v/>
      </c>
      <c r="G414" s="16" t="s">
        <v>386</v>
      </c>
    </row>
    <row r="415" spans="1:7" ht="15" customHeight="1">
      <c r="A415" s="88" t="str">
        <f>IFERROR(IF(売上入力!A141="","",IF(INDEX(マスター_OTA!$B$4:$B$29,MATCH(売上入力!D141,マスター_OTA!$A$4:$A$29,0))=0,"",DATE(YEAR(売上入力!A141),MONTH(売上入力!A141),IFERROR(INDEX(マスター_OTA!$E$4:$E$29,MATCH(売上入力!D141,マスター_OTA!$A$4:$A$29,0)),28)))),"")</f>
        <v/>
      </c>
      <c r="B415" s="16" t="str">
        <f>IF(売上入力!B141="","",売上入力!B141)</f>
        <v/>
      </c>
      <c r="C415" s="16" t="str">
        <f>IF(売上入力!C141="","",売上入力!C141)</f>
        <v/>
      </c>
      <c r="D415" s="16" t="str">
        <f>IF(売上入力!D141="","",売上入力!D141)</f>
        <v/>
      </c>
      <c r="E415" s="89">
        <f>IFERROR(IF(売上入力!E141="",0,売上入力!E141*INDEX(マスター_OTA!$B$4:$B$29,MATCH(売上入力!D141,マスター_OTA!$A$4:$A$29,0))/100),0)</f>
        <v>0</v>
      </c>
      <c r="F415" s="90" t="str">
        <f>IF(売上入力!A141="","",売上入力!A141)</f>
        <v/>
      </c>
      <c r="G415" s="16" t="s">
        <v>384</v>
      </c>
    </row>
    <row r="416" spans="1:7" ht="15" customHeight="1">
      <c r="A416" s="88" t="str">
        <f>IFERROR(IF(売上入力!A141="","",IF(INDEX(マスター_OTA!$C$4:$C$29,MATCH(売上入力!D141,マスター_OTA!$A$4:$A$29,0))=0,"",DATE(YEAR(売上入力!A141),MONTH(売上入力!A141)+1,IFERROR(INDEX(マスター_OTA!$F$4:$F$29,MATCH(売上入力!D141,マスター_OTA!$A$4:$A$29,0)),25)))),"")</f>
        <v/>
      </c>
      <c r="B416" s="16" t="str">
        <f>IF(売上入力!B141="","",売上入力!B141)</f>
        <v/>
      </c>
      <c r="C416" s="16" t="str">
        <f>IF(売上入力!C141="","",売上入力!C141)</f>
        <v/>
      </c>
      <c r="D416" s="16" t="str">
        <f>IF(売上入力!D141="","",売上入力!D141)</f>
        <v/>
      </c>
      <c r="E416" s="89">
        <f>IFERROR(IF(売上入力!E141="",0,売上入力!E141*INDEX(マスター_OTA!$C$4:$C$29,MATCH(売上入力!D141,マスター_OTA!$A$4:$A$29,0))/100),0)</f>
        <v>0</v>
      </c>
      <c r="F416" s="90" t="str">
        <f>IF(売上入力!A141="","",売上入力!A141)</f>
        <v/>
      </c>
      <c r="G416" s="16" t="s">
        <v>385</v>
      </c>
    </row>
    <row r="417" spans="1:7" ht="15" customHeight="1">
      <c r="A417" s="88" t="str">
        <f>IFERROR(IF(売上入力!A141="","",IF(INDEX(マスター_OTA!$D$4:$D$29,MATCH(売上入力!D141,マスター_OTA!$A$4:$A$29,0))=0,"",DATE(YEAR(売上入力!A141),MONTH(売上入力!A141)+2,IFERROR(INDEX(マスター_OTA!$G$4:$G$29,MATCH(売上入力!D141,マスター_OTA!$A$4:$A$29,0)),25)))),"")</f>
        <v/>
      </c>
      <c r="B417" s="16" t="str">
        <f>IF(売上入力!B141="","",売上入力!B141)</f>
        <v/>
      </c>
      <c r="C417" s="16" t="str">
        <f>IF(売上入力!C141="","",売上入力!C141)</f>
        <v/>
      </c>
      <c r="D417" s="16" t="str">
        <f>IF(売上入力!D141="","",売上入力!D141)</f>
        <v/>
      </c>
      <c r="E417" s="89">
        <f>IFERROR(IF(売上入力!E141="",0,売上入力!E141*INDEX(マスター_OTA!$D$4:$D$29,MATCH(売上入力!D141,マスター_OTA!$A$4:$A$29,0))/100),0)</f>
        <v>0</v>
      </c>
      <c r="F417" s="90" t="str">
        <f>IF(売上入力!A141="","",売上入力!A141)</f>
        <v/>
      </c>
      <c r="G417" s="16" t="s">
        <v>386</v>
      </c>
    </row>
    <row r="418" spans="1:7" ht="15" customHeight="1">
      <c r="A418" s="88" t="str">
        <f>IFERROR(IF(売上入力!A142="","",IF(INDEX(マスター_OTA!$B$4:$B$29,MATCH(売上入力!D142,マスター_OTA!$A$4:$A$29,0))=0,"",DATE(YEAR(売上入力!A142),MONTH(売上入力!A142),IFERROR(INDEX(マスター_OTA!$E$4:$E$29,MATCH(売上入力!D142,マスター_OTA!$A$4:$A$29,0)),28)))),"")</f>
        <v/>
      </c>
      <c r="B418" s="16" t="str">
        <f>IF(売上入力!B142="","",売上入力!B142)</f>
        <v/>
      </c>
      <c r="C418" s="16" t="str">
        <f>IF(売上入力!C142="","",売上入力!C142)</f>
        <v/>
      </c>
      <c r="D418" s="16" t="str">
        <f>IF(売上入力!D142="","",売上入力!D142)</f>
        <v/>
      </c>
      <c r="E418" s="89">
        <f>IFERROR(IF(売上入力!E142="",0,売上入力!E142*INDEX(マスター_OTA!$B$4:$B$29,MATCH(売上入力!D142,マスター_OTA!$A$4:$A$29,0))/100),0)</f>
        <v>0</v>
      </c>
      <c r="F418" s="90" t="str">
        <f>IF(売上入力!A142="","",売上入力!A142)</f>
        <v/>
      </c>
      <c r="G418" s="16" t="s">
        <v>384</v>
      </c>
    </row>
    <row r="419" spans="1:7" ht="15" customHeight="1">
      <c r="A419" s="88" t="str">
        <f>IFERROR(IF(売上入力!A142="","",IF(INDEX(マスター_OTA!$C$4:$C$29,MATCH(売上入力!D142,マスター_OTA!$A$4:$A$29,0))=0,"",DATE(YEAR(売上入力!A142),MONTH(売上入力!A142)+1,IFERROR(INDEX(マスター_OTA!$F$4:$F$29,MATCH(売上入力!D142,マスター_OTA!$A$4:$A$29,0)),25)))),"")</f>
        <v/>
      </c>
      <c r="B419" s="16" t="str">
        <f>IF(売上入力!B142="","",売上入力!B142)</f>
        <v/>
      </c>
      <c r="C419" s="16" t="str">
        <f>IF(売上入力!C142="","",売上入力!C142)</f>
        <v/>
      </c>
      <c r="D419" s="16" t="str">
        <f>IF(売上入力!D142="","",売上入力!D142)</f>
        <v/>
      </c>
      <c r="E419" s="89">
        <f>IFERROR(IF(売上入力!E142="",0,売上入力!E142*INDEX(マスター_OTA!$C$4:$C$29,MATCH(売上入力!D142,マスター_OTA!$A$4:$A$29,0))/100),0)</f>
        <v>0</v>
      </c>
      <c r="F419" s="90" t="str">
        <f>IF(売上入力!A142="","",売上入力!A142)</f>
        <v/>
      </c>
      <c r="G419" s="16" t="s">
        <v>385</v>
      </c>
    </row>
    <row r="420" spans="1:7" ht="15" customHeight="1">
      <c r="A420" s="88" t="str">
        <f>IFERROR(IF(売上入力!A142="","",IF(INDEX(マスター_OTA!$D$4:$D$29,MATCH(売上入力!D142,マスター_OTA!$A$4:$A$29,0))=0,"",DATE(YEAR(売上入力!A142),MONTH(売上入力!A142)+2,IFERROR(INDEX(マスター_OTA!$G$4:$G$29,MATCH(売上入力!D142,マスター_OTA!$A$4:$A$29,0)),25)))),"")</f>
        <v/>
      </c>
      <c r="B420" s="16" t="str">
        <f>IF(売上入力!B142="","",売上入力!B142)</f>
        <v/>
      </c>
      <c r="C420" s="16" t="str">
        <f>IF(売上入力!C142="","",売上入力!C142)</f>
        <v/>
      </c>
      <c r="D420" s="16" t="str">
        <f>IF(売上入力!D142="","",売上入力!D142)</f>
        <v/>
      </c>
      <c r="E420" s="89">
        <f>IFERROR(IF(売上入力!E142="",0,売上入力!E142*INDEX(マスター_OTA!$D$4:$D$29,MATCH(売上入力!D142,マスター_OTA!$A$4:$A$29,0))/100),0)</f>
        <v>0</v>
      </c>
      <c r="F420" s="90" t="str">
        <f>IF(売上入力!A142="","",売上入力!A142)</f>
        <v/>
      </c>
      <c r="G420" s="16" t="s">
        <v>386</v>
      </c>
    </row>
    <row r="421" spans="1:7" ht="15" customHeight="1">
      <c r="A421" s="88" t="str">
        <f>IFERROR(IF(売上入力!A143="","",IF(INDEX(マスター_OTA!$B$4:$B$29,MATCH(売上入力!D143,マスター_OTA!$A$4:$A$29,0))=0,"",DATE(YEAR(売上入力!A143),MONTH(売上入力!A143),IFERROR(INDEX(マスター_OTA!$E$4:$E$29,MATCH(売上入力!D143,マスター_OTA!$A$4:$A$29,0)),28)))),"")</f>
        <v/>
      </c>
      <c r="B421" s="16" t="str">
        <f>IF(売上入力!B143="","",売上入力!B143)</f>
        <v/>
      </c>
      <c r="C421" s="16" t="str">
        <f>IF(売上入力!C143="","",売上入力!C143)</f>
        <v/>
      </c>
      <c r="D421" s="16" t="str">
        <f>IF(売上入力!D143="","",売上入力!D143)</f>
        <v/>
      </c>
      <c r="E421" s="89">
        <f>IFERROR(IF(売上入力!E143="",0,売上入力!E143*INDEX(マスター_OTA!$B$4:$B$29,MATCH(売上入力!D143,マスター_OTA!$A$4:$A$29,0))/100),0)</f>
        <v>0</v>
      </c>
      <c r="F421" s="90" t="str">
        <f>IF(売上入力!A143="","",売上入力!A143)</f>
        <v/>
      </c>
      <c r="G421" s="16" t="s">
        <v>384</v>
      </c>
    </row>
    <row r="422" spans="1:7" ht="15" customHeight="1">
      <c r="A422" s="88" t="str">
        <f>IFERROR(IF(売上入力!A143="","",IF(INDEX(マスター_OTA!$C$4:$C$29,MATCH(売上入力!D143,マスター_OTA!$A$4:$A$29,0))=0,"",DATE(YEAR(売上入力!A143),MONTH(売上入力!A143)+1,IFERROR(INDEX(マスター_OTA!$F$4:$F$29,MATCH(売上入力!D143,マスター_OTA!$A$4:$A$29,0)),25)))),"")</f>
        <v/>
      </c>
      <c r="B422" s="16" t="str">
        <f>IF(売上入力!B143="","",売上入力!B143)</f>
        <v/>
      </c>
      <c r="C422" s="16" t="str">
        <f>IF(売上入力!C143="","",売上入力!C143)</f>
        <v/>
      </c>
      <c r="D422" s="16" t="str">
        <f>IF(売上入力!D143="","",売上入力!D143)</f>
        <v/>
      </c>
      <c r="E422" s="89">
        <f>IFERROR(IF(売上入力!E143="",0,売上入力!E143*INDEX(マスター_OTA!$C$4:$C$29,MATCH(売上入力!D143,マスター_OTA!$A$4:$A$29,0))/100),0)</f>
        <v>0</v>
      </c>
      <c r="F422" s="90" t="str">
        <f>IF(売上入力!A143="","",売上入力!A143)</f>
        <v/>
      </c>
      <c r="G422" s="16" t="s">
        <v>385</v>
      </c>
    </row>
    <row r="423" spans="1:7" ht="15" customHeight="1">
      <c r="A423" s="88" t="str">
        <f>IFERROR(IF(売上入力!A143="","",IF(INDEX(マスター_OTA!$D$4:$D$29,MATCH(売上入力!D143,マスター_OTA!$A$4:$A$29,0))=0,"",DATE(YEAR(売上入力!A143),MONTH(売上入力!A143)+2,IFERROR(INDEX(マスター_OTA!$G$4:$G$29,MATCH(売上入力!D143,マスター_OTA!$A$4:$A$29,0)),25)))),"")</f>
        <v/>
      </c>
      <c r="B423" s="16" t="str">
        <f>IF(売上入力!B143="","",売上入力!B143)</f>
        <v/>
      </c>
      <c r="C423" s="16" t="str">
        <f>IF(売上入力!C143="","",売上入力!C143)</f>
        <v/>
      </c>
      <c r="D423" s="16" t="str">
        <f>IF(売上入力!D143="","",売上入力!D143)</f>
        <v/>
      </c>
      <c r="E423" s="89">
        <f>IFERROR(IF(売上入力!E143="",0,売上入力!E143*INDEX(マスター_OTA!$D$4:$D$29,MATCH(売上入力!D143,マスター_OTA!$A$4:$A$29,0))/100),0)</f>
        <v>0</v>
      </c>
      <c r="F423" s="90" t="str">
        <f>IF(売上入力!A143="","",売上入力!A143)</f>
        <v/>
      </c>
      <c r="G423" s="16" t="s">
        <v>386</v>
      </c>
    </row>
    <row r="424" spans="1:7" ht="15" customHeight="1">
      <c r="A424" s="88" t="str">
        <f>IFERROR(IF(売上入力!A144="","",IF(INDEX(マスター_OTA!$B$4:$B$29,MATCH(売上入力!D144,マスター_OTA!$A$4:$A$29,0))=0,"",DATE(YEAR(売上入力!A144),MONTH(売上入力!A144),IFERROR(INDEX(マスター_OTA!$E$4:$E$29,MATCH(売上入力!D144,マスター_OTA!$A$4:$A$29,0)),28)))),"")</f>
        <v/>
      </c>
      <c r="B424" s="16" t="str">
        <f>IF(売上入力!B144="","",売上入力!B144)</f>
        <v/>
      </c>
      <c r="C424" s="16" t="str">
        <f>IF(売上入力!C144="","",売上入力!C144)</f>
        <v/>
      </c>
      <c r="D424" s="16" t="str">
        <f>IF(売上入力!D144="","",売上入力!D144)</f>
        <v/>
      </c>
      <c r="E424" s="89">
        <f>IFERROR(IF(売上入力!E144="",0,売上入力!E144*INDEX(マスター_OTA!$B$4:$B$29,MATCH(売上入力!D144,マスター_OTA!$A$4:$A$29,0))/100),0)</f>
        <v>0</v>
      </c>
      <c r="F424" s="90" t="str">
        <f>IF(売上入力!A144="","",売上入力!A144)</f>
        <v/>
      </c>
      <c r="G424" s="16" t="s">
        <v>384</v>
      </c>
    </row>
    <row r="425" spans="1:7" ht="15" customHeight="1">
      <c r="A425" s="88" t="str">
        <f>IFERROR(IF(売上入力!A144="","",IF(INDEX(マスター_OTA!$C$4:$C$29,MATCH(売上入力!D144,マスター_OTA!$A$4:$A$29,0))=0,"",DATE(YEAR(売上入力!A144),MONTH(売上入力!A144)+1,IFERROR(INDEX(マスター_OTA!$F$4:$F$29,MATCH(売上入力!D144,マスター_OTA!$A$4:$A$29,0)),25)))),"")</f>
        <v/>
      </c>
      <c r="B425" s="16" t="str">
        <f>IF(売上入力!B144="","",売上入力!B144)</f>
        <v/>
      </c>
      <c r="C425" s="16" t="str">
        <f>IF(売上入力!C144="","",売上入力!C144)</f>
        <v/>
      </c>
      <c r="D425" s="16" t="str">
        <f>IF(売上入力!D144="","",売上入力!D144)</f>
        <v/>
      </c>
      <c r="E425" s="89">
        <f>IFERROR(IF(売上入力!E144="",0,売上入力!E144*INDEX(マスター_OTA!$C$4:$C$29,MATCH(売上入力!D144,マスター_OTA!$A$4:$A$29,0))/100),0)</f>
        <v>0</v>
      </c>
      <c r="F425" s="90" t="str">
        <f>IF(売上入力!A144="","",売上入力!A144)</f>
        <v/>
      </c>
      <c r="G425" s="16" t="s">
        <v>385</v>
      </c>
    </row>
    <row r="426" spans="1:7" ht="15" customHeight="1">
      <c r="A426" s="88" t="str">
        <f>IFERROR(IF(売上入力!A144="","",IF(INDEX(マスター_OTA!$D$4:$D$29,MATCH(売上入力!D144,マスター_OTA!$A$4:$A$29,0))=0,"",DATE(YEAR(売上入力!A144),MONTH(売上入力!A144)+2,IFERROR(INDEX(マスター_OTA!$G$4:$G$29,MATCH(売上入力!D144,マスター_OTA!$A$4:$A$29,0)),25)))),"")</f>
        <v/>
      </c>
      <c r="B426" s="16" t="str">
        <f>IF(売上入力!B144="","",売上入力!B144)</f>
        <v/>
      </c>
      <c r="C426" s="16" t="str">
        <f>IF(売上入力!C144="","",売上入力!C144)</f>
        <v/>
      </c>
      <c r="D426" s="16" t="str">
        <f>IF(売上入力!D144="","",売上入力!D144)</f>
        <v/>
      </c>
      <c r="E426" s="89">
        <f>IFERROR(IF(売上入力!E144="",0,売上入力!E144*INDEX(マスター_OTA!$D$4:$D$29,MATCH(売上入力!D144,マスター_OTA!$A$4:$A$29,0))/100),0)</f>
        <v>0</v>
      </c>
      <c r="F426" s="90" t="str">
        <f>IF(売上入力!A144="","",売上入力!A144)</f>
        <v/>
      </c>
      <c r="G426" s="16" t="s">
        <v>386</v>
      </c>
    </row>
    <row r="427" spans="1:7" ht="15" customHeight="1">
      <c r="A427" s="88" t="str">
        <f>IFERROR(IF(売上入力!A145="","",IF(INDEX(マスター_OTA!$B$4:$B$29,MATCH(売上入力!D145,マスター_OTA!$A$4:$A$29,0))=0,"",DATE(YEAR(売上入力!A145),MONTH(売上入力!A145),IFERROR(INDEX(マスター_OTA!$E$4:$E$29,MATCH(売上入力!D145,マスター_OTA!$A$4:$A$29,0)),28)))),"")</f>
        <v/>
      </c>
      <c r="B427" s="16" t="str">
        <f>IF(売上入力!B145="","",売上入力!B145)</f>
        <v/>
      </c>
      <c r="C427" s="16" t="str">
        <f>IF(売上入力!C145="","",売上入力!C145)</f>
        <v/>
      </c>
      <c r="D427" s="16" t="str">
        <f>IF(売上入力!D145="","",売上入力!D145)</f>
        <v/>
      </c>
      <c r="E427" s="89">
        <f>IFERROR(IF(売上入力!E145="",0,売上入力!E145*INDEX(マスター_OTA!$B$4:$B$29,MATCH(売上入力!D145,マスター_OTA!$A$4:$A$29,0))/100),0)</f>
        <v>0</v>
      </c>
      <c r="F427" s="90" t="str">
        <f>IF(売上入力!A145="","",売上入力!A145)</f>
        <v/>
      </c>
      <c r="G427" s="16" t="s">
        <v>384</v>
      </c>
    </row>
    <row r="428" spans="1:7" ht="15" customHeight="1">
      <c r="A428" s="88" t="str">
        <f>IFERROR(IF(売上入力!A145="","",IF(INDEX(マスター_OTA!$C$4:$C$29,MATCH(売上入力!D145,マスター_OTA!$A$4:$A$29,0))=0,"",DATE(YEAR(売上入力!A145),MONTH(売上入力!A145)+1,IFERROR(INDEX(マスター_OTA!$F$4:$F$29,MATCH(売上入力!D145,マスター_OTA!$A$4:$A$29,0)),25)))),"")</f>
        <v/>
      </c>
      <c r="B428" s="16" t="str">
        <f>IF(売上入力!B145="","",売上入力!B145)</f>
        <v/>
      </c>
      <c r="C428" s="16" t="str">
        <f>IF(売上入力!C145="","",売上入力!C145)</f>
        <v/>
      </c>
      <c r="D428" s="16" t="str">
        <f>IF(売上入力!D145="","",売上入力!D145)</f>
        <v/>
      </c>
      <c r="E428" s="89">
        <f>IFERROR(IF(売上入力!E145="",0,売上入力!E145*INDEX(マスター_OTA!$C$4:$C$29,MATCH(売上入力!D145,マスター_OTA!$A$4:$A$29,0))/100),0)</f>
        <v>0</v>
      </c>
      <c r="F428" s="90" t="str">
        <f>IF(売上入力!A145="","",売上入力!A145)</f>
        <v/>
      </c>
      <c r="G428" s="16" t="s">
        <v>385</v>
      </c>
    </row>
    <row r="429" spans="1:7" ht="15" customHeight="1">
      <c r="A429" s="88" t="str">
        <f>IFERROR(IF(売上入力!A145="","",IF(INDEX(マスター_OTA!$D$4:$D$29,MATCH(売上入力!D145,マスター_OTA!$A$4:$A$29,0))=0,"",DATE(YEAR(売上入力!A145),MONTH(売上入力!A145)+2,IFERROR(INDEX(マスター_OTA!$G$4:$G$29,MATCH(売上入力!D145,マスター_OTA!$A$4:$A$29,0)),25)))),"")</f>
        <v/>
      </c>
      <c r="B429" s="16" t="str">
        <f>IF(売上入力!B145="","",売上入力!B145)</f>
        <v/>
      </c>
      <c r="C429" s="16" t="str">
        <f>IF(売上入力!C145="","",売上入力!C145)</f>
        <v/>
      </c>
      <c r="D429" s="16" t="str">
        <f>IF(売上入力!D145="","",売上入力!D145)</f>
        <v/>
      </c>
      <c r="E429" s="89">
        <f>IFERROR(IF(売上入力!E145="",0,売上入力!E145*INDEX(マスター_OTA!$D$4:$D$29,MATCH(売上入力!D145,マスター_OTA!$A$4:$A$29,0))/100),0)</f>
        <v>0</v>
      </c>
      <c r="F429" s="90" t="str">
        <f>IF(売上入力!A145="","",売上入力!A145)</f>
        <v/>
      </c>
      <c r="G429" s="16" t="s">
        <v>386</v>
      </c>
    </row>
    <row r="430" spans="1:7" ht="15" customHeight="1">
      <c r="A430" s="88" t="str">
        <f>IFERROR(IF(売上入力!A146="","",IF(INDEX(マスター_OTA!$B$4:$B$29,MATCH(売上入力!D146,マスター_OTA!$A$4:$A$29,0))=0,"",DATE(YEAR(売上入力!A146),MONTH(売上入力!A146),IFERROR(INDEX(マスター_OTA!$E$4:$E$29,MATCH(売上入力!D146,マスター_OTA!$A$4:$A$29,0)),28)))),"")</f>
        <v/>
      </c>
      <c r="B430" s="16" t="str">
        <f>IF(売上入力!B146="","",売上入力!B146)</f>
        <v/>
      </c>
      <c r="C430" s="16" t="str">
        <f>IF(売上入力!C146="","",売上入力!C146)</f>
        <v/>
      </c>
      <c r="D430" s="16" t="str">
        <f>IF(売上入力!D146="","",売上入力!D146)</f>
        <v/>
      </c>
      <c r="E430" s="89">
        <f>IFERROR(IF(売上入力!E146="",0,売上入力!E146*INDEX(マスター_OTA!$B$4:$B$29,MATCH(売上入力!D146,マスター_OTA!$A$4:$A$29,0))/100),0)</f>
        <v>0</v>
      </c>
      <c r="F430" s="90" t="str">
        <f>IF(売上入力!A146="","",売上入力!A146)</f>
        <v/>
      </c>
      <c r="G430" s="16" t="s">
        <v>384</v>
      </c>
    </row>
    <row r="431" spans="1:7" ht="15" customHeight="1">
      <c r="A431" s="88" t="str">
        <f>IFERROR(IF(売上入力!A146="","",IF(INDEX(マスター_OTA!$C$4:$C$29,MATCH(売上入力!D146,マスター_OTA!$A$4:$A$29,0))=0,"",DATE(YEAR(売上入力!A146),MONTH(売上入力!A146)+1,IFERROR(INDEX(マスター_OTA!$F$4:$F$29,MATCH(売上入力!D146,マスター_OTA!$A$4:$A$29,0)),25)))),"")</f>
        <v/>
      </c>
      <c r="B431" s="16" t="str">
        <f>IF(売上入力!B146="","",売上入力!B146)</f>
        <v/>
      </c>
      <c r="C431" s="16" t="str">
        <f>IF(売上入力!C146="","",売上入力!C146)</f>
        <v/>
      </c>
      <c r="D431" s="16" t="str">
        <f>IF(売上入力!D146="","",売上入力!D146)</f>
        <v/>
      </c>
      <c r="E431" s="89">
        <f>IFERROR(IF(売上入力!E146="",0,売上入力!E146*INDEX(マスター_OTA!$C$4:$C$29,MATCH(売上入力!D146,マスター_OTA!$A$4:$A$29,0))/100),0)</f>
        <v>0</v>
      </c>
      <c r="F431" s="90" t="str">
        <f>IF(売上入力!A146="","",売上入力!A146)</f>
        <v/>
      </c>
      <c r="G431" s="16" t="s">
        <v>385</v>
      </c>
    </row>
    <row r="432" spans="1:7" ht="15" customHeight="1">
      <c r="A432" s="88" t="str">
        <f>IFERROR(IF(売上入力!A146="","",IF(INDEX(マスター_OTA!$D$4:$D$29,MATCH(売上入力!D146,マスター_OTA!$A$4:$A$29,0))=0,"",DATE(YEAR(売上入力!A146),MONTH(売上入力!A146)+2,IFERROR(INDEX(マスター_OTA!$G$4:$G$29,MATCH(売上入力!D146,マスター_OTA!$A$4:$A$29,0)),25)))),"")</f>
        <v/>
      </c>
      <c r="B432" s="16" t="str">
        <f>IF(売上入力!B146="","",売上入力!B146)</f>
        <v/>
      </c>
      <c r="C432" s="16" t="str">
        <f>IF(売上入力!C146="","",売上入力!C146)</f>
        <v/>
      </c>
      <c r="D432" s="16" t="str">
        <f>IF(売上入力!D146="","",売上入力!D146)</f>
        <v/>
      </c>
      <c r="E432" s="89">
        <f>IFERROR(IF(売上入力!E146="",0,売上入力!E146*INDEX(マスター_OTA!$D$4:$D$29,MATCH(売上入力!D146,マスター_OTA!$A$4:$A$29,0))/100),0)</f>
        <v>0</v>
      </c>
      <c r="F432" s="90" t="str">
        <f>IF(売上入力!A146="","",売上入力!A146)</f>
        <v/>
      </c>
      <c r="G432" s="16" t="s">
        <v>386</v>
      </c>
    </row>
    <row r="433" spans="1:7" ht="15" customHeight="1">
      <c r="A433" s="88" t="str">
        <f>IFERROR(IF(売上入力!A147="","",IF(INDEX(マスター_OTA!$B$4:$B$29,MATCH(売上入力!D147,マスター_OTA!$A$4:$A$29,0))=0,"",DATE(YEAR(売上入力!A147),MONTH(売上入力!A147),IFERROR(INDEX(マスター_OTA!$E$4:$E$29,MATCH(売上入力!D147,マスター_OTA!$A$4:$A$29,0)),28)))),"")</f>
        <v/>
      </c>
      <c r="B433" s="16" t="str">
        <f>IF(売上入力!B147="","",売上入力!B147)</f>
        <v/>
      </c>
      <c r="C433" s="16" t="str">
        <f>IF(売上入力!C147="","",売上入力!C147)</f>
        <v/>
      </c>
      <c r="D433" s="16" t="str">
        <f>IF(売上入力!D147="","",売上入力!D147)</f>
        <v/>
      </c>
      <c r="E433" s="89">
        <f>IFERROR(IF(売上入力!E147="",0,売上入力!E147*INDEX(マスター_OTA!$B$4:$B$29,MATCH(売上入力!D147,マスター_OTA!$A$4:$A$29,0))/100),0)</f>
        <v>0</v>
      </c>
      <c r="F433" s="90" t="str">
        <f>IF(売上入力!A147="","",売上入力!A147)</f>
        <v/>
      </c>
      <c r="G433" s="16" t="s">
        <v>384</v>
      </c>
    </row>
    <row r="434" spans="1:7" ht="15" customHeight="1">
      <c r="A434" s="88" t="str">
        <f>IFERROR(IF(売上入力!A147="","",IF(INDEX(マスター_OTA!$C$4:$C$29,MATCH(売上入力!D147,マスター_OTA!$A$4:$A$29,0))=0,"",DATE(YEAR(売上入力!A147),MONTH(売上入力!A147)+1,IFERROR(INDEX(マスター_OTA!$F$4:$F$29,MATCH(売上入力!D147,マスター_OTA!$A$4:$A$29,0)),25)))),"")</f>
        <v/>
      </c>
      <c r="B434" s="16" t="str">
        <f>IF(売上入力!B147="","",売上入力!B147)</f>
        <v/>
      </c>
      <c r="C434" s="16" t="str">
        <f>IF(売上入力!C147="","",売上入力!C147)</f>
        <v/>
      </c>
      <c r="D434" s="16" t="str">
        <f>IF(売上入力!D147="","",売上入力!D147)</f>
        <v/>
      </c>
      <c r="E434" s="89">
        <f>IFERROR(IF(売上入力!E147="",0,売上入力!E147*INDEX(マスター_OTA!$C$4:$C$29,MATCH(売上入力!D147,マスター_OTA!$A$4:$A$29,0))/100),0)</f>
        <v>0</v>
      </c>
      <c r="F434" s="90" t="str">
        <f>IF(売上入力!A147="","",売上入力!A147)</f>
        <v/>
      </c>
      <c r="G434" s="16" t="s">
        <v>385</v>
      </c>
    </row>
    <row r="435" spans="1:7" ht="15" customHeight="1">
      <c r="A435" s="88" t="str">
        <f>IFERROR(IF(売上入力!A147="","",IF(INDEX(マスター_OTA!$D$4:$D$29,MATCH(売上入力!D147,マスター_OTA!$A$4:$A$29,0))=0,"",DATE(YEAR(売上入力!A147),MONTH(売上入力!A147)+2,IFERROR(INDEX(マスター_OTA!$G$4:$G$29,MATCH(売上入力!D147,マスター_OTA!$A$4:$A$29,0)),25)))),"")</f>
        <v/>
      </c>
      <c r="B435" s="16" t="str">
        <f>IF(売上入力!B147="","",売上入力!B147)</f>
        <v/>
      </c>
      <c r="C435" s="16" t="str">
        <f>IF(売上入力!C147="","",売上入力!C147)</f>
        <v/>
      </c>
      <c r="D435" s="16" t="str">
        <f>IF(売上入力!D147="","",売上入力!D147)</f>
        <v/>
      </c>
      <c r="E435" s="89">
        <f>IFERROR(IF(売上入力!E147="",0,売上入力!E147*INDEX(マスター_OTA!$D$4:$D$29,MATCH(売上入力!D147,マスター_OTA!$A$4:$A$29,0))/100),0)</f>
        <v>0</v>
      </c>
      <c r="F435" s="90" t="str">
        <f>IF(売上入力!A147="","",売上入力!A147)</f>
        <v/>
      </c>
      <c r="G435" s="16" t="s">
        <v>386</v>
      </c>
    </row>
    <row r="436" spans="1:7" ht="15" customHeight="1">
      <c r="A436" s="88" t="str">
        <f>IFERROR(IF(売上入力!A148="","",IF(INDEX(マスター_OTA!$B$4:$B$29,MATCH(売上入力!D148,マスター_OTA!$A$4:$A$29,0))=0,"",DATE(YEAR(売上入力!A148),MONTH(売上入力!A148),IFERROR(INDEX(マスター_OTA!$E$4:$E$29,MATCH(売上入力!D148,マスター_OTA!$A$4:$A$29,0)),28)))),"")</f>
        <v/>
      </c>
      <c r="B436" s="16" t="str">
        <f>IF(売上入力!B148="","",売上入力!B148)</f>
        <v/>
      </c>
      <c r="C436" s="16" t="str">
        <f>IF(売上入力!C148="","",売上入力!C148)</f>
        <v/>
      </c>
      <c r="D436" s="16" t="str">
        <f>IF(売上入力!D148="","",売上入力!D148)</f>
        <v/>
      </c>
      <c r="E436" s="89">
        <f>IFERROR(IF(売上入力!E148="",0,売上入力!E148*INDEX(マスター_OTA!$B$4:$B$29,MATCH(売上入力!D148,マスター_OTA!$A$4:$A$29,0))/100),0)</f>
        <v>0</v>
      </c>
      <c r="F436" s="90" t="str">
        <f>IF(売上入力!A148="","",売上入力!A148)</f>
        <v/>
      </c>
      <c r="G436" s="16" t="s">
        <v>384</v>
      </c>
    </row>
    <row r="437" spans="1:7" ht="15" customHeight="1">
      <c r="A437" s="88" t="str">
        <f>IFERROR(IF(売上入力!A148="","",IF(INDEX(マスター_OTA!$C$4:$C$29,MATCH(売上入力!D148,マスター_OTA!$A$4:$A$29,0))=0,"",DATE(YEAR(売上入力!A148),MONTH(売上入力!A148)+1,IFERROR(INDEX(マスター_OTA!$F$4:$F$29,MATCH(売上入力!D148,マスター_OTA!$A$4:$A$29,0)),25)))),"")</f>
        <v/>
      </c>
      <c r="B437" s="16" t="str">
        <f>IF(売上入力!B148="","",売上入力!B148)</f>
        <v/>
      </c>
      <c r="C437" s="16" t="str">
        <f>IF(売上入力!C148="","",売上入力!C148)</f>
        <v/>
      </c>
      <c r="D437" s="16" t="str">
        <f>IF(売上入力!D148="","",売上入力!D148)</f>
        <v/>
      </c>
      <c r="E437" s="89">
        <f>IFERROR(IF(売上入力!E148="",0,売上入力!E148*INDEX(マスター_OTA!$C$4:$C$29,MATCH(売上入力!D148,マスター_OTA!$A$4:$A$29,0))/100),0)</f>
        <v>0</v>
      </c>
      <c r="F437" s="90" t="str">
        <f>IF(売上入力!A148="","",売上入力!A148)</f>
        <v/>
      </c>
      <c r="G437" s="16" t="s">
        <v>385</v>
      </c>
    </row>
    <row r="438" spans="1:7" ht="15" customHeight="1">
      <c r="A438" s="88" t="str">
        <f>IFERROR(IF(売上入力!A148="","",IF(INDEX(マスター_OTA!$D$4:$D$29,MATCH(売上入力!D148,マスター_OTA!$A$4:$A$29,0))=0,"",DATE(YEAR(売上入力!A148),MONTH(売上入力!A148)+2,IFERROR(INDEX(マスター_OTA!$G$4:$G$29,MATCH(売上入力!D148,マスター_OTA!$A$4:$A$29,0)),25)))),"")</f>
        <v/>
      </c>
      <c r="B438" s="16" t="str">
        <f>IF(売上入力!B148="","",売上入力!B148)</f>
        <v/>
      </c>
      <c r="C438" s="16" t="str">
        <f>IF(売上入力!C148="","",売上入力!C148)</f>
        <v/>
      </c>
      <c r="D438" s="16" t="str">
        <f>IF(売上入力!D148="","",売上入力!D148)</f>
        <v/>
      </c>
      <c r="E438" s="89">
        <f>IFERROR(IF(売上入力!E148="",0,売上入力!E148*INDEX(マスター_OTA!$D$4:$D$29,MATCH(売上入力!D148,マスター_OTA!$A$4:$A$29,0))/100),0)</f>
        <v>0</v>
      </c>
      <c r="F438" s="90" t="str">
        <f>IF(売上入力!A148="","",売上入力!A148)</f>
        <v/>
      </c>
      <c r="G438" s="16" t="s">
        <v>386</v>
      </c>
    </row>
    <row r="439" spans="1:7" ht="15" customHeight="1">
      <c r="A439" s="88" t="str">
        <f>IFERROR(IF(売上入力!A149="","",IF(INDEX(マスター_OTA!$B$4:$B$29,MATCH(売上入力!D149,マスター_OTA!$A$4:$A$29,0))=0,"",DATE(YEAR(売上入力!A149),MONTH(売上入力!A149),IFERROR(INDEX(マスター_OTA!$E$4:$E$29,MATCH(売上入力!D149,マスター_OTA!$A$4:$A$29,0)),28)))),"")</f>
        <v/>
      </c>
      <c r="B439" s="16" t="str">
        <f>IF(売上入力!B149="","",売上入力!B149)</f>
        <v/>
      </c>
      <c r="C439" s="16" t="str">
        <f>IF(売上入力!C149="","",売上入力!C149)</f>
        <v/>
      </c>
      <c r="D439" s="16" t="str">
        <f>IF(売上入力!D149="","",売上入力!D149)</f>
        <v/>
      </c>
      <c r="E439" s="89">
        <f>IFERROR(IF(売上入力!E149="",0,売上入力!E149*INDEX(マスター_OTA!$B$4:$B$29,MATCH(売上入力!D149,マスター_OTA!$A$4:$A$29,0))/100),0)</f>
        <v>0</v>
      </c>
      <c r="F439" s="90" t="str">
        <f>IF(売上入力!A149="","",売上入力!A149)</f>
        <v/>
      </c>
      <c r="G439" s="16" t="s">
        <v>384</v>
      </c>
    </row>
    <row r="440" spans="1:7" ht="15" customHeight="1">
      <c r="A440" s="88" t="str">
        <f>IFERROR(IF(売上入力!A149="","",IF(INDEX(マスター_OTA!$C$4:$C$29,MATCH(売上入力!D149,マスター_OTA!$A$4:$A$29,0))=0,"",DATE(YEAR(売上入力!A149),MONTH(売上入力!A149)+1,IFERROR(INDEX(マスター_OTA!$F$4:$F$29,MATCH(売上入力!D149,マスター_OTA!$A$4:$A$29,0)),25)))),"")</f>
        <v/>
      </c>
      <c r="B440" s="16" t="str">
        <f>IF(売上入力!B149="","",売上入力!B149)</f>
        <v/>
      </c>
      <c r="C440" s="16" t="str">
        <f>IF(売上入力!C149="","",売上入力!C149)</f>
        <v/>
      </c>
      <c r="D440" s="16" t="str">
        <f>IF(売上入力!D149="","",売上入力!D149)</f>
        <v/>
      </c>
      <c r="E440" s="89">
        <f>IFERROR(IF(売上入力!E149="",0,売上入力!E149*INDEX(マスター_OTA!$C$4:$C$29,MATCH(売上入力!D149,マスター_OTA!$A$4:$A$29,0))/100),0)</f>
        <v>0</v>
      </c>
      <c r="F440" s="90" t="str">
        <f>IF(売上入力!A149="","",売上入力!A149)</f>
        <v/>
      </c>
      <c r="G440" s="16" t="s">
        <v>385</v>
      </c>
    </row>
    <row r="441" spans="1:7" ht="15" customHeight="1">
      <c r="A441" s="88" t="str">
        <f>IFERROR(IF(売上入力!A149="","",IF(INDEX(マスター_OTA!$D$4:$D$29,MATCH(売上入力!D149,マスター_OTA!$A$4:$A$29,0))=0,"",DATE(YEAR(売上入力!A149),MONTH(売上入力!A149)+2,IFERROR(INDEX(マスター_OTA!$G$4:$G$29,MATCH(売上入力!D149,マスター_OTA!$A$4:$A$29,0)),25)))),"")</f>
        <v/>
      </c>
      <c r="B441" s="16" t="str">
        <f>IF(売上入力!B149="","",売上入力!B149)</f>
        <v/>
      </c>
      <c r="C441" s="16" t="str">
        <f>IF(売上入力!C149="","",売上入力!C149)</f>
        <v/>
      </c>
      <c r="D441" s="16" t="str">
        <f>IF(売上入力!D149="","",売上入力!D149)</f>
        <v/>
      </c>
      <c r="E441" s="89">
        <f>IFERROR(IF(売上入力!E149="",0,売上入力!E149*INDEX(マスター_OTA!$D$4:$D$29,MATCH(売上入力!D149,マスター_OTA!$A$4:$A$29,0))/100),0)</f>
        <v>0</v>
      </c>
      <c r="F441" s="90" t="str">
        <f>IF(売上入力!A149="","",売上入力!A149)</f>
        <v/>
      </c>
      <c r="G441" s="16" t="s">
        <v>386</v>
      </c>
    </row>
    <row r="442" spans="1:7" ht="15" customHeight="1">
      <c r="A442" s="88" t="str">
        <f>IFERROR(IF(売上入力!A150="","",IF(INDEX(マスター_OTA!$B$4:$B$29,MATCH(売上入力!D150,マスター_OTA!$A$4:$A$29,0))=0,"",DATE(YEAR(売上入力!A150),MONTH(売上入力!A150),IFERROR(INDEX(マスター_OTA!$E$4:$E$29,MATCH(売上入力!D150,マスター_OTA!$A$4:$A$29,0)),28)))),"")</f>
        <v/>
      </c>
      <c r="B442" s="16" t="str">
        <f>IF(売上入力!B150="","",売上入力!B150)</f>
        <v/>
      </c>
      <c r="C442" s="16" t="str">
        <f>IF(売上入力!C150="","",売上入力!C150)</f>
        <v/>
      </c>
      <c r="D442" s="16" t="str">
        <f>IF(売上入力!D150="","",売上入力!D150)</f>
        <v/>
      </c>
      <c r="E442" s="89">
        <f>IFERROR(IF(売上入力!E150="",0,売上入力!E150*INDEX(マスター_OTA!$B$4:$B$29,MATCH(売上入力!D150,マスター_OTA!$A$4:$A$29,0))/100),0)</f>
        <v>0</v>
      </c>
      <c r="F442" s="90" t="str">
        <f>IF(売上入力!A150="","",売上入力!A150)</f>
        <v/>
      </c>
      <c r="G442" s="16" t="s">
        <v>384</v>
      </c>
    </row>
    <row r="443" spans="1:7" ht="15" customHeight="1">
      <c r="A443" s="88" t="str">
        <f>IFERROR(IF(売上入力!A150="","",IF(INDEX(マスター_OTA!$C$4:$C$29,MATCH(売上入力!D150,マスター_OTA!$A$4:$A$29,0))=0,"",DATE(YEAR(売上入力!A150),MONTH(売上入力!A150)+1,IFERROR(INDEX(マスター_OTA!$F$4:$F$29,MATCH(売上入力!D150,マスター_OTA!$A$4:$A$29,0)),25)))),"")</f>
        <v/>
      </c>
      <c r="B443" s="16" t="str">
        <f>IF(売上入力!B150="","",売上入力!B150)</f>
        <v/>
      </c>
      <c r="C443" s="16" t="str">
        <f>IF(売上入力!C150="","",売上入力!C150)</f>
        <v/>
      </c>
      <c r="D443" s="16" t="str">
        <f>IF(売上入力!D150="","",売上入力!D150)</f>
        <v/>
      </c>
      <c r="E443" s="89">
        <f>IFERROR(IF(売上入力!E150="",0,売上入力!E150*INDEX(マスター_OTA!$C$4:$C$29,MATCH(売上入力!D150,マスター_OTA!$A$4:$A$29,0))/100),0)</f>
        <v>0</v>
      </c>
      <c r="F443" s="90" t="str">
        <f>IF(売上入力!A150="","",売上入力!A150)</f>
        <v/>
      </c>
      <c r="G443" s="16" t="s">
        <v>385</v>
      </c>
    </row>
    <row r="444" spans="1:7" ht="15" customHeight="1">
      <c r="A444" s="88" t="str">
        <f>IFERROR(IF(売上入力!A150="","",IF(INDEX(マスター_OTA!$D$4:$D$29,MATCH(売上入力!D150,マスター_OTA!$A$4:$A$29,0))=0,"",DATE(YEAR(売上入力!A150),MONTH(売上入力!A150)+2,IFERROR(INDEX(マスター_OTA!$G$4:$G$29,MATCH(売上入力!D150,マスター_OTA!$A$4:$A$29,0)),25)))),"")</f>
        <v/>
      </c>
      <c r="B444" s="16" t="str">
        <f>IF(売上入力!B150="","",売上入力!B150)</f>
        <v/>
      </c>
      <c r="C444" s="16" t="str">
        <f>IF(売上入力!C150="","",売上入力!C150)</f>
        <v/>
      </c>
      <c r="D444" s="16" t="str">
        <f>IF(売上入力!D150="","",売上入力!D150)</f>
        <v/>
      </c>
      <c r="E444" s="89">
        <f>IFERROR(IF(売上入力!E150="",0,売上入力!E150*INDEX(マスター_OTA!$D$4:$D$29,MATCH(売上入力!D150,マスター_OTA!$A$4:$A$29,0))/100),0)</f>
        <v>0</v>
      </c>
      <c r="F444" s="90" t="str">
        <f>IF(売上入力!A150="","",売上入力!A150)</f>
        <v/>
      </c>
      <c r="G444" s="16" t="s">
        <v>386</v>
      </c>
    </row>
    <row r="445" spans="1:7" ht="15" customHeight="1">
      <c r="A445" s="88" t="str">
        <f>IFERROR(IF(売上入力!A151="","",IF(INDEX(マスター_OTA!$B$4:$B$29,MATCH(売上入力!D151,マスター_OTA!$A$4:$A$29,0))=0,"",DATE(YEAR(売上入力!A151),MONTH(売上入力!A151),IFERROR(INDEX(マスター_OTA!$E$4:$E$29,MATCH(売上入力!D151,マスター_OTA!$A$4:$A$29,0)),28)))),"")</f>
        <v/>
      </c>
      <c r="B445" s="16" t="str">
        <f>IF(売上入力!B151="","",売上入力!B151)</f>
        <v/>
      </c>
      <c r="C445" s="16" t="str">
        <f>IF(売上入力!C151="","",売上入力!C151)</f>
        <v/>
      </c>
      <c r="D445" s="16" t="str">
        <f>IF(売上入力!D151="","",売上入力!D151)</f>
        <v/>
      </c>
      <c r="E445" s="89">
        <f>IFERROR(IF(売上入力!E151="",0,売上入力!E151*INDEX(マスター_OTA!$B$4:$B$29,MATCH(売上入力!D151,マスター_OTA!$A$4:$A$29,0))/100),0)</f>
        <v>0</v>
      </c>
      <c r="F445" s="90" t="str">
        <f>IF(売上入力!A151="","",売上入力!A151)</f>
        <v/>
      </c>
      <c r="G445" s="16" t="s">
        <v>384</v>
      </c>
    </row>
    <row r="446" spans="1:7" ht="15" customHeight="1">
      <c r="A446" s="88" t="str">
        <f>IFERROR(IF(売上入力!A151="","",IF(INDEX(マスター_OTA!$C$4:$C$29,MATCH(売上入力!D151,マスター_OTA!$A$4:$A$29,0))=0,"",DATE(YEAR(売上入力!A151),MONTH(売上入力!A151)+1,IFERROR(INDEX(マスター_OTA!$F$4:$F$29,MATCH(売上入力!D151,マスター_OTA!$A$4:$A$29,0)),25)))),"")</f>
        <v/>
      </c>
      <c r="B446" s="16" t="str">
        <f>IF(売上入力!B151="","",売上入力!B151)</f>
        <v/>
      </c>
      <c r="C446" s="16" t="str">
        <f>IF(売上入力!C151="","",売上入力!C151)</f>
        <v/>
      </c>
      <c r="D446" s="16" t="str">
        <f>IF(売上入力!D151="","",売上入力!D151)</f>
        <v/>
      </c>
      <c r="E446" s="89">
        <f>IFERROR(IF(売上入力!E151="",0,売上入力!E151*INDEX(マスター_OTA!$C$4:$C$29,MATCH(売上入力!D151,マスター_OTA!$A$4:$A$29,0))/100),0)</f>
        <v>0</v>
      </c>
      <c r="F446" s="90" t="str">
        <f>IF(売上入力!A151="","",売上入力!A151)</f>
        <v/>
      </c>
      <c r="G446" s="16" t="s">
        <v>385</v>
      </c>
    </row>
    <row r="447" spans="1:7" ht="15" customHeight="1">
      <c r="A447" s="88" t="str">
        <f>IFERROR(IF(売上入力!A151="","",IF(INDEX(マスター_OTA!$D$4:$D$29,MATCH(売上入力!D151,マスター_OTA!$A$4:$A$29,0))=0,"",DATE(YEAR(売上入力!A151),MONTH(売上入力!A151)+2,IFERROR(INDEX(マスター_OTA!$G$4:$G$29,MATCH(売上入力!D151,マスター_OTA!$A$4:$A$29,0)),25)))),"")</f>
        <v/>
      </c>
      <c r="B447" s="16" t="str">
        <f>IF(売上入力!B151="","",売上入力!B151)</f>
        <v/>
      </c>
      <c r="C447" s="16" t="str">
        <f>IF(売上入力!C151="","",売上入力!C151)</f>
        <v/>
      </c>
      <c r="D447" s="16" t="str">
        <f>IF(売上入力!D151="","",売上入力!D151)</f>
        <v/>
      </c>
      <c r="E447" s="89">
        <f>IFERROR(IF(売上入力!E151="",0,売上入力!E151*INDEX(マスター_OTA!$D$4:$D$29,MATCH(売上入力!D151,マスター_OTA!$A$4:$A$29,0))/100),0)</f>
        <v>0</v>
      </c>
      <c r="F447" s="90" t="str">
        <f>IF(売上入力!A151="","",売上入力!A151)</f>
        <v/>
      </c>
      <c r="G447" s="16" t="s">
        <v>386</v>
      </c>
    </row>
    <row r="448" spans="1:7" ht="15" customHeight="1">
      <c r="A448" s="88" t="str">
        <f>IFERROR(IF(売上入力!A152="","",IF(INDEX(マスター_OTA!$B$4:$B$29,MATCH(売上入力!D152,マスター_OTA!$A$4:$A$29,0))=0,"",DATE(YEAR(売上入力!A152),MONTH(売上入力!A152),IFERROR(INDEX(マスター_OTA!$E$4:$E$29,MATCH(売上入力!D152,マスター_OTA!$A$4:$A$29,0)),28)))),"")</f>
        <v/>
      </c>
      <c r="B448" s="16" t="str">
        <f>IF(売上入力!B152="","",売上入力!B152)</f>
        <v/>
      </c>
      <c r="C448" s="16" t="str">
        <f>IF(売上入力!C152="","",売上入力!C152)</f>
        <v/>
      </c>
      <c r="D448" s="16" t="str">
        <f>IF(売上入力!D152="","",売上入力!D152)</f>
        <v/>
      </c>
      <c r="E448" s="89">
        <f>IFERROR(IF(売上入力!E152="",0,売上入力!E152*INDEX(マスター_OTA!$B$4:$B$29,MATCH(売上入力!D152,マスター_OTA!$A$4:$A$29,0))/100),0)</f>
        <v>0</v>
      </c>
      <c r="F448" s="90" t="str">
        <f>IF(売上入力!A152="","",売上入力!A152)</f>
        <v/>
      </c>
      <c r="G448" s="16" t="s">
        <v>384</v>
      </c>
    </row>
    <row r="449" spans="1:7" ht="15" customHeight="1">
      <c r="A449" s="88" t="str">
        <f>IFERROR(IF(売上入力!A152="","",IF(INDEX(マスター_OTA!$C$4:$C$29,MATCH(売上入力!D152,マスター_OTA!$A$4:$A$29,0))=0,"",DATE(YEAR(売上入力!A152),MONTH(売上入力!A152)+1,IFERROR(INDEX(マスター_OTA!$F$4:$F$29,MATCH(売上入力!D152,マスター_OTA!$A$4:$A$29,0)),25)))),"")</f>
        <v/>
      </c>
      <c r="B449" s="16" t="str">
        <f>IF(売上入力!B152="","",売上入力!B152)</f>
        <v/>
      </c>
      <c r="C449" s="16" t="str">
        <f>IF(売上入力!C152="","",売上入力!C152)</f>
        <v/>
      </c>
      <c r="D449" s="16" t="str">
        <f>IF(売上入力!D152="","",売上入力!D152)</f>
        <v/>
      </c>
      <c r="E449" s="89">
        <f>IFERROR(IF(売上入力!E152="",0,売上入力!E152*INDEX(マスター_OTA!$C$4:$C$29,MATCH(売上入力!D152,マスター_OTA!$A$4:$A$29,0))/100),0)</f>
        <v>0</v>
      </c>
      <c r="F449" s="90" t="str">
        <f>IF(売上入力!A152="","",売上入力!A152)</f>
        <v/>
      </c>
      <c r="G449" s="16" t="s">
        <v>385</v>
      </c>
    </row>
    <row r="450" spans="1:7" ht="15" customHeight="1">
      <c r="A450" s="88" t="str">
        <f>IFERROR(IF(売上入力!A152="","",IF(INDEX(マスター_OTA!$D$4:$D$29,MATCH(売上入力!D152,マスター_OTA!$A$4:$A$29,0))=0,"",DATE(YEAR(売上入力!A152),MONTH(売上入力!A152)+2,IFERROR(INDEX(マスター_OTA!$G$4:$G$29,MATCH(売上入力!D152,マスター_OTA!$A$4:$A$29,0)),25)))),"")</f>
        <v/>
      </c>
      <c r="B450" s="16" t="str">
        <f>IF(売上入力!B152="","",売上入力!B152)</f>
        <v/>
      </c>
      <c r="C450" s="16" t="str">
        <f>IF(売上入力!C152="","",売上入力!C152)</f>
        <v/>
      </c>
      <c r="D450" s="16" t="str">
        <f>IF(売上入力!D152="","",売上入力!D152)</f>
        <v/>
      </c>
      <c r="E450" s="89">
        <f>IFERROR(IF(売上入力!E152="",0,売上入力!E152*INDEX(マスター_OTA!$D$4:$D$29,MATCH(売上入力!D152,マスター_OTA!$A$4:$A$29,0))/100),0)</f>
        <v>0</v>
      </c>
      <c r="F450" s="90" t="str">
        <f>IF(売上入力!A152="","",売上入力!A152)</f>
        <v/>
      </c>
      <c r="G450" s="16" t="s">
        <v>386</v>
      </c>
    </row>
    <row r="451" spans="1:7" ht="15" customHeight="1">
      <c r="A451" s="88" t="str">
        <f>IFERROR(IF(売上入力!A153="","",IF(INDEX(マスター_OTA!$B$4:$B$29,MATCH(売上入力!D153,マスター_OTA!$A$4:$A$29,0))=0,"",DATE(YEAR(売上入力!A153),MONTH(売上入力!A153),IFERROR(INDEX(マスター_OTA!$E$4:$E$29,MATCH(売上入力!D153,マスター_OTA!$A$4:$A$29,0)),28)))),"")</f>
        <v/>
      </c>
      <c r="B451" s="16" t="str">
        <f>IF(売上入力!B153="","",売上入力!B153)</f>
        <v/>
      </c>
      <c r="C451" s="16" t="str">
        <f>IF(売上入力!C153="","",売上入力!C153)</f>
        <v/>
      </c>
      <c r="D451" s="16" t="str">
        <f>IF(売上入力!D153="","",売上入力!D153)</f>
        <v/>
      </c>
      <c r="E451" s="89">
        <f>IFERROR(IF(売上入力!E153="",0,売上入力!E153*INDEX(マスター_OTA!$B$4:$B$29,MATCH(売上入力!D153,マスター_OTA!$A$4:$A$29,0))/100),0)</f>
        <v>0</v>
      </c>
      <c r="F451" s="90" t="str">
        <f>IF(売上入力!A153="","",売上入力!A153)</f>
        <v/>
      </c>
      <c r="G451" s="16" t="s">
        <v>384</v>
      </c>
    </row>
    <row r="452" spans="1:7" ht="15" customHeight="1">
      <c r="A452" s="88" t="str">
        <f>IFERROR(IF(売上入力!A153="","",IF(INDEX(マスター_OTA!$C$4:$C$29,MATCH(売上入力!D153,マスター_OTA!$A$4:$A$29,0))=0,"",DATE(YEAR(売上入力!A153),MONTH(売上入力!A153)+1,IFERROR(INDEX(マスター_OTA!$F$4:$F$29,MATCH(売上入力!D153,マスター_OTA!$A$4:$A$29,0)),25)))),"")</f>
        <v/>
      </c>
      <c r="B452" s="16" t="str">
        <f>IF(売上入力!B153="","",売上入力!B153)</f>
        <v/>
      </c>
      <c r="C452" s="16" t="str">
        <f>IF(売上入力!C153="","",売上入力!C153)</f>
        <v/>
      </c>
      <c r="D452" s="16" t="str">
        <f>IF(売上入力!D153="","",売上入力!D153)</f>
        <v/>
      </c>
      <c r="E452" s="89">
        <f>IFERROR(IF(売上入力!E153="",0,売上入力!E153*INDEX(マスター_OTA!$C$4:$C$29,MATCH(売上入力!D153,マスター_OTA!$A$4:$A$29,0))/100),0)</f>
        <v>0</v>
      </c>
      <c r="F452" s="90" t="str">
        <f>IF(売上入力!A153="","",売上入力!A153)</f>
        <v/>
      </c>
      <c r="G452" s="16" t="s">
        <v>385</v>
      </c>
    </row>
    <row r="453" spans="1:7" ht="15" customHeight="1">
      <c r="A453" s="88" t="str">
        <f>IFERROR(IF(売上入力!A153="","",IF(INDEX(マスター_OTA!$D$4:$D$29,MATCH(売上入力!D153,マスター_OTA!$A$4:$A$29,0))=0,"",DATE(YEAR(売上入力!A153),MONTH(売上入力!A153)+2,IFERROR(INDEX(マスター_OTA!$G$4:$G$29,MATCH(売上入力!D153,マスター_OTA!$A$4:$A$29,0)),25)))),"")</f>
        <v/>
      </c>
      <c r="B453" s="16" t="str">
        <f>IF(売上入力!B153="","",売上入力!B153)</f>
        <v/>
      </c>
      <c r="C453" s="16" t="str">
        <f>IF(売上入力!C153="","",売上入力!C153)</f>
        <v/>
      </c>
      <c r="D453" s="16" t="str">
        <f>IF(売上入力!D153="","",売上入力!D153)</f>
        <v/>
      </c>
      <c r="E453" s="89">
        <f>IFERROR(IF(売上入力!E153="",0,売上入力!E153*INDEX(マスター_OTA!$D$4:$D$29,MATCH(売上入力!D153,マスター_OTA!$A$4:$A$29,0))/100),0)</f>
        <v>0</v>
      </c>
      <c r="F453" s="90" t="str">
        <f>IF(売上入力!A153="","",売上入力!A153)</f>
        <v/>
      </c>
      <c r="G453" s="16" t="s">
        <v>386</v>
      </c>
    </row>
    <row r="454" spans="1:7" ht="15" customHeight="1">
      <c r="A454" s="88" t="str">
        <f>IFERROR(IF(売上入力!A154="","",IF(INDEX(マスター_OTA!$B$4:$B$29,MATCH(売上入力!D154,マスター_OTA!$A$4:$A$29,0))=0,"",DATE(YEAR(売上入力!A154),MONTH(売上入力!A154),IFERROR(INDEX(マスター_OTA!$E$4:$E$29,MATCH(売上入力!D154,マスター_OTA!$A$4:$A$29,0)),28)))),"")</f>
        <v/>
      </c>
      <c r="B454" s="16" t="str">
        <f>IF(売上入力!B154="","",売上入力!B154)</f>
        <v/>
      </c>
      <c r="C454" s="16" t="str">
        <f>IF(売上入力!C154="","",売上入力!C154)</f>
        <v/>
      </c>
      <c r="D454" s="16" t="str">
        <f>IF(売上入力!D154="","",売上入力!D154)</f>
        <v/>
      </c>
      <c r="E454" s="89">
        <f>IFERROR(IF(売上入力!E154="",0,売上入力!E154*INDEX(マスター_OTA!$B$4:$B$29,MATCH(売上入力!D154,マスター_OTA!$A$4:$A$29,0))/100),0)</f>
        <v>0</v>
      </c>
      <c r="F454" s="90" t="str">
        <f>IF(売上入力!A154="","",売上入力!A154)</f>
        <v/>
      </c>
      <c r="G454" s="16" t="s">
        <v>384</v>
      </c>
    </row>
    <row r="455" spans="1:7" ht="15" customHeight="1">
      <c r="A455" s="88" t="str">
        <f>IFERROR(IF(売上入力!A154="","",IF(INDEX(マスター_OTA!$C$4:$C$29,MATCH(売上入力!D154,マスター_OTA!$A$4:$A$29,0))=0,"",DATE(YEAR(売上入力!A154),MONTH(売上入力!A154)+1,IFERROR(INDEX(マスター_OTA!$F$4:$F$29,MATCH(売上入力!D154,マスター_OTA!$A$4:$A$29,0)),25)))),"")</f>
        <v/>
      </c>
      <c r="B455" s="16" t="str">
        <f>IF(売上入力!B154="","",売上入力!B154)</f>
        <v/>
      </c>
      <c r="C455" s="16" t="str">
        <f>IF(売上入力!C154="","",売上入力!C154)</f>
        <v/>
      </c>
      <c r="D455" s="16" t="str">
        <f>IF(売上入力!D154="","",売上入力!D154)</f>
        <v/>
      </c>
      <c r="E455" s="89">
        <f>IFERROR(IF(売上入力!E154="",0,売上入力!E154*INDEX(マスター_OTA!$C$4:$C$29,MATCH(売上入力!D154,マスター_OTA!$A$4:$A$29,0))/100),0)</f>
        <v>0</v>
      </c>
      <c r="F455" s="90" t="str">
        <f>IF(売上入力!A154="","",売上入力!A154)</f>
        <v/>
      </c>
      <c r="G455" s="16" t="s">
        <v>385</v>
      </c>
    </row>
    <row r="456" spans="1:7" ht="15" customHeight="1">
      <c r="A456" s="88" t="str">
        <f>IFERROR(IF(売上入力!A154="","",IF(INDEX(マスター_OTA!$D$4:$D$29,MATCH(売上入力!D154,マスター_OTA!$A$4:$A$29,0))=0,"",DATE(YEAR(売上入力!A154),MONTH(売上入力!A154)+2,IFERROR(INDEX(マスター_OTA!$G$4:$G$29,MATCH(売上入力!D154,マスター_OTA!$A$4:$A$29,0)),25)))),"")</f>
        <v/>
      </c>
      <c r="B456" s="16" t="str">
        <f>IF(売上入力!B154="","",売上入力!B154)</f>
        <v/>
      </c>
      <c r="C456" s="16" t="str">
        <f>IF(売上入力!C154="","",売上入力!C154)</f>
        <v/>
      </c>
      <c r="D456" s="16" t="str">
        <f>IF(売上入力!D154="","",売上入力!D154)</f>
        <v/>
      </c>
      <c r="E456" s="89">
        <f>IFERROR(IF(売上入力!E154="",0,売上入力!E154*INDEX(マスター_OTA!$D$4:$D$29,MATCH(売上入力!D154,マスター_OTA!$A$4:$A$29,0))/100),0)</f>
        <v>0</v>
      </c>
      <c r="F456" s="90" t="str">
        <f>IF(売上入力!A154="","",売上入力!A154)</f>
        <v/>
      </c>
      <c r="G456" s="16" t="s">
        <v>386</v>
      </c>
    </row>
    <row r="457" spans="1:7" ht="15" customHeight="1">
      <c r="A457" s="88" t="str">
        <f>IFERROR(IF(売上入力!A155="","",IF(INDEX(マスター_OTA!$B$4:$B$29,MATCH(売上入力!D155,マスター_OTA!$A$4:$A$29,0))=0,"",DATE(YEAR(売上入力!A155),MONTH(売上入力!A155),IFERROR(INDEX(マスター_OTA!$E$4:$E$29,MATCH(売上入力!D155,マスター_OTA!$A$4:$A$29,0)),28)))),"")</f>
        <v/>
      </c>
      <c r="B457" s="16" t="str">
        <f>IF(売上入力!B155="","",売上入力!B155)</f>
        <v/>
      </c>
      <c r="C457" s="16" t="str">
        <f>IF(売上入力!C155="","",売上入力!C155)</f>
        <v/>
      </c>
      <c r="D457" s="16" t="str">
        <f>IF(売上入力!D155="","",売上入力!D155)</f>
        <v/>
      </c>
      <c r="E457" s="89">
        <f>IFERROR(IF(売上入力!E155="",0,売上入力!E155*INDEX(マスター_OTA!$B$4:$B$29,MATCH(売上入力!D155,マスター_OTA!$A$4:$A$29,0))/100),0)</f>
        <v>0</v>
      </c>
      <c r="F457" s="90" t="str">
        <f>IF(売上入力!A155="","",売上入力!A155)</f>
        <v/>
      </c>
      <c r="G457" s="16" t="s">
        <v>384</v>
      </c>
    </row>
    <row r="458" spans="1:7" ht="15" customHeight="1">
      <c r="A458" s="88" t="str">
        <f>IFERROR(IF(売上入力!A155="","",IF(INDEX(マスター_OTA!$C$4:$C$29,MATCH(売上入力!D155,マスター_OTA!$A$4:$A$29,0))=0,"",DATE(YEAR(売上入力!A155),MONTH(売上入力!A155)+1,IFERROR(INDEX(マスター_OTA!$F$4:$F$29,MATCH(売上入力!D155,マスター_OTA!$A$4:$A$29,0)),25)))),"")</f>
        <v/>
      </c>
      <c r="B458" s="16" t="str">
        <f>IF(売上入力!B155="","",売上入力!B155)</f>
        <v/>
      </c>
      <c r="C458" s="16" t="str">
        <f>IF(売上入力!C155="","",売上入力!C155)</f>
        <v/>
      </c>
      <c r="D458" s="16" t="str">
        <f>IF(売上入力!D155="","",売上入力!D155)</f>
        <v/>
      </c>
      <c r="E458" s="89">
        <f>IFERROR(IF(売上入力!E155="",0,売上入力!E155*INDEX(マスター_OTA!$C$4:$C$29,MATCH(売上入力!D155,マスター_OTA!$A$4:$A$29,0))/100),0)</f>
        <v>0</v>
      </c>
      <c r="F458" s="90" t="str">
        <f>IF(売上入力!A155="","",売上入力!A155)</f>
        <v/>
      </c>
      <c r="G458" s="16" t="s">
        <v>385</v>
      </c>
    </row>
    <row r="459" spans="1:7" ht="15" customHeight="1">
      <c r="A459" s="88" t="str">
        <f>IFERROR(IF(売上入力!A155="","",IF(INDEX(マスター_OTA!$D$4:$D$29,MATCH(売上入力!D155,マスター_OTA!$A$4:$A$29,0))=0,"",DATE(YEAR(売上入力!A155),MONTH(売上入力!A155)+2,IFERROR(INDEX(マスター_OTA!$G$4:$G$29,MATCH(売上入力!D155,マスター_OTA!$A$4:$A$29,0)),25)))),"")</f>
        <v/>
      </c>
      <c r="B459" s="16" t="str">
        <f>IF(売上入力!B155="","",売上入力!B155)</f>
        <v/>
      </c>
      <c r="C459" s="16" t="str">
        <f>IF(売上入力!C155="","",売上入力!C155)</f>
        <v/>
      </c>
      <c r="D459" s="16" t="str">
        <f>IF(売上入力!D155="","",売上入力!D155)</f>
        <v/>
      </c>
      <c r="E459" s="89">
        <f>IFERROR(IF(売上入力!E155="",0,売上入力!E155*INDEX(マスター_OTA!$D$4:$D$29,MATCH(売上入力!D155,マスター_OTA!$A$4:$A$29,0))/100),0)</f>
        <v>0</v>
      </c>
      <c r="F459" s="90" t="str">
        <f>IF(売上入力!A155="","",売上入力!A155)</f>
        <v/>
      </c>
      <c r="G459" s="16" t="s">
        <v>386</v>
      </c>
    </row>
    <row r="460" spans="1:7" ht="15" customHeight="1">
      <c r="A460" s="88" t="str">
        <f>IFERROR(IF(売上入力!A156="","",IF(INDEX(マスター_OTA!$B$4:$B$29,MATCH(売上入力!D156,マスター_OTA!$A$4:$A$29,0))=0,"",DATE(YEAR(売上入力!A156),MONTH(売上入力!A156),IFERROR(INDEX(マスター_OTA!$E$4:$E$29,MATCH(売上入力!D156,マスター_OTA!$A$4:$A$29,0)),28)))),"")</f>
        <v/>
      </c>
      <c r="B460" s="16" t="str">
        <f>IF(売上入力!B156="","",売上入力!B156)</f>
        <v/>
      </c>
      <c r="C460" s="16" t="str">
        <f>IF(売上入力!C156="","",売上入力!C156)</f>
        <v/>
      </c>
      <c r="D460" s="16" t="str">
        <f>IF(売上入力!D156="","",売上入力!D156)</f>
        <v/>
      </c>
      <c r="E460" s="89">
        <f>IFERROR(IF(売上入力!E156="",0,売上入力!E156*INDEX(マスター_OTA!$B$4:$B$29,MATCH(売上入力!D156,マスター_OTA!$A$4:$A$29,0))/100),0)</f>
        <v>0</v>
      </c>
      <c r="F460" s="90" t="str">
        <f>IF(売上入力!A156="","",売上入力!A156)</f>
        <v/>
      </c>
      <c r="G460" s="16" t="s">
        <v>384</v>
      </c>
    </row>
    <row r="461" spans="1:7" ht="15" customHeight="1">
      <c r="A461" s="88" t="str">
        <f>IFERROR(IF(売上入力!A156="","",IF(INDEX(マスター_OTA!$C$4:$C$29,MATCH(売上入力!D156,マスター_OTA!$A$4:$A$29,0))=0,"",DATE(YEAR(売上入力!A156),MONTH(売上入力!A156)+1,IFERROR(INDEX(マスター_OTA!$F$4:$F$29,MATCH(売上入力!D156,マスター_OTA!$A$4:$A$29,0)),25)))),"")</f>
        <v/>
      </c>
      <c r="B461" s="16" t="str">
        <f>IF(売上入力!B156="","",売上入力!B156)</f>
        <v/>
      </c>
      <c r="C461" s="16" t="str">
        <f>IF(売上入力!C156="","",売上入力!C156)</f>
        <v/>
      </c>
      <c r="D461" s="16" t="str">
        <f>IF(売上入力!D156="","",売上入力!D156)</f>
        <v/>
      </c>
      <c r="E461" s="89">
        <f>IFERROR(IF(売上入力!E156="",0,売上入力!E156*INDEX(マスター_OTA!$C$4:$C$29,MATCH(売上入力!D156,マスター_OTA!$A$4:$A$29,0))/100),0)</f>
        <v>0</v>
      </c>
      <c r="F461" s="90" t="str">
        <f>IF(売上入力!A156="","",売上入力!A156)</f>
        <v/>
      </c>
      <c r="G461" s="16" t="s">
        <v>385</v>
      </c>
    </row>
    <row r="462" spans="1:7" ht="15" customHeight="1">
      <c r="A462" s="88" t="str">
        <f>IFERROR(IF(売上入力!A156="","",IF(INDEX(マスター_OTA!$D$4:$D$29,MATCH(売上入力!D156,マスター_OTA!$A$4:$A$29,0))=0,"",DATE(YEAR(売上入力!A156),MONTH(売上入力!A156)+2,IFERROR(INDEX(マスター_OTA!$G$4:$G$29,MATCH(売上入力!D156,マスター_OTA!$A$4:$A$29,0)),25)))),"")</f>
        <v/>
      </c>
      <c r="B462" s="16" t="str">
        <f>IF(売上入力!B156="","",売上入力!B156)</f>
        <v/>
      </c>
      <c r="C462" s="16" t="str">
        <f>IF(売上入力!C156="","",売上入力!C156)</f>
        <v/>
      </c>
      <c r="D462" s="16" t="str">
        <f>IF(売上入力!D156="","",売上入力!D156)</f>
        <v/>
      </c>
      <c r="E462" s="89">
        <f>IFERROR(IF(売上入力!E156="",0,売上入力!E156*INDEX(マスター_OTA!$D$4:$D$29,MATCH(売上入力!D156,マスター_OTA!$A$4:$A$29,0))/100),0)</f>
        <v>0</v>
      </c>
      <c r="F462" s="90" t="str">
        <f>IF(売上入力!A156="","",売上入力!A156)</f>
        <v/>
      </c>
      <c r="G462" s="16" t="s">
        <v>386</v>
      </c>
    </row>
    <row r="463" spans="1:7" ht="15" customHeight="1">
      <c r="A463" s="88" t="str">
        <f>IFERROR(IF(売上入力!A157="","",IF(INDEX(マスター_OTA!$B$4:$B$29,MATCH(売上入力!D157,マスター_OTA!$A$4:$A$29,0))=0,"",DATE(YEAR(売上入力!A157),MONTH(売上入力!A157),IFERROR(INDEX(マスター_OTA!$E$4:$E$29,MATCH(売上入力!D157,マスター_OTA!$A$4:$A$29,0)),28)))),"")</f>
        <v/>
      </c>
      <c r="B463" s="16" t="str">
        <f>IF(売上入力!B157="","",売上入力!B157)</f>
        <v/>
      </c>
      <c r="C463" s="16" t="str">
        <f>IF(売上入力!C157="","",売上入力!C157)</f>
        <v/>
      </c>
      <c r="D463" s="16" t="str">
        <f>IF(売上入力!D157="","",売上入力!D157)</f>
        <v/>
      </c>
      <c r="E463" s="89">
        <f>IFERROR(IF(売上入力!E157="",0,売上入力!E157*INDEX(マスター_OTA!$B$4:$B$29,MATCH(売上入力!D157,マスター_OTA!$A$4:$A$29,0))/100),0)</f>
        <v>0</v>
      </c>
      <c r="F463" s="90" t="str">
        <f>IF(売上入力!A157="","",売上入力!A157)</f>
        <v/>
      </c>
      <c r="G463" s="16" t="s">
        <v>384</v>
      </c>
    </row>
    <row r="464" spans="1:7" ht="15" customHeight="1">
      <c r="A464" s="88" t="str">
        <f>IFERROR(IF(売上入力!A157="","",IF(INDEX(マスター_OTA!$C$4:$C$29,MATCH(売上入力!D157,マスター_OTA!$A$4:$A$29,0))=0,"",DATE(YEAR(売上入力!A157),MONTH(売上入力!A157)+1,IFERROR(INDEX(マスター_OTA!$F$4:$F$29,MATCH(売上入力!D157,マスター_OTA!$A$4:$A$29,0)),25)))),"")</f>
        <v/>
      </c>
      <c r="B464" s="16" t="str">
        <f>IF(売上入力!B157="","",売上入力!B157)</f>
        <v/>
      </c>
      <c r="C464" s="16" t="str">
        <f>IF(売上入力!C157="","",売上入力!C157)</f>
        <v/>
      </c>
      <c r="D464" s="16" t="str">
        <f>IF(売上入力!D157="","",売上入力!D157)</f>
        <v/>
      </c>
      <c r="E464" s="89">
        <f>IFERROR(IF(売上入力!E157="",0,売上入力!E157*INDEX(マスター_OTA!$C$4:$C$29,MATCH(売上入力!D157,マスター_OTA!$A$4:$A$29,0))/100),0)</f>
        <v>0</v>
      </c>
      <c r="F464" s="90" t="str">
        <f>IF(売上入力!A157="","",売上入力!A157)</f>
        <v/>
      </c>
      <c r="G464" s="16" t="s">
        <v>385</v>
      </c>
    </row>
    <row r="465" spans="1:7" ht="15" customHeight="1">
      <c r="A465" s="88" t="str">
        <f>IFERROR(IF(売上入力!A157="","",IF(INDEX(マスター_OTA!$D$4:$D$29,MATCH(売上入力!D157,マスター_OTA!$A$4:$A$29,0))=0,"",DATE(YEAR(売上入力!A157),MONTH(売上入力!A157)+2,IFERROR(INDEX(マスター_OTA!$G$4:$G$29,MATCH(売上入力!D157,マスター_OTA!$A$4:$A$29,0)),25)))),"")</f>
        <v/>
      </c>
      <c r="B465" s="16" t="str">
        <f>IF(売上入力!B157="","",売上入力!B157)</f>
        <v/>
      </c>
      <c r="C465" s="16" t="str">
        <f>IF(売上入力!C157="","",売上入力!C157)</f>
        <v/>
      </c>
      <c r="D465" s="16" t="str">
        <f>IF(売上入力!D157="","",売上入力!D157)</f>
        <v/>
      </c>
      <c r="E465" s="89">
        <f>IFERROR(IF(売上入力!E157="",0,売上入力!E157*INDEX(マスター_OTA!$D$4:$D$29,MATCH(売上入力!D157,マスター_OTA!$A$4:$A$29,0))/100),0)</f>
        <v>0</v>
      </c>
      <c r="F465" s="90" t="str">
        <f>IF(売上入力!A157="","",売上入力!A157)</f>
        <v/>
      </c>
      <c r="G465" s="16" t="s">
        <v>386</v>
      </c>
    </row>
    <row r="466" spans="1:7" ht="15" customHeight="1">
      <c r="A466" s="88" t="str">
        <f>IFERROR(IF(売上入力!A158="","",IF(INDEX(マスター_OTA!$B$4:$B$29,MATCH(売上入力!D158,マスター_OTA!$A$4:$A$29,0))=0,"",DATE(YEAR(売上入力!A158),MONTH(売上入力!A158),IFERROR(INDEX(マスター_OTA!$E$4:$E$29,MATCH(売上入力!D158,マスター_OTA!$A$4:$A$29,0)),28)))),"")</f>
        <v/>
      </c>
      <c r="B466" s="16" t="str">
        <f>IF(売上入力!B158="","",売上入力!B158)</f>
        <v/>
      </c>
      <c r="C466" s="16" t="str">
        <f>IF(売上入力!C158="","",売上入力!C158)</f>
        <v/>
      </c>
      <c r="D466" s="16" t="str">
        <f>IF(売上入力!D158="","",売上入力!D158)</f>
        <v/>
      </c>
      <c r="E466" s="89">
        <f>IFERROR(IF(売上入力!E158="",0,売上入力!E158*INDEX(マスター_OTA!$B$4:$B$29,MATCH(売上入力!D158,マスター_OTA!$A$4:$A$29,0))/100),0)</f>
        <v>0</v>
      </c>
      <c r="F466" s="90" t="str">
        <f>IF(売上入力!A158="","",売上入力!A158)</f>
        <v/>
      </c>
      <c r="G466" s="16" t="s">
        <v>384</v>
      </c>
    </row>
    <row r="467" spans="1:7" ht="15" customHeight="1">
      <c r="A467" s="88" t="str">
        <f>IFERROR(IF(売上入力!A158="","",IF(INDEX(マスター_OTA!$C$4:$C$29,MATCH(売上入力!D158,マスター_OTA!$A$4:$A$29,0))=0,"",DATE(YEAR(売上入力!A158),MONTH(売上入力!A158)+1,IFERROR(INDEX(マスター_OTA!$F$4:$F$29,MATCH(売上入力!D158,マスター_OTA!$A$4:$A$29,0)),25)))),"")</f>
        <v/>
      </c>
      <c r="B467" s="16" t="str">
        <f>IF(売上入力!B158="","",売上入力!B158)</f>
        <v/>
      </c>
      <c r="C467" s="16" t="str">
        <f>IF(売上入力!C158="","",売上入力!C158)</f>
        <v/>
      </c>
      <c r="D467" s="16" t="str">
        <f>IF(売上入力!D158="","",売上入力!D158)</f>
        <v/>
      </c>
      <c r="E467" s="89">
        <f>IFERROR(IF(売上入力!E158="",0,売上入力!E158*INDEX(マスター_OTA!$C$4:$C$29,MATCH(売上入力!D158,マスター_OTA!$A$4:$A$29,0))/100),0)</f>
        <v>0</v>
      </c>
      <c r="F467" s="90" t="str">
        <f>IF(売上入力!A158="","",売上入力!A158)</f>
        <v/>
      </c>
      <c r="G467" s="16" t="s">
        <v>385</v>
      </c>
    </row>
    <row r="468" spans="1:7" ht="15" customHeight="1">
      <c r="A468" s="88" t="str">
        <f>IFERROR(IF(売上入力!A158="","",IF(INDEX(マスター_OTA!$D$4:$D$29,MATCH(売上入力!D158,マスター_OTA!$A$4:$A$29,0))=0,"",DATE(YEAR(売上入力!A158),MONTH(売上入力!A158)+2,IFERROR(INDEX(マスター_OTA!$G$4:$G$29,MATCH(売上入力!D158,マスター_OTA!$A$4:$A$29,0)),25)))),"")</f>
        <v/>
      </c>
      <c r="B468" s="16" t="str">
        <f>IF(売上入力!B158="","",売上入力!B158)</f>
        <v/>
      </c>
      <c r="C468" s="16" t="str">
        <f>IF(売上入力!C158="","",売上入力!C158)</f>
        <v/>
      </c>
      <c r="D468" s="16" t="str">
        <f>IF(売上入力!D158="","",売上入力!D158)</f>
        <v/>
      </c>
      <c r="E468" s="89">
        <f>IFERROR(IF(売上入力!E158="",0,売上入力!E158*INDEX(マスター_OTA!$D$4:$D$29,MATCH(売上入力!D158,マスター_OTA!$A$4:$A$29,0))/100),0)</f>
        <v>0</v>
      </c>
      <c r="F468" s="90" t="str">
        <f>IF(売上入力!A158="","",売上入力!A158)</f>
        <v/>
      </c>
      <c r="G468" s="16" t="s">
        <v>386</v>
      </c>
    </row>
    <row r="469" spans="1:7" ht="15" customHeight="1">
      <c r="A469" s="88" t="str">
        <f>IFERROR(IF(売上入力!A159="","",IF(INDEX(マスター_OTA!$B$4:$B$29,MATCH(売上入力!D159,マスター_OTA!$A$4:$A$29,0))=0,"",DATE(YEAR(売上入力!A159),MONTH(売上入力!A159),IFERROR(INDEX(マスター_OTA!$E$4:$E$29,MATCH(売上入力!D159,マスター_OTA!$A$4:$A$29,0)),28)))),"")</f>
        <v/>
      </c>
      <c r="B469" s="16" t="str">
        <f>IF(売上入力!B159="","",売上入力!B159)</f>
        <v/>
      </c>
      <c r="C469" s="16" t="str">
        <f>IF(売上入力!C159="","",売上入力!C159)</f>
        <v/>
      </c>
      <c r="D469" s="16" t="str">
        <f>IF(売上入力!D159="","",売上入力!D159)</f>
        <v/>
      </c>
      <c r="E469" s="89">
        <f>IFERROR(IF(売上入力!E159="",0,売上入力!E159*INDEX(マスター_OTA!$B$4:$B$29,MATCH(売上入力!D159,マスター_OTA!$A$4:$A$29,0))/100),0)</f>
        <v>0</v>
      </c>
      <c r="F469" s="90" t="str">
        <f>IF(売上入力!A159="","",売上入力!A159)</f>
        <v/>
      </c>
      <c r="G469" s="16" t="s">
        <v>384</v>
      </c>
    </row>
    <row r="470" spans="1:7" ht="15" customHeight="1">
      <c r="A470" s="88" t="str">
        <f>IFERROR(IF(売上入力!A159="","",IF(INDEX(マスター_OTA!$C$4:$C$29,MATCH(売上入力!D159,マスター_OTA!$A$4:$A$29,0))=0,"",DATE(YEAR(売上入力!A159),MONTH(売上入力!A159)+1,IFERROR(INDEX(マスター_OTA!$F$4:$F$29,MATCH(売上入力!D159,マスター_OTA!$A$4:$A$29,0)),25)))),"")</f>
        <v/>
      </c>
      <c r="B470" s="16" t="str">
        <f>IF(売上入力!B159="","",売上入力!B159)</f>
        <v/>
      </c>
      <c r="C470" s="16" t="str">
        <f>IF(売上入力!C159="","",売上入力!C159)</f>
        <v/>
      </c>
      <c r="D470" s="16" t="str">
        <f>IF(売上入力!D159="","",売上入力!D159)</f>
        <v/>
      </c>
      <c r="E470" s="89">
        <f>IFERROR(IF(売上入力!E159="",0,売上入力!E159*INDEX(マスター_OTA!$C$4:$C$29,MATCH(売上入力!D159,マスター_OTA!$A$4:$A$29,0))/100),0)</f>
        <v>0</v>
      </c>
      <c r="F470" s="90" t="str">
        <f>IF(売上入力!A159="","",売上入力!A159)</f>
        <v/>
      </c>
      <c r="G470" s="16" t="s">
        <v>385</v>
      </c>
    </row>
    <row r="471" spans="1:7" ht="15" customHeight="1">
      <c r="A471" s="88" t="str">
        <f>IFERROR(IF(売上入力!A159="","",IF(INDEX(マスター_OTA!$D$4:$D$29,MATCH(売上入力!D159,マスター_OTA!$A$4:$A$29,0))=0,"",DATE(YEAR(売上入力!A159),MONTH(売上入力!A159)+2,IFERROR(INDEX(マスター_OTA!$G$4:$G$29,MATCH(売上入力!D159,マスター_OTA!$A$4:$A$29,0)),25)))),"")</f>
        <v/>
      </c>
      <c r="B471" s="16" t="str">
        <f>IF(売上入力!B159="","",売上入力!B159)</f>
        <v/>
      </c>
      <c r="C471" s="16" t="str">
        <f>IF(売上入力!C159="","",売上入力!C159)</f>
        <v/>
      </c>
      <c r="D471" s="16" t="str">
        <f>IF(売上入力!D159="","",売上入力!D159)</f>
        <v/>
      </c>
      <c r="E471" s="89">
        <f>IFERROR(IF(売上入力!E159="",0,売上入力!E159*INDEX(マスター_OTA!$D$4:$D$29,MATCH(売上入力!D159,マスター_OTA!$A$4:$A$29,0))/100),0)</f>
        <v>0</v>
      </c>
      <c r="F471" s="90" t="str">
        <f>IF(売上入力!A159="","",売上入力!A159)</f>
        <v/>
      </c>
      <c r="G471" s="16" t="s">
        <v>386</v>
      </c>
    </row>
    <row r="472" spans="1:7" ht="15" customHeight="1">
      <c r="A472" s="88" t="str">
        <f>IFERROR(IF(売上入力!A160="","",IF(INDEX(マスター_OTA!$B$4:$B$29,MATCH(売上入力!D160,マスター_OTA!$A$4:$A$29,0))=0,"",DATE(YEAR(売上入力!A160),MONTH(売上入力!A160),IFERROR(INDEX(マスター_OTA!$E$4:$E$29,MATCH(売上入力!D160,マスター_OTA!$A$4:$A$29,0)),28)))),"")</f>
        <v/>
      </c>
      <c r="B472" s="16" t="str">
        <f>IF(売上入力!B160="","",売上入力!B160)</f>
        <v/>
      </c>
      <c r="C472" s="16" t="str">
        <f>IF(売上入力!C160="","",売上入力!C160)</f>
        <v/>
      </c>
      <c r="D472" s="16" t="str">
        <f>IF(売上入力!D160="","",売上入力!D160)</f>
        <v/>
      </c>
      <c r="E472" s="89">
        <f>IFERROR(IF(売上入力!E160="",0,売上入力!E160*INDEX(マスター_OTA!$B$4:$B$29,MATCH(売上入力!D160,マスター_OTA!$A$4:$A$29,0))/100),0)</f>
        <v>0</v>
      </c>
      <c r="F472" s="90" t="str">
        <f>IF(売上入力!A160="","",売上入力!A160)</f>
        <v/>
      </c>
      <c r="G472" s="16" t="s">
        <v>384</v>
      </c>
    </row>
    <row r="473" spans="1:7" ht="15" customHeight="1">
      <c r="A473" s="88" t="str">
        <f>IFERROR(IF(売上入力!A160="","",IF(INDEX(マスター_OTA!$C$4:$C$29,MATCH(売上入力!D160,マスター_OTA!$A$4:$A$29,0))=0,"",DATE(YEAR(売上入力!A160),MONTH(売上入力!A160)+1,IFERROR(INDEX(マスター_OTA!$F$4:$F$29,MATCH(売上入力!D160,マスター_OTA!$A$4:$A$29,0)),25)))),"")</f>
        <v/>
      </c>
      <c r="B473" s="16" t="str">
        <f>IF(売上入力!B160="","",売上入力!B160)</f>
        <v/>
      </c>
      <c r="C473" s="16" t="str">
        <f>IF(売上入力!C160="","",売上入力!C160)</f>
        <v/>
      </c>
      <c r="D473" s="16" t="str">
        <f>IF(売上入力!D160="","",売上入力!D160)</f>
        <v/>
      </c>
      <c r="E473" s="89">
        <f>IFERROR(IF(売上入力!E160="",0,売上入力!E160*INDEX(マスター_OTA!$C$4:$C$29,MATCH(売上入力!D160,マスター_OTA!$A$4:$A$29,0))/100),0)</f>
        <v>0</v>
      </c>
      <c r="F473" s="90" t="str">
        <f>IF(売上入力!A160="","",売上入力!A160)</f>
        <v/>
      </c>
      <c r="G473" s="16" t="s">
        <v>385</v>
      </c>
    </row>
    <row r="474" spans="1:7" ht="15" customHeight="1">
      <c r="A474" s="88" t="str">
        <f>IFERROR(IF(売上入力!A160="","",IF(INDEX(マスター_OTA!$D$4:$D$29,MATCH(売上入力!D160,マスター_OTA!$A$4:$A$29,0))=0,"",DATE(YEAR(売上入力!A160),MONTH(売上入力!A160)+2,IFERROR(INDEX(マスター_OTA!$G$4:$G$29,MATCH(売上入力!D160,マスター_OTA!$A$4:$A$29,0)),25)))),"")</f>
        <v/>
      </c>
      <c r="B474" s="16" t="str">
        <f>IF(売上入力!B160="","",売上入力!B160)</f>
        <v/>
      </c>
      <c r="C474" s="16" t="str">
        <f>IF(売上入力!C160="","",売上入力!C160)</f>
        <v/>
      </c>
      <c r="D474" s="16" t="str">
        <f>IF(売上入力!D160="","",売上入力!D160)</f>
        <v/>
      </c>
      <c r="E474" s="89">
        <f>IFERROR(IF(売上入力!E160="",0,売上入力!E160*INDEX(マスター_OTA!$D$4:$D$29,MATCH(売上入力!D160,マスター_OTA!$A$4:$A$29,0))/100),0)</f>
        <v>0</v>
      </c>
      <c r="F474" s="90" t="str">
        <f>IF(売上入力!A160="","",売上入力!A160)</f>
        <v/>
      </c>
      <c r="G474" s="16" t="s">
        <v>386</v>
      </c>
    </row>
    <row r="475" spans="1:7" ht="15" customHeight="1">
      <c r="A475" s="88" t="str">
        <f>IFERROR(IF(売上入力!A161="","",IF(INDEX(マスター_OTA!$B$4:$B$29,MATCH(売上入力!D161,マスター_OTA!$A$4:$A$29,0))=0,"",DATE(YEAR(売上入力!A161),MONTH(売上入力!A161),IFERROR(INDEX(マスター_OTA!$E$4:$E$29,MATCH(売上入力!D161,マスター_OTA!$A$4:$A$29,0)),28)))),"")</f>
        <v/>
      </c>
      <c r="B475" s="16" t="str">
        <f>IF(売上入力!B161="","",売上入力!B161)</f>
        <v/>
      </c>
      <c r="C475" s="16" t="str">
        <f>IF(売上入力!C161="","",売上入力!C161)</f>
        <v/>
      </c>
      <c r="D475" s="16" t="str">
        <f>IF(売上入力!D161="","",売上入力!D161)</f>
        <v/>
      </c>
      <c r="E475" s="89">
        <f>IFERROR(IF(売上入力!E161="",0,売上入力!E161*INDEX(マスター_OTA!$B$4:$B$29,MATCH(売上入力!D161,マスター_OTA!$A$4:$A$29,0))/100),0)</f>
        <v>0</v>
      </c>
      <c r="F475" s="90" t="str">
        <f>IF(売上入力!A161="","",売上入力!A161)</f>
        <v/>
      </c>
      <c r="G475" s="16" t="s">
        <v>384</v>
      </c>
    </row>
    <row r="476" spans="1:7" ht="15" customHeight="1">
      <c r="A476" s="88" t="str">
        <f>IFERROR(IF(売上入力!A161="","",IF(INDEX(マスター_OTA!$C$4:$C$29,MATCH(売上入力!D161,マスター_OTA!$A$4:$A$29,0))=0,"",DATE(YEAR(売上入力!A161),MONTH(売上入力!A161)+1,IFERROR(INDEX(マスター_OTA!$F$4:$F$29,MATCH(売上入力!D161,マスター_OTA!$A$4:$A$29,0)),25)))),"")</f>
        <v/>
      </c>
      <c r="B476" s="16" t="str">
        <f>IF(売上入力!B161="","",売上入力!B161)</f>
        <v/>
      </c>
      <c r="C476" s="16" t="str">
        <f>IF(売上入力!C161="","",売上入力!C161)</f>
        <v/>
      </c>
      <c r="D476" s="16" t="str">
        <f>IF(売上入力!D161="","",売上入力!D161)</f>
        <v/>
      </c>
      <c r="E476" s="89">
        <f>IFERROR(IF(売上入力!E161="",0,売上入力!E161*INDEX(マスター_OTA!$C$4:$C$29,MATCH(売上入力!D161,マスター_OTA!$A$4:$A$29,0))/100),0)</f>
        <v>0</v>
      </c>
      <c r="F476" s="90" t="str">
        <f>IF(売上入力!A161="","",売上入力!A161)</f>
        <v/>
      </c>
      <c r="G476" s="16" t="s">
        <v>385</v>
      </c>
    </row>
    <row r="477" spans="1:7" ht="15" customHeight="1">
      <c r="A477" s="88" t="str">
        <f>IFERROR(IF(売上入力!A161="","",IF(INDEX(マスター_OTA!$D$4:$D$29,MATCH(売上入力!D161,マスター_OTA!$A$4:$A$29,0))=0,"",DATE(YEAR(売上入力!A161),MONTH(売上入力!A161)+2,IFERROR(INDEX(マスター_OTA!$G$4:$G$29,MATCH(売上入力!D161,マスター_OTA!$A$4:$A$29,0)),25)))),"")</f>
        <v/>
      </c>
      <c r="B477" s="16" t="str">
        <f>IF(売上入力!B161="","",売上入力!B161)</f>
        <v/>
      </c>
      <c r="C477" s="16" t="str">
        <f>IF(売上入力!C161="","",売上入力!C161)</f>
        <v/>
      </c>
      <c r="D477" s="16" t="str">
        <f>IF(売上入力!D161="","",売上入力!D161)</f>
        <v/>
      </c>
      <c r="E477" s="89">
        <f>IFERROR(IF(売上入力!E161="",0,売上入力!E161*INDEX(マスター_OTA!$D$4:$D$29,MATCH(売上入力!D161,マスター_OTA!$A$4:$A$29,0))/100),0)</f>
        <v>0</v>
      </c>
      <c r="F477" s="90" t="str">
        <f>IF(売上入力!A161="","",売上入力!A161)</f>
        <v/>
      </c>
      <c r="G477" s="16" t="s">
        <v>386</v>
      </c>
    </row>
    <row r="478" spans="1:7" ht="15" customHeight="1">
      <c r="A478" s="88" t="str">
        <f>IFERROR(IF(売上入力!A162="","",IF(INDEX(マスター_OTA!$B$4:$B$29,MATCH(売上入力!D162,マスター_OTA!$A$4:$A$29,0))=0,"",DATE(YEAR(売上入力!A162),MONTH(売上入力!A162),IFERROR(INDEX(マスター_OTA!$E$4:$E$29,MATCH(売上入力!D162,マスター_OTA!$A$4:$A$29,0)),28)))),"")</f>
        <v/>
      </c>
      <c r="B478" s="16" t="str">
        <f>IF(売上入力!B162="","",売上入力!B162)</f>
        <v/>
      </c>
      <c r="C478" s="16" t="str">
        <f>IF(売上入力!C162="","",売上入力!C162)</f>
        <v/>
      </c>
      <c r="D478" s="16" t="str">
        <f>IF(売上入力!D162="","",売上入力!D162)</f>
        <v/>
      </c>
      <c r="E478" s="89">
        <f>IFERROR(IF(売上入力!E162="",0,売上入力!E162*INDEX(マスター_OTA!$B$4:$B$29,MATCH(売上入力!D162,マスター_OTA!$A$4:$A$29,0))/100),0)</f>
        <v>0</v>
      </c>
      <c r="F478" s="90" t="str">
        <f>IF(売上入力!A162="","",売上入力!A162)</f>
        <v/>
      </c>
      <c r="G478" s="16" t="s">
        <v>384</v>
      </c>
    </row>
    <row r="479" spans="1:7" ht="15" customHeight="1">
      <c r="A479" s="88" t="str">
        <f>IFERROR(IF(売上入力!A162="","",IF(INDEX(マスター_OTA!$C$4:$C$29,MATCH(売上入力!D162,マスター_OTA!$A$4:$A$29,0))=0,"",DATE(YEAR(売上入力!A162),MONTH(売上入力!A162)+1,IFERROR(INDEX(マスター_OTA!$F$4:$F$29,MATCH(売上入力!D162,マスター_OTA!$A$4:$A$29,0)),25)))),"")</f>
        <v/>
      </c>
      <c r="B479" s="16" t="str">
        <f>IF(売上入力!B162="","",売上入力!B162)</f>
        <v/>
      </c>
      <c r="C479" s="16" t="str">
        <f>IF(売上入力!C162="","",売上入力!C162)</f>
        <v/>
      </c>
      <c r="D479" s="16" t="str">
        <f>IF(売上入力!D162="","",売上入力!D162)</f>
        <v/>
      </c>
      <c r="E479" s="89">
        <f>IFERROR(IF(売上入力!E162="",0,売上入力!E162*INDEX(マスター_OTA!$C$4:$C$29,MATCH(売上入力!D162,マスター_OTA!$A$4:$A$29,0))/100),0)</f>
        <v>0</v>
      </c>
      <c r="F479" s="90" t="str">
        <f>IF(売上入力!A162="","",売上入力!A162)</f>
        <v/>
      </c>
      <c r="G479" s="16" t="s">
        <v>385</v>
      </c>
    </row>
    <row r="480" spans="1:7" ht="15" customHeight="1">
      <c r="A480" s="88" t="str">
        <f>IFERROR(IF(売上入力!A162="","",IF(INDEX(マスター_OTA!$D$4:$D$29,MATCH(売上入力!D162,マスター_OTA!$A$4:$A$29,0))=0,"",DATE(YEAR(売上入力!A162),MONTH(売上入力!A162)+2,IFERROR(INDEX(マスター_OTA!$G$4:$G$29,MATCH(売上入力!D162,マスター_OTA!$A$4:$A$29,0)),25)))),"")</f>
        <v/>
      </c>
      <c r="B480" s="16" t="str">
        <f>IF(売上入力!B162="","",売上入力!B162)</f>
        <v/>
      </c>
      <c r="C480" s="16" t="str">
        <f>IF(売上入力!C162="","",売上入力!C162)</f>
        <v/>
      </c>
      <c r="D480" s="16" t="str">
        <f>IF(売上入力!D162="","",売上入力!D162)</f>
        <v/>
      </c>
      <c r="E480" s="89">
        <f>IFERROR(IF(売上入力!E162="",0,売上入力!E162*INDEX(マスター_OTA!$D$4:$D$29,MATCH(売上入力!D162,マスター_OTA!$A$4:$A$29,0))/100),0)</f>
        <v>0</v>
      </c>
      <c r="F480" s="90" t="str">
        <f>IF(売上入力!A162="","",売上入力!A162)</f>
        <v/>
      </c>
      <c r="G480" s="16" t="s">
        <v>386</v>
      </c>
    </row>
    <row r="481" spans="1:7" ht="15" customHeight="1">
      <c r="A481" s="88" t="str">
        <f>IFERROR(IF(売上入力!A163="","",IF(INDEX(マスター_OTA!$B$4:$B$29,MATCH(売上入力!D163,マスター_OTA!$A$4:$A$29,0))=0,"",DATE(YEAR(売上入力!A163),MONTH(売上入力!A163),IFERROR(INDEX(マスター_OTA!$E$4:$E$29,MATCH(売上入力!D163,マスター_OTA!$A$4:$A$29,0)),28)))),"")</f>
        <v/>
      </c>
      <c r="B481" s="16" t="str">
        <f>IF(売上入力!B163="","",売上入力!B163)</f>
        <v/>
      </c>
      <c r="C481" s="16" t="str">
        <f>IF(売上入力!C163="","",売上入力!C163)</f>
        <v/>
      </c>
      <c r="D481" s="16" t="str">
        <f>IF(売上入力!D163="","",売上入力!D163)</f>
        <v/>
      </c>
      <c r="E481" s="89">
        <f>IFERROR(IF(売上入力!E163="",0,売上入力!E163*INDEX(マスター_OTA!$B$4:$B$29,MATCH(売上入力!D163,マスター_OTA!$A$4:$A$29,0))/100),0)</f>
        <v>0</v>
      </c>
      <c r="F481" s="90" t="str">
        <f>IF(売上入力!A163="","",売上入力!A163)</f>
        <v/>
      </c>
      <c r="G481" s="16" t="s">
        <v>384</v>
      </c>
    </row>
    <row r="482" spans="1:7" ht="15" customHeight="1">
      <c r="A482" s="88" t="str">
        <f>IFERROR(IF(売上入力!A163="","",IF(INDEX(マスター_OTA!$C$4:$C$29,MATCH(売上入力!D163,マスター_OTA!$A$4:$A$29,0))=0,"",DATE(YEAR(売上入力!A163),MONTH(売上入力!A163)+1,IFERROR(INDEX(マスター_OTA!$F$4:$F$29,MATCH(売上入力!D163,マスター_OTA!$A$4:$A$29,0)),25)))),"")</f>
        <v/>
      </c>
      <c r="B482" s="16" t="str">
        <f>IF(売上入力!B163="","",売上入力!B163)</f>
        <v/>
      </c>
      <c r="C482" s="16" t="str">
        <f>IF(売上入力!C163="","",売上入力!C163)</f>
        <v/>
      </c>
      <c r="D482" s="16" t="str">
        <f>IF(売上入力!D163="","",売上入力!D163)</f>
        <v/>
      </c>
      <c r="E482" s="89">
        <f>IFERROR(IF(売上入力!E163="",0,売上入力!E163*INDEX(マスター_OTA!$C$4:$C$29,MATCH(売上入力!D163,マスター_OTA!$A$4:$A$29,0))/100),0)</f>
        <v>0</v>
      </c>
      <c r="F482" s="90" t="str">
        <f>IF(売上入力!A163="","",売上入力!A163)</f>
        <v/>
      </c>
      <c r="G482" s="16" t="s">
        <v>385</v>
      </c>
    </row>
    <row r="483" spans="1:7" ht="15" customHeight="1">
      <c r="A483" s="88" t="str">
        <f>IFERROR(IF(売上入力!A163="","",IF(INDEX(マスター_OTA!$D$4:$D$29,MATCH(売上入力!D163,マスター_OTA!$A$4:$A$29,0))=0,"",DATE(YEAR(売上入力!A163),MONTH(売上入力!A163)+2,IFERROR(INDEX(マスター_OTA!$G$4:$G$29,MATCH(売上入力!D163,マスター_OTA!$A$4:$A$29,0)),25)))),"")</f>
        <v/>
      </c>
      <c r="B483" s="16" t="str">
        <f>IF(売上入力!B163="","",売上入力!B163)</f>
        <v/>
      </c>
      <c r="C483" s="16" t="str">
        <f>IF(売上入力!C163="","",売上入力!C163)</f>
        <v/>
      </c>
      <c r="D483" s="16" t="str">
        <f>IF(売上入力!D163="","",売上入力!D163)</f>
        <v/>
      </c>
      <c r="E483" s="89">
        <f>IFERROR(IF(売上入力!E163="",0,売上入力!E163*INDEX(マスター_OTA!$D$4:$D$29,MATCH(売上入力!D163,マスター_OTA!$A$4:$A$29,0))/100),0)</f>
        <v>0</v>
      </c>
      <c r="F483" s="90" t="str">
        <f>IF(売上入力!A163="","",売上入力!A163)</f>
        <v/>
      </c>
      <c r="G483" s="16" t="s">
        <v>386</v>
      </c>
    </row>
    <row r="484" spans="1:7" ht="15" customHeight="1">
      <c r="A484" s="88" t="str">
        <f>IFERROR(IF(売上入力!A164="","",IF(INDEX(マスター_OTA!$B$4:$B$29,MATCH(売上入力!D164,マスター_OTA!$A$4:$A$29,0))=0,"",DATE(YEAR(売上入力!A164),MONTH(売上入力!A164),IFERROR(INDEX(マスター_OTA!$E$4:$E$29,MATCH(売上入力!D164,マスター_OTA!$A$4:$A$29,0)),28)))),"")</f>
        <v/>
      </c>
      <c r="B484" s="16" t="str">
        <f>IF(売上入力!B164="","",売上入力!B164)</f>
        <v/>
      </c>
      <c r="C484" s="16" t="str">
        <f>IF(売上入力!C164="","",売上入力!C164)</f>
        <v/>
      </c>
      <c r="D484" s="16" t="str">
        <f>IF(売上入力!D164="","",売上入力!D164)</f>
        <v/>
      </c>
      <c r="E484" s="89">
        <f>IFERROR(IF(売上入力!E164="",0,売上入力!E164*INDEX(マスター_OTA!$B$4:$B$29,MATCH(売上入力!D164,マスター_OTA!$A$4:$A$29,0))/100),0)</f>
        <v>0</v>
      </c>
      <c r="F484" s="90" t="str">
        <f>IF(売上入力!A164="","",売上入力!A164)</f>
        <v/>
      </c>
      <c r="G484" s="16" t="s">
        <v>384</v>
      </c>
    </row>
    <row r="485" spans="1:7" ht="15" customHeight="1">
      <c r="A485" s="88" t="str">
        <f>IFERROR(IF(売上入力!A164="","",IF(INDEX(マスター_OTA!$C$4:$C$29,MATCH(売上入力!D164,マスター_OTA!$A$4:$A$29,0))=0,"",DATE(YEAR(売上入力!A164),MONTH(売上入力!A164)+1,IFERROR(INDEX(マスター_OTA!$F$4:$F$29,MATCH(売上入力!D164,マスター_OTA!$A$4:$A$29,0)),25)))),"")</f>
        <v/>
      </c>
      <c r="B485" s="16" t="str">
        <f>IF(売上入力!B164="","",売上入力!B164)</f>
        <v/>
      </c>
      <c r="C485" s="16" t="str">
        <f>IF(売上入力!C164="","",売上入力!C164)</f>
        <v/>
      </c>
      <c r="D485" s="16" t="str">
        <f>IF(売上入力!D164="","",売上入力!D164)</f>
        <v/>
      </c>
      <c r="E485" s="89">
        <f>IFERROR(IF(売上入力!E164="",0,売上入力!E164*INDEX(マスター_OTA!$C$4:$C$29,MATCH(売上入力!D164,マスター_OTA!$A$4:$A$29,0))/100),0)</f>
        <v>0</v>
      </c>
      <c r="F485" s="90" t="str">
        <f>IF(売上入力!A164="","",売上入力!A164)</f>
        <v/>
      </c>
      <c r="G485" s="16" t="s">
        <v>385</v>
      </c>
    </row>
    <row r="486" spans="1:7" ht="15" customHeight="1">
      <c r="A486" s="88" t="str">
        <f>IFERROR(IF(売上入力!A164="","",IF(INDEX(マスター_OTA!$D$4:$D$29,MATCH(売上入力!D164,マスター_OTA!$A$4:$A$29,0))=0,"",DATE(YEAR(売上入力!A164),MONTH(売上入力!A164)+2,IFERROR(INDEX(マスター_OTA!$G$4:$G$29,MATCH(売上入力!D164,マスター_OTA!$A$4:$A$29,0)),25)))),"")</f>
        <v/>
      </c>
      <c r="B486" s="16" t="str">
        <f>IF(売上入力!B164="","",売上入力!B164)</f>
        <v/>
      </c>
      <c r="C486" s="16" t="str">
        <f>IF(売上入力!C164="","",売上入力!C164)</f>
        <v/>
      </c>
      <c r="D486" s="16" t="str">
        <f>IF(売上入力!D164="","",売上入力!D164)</f>
        <v/>
      </c>
      <c r="E486" s="89">
        <f>IFERROR(IF(売上入力!E164="",0,売上入力!E164*INDEX(マスター_OTA!$D$4:$D$29,MATCH(売上入力!D164,マスター_OTA!$A$4:$A$29,0))/100),0)</f>
        <v>0</v>
      </c>
      <c r="F486" s="90" t="str">
        <f>IF(売上入力!A164="","",売上入力!A164)</f>
        <v/>
      </c>
      <c r="G486" s="16" t="s">
        <v>386</v>
      </c>
    </row>
    <row r="487" spans="1:7" ht="15" customHeight="1">
      <c r="A487" s="88" t="str">
        <f>IFERROR(IF(売上入力!A165="","",IF(INDEX(マスター_OTA!$B$4:$B$29,MATCH(売上入力!D165,マスター_OTA!$A$4:$A$29,0))=0,"",DATE(YEAR(売上入力!A165),MONTH(売上入力!A165),IFERROR(INDEX(マスター_OTA!$E$4:$E$29,MATCH(売上入力!D165,マスター_OTA!$A$4:$A$29,0)),28)))),"")</f>
        <v/>
      </c>
      <c r="B487" s="16" t="str">
        <f>IF(売上入力!B165="","",売上入力!B165)</f>
        <v/>
      </c>
      <c r="C487" s="16" t="str">
        <f>IF(売上入力!C165="","",売上入力!C165)</f>
        <v/>
      </c>
      <c r="D487" s="16" t="str">
        <f>IF(売上入力!D165="","",売上入力!D165)</f>
        <v/>
      </c>
      <c r="E487" s="89">
        <f>IFERROR(IF(売上入力!E165="",0,売上入力!E165*INDEX(マスター_OTA!$B$4:$B$29,MATCH(売上入力!D165,マスター_OTA!$A$4:$A$29,0))/100),0)</f>
        <v>0</v>
      </c>
      <c r="F487" s="90" t="str">
        <f>IF(売上入力!A165="","",売上入力!A165)</f>
        <v/>
      </c>
      <c r="G487" s="16" t="s">
        <v>384</v>
      </c>
    </row>
    <row r="488" spans="1:7" ht="15" customHeight="1">
      <c r="A488" s="88" t="str">
        <f>IFERROR(IF(売上入力!A165="","",IF(INDEX(マスター_OTA!$C$4:$C$29,MATCH(売上入力!D165,マスター_OTA!$A$4:$A$29,0))=0,"",DATE(YEAR(売上入力!A165),MONTH(売上入力!A165)+1,IFERROR(INDEX(マスター_OTA!$F$4:$F$29,MATCH(売上入力!D165,マスター_OTA!$A$4:$A$29,0)),25)))),"")</f>
        <v/>
      </c>
      <c r="B488" s="16" t="str">
        <f>IF(売上入力!B165="","",売上入力!B165)</f>
        <v/>
      </c>
      <c r="C488" s="16" t="str">
        <f>IF(売上入力!C165="","",売上入力!C165)</f>
        <v/>
      </c>
      <c r="D488" s="16" t="str">
        <f>IF(売上入力!D165="","",売上入力!D165)</f>
        <v/>
      </c>
      <c r="E488" s="89">
        <f>IFERROR(IF(売上入力!E165="",0,売上入力!E165*INDEX(マスター_OTA!$C$4:$C$29,MATCH(売上入力!D165,マスター_OTA!$A$4:$A$29,0))/100),0)</f>
        <v>0</v>
      </c>
      <c r="F488" s="90" t="str">
        <f>IF(売上入力!A165="","",売上入力!A165)</f>
        <v/>
      </c>
      <c r="G488" s="16" t="s">
        <v>385</v>
      </c>
    </row>
    <row r="489" spans="1:7" ht="15" customHeight="1">
      <c r="A489" s="88" t="str">
        <f>IFERROR(IF(売上入力!A165="","",IF(INDEX(マスター_OTA!$D$4:$D$29,MATCH(売上入力!D165,マスター_OTA!$A$4:$A$29,0))=0,"",DATE(YEAR(売上入力!A165),MONTH(売上入力!A165)+2,IFERROR(INDEX(マスター_OTA!$G$4:$G$29,MATCH(売上入力!D165,マスター_OTA!$A$4:$A$29,0)),25)))),"")</f>
        <v/>
      </c>
      <c r="B489" s="16" t="str">
        <f>IF(売上入力!B165="","",売上入力!B165)</f>
        <v/>
      </c>
      <c r="C489" s="16" t="str">
        <f>IF(売上入力!C165="","",売上入力!C165)</f>
        <v/>
      </c>
      <c r="D489" s="16" t="str">
        <f>IF(売上入力!D165="","",売上入力!D165)</f>
        <v/>
      </c>
      <c r="E489" s="89">
        <f>IFERROR(IF(売上入力!E165="",0,売上入力!E165*INDEX(マスター_OTA!$D$4:$D$29,MATCH(売上入力!D165,マスター_OTA!$A$4:$A$29,0))/100),0)</f>
        <v>0</v>
      </c>
      <c r="F489" s="90" t="str">
        <f>IF(売上入力!A165="","",売上入力!A165)</f>
        <v/>
      </c>
      <c r="G489" s="16" t="s">
        <v>386</v>
      </c>
    </row>
    <row r="490" spans="1:7" ht="15" customHeight="1">
      <c r="A490" s="88" t="str">
        <f>IFERROR(IF(売上入力!A166="","",IF(INDEX(マスター_OTA!$B$4:$B$29,MATCH(売上入力!D166,マスター_OTA!$A$4:$A$29,0))=0,"",DATE(YEAR(売上入力!A166),MONTH(売上入力!A166),IFERROR(INDEX(マスター_OTA!$E$4:$E$29,MATCH(売上入力!D166,マスター_OTA!$A$4:$A$29,0)),28)))),"")</f>
        <v/>
      </c>
      <c r="B490" s="16" t="str">
        <f>IF(売上入力!B166="","",売上入力!B166)</f>
        <v/>
      </c>
      <c r="C490" s="16" t="str">
        <f>IF(売上入力!C166="","",売上入力!C166)</f>
        <v/>
      </c>
      <c r="D490" s="16" t="str">
        <f>IF(売上入力!D166="","",売上入力!D166)</f>
        <v/>
      </c>
      <c r="E490" s="89">
        <f>IFERROR(IF(売上入力!E166="",0,売上入力!E166*INDEX(マスター_OTA!$B$4:$B$29,MATCH(売上入力!D166,マスター_OTA!$A$4:$A$29,0))/100),0)</f>
        <v>0</v>
      </c>
      <c r="F490" s="90" t="str">
        <f>IF(売上入力!A166="","",売上入力!A166)</f>
        <v/>
      </c>
      <c r="G490" s="16" t="s">
        <v>384</v>
      </c>
    </row>
    <row r="491" spans="1:7" ht="15" customHeight="1">
      <c r="A491" s="88" t="str">
        <f>IFERROR(IF(売上入力!A166="","",IF(INDEX(マスター_OTA!$C$4:$C$29,MATCH(売上入力!D166,マスター_OTA!$A$4:$A$29,0))=0,"",DATE(YEAR(売上入力!A166),MONTH(売上入力!A166)+1,IFERROR(INDEX(マスター_OTA!$F$4:$F$29,MATCH(売上入力!D166,マスター_OTA!$A$4:$A$29,0)),25)))),"")</f>
        <v/>
      </c>
      <c r="B491" s="16" t="str">
        <f>IF(売上入力!B166="","",売上入力!B166)</f>
        <v/>
      </c>
      <c r="C491" s="16" t="str">
        <f>IF(売上入力!C166="","",売上入力!C166)</f>
        <v/>
      </c>
      <c r="D491" s="16" t="str">
        <f>IF(売上入力!D166="","",売上入力!D166)</f>
        <v/>
      </c>
      <c r="E491" s="89">
        <f>IFERROR(IF(売上入力!E166="",0,売上入力!E166*INDEX(マスター_OTA!$C$4:$C$29,MATCH(売上入力!D166,マスター_OTA!$A$4:$A$29,0))/100),0)</f>
        <v>0</v>
      </c>
      <c r="F491" s="90" t="str">
        <f>IF(売上入力!A166="","",売上入力!A166)</f>
        <v/>
      </c>
      <c r="G491" s="16" t="s">
        <v>385</v>
      </c>
    </row>
    <row r="492" spans="1:7" ht="15" customHeight="1">
      <c r="A492" s="88" t="str">
        <f>IFERROR(IF(売上入力!A166="","",IF(INDEX(マスター_OTA!$D$4:$D$29,MATCH(売上入力!D166,マスター_OTA!$A$4:$A$29,0))=0,"",DATE(YEAR(売上入力!A166),MONTH(売上入力!A166)+2,IFERROR(INDEX(マスター_OTA!$G$4:$G$29,MATCH(売上入力!D166,マスター_OTA!$A$4:$A$29,0)),25)))),"")</f>
        <v/>
      </c>
      <c r="B492" s="16" t="str">
        <f>IF(売上入力!B166="","",売上入力!B166)</f>
        <v/>
      </c>
      <c r="C492" s="16" t="str">
        <f>IF(売上入力!C166="","",売上入力!C166)</f>
        <v/>
      </c>
      <c r="D492" s="16" t="str">
        <f>IF(売上入力!D166="","",売上入力!D166)</f>
        <v/>
      </c>
      <c r="E492" s="89">
        <f>IFERROR(IF(売上入力!E166="",0,売上入力!E166*INDEX(マスター_OTA!$D$4:$D$29,MATCH(売上入力!D166,マスター_OTA!$A$4:$A$29,0))/100),0)</f>
        <v>0</v>
      </c>
      <c r="F492" s="90" t="str">
        <f>IF(売上入力!A166="","",売上入力!A166)</f>
        <v/>
      </c>
      <c r="G492" s="16" t="s">
        <v>386</v>
      </c>
    </row>
    <row r="493" spans="1:7" ht="15" customHeight="1">
      <c r="A493" s="88" t="str">
        <f>IFERROR(IF(売上入力!A167="","",IF(INDEX(マスター_OTA!$B$4:$B$29,MATCH(売上入力!D167,マスター_OTA!$A$4:$A$29,0))=0,"",DATE(YEAR(売上入力!A167),MONTH(売上入力!A167),IFERROR(INDEX(マスター_OTA!$E$4:$E$29,MATCH(売上入力!D167,マスター_OTA!$A$4:$A$29,0)),28)))),"")</f>
        <v/>
      </c>
      <c r="B493" s="16" t="str">
        <f>IF(売上入力!B167="","",売上入力!B167)</f>
        <v/>
      </c>
      <c r="C493" s="16" t="str">
        <f>IF(売上入力!C167="","",売上入力!C167)</f>
        <v/>
      </c>
      <c r="D493" s="16" t="str">
        <f>IF(売上入力!D167="","",売上入力!D167)</f>
        <v/>
      </c>
      <c r="E493" s="89">
        <f>IFERROR(IF(売上入力!E167="",0,売上入力!E167*INDEX(マスター_OTA!$B$4:$B$29,MATCH(売上入力!D167,マスター_OTA!$A$4:$A$29,0))/100),0)</f>
        <v>0</v>
      </c>
      <c r="F493" s="90" t="str">
        <f>IF(売上入力!A167="","",売上入力!A167)</f>
        <v/>
      </c>
      <c r="G493" s="16" t="s">
        <v>384</v>
      </c>
    </row>
    <row r="494" spans="1:7" ht="15" customHeight="1">
      <c r="A494" s="88" t="str">
        <f>IFERROR(IF(売上入力!A167="","",IF(INDEX(マスター_OTA!$C$4:$C$29,MATCH(売上入力!D167,マスター_OTA!$A$4:$A$29,0))=0,"",DATE(YEAR(売上入力!A167),MONTH(売上入力!A167)+1,IFERROR(INDEX(マスター_OTA!$F$4:$F$29,MATCH(売上入力!D167,マスター_OTA!$A$4:$A$29,0)),25)))),"")</f>
        <v/>
      </c>
      <c r="B494" s="16" t="str">
        <f>IF(売上入力!B167="","",売上入力!B167)</f>
        <v/>
      </c>
      <c r="C494" s="16" t="str">
        <f>IF(売上入力!C167="","",売上入力!C167)</f>
        <v/>
      </c>
      <c r="D494" s="16" t="str">
        <f>IF(売上入力!D167="","",売上入力!D167)</f>
        <v/>
      </c>
      <c r="E494" s="89">
        <f>IFERROR(IF(売上入力!E167="",0,売上入力!E167*INDEX(マスター_OTA!$C$4:$C$29,MATCH(売上入力!D167,マスター_OTA!$A$4:$A$29,0))/100),0)</f>
        <v>0</v>
      </c>
      <c r="F494" s="90" t="str">
        <f>IF(売上入力!A167="","",売上入力!A167)</f>
        <v/>
      </c>
      <c r="G494" s="16" t="s">
        <v>385</v>
      </c>
    </row>
    <row r="495" spans="1:7" ht="15" customHeight="1">
      <c r="A495" s="88" t="str">
        <f>IFERROR(IF(売上入力!A167="","",IF(INDEX(マスター_OTA!$D$4:$D$29,MATCH(売上入力!D167,マスター_OTA!$A$4:$A$29,0))=0,"",DATE(YEAR(売上入力!A167),MONTH(売上入力!A167)+2,IFERROR(INDEX(マスター_OTA!$G$4:$G$29,MATCH(売上入力!D167,マスター_OTA!$A$4:$A$29,0)),25)))),"")</f>
        <v/>
      </c>
      <c r="B495" s="16" t="str">
        <f>IF(売上入力!B167="","",売上入力!B167)</f>
        <v/>
      </c>
      <c r="C495" s="16" t="str">
        <f>IF(売上入力!C167="","",売上入力!C167)</f>
        <v/>
      </c>
      <c r="D495" s="16" t="str">
        <f>IF(売上入力!D167="","",売上入力!D167)</f>
        <v/>
      </c>
      <c r="E495" s="89">
        <f>IFERROR(IF(売上入力!E167="",0,売上入力!E167*INDEX(マスター_OTA!$D$4:$D$29,MATCH(売上入力!D167,マスター_OTA!$A$4:$A$29,0))/100),0)</f>
        <v>0</v>
      </c>
      <c r="F495" s="90" t="str">
        <f>IF(売上入力!A167="","",売上入力!A167)</f>
        <v/>
      </c>
      <c r="G495" s="16" t="s">
        <v>386</v>
      </c>
    </row>
    <row r="496" spans="1:7" ht="15" customHeight="1">
      <c r="A496" s="88" t="str">
        <f>IFERROR(IF(売上入力!A168="","",IF(INDEX(マスター_OTA!$B$4:$B$29,MATCH(売上入力!D168,マスター_OTA!$A$4:$A$29,0))=0,"",DATE(YEAR(売上入力!A168),MONTH(売上入力!A168),IFERROR(INDEX(マスター_OTA!$E$4:$E$29,MATCH(売上入力!D168,マスター_OTA!$A$4:$A$29,0)),28)))),"")</f>
        <v/>
      </c>
      <c r="B496" s="16" t="str">
        <f>IF(売上入力!B168="","",売上入力!B168)</f>
        <v/>
      </c>
      <c r="C496" s="16" t="str">
        <f>IF(売上入力!C168="","",売上入力!C168)</f>
        <v/>
      </c>
      <c r="D496" s="16" t="str">
        <f>IF(売上入力!D168="","",売上入力!D168)</f>
        <v/>
      </c>
      <c r="E496" s="89">
        <f>IFERROR(IF(売上入力!E168="",0,売上入力!E168*INDEX(マスター_OTA!$B$4:$B$29,MATCH(売上入力!D168,マスター_OTA!$A$4:$A$29,0))/100),0)</f>
        <v>0</v>
      </c>
      <c r="F496" s="90" t="str">
        <f>IF(売上入力!A168="","",売上入力!A168)</f>
        <v/>
      </c>
      <c r="G496" s="16" t="s">
        <v>384</v>
      </c>
    </row>
    <row r="497" spans="1:7" ht="15" customHeight="1">
      <c r="A497" s="88" t="str">
        <f>IFERROR(IF(売上入力!A168="","",IF(INDEX(マスター_OTA!$C$4:$C$29,MATCH(売上入力!D168,マスター_OTA!$A$4:$A$29,0))=0,"",DATE(YEAR(売上入力!A168),MONTH(売上入力!A168)+1,IFERROR(INDEX(マスター_OTA!$F$4:$F$29,MATCH(売上入力!D168,マスター_OTA!$A$4:$A$29,0)),25)))),"")</f>
        <v/>
      </c>
      <c r="B497" s="16" t="str">
        <f>IF(売上入力!B168="","",売上入力!B168)</f>
        <v/>
      </c>
      <c r="C497" s="16" t="str">
        <f>IF(売上入力!C168="","",売上入力!C168)</f>
        <v/>
      </c>
      <c r="D497" s="16" t="str">
        <f>IF(売上入力!D168="","",売上入力!D168)</f>
        <v/>
      </c>
      <c r="E497" s="89">
        <f>IFERROR(IF(売上入力!E168="",0,売上入力!E168*INDEX(マスター_OTA!$C$4:$C$29,MATCH(売上入力!D168,マスター_OTA!$A$4:$A$29,0))/100),0)</f>
        <v>0</v>
      </c>
      <c r="F497" s="90" t="str">
        <f>IF(売上入力!A168="","",売上入力!A168)</f>
        <v/>
      </c>
      <c r="G497" s="16" t="s">
        <v>385</v>
      </c>
    </row>
    <row r="498" spans="1:7" ht="15" customHeight="1">
      <c r="A498" s="88" t="str">
        <f>IFERROR(IF(売上入力!A168="","",IF(INDEX(マスター_OTA!$D$4:$D$29,MATCH(売上入力!D168,マスター_OTA!$A$4:$A$29,0))=0,"",DATE(YEAR(売上入力!A168),MONTH(売上入力!A168)+2,IFERROR(INDEX(マスター_OTA!$G$4:$G$29,MATCH(売上入力!D168,マスター_OTA!$A$4:$A$29,0)),25)))),"")</f>
        <v/>
      </c>
      <c r="B498" s="16" t="str">
        <f>IF(売上入力!B168="","",売上入力!B168)</f>
        <v/>
      </c>
      <c r="C498" s="16" t="str">
        <f>IF(売上入力!C168="","",売上入力!C168)</f>
        <v/>
      </c>
      <c r="D498" s="16" t="str">
        <f>IF(売上入力!D168="","",売上入力!D168)</f>
        <v/>
      </c>
      <c r="E498" s="89">
        <f>IFERROR(IF(売上入力!E168="",0,売上入力!E168*INDEX(マスター_OTA!$D$4:$D$29,MATCH(売上入力!D168,マスター_OTA!$A$4:$A$29,0))/100),0)</f>
        <v>0</v>
      </c>
      <c r="F498" s="90" t="str">
        <f>IF(売上入力!A168="","",売上入力!A168)</f>
        <v/>
      </c>
      <c r="G498" s="16" t="s">
        <v>386</v>
      </c>
    </row>
    <row r="499" spans="1:7" ht="15" customHeight="1">
      <c r="A499" s="88" t="str">
        <f>IFERROR(IF(売上入力!A169="","",IF(INDEX(マスター_OTA!$B$4:$B$29,MATCH(売上入力!D169,マスター_OTA!$A$4:$A$29,0))=0,"",DATE(YEAR(売上入力!A169),MONTH(売上入力!A169),IFERROR(INDEX(マスター_OTA!$E$4:$E$29,MATCH(売上入力!D169,マスター_OTA!$A$4:$A$29,0)),28)))),"")</f>
        <v/>
      </c>
      <c r="B499" s="16" t="str">
        <f>IF(売上入力!B169="","",売上入力!B169)</f>
        <v/>
      </c>
      <c r="C499" s="16" t="str">
        <f>IF(売上入力!C169="","",売上入力!C169)</f>
        <v/>
      </c>
      <c r="D499" s="16" t="str">
        <f>IF(売上入力!D169="","",売上入力!D169)</f>
        <v/>
      </c>
      <c r="E499" s="89">
        <f>IFERROR(IF(売上入力!E169="",0,売上入力!E169*INDEX(マスター_OTA!$B$4:$B$29,MATCH(売上入力!D169,マスター_OTA!$A$4:$A$29,0))/100),0)</f>
        <v>0</v>
      </c>
      <c r="F499" s="90" t="str">
        <f>IF(売上入力!A169="","",売上入力!A169)</f>
        <v/>
      </c>
      <c r="G499" s="16" t="s">
        <v>384</v>
      </c>
    </row>
    <row r="500" spans="1:7" ht="15" customHeight="1">
      <c r="A500" s="88" t="str">
        <f>IFERROR(IF(売上入力!A169="","",IF(INDEX(マスター_OTA!$C$4:$C$29,MATCH(売上入力!D169,マスター_OTA!$A$4:$A$29,0))=0,"",DATE(YEAR(売上入力!A169),MONTH(売上入力!A169)+1,IFERROR(INDEX(マスター_OTA!$F$4:$F$29,MATCH(売上入力!D169,マスター_OTA!$A$4:$A$29,0)),25)))),"")</f>
        <v/>
      </c>
      <c r="B500" s="16" t="str">
        <f>IF(売上入力!B169="","",売上入力!B169)</f>
        <v/>
      </c>
      <c r="C500" s="16" t="str">
        <f>IF(売上入力!C169="","",売上入力!C169)</f>
        <v/>
      </c>
      <c r="D500" s="16" t="str">
        <f>IF(売上入力!D169="","",売上入力!D169)</f>
        <v/>
      </c>
      <c r="E500" s="89">
        <f>IFERROR(IF(売上入力!E169="",0,売上入力!E169*INDEX(マスター_OTA!$C$4:$C$29,MATCH(売上入力!D169,マスター_OTA!$A$4:$A$29,0))/100),0)</f>
        <v>0</v>
      </c>
      <c r="F500" s="90" t="str">
        <f>IF(売上入力!A169="","",売上入力!A169)</f>
        <v/>
      </c>
      <c r="G500" s="16" t="s">
        <v>385</v>
      </c>
    </row>
    <row r="501" spans="1:7" ht="15" customHeight="1">
      <c r="A501" s="88" t="str">
        <f>IFERROR(IF(売上入力!A169="","",IF(INDEX(マスター_OTA!$D$4:$D$29,MATCH(売上入力!D169,マスター_OTA!$A$4:$A$29,0))=0,"",DATE(YEAR(売上入力!A169),MONTH(売上入力!A169)+2,IFERROR(INDEX(マスター_OTA!$G$4:$G$29,MATCH(売上入力!D169,マスター_OTA!$A$4:$A$29,0)),25)))),"")</f>
        <v/>
      </c>
      <c r="B501" s="16" t="str">
        <f>IF(売上入力!B169="","",売上入力!B169)</f>
        <v/>
      </c>
      <c r="C501" s="16" t="str">
        <f>IF(売上入力!C169="","",売上入力!C169)</f>
        <v/>
      </c>
      <c r="D501" s="16" t="str">
        <f>IF(売上入力!D169="","",売上入力!D169)</f>
        <v/>
      </c>
      <c r="E501" s="89">
        <f>IFERROR(IF(売上入力!E169="",0,売上入力!E169*INDEX(マスター_OTA!$D$4:$D$29,MATCH(売上入力!D169,マスター_OTA!$A$4:$A$29,0))/100),0)</f>
        <v>0</v>
      </c>
      <c r="F501" s="90" t="str">
        <f>IF(売上入力!A169="","",売上入力!A169)</f>
        <v/>
      </c>
      <c r="G501" s="16" t="s">
        <v>386</v>
      </c>
    </row>
    <row r="502" spans="1:7" ht="15" customHeight="1">
      <c r="A502" s="88" t="str">
        <f>IFERROR(IF(売上入力!A170="","",IF(INDEX(マスター_OTA!$B$4:$B$29,MATCH(売上入力!D170,マスター_OTA!$A$4:$A$29,0))=0,"",DATE(YEAR(売上入力!A170),MONTH(売上入力!A170),IFERROR(INDEX(マスター_OTA!$E$4:$E$29,MATCH(売上入力!D170,マスター_OTA!$A$4:$A$29,0)),28)))),"")</f>
        <v/>
      </c>
      <c r="B502" s="16" t="str">
        <f>IF(売上入力!B170="","",売上入力!B170)</f>
        <v/>
      </c>
      <c r="C502" s="16" t="str">
        <f>IF(売上入力!C170="","",売上入力!C170)</f>
        <v/>
      </c>
      <c r="D502" s="16" t="str">
        <f>IF(売上入力!D170="","",売上入力!D170)</f>
        <v/>
      </c>
      <c r="E502" s="89">
        <f>IFERROR(IF(売上入力!E170="",0,売上入力!E170*INDEX(マスター_OTA!$B$4:$B$29,MATCH(売上入力!D170,マスター_OTA!$A$4:$A$29,0))/100),0)</f>
        <v>0</v>
      </c>
      <c r="F502" s="90" t="str">
        <f>IF(売上入力!A170="","",売上入力!A170)</f>
        <v/>
      </c>
      <c r="G502" s="16" t="s">
        <v>384</v>
      </c>
    </row>
    <row r="503" spans="1:7" ht="15" customHeight="1">
      <c r="A503" s="88" t="str">
        <f>IFERROR(IF(売上入力!A170="","",IF(INDEX(マスター_OTA!$C$4:$C$29,MATCH(売上入力!D170,マスター_OTA!$A$4:$A$29,0))=0,"",DATE(YEAR(売上入力!A170),MONTH(売上入力!A170)+1,IFERROR(INDEX(マスター_OTA!$F$4:$F$29,MATCH(売上入力!D170,マスター_OTA!$A$4:$A$29,0)),25)))),"")</f>
        <v/>
      </c>
      <c r="B503" s="16" t="str">
        <f>IF(売上入力!B170="","",売上入力!B170)</f>
        <v/>
      </c>
      <c r="C503" s="16" t="str">
        <f>IF(売上入力!C170="","",売上入力!C170)</f>
        <v/>
      </c>
      <c r="D503" s="16" t="str">
        <f>IF(売上入力!D170="","",売上入力!D170)</f>
        <v/>
      </c>
      <c r="E503" s="89">
        <f>IFERROR(IF(売上入力!E170="",0,売上入力!E170*INDEX(マスター_OTA!$C$4:$C$29,MATCH(売上入力!D170,マスター_OTA!$A$4:$A$29,0))/100),0)</f>
        <v>0</v>
      </c>
      <c r="F503" s="90" t="str">
        <f>IF(売上入力!A170="","",売上入力!A170)</f>
        <v/>
      </c>
      <c r="G503" s="16" t="s">
        <v>385</v>
      </c>
    </row>
    <row r="504" spans="1:7" ht="15" customHeight="1">
      <c r="A504" s="88" t="str">
        <f>IFERROR(IF(売上入力!A170="","",IF(INDEX(マスター_OTA!$D$4:$D$29,MATCH(売上入力!D170,マスター_OTA!$A$4:$A$29,0))=0,"",DATE(YEAR(売上入力!A170),MONTH(売上入力!A170)+2,IFERROR(INDEX(マスター_OTA!$G$4:$G$29,MATCH(売上入力!D170,マスター_OTA!$A$4:$A$29,0)),25)))),"")</f>
        <v/>
      </c>
      <c r="B504" s="16" t="str">
        <f>IF(売上入力!B170="","",売上入力!B170)</f>
        <v/>
      </c>
      <c r="C504" s="16" t="str">
        <f>IF(売上入力!C170="","",売上入力!C170)</f>
        <v/>
      </c>
      <c r="D504" s="16" t="str">
        <f>IF(売上入力!D170="","",売上入力!D170)</f>
        <v/>
      </c>
      <c r="E504" s="89">
        <f>IFERROR(IF(売上入力!E170="",0,売上入力!E170*INDEX(マスター_OTA!$D$4:$D$29,MATCH(売上入力!D170,マスター_OTA!$A$4:$A$29,0))/100),0)</f>
        <v>0</v>
      </c>
      <c r="F504" s="90" t="str">
        <f>IF(売上入力!A170="","",売上入力!A170)</f>
        <v/>
      </c>
      <c r="G504" s="16" t="s">
        <v>386</v>
      </c>
    </row>
    <row r="505" spans="1:7" ht="15" customHeight="1">
      <c r="A505" s="88" t="str">
        <f>IFERROR(IF(売上入力!A171="","",IF(INDEX(マスター_OTA!$B$4:$B$29,MATCH(売上入力!D171,マスター_OTA!$A$4:$A$29,0))=0,"",DATE(YEAR(売上入力!A171),MONTH(売上入力!A171),IFERROR(INDEX(マスター_OTA!$E$4:$E$29,MATCH(売上入力!D171,マスター_OTA!$A$4:$A$29,0)),28)))),"")</f>
        <v/>
      </c>
      <c r="B505" s="16" t="str">
        <f>IF(売上入力!B171="","",売上入力!B171)</f>
        <v/>
      </c>
      <c r="C505" s="16" t="str">
        <f>IF(売上入力!C171="","",売上入力!C171)</f>
        <v/>
      </c>
      <c r="D505" s="16" t="str">
        <f>IF(売上入力!D171="","",売上入力!D171)</f>
        <v/>
      </c>
      <c r="E505" s="89">
        <f>IFERROR(IF(売上入力!E171="",0,売上入力!E171*INDEX(マスター_OTA!$B$4:$B$29,MATCH(売上入力!D171,マスター_OTA!$A$4:$A$29,0))/100),0)</f>
        <v>0</v>
      </c>
      <c r="F505" s="90" t="str">
        <f>IF(売上入力!A171="","",売上入力!A171)</f>
        <v/>
      </c>
      <c r="G505" s="16" t="s">
        <v>384</v>
      </c>
    </row>
    <row r="506" spans="1:7" ht="15" customHeight="1">
      <c r="A506" s="88" t="str">
        <f>IFERROR(IF(売上入力!A171="","",IF(INDEX(マスター_OTA!$C$4:$C$29,MATCH(売上入力!D171,マスター_OTA!$A$4:$A$29,0))=0,"",DATE(YEAR(売上入力!A171),MONTH(売上入力!A171)+1,IFERROR(INDEX(マスター_OTA!$F$4:$F$29,MATCH(売上入力!D171,マスター_OTA!$A$4:$A$29,0)),25)))),"")</f>
        <v/>
      </c>
      <c r="B506" s="16" t="str">
        <f>IF(売上入力!B171="","",売上入力!B171)</f>
        <v/>
      </c>
      <c r="C506" s="16" t="str">
        <f>IF(売上入力!C171="","",売上入力!C171)</f>
        <v/>
      </c>
      <c r="D506" s="16" t="str">
        <f>IF(売上入力!D171="","",売上入力!D171)</f>
        <v/>
      </c>
      <c r="E506" s="89">
        <f>IFERROR(IF(売上入力!E171="",0,売上入力!E171*INDEX(マスター_OTA!$C$4:$C$29,MATCH(売上入力!D171,マスター_OTA!$A$4:$A$29,0))/100),0)</f>
        <v>0</v>
      </c>
      <c r="F506" s="90" t="str">
        <f>IF(売上入力!A171="","",売上入力!A171)</f>
        <v/>
      </c>
      <c r="G506" s="16" t="s">
        <v>385</v>
      </c>
    </row>
    <row r="507" spans="1:7" ht="15" customHeight="1">
      <c r="A507" s="88" t="str">
        <f>IFERROR(IF(売上入力!A171="","",IF(INDEX(マスター_OTA!$D$4:$D$29,MATCH(売上入力!D171,マスター_OTA!$A$4:$A$29,0))=0,"",DATE(YEAR(売上入力!A171),MONTH(売上入力!A171)+2,IFERROR(INDEX(マスター_OTA!$G$4:$G$29,MATCH(売上入力!D171,マスター_OTA!$A$4:$A$29,0)),25)))),"")</f>
        <v/>
      </c>
      <c r="B507" s="16" t="str">
        <f>IF(売上入力!B171="","",売上入力!B171)</f>
        <v/>
      </c>
      <c r="C507" s="16" t="str">
        <f>IF(売上入力!C171="","",売上入力!C171)</f>
        <v/>
      </c>
      <c r="D507" s="16" t="str">
        <f>IF(売上入力!D171="","",売上入力!D171)</f>
        <v/>
      </c>
      <c r="E507" s="89">
        <f>IFERROR(IF(売上入力!E171="",0,売上入力!E171*INDEX(マスター_OTA!$D$4:$D$29,MATCH(売上入力!D171,マスター_OTA!$A$4:$A$29,0))/100),0)</f>
        <v>0</v>
      </c>
      <c r="F507" s="90" t="str">
        <f>IF(売上入力!A171="","",売上入力!A171)</f>
        <v/>
      </c>
      <c r="G507" s="16" t="s">
        <v>386</v>
      </c>
    </row>
    <row r="508" spans="1:7" ht="15" customHeight="1">
      <c r="A508" s="88" t="str">
        <f>IFERROR(IF(売上入力!A172="","",IF(INDEX(マスター_OTA!$B$4:$B$29,MATCH(売上入力!D172,マスター_OTA!$A$4:$A$29,0))=0,"",DATE(YEAR(売上入力!A172),MONTH(売上入力!A172),IFERROR(INDEX(マスター_OTA!$E$4:$E$29,MATCH(売上入力!D172,マスター_OTA!$A$4:$A$29,0)),28)))),"")</f>
        <v/>
      </c>
      <c r="B508" s="16" t="str">
        <f>IF(売上入力!B172="","",売上入力!B172)</f>
        <v/>
      </c>
      <c r="C508" s="16" t="str">
        <f>IF(売上入力!C172="","",売上入力!C172)</f>
        <v/>
      </c>
      <c r="D508" s="16" t="str">
        <f>IF(売上入力!D172="","",売上入力!D172)</f>
        <v/>
      </c>
      <c r="E508" s="89">
        <f>IFERROR(IF(売上入力!E172="",0,売上入力!E172*INDEX(マスター_OTA!$B$4:$B$29,MATCH(売上入力!D172,マスター_OTA!$A$4:$A$29,0))/100),0)</f>
        <v>0</v>
      </c>
      <c r="F508" s="90" t="str">
        <f>IF(売上入力!A172="","",売上入力!A172)</f>
        <v/>
      </c>
      <c r="G508" s="16" t="s">
        <v>384</v>
      </c>
    </row>
    <row r="509" spans="1:7" ht="15" customHeight="1">
      <c r="A509" s="88" t="str">
        <f>IFERROR(IF(売上入力!A172="","",IF(INDEX(マスター_OTA!$C$4:$C$29,MATCH(売上入力!D172,マスター_OTA!$A$4:$A$29,0))=0,"",DATE(YEAR(売上入力!A172),MONTH(売上入力!A172)+1,IFERROR(INDEX(マスター_OTA!$F$4:$F$29,MATCH(売上入力!D172,マスター_OTA!$A$4:$A$29,0)),25)))),"")</f>
        <v/>
      </c>
      <c r="B509" s="16" t="str">
        <f>IF(売上入力!B172="","",売上入力!B172)</f>
        <v/>
      </c>
      <c r="C509" s="16" t="str">
        <f>IF(売上入力!C172="","",売上入力!C172)</f>
        <v/>
      </c>
      <c r="D509" s="16" t="str">
        <f>IF(売上入力!D172="","",売上入力!D172)</f>
        <v/>
      </c>
      <c r="E509" s="89">
        <f>IFERROR(IF(売上入力!E172="",0,売上入力!E172*INDEX(マスター_OTA!$C$4:$C$29,MATCH(売上入力!D172,マスター_OTA!$A$4:$A$29,0))/100),0)</f>
        <v>0</v>
      </c>
      <c r="F509" s="90" t="str">
        <f>IF(売上入力!A172="","",売上入力!A172)</f>
        <v/>
      </c>
      <c r="G509" s="16" t="s">
        <v>385</v>
      </c>
    </row>
    <row r="510" spans="1:7" ht="15" customHeight="1">
      <c r="A510" s="88" t="str">
        <f>IFERROR(IF(売上入力!A172="","",IF(INDEX(マスター_OTA!$D$4:$D$29,MATCH(売上入力!D172,マスター_OTA!$A$4:$A$29,0))=0,"",DATE(YEAR(売上入力!A172),MONTH(売上入力!A172)+2,IFERROR(INDEX(マスター_OTA!$G$4:$G$29,MATCH(売上入力!D172,マスター_OTA!$A$4:$A$29,0)),25)))),"")</f>
        <v/>
      </c>
      <c r="B510" s="16" t="str">
        <f>IF(売上入力!B172="","",売上入力!B172)</f>
        <v/>
      </c>
      <c r="C510" s="16" t="str">
        <f>IF(売上入力!C172="","",売上入力!C172)</f>
        <v/>
      </c>
      <c r="D510" s="16" t="str">
        <f>IF(売上入力!D172="","",売上入力!D172)</f>
        <v/>
      </c>
      <c r="E510" s="89">
        <f>IFERROR(IF(売上入力!E172="",0,売上入力!E172*INDEX(マスター_OTA!$D$4:$D$29,MATCH(売上入力!D172,マスター_OTA!$A$4:$A$29,0))/100),0)</f>
        <v>0</v>
      </c>
      <c r="F510" s="90" t="str">
        <f>IF(売上入力!A172="","",売上入力!A172)</f>
        <v/>
      </c>
      <c r="G510" s="16" t="s">
        <v>386</v>
      </c>
    </row>
    <row r="511" spans="1:7" ht="15" customHeight="1">
      <c r="A511" s="88" t="str">
        <f>IFERROR(IF(売上入力!A173="","",IF(INDEX(マスター_OTA!$B$4:$B$29,MATCH(売上入力!D173,マスター_OTA!$A$4:$A$29,0))=0,"",DATE(YEAR(売上入力!A173),MONTH(売上入力!A173),IFERROR(INDEX(マスター_OTA!$E$4:$E$29,MATCH(売上入力!D173,マスター_OTA!$A$4:$A$29,0)),28)))),"")</f>
        <v/>
      </c>
      <c r="B511" s="16" t="str">
        <f>IF(売上入力!B173="","",売上入力!B173)</f>
        <v/>
      </c>
      <c r="C511" s="16" t="str">
        <f>IF(売上入力!C173="","",売上入力!C173)</f>
        <v/>
      </c>
      <c r="D511" s="16" t="str">
        <f>IF(売上入力!D173="","",売上入力!D173)</f>
        <v/>
      </c>
      <c r="E511" s="89">
        <f>IFERROR(IF(売上入力!E173="",0,売上入力!E173*INDEX(マスター_OTA!$B$4:$B$29,MATCH(売上入力!D173,マスター_OTA!$A$4:$A$29,0))/100),0)</f>
        <v>0</v>
      </c>
      <c r="F511" s="90" t="str">
        <f>IF(売上入力!A173="","",売上入力!A173)</f>
        <v/>
      </c>
      <c r="G511" s="16" t="s">
        <v>384</v>
      </c>
    </row>
    <row r="512" spans="1:7" ht="15" customHeight="1">
      <c r="A512" s="88" t="str">
        <f>IFERROR(IF(売上入力!A173="","",IF(INDEX(マスター_OTA!$C$4:$C$29,MATCH(売上入力!D173,マスター_OTA!$A$4:$A$29,0))=0,"",DATE(YEAR(売上入力!A173),MONTH(売上入力!A173)+1,IFERROR(INDEX(マスター_OTA!$F$4:$F$29,MATCH(売上入力!D173,マスター_OTA!$A$4:$A$29,0)),25)))),"")</f>
        <v/>
      </c>
      <c r="B512" s="16" t="str">
        <f>IF(売上入力!B173="","",売上入力!B173)</f>
        <v/>
      </c>
      <c r="C512" s="16" t="str">
        <f>IF(売上入力!C173="","",売上入力!C173)</f>
        <v/>
      </c>
      <c r="D512" s="16" t="str">
        <f>IF(売上入力!D173="","",売上入力!D173)</f>
        <v/>
      </c>
      <c r="E512" s="89">
        <f>IFERROR(IF(売上入力!E173="",0,売上入力!E173*INDEX(マスター_OTA!$C$4:$C$29,MATCH(売上入力!D173,マスター_OTA!$A$4:$A$29,0))/100),0)</f>
        <v>0</v>
      </c>
      <c r="F512" s="90" t="str">
        <f>IF(売上入力!A173="","",売上入力!A173)</f>
        <v/>
      </c>
      <c r="G512" s="16" t="s">
        <v>385</v>
      </c>
    </row>
    <row r="513" spans="1:7" ht="15" customHeight="1">
      <c r="A513" s="88" t="str">
        <f>IFERROR(IF(売上入力!A173="","",IF(INDEX(マスター_OTA!$D$4:$D$29,MATCH(売上入力!D173,マスター_OTA!$A$4:$A$29,0))=0,"",DATE(YEAR(売上入力!A173),MONTH(売上入力!A173)+2,IFERROR(INDEX(マスター_OTA!$G$4:$G$29,MATCH(売上入力!D173,マスター_OTA!$A$4:$A$29,0)),25)))),"")</f>
        <v/>
      </c>
      <c r="B513" s="16" t="str">
        <f>IF(売上入力!B173="","",売上入力!B173)</f>
        <v/>
      </c>
      <c r="C513" s="16" t="str">
        <f>IF(売上入力!C173="","",売上入力!C173)</f>
        <v/>
      </c>
      <c r="D513" s="16" t="str">
        <f>IF(売上入力!D173="","",売上入力!D173)</f>
        <v/>
      </c>
      <c r="E513" s="89">
        <f>IFERROR(IF(売上入力!E173="",0,売上入力!E173*INDEX(マスター_OTA!$D$4:$D$29,MATCH(売上入力!D173,マスター_OTA!$A$4:$A$29,0))/100),0)</f>
        <v>0</v>
      </c>
      <c r="F513" s="90" t="str">
        <f>IF(売上入力!A173="","",売上入力!A173)</f>
        <v/>
      </c>
      <c r="G513" s="16" t="s">
        <v>386</v>
      </c>
    </row>
    <row r="514" spans="1:7" ht="15" customHeight="1">
      <c r="A514" s="88" t="str">
        <f>IFERROR(IF(売上入力!A174="","",IF(INDEX(マスター_OTA!$B$4:$B$29,MATCH(売上入力!D174,マスター_OTA!$A$4:$A$29,0))=0,"",DATE(YEAR(売上入力!A174),MONTH(売上入力!A174),IFERROR(INDEX(マスター_OTA!$E$4:$E$29,MATCH(売上入力!D174,マスター_OTA!$A$4:$A$29,0)),28)))),"")</f>
        <v/>
      </c>
      <c r="B514" s="16" t="str">
        <f>IF(売上入力!B174="","",売上入力!B174)</f>
        <v/>
      </c>
      <c r="C514" s="16" t="str">
        <f>IF(売上入力!C174="","",売上入力!C174)</f>
        <v/>
      </c>
      <c r="D514" s="16" t="str">
        <f>IF(売上入力!D174="","",売上入力!D174)</f>
        <v/>
      </c>
      <c r="E514" s="89">
        <f>IFERROR(IF(売上入力!E174="",0,売上入力!E174*INDEX(マスター_OTA!$B$4:$B$29,MATCH(売上入力!D174,マスター_OTA!$A$4:$A$29,0))/100),0)</f>
        <v>0</v>
      </c>
      <c r="F514" s="90" t="str">
        <f>IF(売上入力!A174="","",売上入力!A174)</f>
        <v/>
      </c>
      <c r="G514" s="16" t="s">
        <v>384</v>
      </c>
    </row>
    <row r="515" spans="1:7" ht="15" customHeight="1">
      <c r="A515" s="88" t="str">
        <f>IFERROR(IF(売上入力!A174="","",IF(INDEX(マスター_OTA!$C$4:$C$29,MATCH(売上入力!D174,マスター_OTA!$A$4:$A$29,0))=0,"",DATE(YEAR(売上入力!A174),MONTH(売上入力!A174)+1,IFERROR(INDEX(マスター_OTA!$F$4:$F$29,MATCH(売上入力!D174,マスター_OTA!$A$4:$A$29,0)),25)))),"")</f>
        <v/>
      </c>
      <c r="B515" s="16" t="str">
        <f>IF(売上入力!B174="","",売上入力!B174)</f>
        <v/>
      </c>
      <c r="C515" s="16" t="str">
        <f>IF(売上入力!C174="","",売上入力!C174)</f>
        <v/>
      </c>
      <c r="D515" s="16" t="str">
        <f>IF(売上入力!D174="","",売上入力!D174)</f>
        <v/>
      </c>
      <c r="E515" s="89">
        <f>IFERROR(IF(売上入力!E174="",0,売上入力!E174*INDEX(マスター_OTA!$C$4:$C$29,MATCH(売上入力!D174,マスター_OTA!$A$4:$A$29,0))/100),0)</f>
        <v>0</v>
      </c>
      <c r="F515" s="90" t="str">
        <f>IF(売上入力!A174="","",売上入力!A174)</f>
        <v/>
      </c>
      <c r="G515" s="16" t="s">
        <v>385</v>
      </c>
    </row>
    <row r="516" spans="1:7" ht="15" customHeight="1">
      <c r="A516" s="88" t="str">
        <f>IFERROR(IF(売上入力!A174="","",IF(INDEX(マスター_OTA!$D$4:$D$29,MATCH(売上入力!D174,マスター_OTA!$A$4:$A$29,0))=0,"",DATE(YEAR(売上入力!A174),MONTH(売上入力!A174)+2,IFERROR(INDEX(マスター_OTA!$G$4:$G$29,MATCH(売上入力!D174,マスター_OTA!$A$4:$A$29,0)),25)))),"")</f>
        <v/>
      </c>
      <c r="B516" s="16" t="str">
        <f>IF(売上入力!B174="","",売上入力!B174)</f>
        <v/>
      </c>
      <c r="C516" s="16" t="str">
        <f>IF(売上入力!C174="","",売上入力!C174)</f>
        <v/>
      </c>
      <c r="D516" s="16" t="str">
        <f>IF(売上入力!D174="","",売上入力!D174)</f>
        <v/>
      </c>
      <c r="E516" s="89">
        <f>IFERROR(IF(売上入力!E174="",0,売上入力!E174*INDEX(マスター_OTA!$D$4:$D$29,MATCH(売上入力!D174,マスター_OTA!$A$4:$A$29,0))/100),0)</f>
        <v>0</v>
      </c>
      <c r="F516" s="90" t="str">
        <f>IF(売上入力!A174="","",売上入力!A174)</f>
        <v/>
      </c>
      <c r="G516" s="16" t="s">
        <v>386</v>
      </c>
    </row>
    <row r="517" spans="1:7" ht="15" customHeight="1">
      <c r="A517" s="88" t="str">
        <f>IFERROR(IF(売上入力!A175="","",IF(INDEX(マスター_OTA!$B$4:$B$29,MATCH(売上入力!D175,マスター_OTA!$A$4:$A$29,0))=0,"",DATE(YEAR(売上入力!A175),MONTH(売上入力!A175),IFERROR(INDEX(マスター_OTA!$E$4:$E$29,MATCH(売上入力!D175,マスター_OTA!$A$4:$A$29,0)),28)))),"")</f>
        <v/>
      </c>
      <c r="B517" s="16" t="str">
        <f>IF(売上入力!B175="","",売上入力!B175)</f>
        <v/>
      </c>
      <c r="C517" s="16" t="str">
        <f>IF(売上入力!C175="","",売上入力!C175)</f>
        <v/>
      </c>
      <c r="D517" s="16" t="str">
        <f>IF(売上入力!D175="","",売上入力!D175)</f>
        <v/>
      </c>
      <c r="E517" s="89">
        <f>IFERROR(IF(売上入力!E175="",0,売上入力!E175*INDEX(マスター_OTA!$B$4:$B$29,MATCH(売上入力!D175,マスター_OTA!$A$4:$A$29,0))/100),0)</f>
        <v>0</v>
      </c>
      <c r="F517" s="90" t="str">
        <f>IF(売上入力!A175="","",売上入力!A175)</f>
        <v/>
      </c>
      <c r="G517" s="16" t="s">
        <v>384</v>
      </c>
    </row>
    <row r="518" spans="1:7" ht="15" customHeight="1">
      <c r="A518" s="88" t="str">
        <f>IFERROR(IF(売上入力!A175="","",IF(INDEX(マスター_OTA!$C$4:$C$29,MATCH(売上入力!D175,マスター_OTA!$A$4:$A$29,0))=0,"",DATE(YEAR(売上入力!A175),MONTH(売上入力!A175)+1,IFERROR(INDEX(マスター_OTA!$F$4:$F$29,MATCH(売上入力!D175,マスター_OTA!$A$4:$A$29,0)),25)))),"")</f>
        <v/>
      </c>
      <c r="B518" s="16" t="str">
        <f>IF(売上入力!B175="","",売上入力!B175)</f>
        <v/>
      </c>
      <c r="C518" s="16" t="str">
        <f>IF(売上入力!C175="","",売上入力!C175)</f>
        <v/>
      </c>
      <c r="D518" s="16" t="str">
        <f>IF(売上入力!D175="","",売上入力!D175)</f>
        <v/>
      </c>
      <c r="E518" s="89">
        <f>IFERROR(IF(売上入力!E175="",0,売上入力!E175*INDEX(マスター_OTA!$C$4:$C$29,MATCH(売上入力!D175,マスター_OTA!$A$4:$A$29,0))/100),0)</f>
        <v>0</v>
      </c>
      <c r="F518" s="90" t="str">
        <f>IF(売上入力!A175="","",売上入力!A175)</f>
        <v/>
      </c>
      <c r="G518" s="16" t="s">
        <v>385</v>
      </c>
    </row>
    <row r="519" spans="1:7" ht="15" customHeight="1">
      <c r="A519" s="88" t="str">
        <f>IFERROR(IF(売上入力!A175="","",IF(INDEX(マスター_OTA!$D$4:$D$29,MATCH(売上入力!D175,マスター_OTA!$A$4:$A$29,0))=0,"",DATE(YEAR(売上入力!A175),MONTH(売上入力!A175)+2,IFERROR(INDEX(マスター_OTA!$G$4:$G$29,MATCH(売上入力!D175,マスター_OTA!$A$4:$A$29,0)),25)))),"")</f>
        <v/>
      </c>
      <c r="B519" s="16" t="str">
        <f>IF(売上入力!B175="","",売上入力!B175)</f>
        <v/>
      </c>
      <c r="C519" s="16" t="str">
        <f>IF(売上入力!C175="","",売上入力!C175)</f>
        <v/>
      </c>
      <c r="D519" s="16" t="str">
        <f>IF(売上入力!D175="","",売上入力!D175)</f>
        <v/>
      </c>
      <c r="E519" s="89">
        <f>IFERROR(IF(売上入力!E175="",0,売上入力!E175*INDEX(マスター_OTA!$D$4:$D$29,MATCH(売上入力!D175,マスター_OTA!$A$4:$A$29,0))/100),0)</f>
        <v>0</v>
      </c>
      <c r="F519" s="90" t="str">
        <f>IF(売上入力!A175="","",売上入力!A175)</f>
        <v/>
      </c>
      <c r="G519" s="16" t="s">
        <v>386</v>
      </c>
    </row>
    <row r="520" spans="1:7" ht="15" customHeight="1">
      <c r="A520" s="88" t="str">
        <f>IFERROR(IF(売上入力!A176="","",IF(INDEX(マスター_OTA!$B$4:$B$29,MATCH(売上入力!D176,マスター_OTA!$A$4:$A$29,0))=0,"",DATE(YEAR(売上入力!A176),MONTH(売上入力!A176),IFERROR(INDEX(マスター_OTA!$E$4:$E$29,MATCH(売上入力!D176,マスター_OTA!$A$4:$A$29,0)),28)))),"")</f>
        <v/>
      </c>
      <c r="B520" s="16" t="str">
        <f>IF(売上入力!B176="","",売上入力!B176)</f>
        <v/>
      </c>
      <c r="C520" s="16" t="str">
        <f>IF(売上入力!C176="","",売上入力!C176)</f>
        <v/>
      </c>
      <c r="D520" s="16" t="str">
        <f>IF(売上入力!D176="","",売上入力!D176)</f>
        <v/>
      </c>
      <c r="E520" s="89">
        <f>IFERROR(IF(売上入力!E176="",0,売上入力!E176*INDEX(マスター_OTA!$B$4:$B$29,MATCH(売上入力!D176,マスター_OTA!$A$4:$A$29,0))/100),0)</f>
        <v>0</v>
      </c>
      <c r="F520" s="90" t="str">
        <f>IF(売上入力!A176="","",売上入力!A176)</f>
        <v/>
      </c>
      <c r="G520" s="16" t="s">
        <v>384</v>
      </c>
    </row>
    <row r="521" spans="1:7" ht="15" customHeight="1">
      <c r="A521" s="88" t="str">
        <f>IFERROR(IF(売上入力!A176="","",IF(INDEX(マスター_OTA!$C$4:$C$29,MATCH(売上入力!D176,マスター_OTA!$A$4:$A$29,0))=0,"",DATE(YEAR(売上入力!A176),MONTH(売上入力!A176)+1,IFERROR(INDEX(マスター_OTA!$F$4:$F$29,MATCH(売上入力!D176,マスター_OTA!$A$4:$A$29,0)),25)))),"")</f>
        <v/>
      </c>
      <c r="B521" s="16" t="str">
        <f>IF(売上入力!B176="","",売上入力!B176)</f>
        <v/>
      </c>
      <c r="C521" s="16" t="str">
        <f>IF(売上入力!C176="","",売上入力!C176)</f>
        <v/>
      </c>
      <c r="D521" s="16" t="str">
        <f>IF(売上入力!D176="","",売上入力!D176)</f>
        <v/>
      </c>
      <c r="E521" s="89">
        <f>IFERROR(IF(売上入力!E176="",0,売上入力!E176*INDEX(マスター_OTA!$C$4:$C$29,MATCH(売上入力!D176,マスター_OTA!$A$4:$A$29,0))/100),0)</f>
        <v>0</v>
      </c>
      <c r="F521" s="90" t="str">
        <f>IF(売上入力!A176="","",売上入力!A176)</f>
        <v/>
      </c>
      <c r="G521" s="16" t="s">
        <v>385</v>
      </c>
    </row>
    <row r="522" spans="1:7" ht="15" customHeight="1">
      <c r="A522" s="88" t="str">
        <f>IFERROR(IF(売上入力!A176="","",IF(INDEX(マスター_OTA!$D$4:$D$29,MATCH(売上入力!D176,マスター_OTA!$A$4:$A$29,0))=0,"",DATE(YEAR(売上入力!A176),MONTH(売上入力!A176)+2,IFERROR(INDEX(マスター_OTA!$G$4:$G$29,MATCH(売上入力!D176,マスター_OTA!$A$4:$A$29,0)),25)))),"")</f>
        <v/>
      </c>
      <c r="B522" s="16" t="str">
        <f>IF(売上入力!B176="","",売上入力!B176)</f>
        <v/>
      </c>
      <c r="C522" s="16" t="str">
        <f>IF(売上入力!C176="","",売上入力!C176)</f>
        <v/>
      </c>
      <c r="D522" s="16" t="str">
        <f>IF(売上入力!D176="","",売上入力!D176)</f>
        <v/>
      </c>
      <c r="E522" s="89">
        <f>IFERROR(IF(売上入力!E176="",0,売上入力!E176*INDEX(マスター_OTA!$D$4:$D$29,MATCH(売上入力!D176,マスター_OTA!$A$4:$A$29,0))/100),0)</f>
        <v>0</v>
      </c>
      <c r="F522" s="90" t="str">
        <f>IF(売上入力!A176="","",売上入力!A176)</f>
        <v/>
      </c>
      <c r="G522" s="16" t="s">
        <v>386</v>
      </c>
    </row>
    <row r="523" spans="1:7" ht="15" customHeight="1">
      <c r="A523" s="88" t="str">
        <f>IFERROR(IF(売上入力!A177="","",IF(INDEX(マスター_OTA!$B$4:$B$29,MATCH(売上入力!D177,マスター_OTA!$A$4:$A$29,0))=0,"",DATE(YEAR(売上入力!A177),MONTH(売上入力!A177),IFERROR(INDEX(マスター_OTA!$E$4:$E$29,MATCH(売上入力!D177,マスター_OTA!$A$4:$A$29,0)),28)))),"")</f>
        <v/>
      </c>
      <c r="B523" s="16" t="str">
        <f>IF(売上入力!B177="","",売上入力!B177)</f>
        <v/>
      </c>
      <c r="C523" s="16" t="str">
        <f>IF(売上入力!C177="","",売上入力!C177)</f>
        <v/>
      </c>
      <c r="D523" s="16" t="str">
        <f>IF(売上入力!D177="","",売上入力!D177)</f>
        <v/>
      </c>
      <c r="E523" s="89">
        <f>IFERROR(IF(売上入力!E177="",0,売上入力!E177*INDEX(マスター_OTA!$B$4:$B$29,MATCH(売上入力!D177,マスター_OTA!$A$4:$A$29,0))/100),0)</f>
        <v>0</v>
      </c>
      <c r="F523" s="90" t="str">
        <f>IF(売上入力!A177="","",売上入力!A177)</f>
        <v/>
      </c>
      <c r="G523" s="16" t="s">
        <v>384</v>
      </c>
    </row>
    <row r="524" spans="1:7" ht="15" customHeight="1">
      <c r="A524" s="88" t="str">
        <f>IFERROR(IF(売上入力!A177="","",IF(INDEX(マスター_OTA!$C$4:$C$29,MATCH(売上入力!D177,マスター_OTA!$A$4:$A$29,0))=0,"",DATE(YEAR(売上入力!A177),MONTH(売上入力!A177)+1,IFERROR(INDEX(マスター_OTA!$F$4:$F$29,MATCH(売上入力!D177,マスター_OTA!$A$4:$A$29,0)),25)))),"")</f>
        <v/>
      </c>
      <c r="B524" s="16" t="str">
        <f>IF(売上入力!B177="","",売上入力!B177)</f>
        <v/>
      </c>
      <c r="C524" s="16" t="str">
        <f>IF(売上入力!C177="","",売上入力!C177)</f>
        <v/>
      </c>
      <c r="D524" s="16" t="str">
        <f>IF(売上入力!D177="","",売上入力!D177)</f>
        <v/>
      </c>
      <c r="E524" s="89">
        <f>IFERROR(IF(売上入力!E177="",0,売上入力!E177*INDEX(マスター_OTA!$C$4:$C$29,MATCH(売上入力!D177,マスター_OTA!$A$4:$A$29,0))/100),0)</f>
        <v>0</v>
      </c>
      <c r="F524" s="90" t="str">
        <f>IF(売上入力!A177="","",売上入力!A177)</f>
        <v/>
      </c>
      <c r="G524" s="16" t="s">
        <v>385</v>
      </c>
    </row>
    <row r="525" spans="1:7" ht="15" customHeight="1">
      <c r="A525" s="88" t="str">
        <f>IFERROR(IF(売上入力!A177="","",IF(INDEX(マスター_OTA!$D$4:$D$29,MATCH(売上入力!D177,マスター_OTA!$A$4:$A$29,0))=0,"",DATE(YEAR(売上入力!A177),MONTH(売上入力!A177)+2,IFERROR(INDEX(マスター_OTA!$G$4:$G$29,MATCH(売上入力!D177,マスター_OTA!$A$4:$A$29,0)),25)))),"")</f>
        <v/>
      </c>
      <c r="B525" s="16" t="str">
        <f>IF(売上入力!B177="","",売上入力!B177)</f>
        <v/>
      </c>
      <c r="C525" s="16" t="str">
        <f>IF(売上入力!C177="","",売上入力!C177)</f>
        <v/>
      </c>
      <c r="D525" s="16" t="str">
        <f>IF(売上入力!D177="","",売上入力!D177)</f>
        <v/>
      </c>
      <c r="E525" s="89">
        <f>IFERROR(IF(売上入力!E177="",0,売上入力!E177*INDEX(マスター_OTA!$D$4:$D$29,MATCH(売上入力!D177,マスター_OTA!$A$4:$A$29,0))/100),0)</f>
        <v>0</v>
      </c>
      <c r="F525" s="90" t="str">
        <f>IF(売上入力!A177="","",売上入力!A177)</f>
        <v/>
      </c>
      <c r="G525" s="16" t="s">
        <v>386</v>
      </c>
    </row>
    <row r="526" spans="1:7" ht="15" customHeight="1">
      <c r="A526" s="88" t="str">
        <f>IFERROR(IF(売上入力!A178="","",IF(INDEX(マスター_OTA!$B$4:$B$29,MATCH(売上入力!D178,マスター_OTA!$A$4:$A$29,0))=0,"",DATE(YEAR(売上入力!A178),MONTH(売上入力!A178),IFERROR(INDEX(マスター_OTA!$E$4:$E$29,MATCH(売上入力!D178,マスター_OTA!$A$4:$A$29,0)),28)))),"")</f>
        <v/>
      </c>
      <c r="B526" s="16" t="str">
        <f>IF(売上入力!B178="","",売上入力!B178)</f>
        <v/>
      </c>
      <c r="C526" s="16" t="str">
        <f>IF(売上入力!C178="","",売上入力!C178)</f>
        <v/>
      </c>
      <c r="D526" s="16" t="str">
        <f>IF(売上入力!D178="","",売上入力!D178)</f>
        <v/>
      </c>
      <c r="E526" s="89">
        <f>IFERROR(IF(売上入力!E178="",0,売上入力!E178*INDEX(マスター_OTA!$B$4:$B$29,MATCH(売上入力!D178,マスター_OTA!$A$4:$A$29,0))/100),0)</f>
        <v>0</v>
      </c>
      <c r="F526" s="90" t="str">
        <f>IF(売上入力!A178="","",売上入力!A178)</f>
        <v/>
      </c>
      <c r="G526" s="16" t="s">
        <v>384</v>
      </c>
    </row>
    <row r="527" spans="1:7" ht="15" customHeight="1">
      <c r="A527" s="88" t="str">
        <f>IFERROR(IF(売上入力!A178="","",IF(INDEX(マスター_OTA!$C$4:$C$29,MATCH(売上入力!D178,マスター_OTA!$A$4:$A$29,0))=0,"",DATE(YEAR(売上入力!A178),MONTH(売上入力!A178)+1,IFERROR(INDEX(マスター_OTA!$F$4:$F$29,MATCH(売上入力!D178,マスター_OTA!$A$4:$A$29,0)),25)))),"")</f>
        <v/>
      </c>
      <c r="B527" s="16" t="str">
        <f>IF(売上入力!B178="","",売上入力!B178)</f>
        <v/>
      </c>
      <c r="C527" s="16" t="str">
        <f>IF(売上入力!C178="","",売上入力!C178)</f>
        <v/>
      </c>
      <c r="D527" s="16" t="str">
        <f>IF(売上入力!D178="","",売上入力!D178)</f>
        <v/>
      </c>
      <c r="E527" s="89">
        <f>IFERROR(IF(売上入力!E178="",0,売上入力!E178*INDEX(マスター_OTA!$C$4:$C$29,MATCH(売上入力!D178,マスター_OTA!$A$4:$A$29,0))/100),0)</f>
        <v>0</v>
      </c>
      <c r="F527" s="90" t="str">
        <f>IF(売上入力!A178="","",売上入力!A178)</f>
        <v/>
      </c>
      <c r="G527" s="16" t="s">
        <v>385</v>
      </c>
    </row>
    <row r="528" spans="1:7" ht="15" customHeight="1">
      <c r="A528" s="88" t="str">
        <f>IFERROR(IF(売上入力!A178="","",IF(INDEX(マスター_OTA!$D$4:$D$29,MATCH(売上入力!D178,マスター_OTA!$A$4:$A$29,0))=0,"",DATE(YEAR(売上入力!A178),MONTH(売上入力!A178)+2,IFERROR(INDEX(マスター_OTA!$G$4:$G$29,MATCH(売上入力!D178,マスター_OTA!$A$4:$A$29,0)),25)))),"")</f>
        <v/>
      </c>
      <c r="B528" s="16" t="str">
        <f>IF(売上入力!B178="","",売上入力!B178)</f>
        <v/>
      </c>
      <c r="C528" s="16" t="str">
        <f>IF(売上入力!C178="","",売上入力!C178)</f>
        <v/>
      </c>
      <c r="D528" s="16" t="str">
        <f>IF(売上入力!D178="","",売上入力!D178)</f>
        <v/>
      </c>
      <c r="E528" s="89">
        <f>IFERROR(IF(売上入力!E178="",0,売上入力!E178*INDEX(マスター_OTA!$D$4:$D$29,MATCH(売上入力!D178,マスター_OTA!$A$4:$A$29,0))/100),0)</f>
        <v>0</v>
      </c>
      <c r="F528" s="90" t="str">
        <f>IF(売上入力!A178="","",売上入力!A178)</f>
        <v/>
      </c>
      <c r="G528" s="16" t="s">
        <v>386</v>
      </c>
    </row>
    <row r="529" spans="1:7" ht="15" customHeight="1">
      <c r="A529" s="88" t="str">
        <f>IFERROR(IF(売上入力!A179="","",IF(INDEX(マスター_OTA!$B$4:$B$29,MATCH(売上入力!D179,マスター_OTA!$A$4:$A$29,0))=0,"",DATE(YEAR(売上入力!A179),MONTH(売上入力!A179),IFERROR(INDEX(マスター_OTA!$E$4:$E$29,MATCH(売上入力!D179,マスター_OTA!$A$4:$A$29,0)),28)))),"")</f>
        <v/>
      </c>
      <c r="B529" s="16" t="str">
        <f>IF(売上入力!B179="","",売上入力!B179)</f>
        <v/>
      </c>
      <c r="C529" s="16" t="str">
        <f>IF(売上入力!C179="","",売上入力!C179)</f>
        <v/>
      </c>
      <c r="D529" s="16" t="str">
        <f>IF(売上入力!D179="","",売上入力!D179)</f>
        <v/>
      </c>
      <c r="E529" s="89">
        <f>IFERROR(IF(売上入力!E179="",0,売上入力!E179*INDEX(マスター_OTA!$B$4:$B$29,MATCH(売上入力!D179,マスター_OTA!$A$4:$A$29,0))/100),0)</f>
        <v>0</v>
      </c>
      <c r="F529" s="90" t="str">
        <f>IF(売上入力!A179="","",売上入力!A179)</f>
        <v/>
      </c>
      <c r="G529" s="16" t="s">
        <v>384</v>
      </c>
    </row>
    <row r="530" spans="1:7" ht="15" customHeight="1">
      <c r="A530" s="88" t="str">
        <f>IFERROR(IF(売上入力!A179="","",IF(INDEX(マスター_OTA!$C$4:$C$29,MATCH(売上入力!D179,マスター_OTA!$A$4:$A$29,0))=0,"",DATE(YEAR(売上入力!A179),MONTH(売上入力!A179)+1,IFERROR(INDEX(マスター_OTA!$F$4:$F$29,MATCH(売上入力!D179,マスター_OTA!$A$4:$A$29,0)),25)))),"")</f>
        <v/>
      </c>
      <c r="B530" s="16" t="str">
        <f>IF(売上入力!B179="","",売上入力!B179)</f>
        <v/>
      </c>
      <c r="C530" s="16" t="str">
        <f>IF(売上入力!C179="","",売上入力!C179)</f>
        <v/>
      </c>
      <c r="D530" s="16" t="str">
        <f>IF(売上入力!D179="","",売上入力!D179)</f>
        <v/>
      </c>
      <c r="E530" s="89">
        <f>IFERROR(IF(売上入力!E179="",0,売上入力!E179*INDEX(マスター_OTA!$C$4:$C$29,MATCH(売上入力!D179,マスター_OTA!$A$4:$A$29,0))/100),0)</f>
        <v>0</v>
      </c>
      <c r="F530" s="90" t="str">
        <f>IF(売上入力!A179="","",売上入力!A179)</f>
        <v/>
      </c>
      <c r="G530" s="16" t="s">
        <v>385</v>
      </c>
    </row>
    <row r="531" spans="1:7" ht="15" customHeight="1">
      <c r="A531" s="88" t="str">
        <f>IFERROR(IF(売上入力!A179="","",IF(INDEX(マスター_OTA!$D$4:$D$29,MATCH(売上入力!D179,マスター_OTA!$A$4:$A$29,0))=0,"",DATE(YEAR(売上入力!A179),MONTH(売上入力!A179)+2,IFERROR(INDEX(マスター_OTA!$G$4:$G$29,MATCH(売上入力!D179,マスター_OTA!$A$4:$A$29,0)),25)))),"")</f>
        <v/>
      </c>
      <c r="B531" s="16" t="str">
        <f>IF(売上入力!B179="","",売上入力!B179)</f>
        <v/>
      </c>
      <c r="C531" s="16" t="str">
        <f>IF(売上入力!C179="","",売上入力!C179)</f>
        <v/>
      </c>
      <c r="D531" s="16" t="str">
        <f>IF(売上入力!D179="","",売上入力!D179)</f>
        <v/>
      </c>
      <c r="E531" s="89">
        <f>IFERROR(IF(売上入力!E179="",0,売上入力!E179*INDEX(マスター_OTA!$D$4:$D$29,MATCH(売上入力!D179,マスター_OTA!$A$4:$A$29,0))/100),0)</f>
        <v>0</v>
      </c>
      <c r="F531" s="90" t="str">
        <f>IF(売上入力!A179="","",売上入力!A179)</f>
        <v/>
      </c>
      <c r="G531" s="16" t="s">
        <v>386</v>
      </c>
    </row>
    <row r="532" spans="1:7" ht="15" customHeight="1">
      <c r="A532" s="88" t="str">
        <f>IFERROR(IF(売上入力!A180="","",IF(INDEX(マスター_OTA!$B$4:$B$29,MATCH(売上入力!D180,マスター_OTA!$A$4:$A$29,0))=0,"",DATE(YEAR(売上入力!A180),MONTH(売上入力!A180),IFERROR(INDEX(マスター_OTA!$E$4:$E$29,MATCH(売上入力!D180,マスター_OTA!$A$4:$A$29,0)),28)))),"")</f>
        <v/>
      </c>
      <c r="B532" s="16" t="str">
        <f>IF(売上入力!B180="","",売上入力!B180)</f>
        <v/>
      </c>
      <c r="C532" s="16" t="str">
        <f>IF(売上入力!C180="","",売上入力!C180)</f>
        <v/>
      </c>
      <c r="D532" s="16" t="str">
        <f>IF(売上入力!D180="","",売上入力!D180)</f>
        <v/>
      </c>
      <c r="E532" s="89">
        <f>IFERROR(IF(売上入力!E180="",0,売上入力!E180*INDEX(マスター_OTA!$B$4:$B$29,MATCH(売上入力!D180,マスター_OTA!$A$4:$A$29,0))/100),0)</f>
        <v>0</v>
      </c>
      <c r="F532" s="90" t="str">
        <f>IF(売上入力!A180="","",売上入力!A180)</f>
        <v/>
      </c>
      <c r="G532" s="16" t="s">
        <v>384</v>
      </c>
    </row>
    <row r="533" spans="1:7" ht="15" customHeight="1">
      <c r="A533" s="88" t="str">
        <f>IFERROR(IF(売上入力!A180="","",IF(INDEX(マスター_OTA!$C$4:$C$29,MATCH(売上入力!D180,マスター_OTA!$A$4:$A$29,0))=0,"",DATE(YEAR(売上入力!A180),MONTH(売上入力!A180)+1,IFERROR(INDEX(マスター_OTA!$F$4:$F$29,MATCH(売上入力!D180,マスター_OTA!$A$4:$A$29,0)),25)))),"")</f>
        <v/>
      </c>
      <c r="B533" s="16" t="str">
        <f>IF(売上入力!B180="","",売上入力!B180)</f>
        <v/>
      </c>
      <c r="C533" s="16" t="str">
        <f>IF(売上入力!C180="","",売上入力!C180)</f>
        <v/>
      </c>
      <c r="D533" s="16" t="str">
        <f>IF(売上入力!D180="","",売上入力!D180)</f>
        <v/>
      </c>
      <c r="E533" s="89">
        <f>IFERROR(IF(売上入力!E180="",0,売上入力!E180*INDEX(マスター_OTA!$C$4:$C$29,MATCH(売上入力!D180,マスター_OTA!$A$4:$A$29,0))/100),0)</f>
        <v>0</v>
      </c>
      <c r="F533" s="90" t="str">
        <f>IF(売上入力!A180="","",売上入力!A180)</f>
        <v/>
      </c>
      <c r="G533" s="16" t="s">
        <v>385</v>
      </c>
    </row>
    <row r="534" spans="1:7" ht="15" customHeight="1">
      <c r="A534" s="88" t="str">
        <f>IFERROR(IF(売上入力!A180="","",IF(INDEX(マスター_OTA!$D$4:$D$29,MATCH(売上入力!D180,マスター_OTA!$A$4:$A$29,0))=0,"",DATE(YEAR(売上入力!A180),MONTH(売上入力!A180)+2,IFERROR(INDEX(マスター_OTA!$G$4:$G$29,MATCH(売上入力!D180,マスター_OTA!$A$4:$A$29,0)),25)))),"")</f>
        <v/>
      </c>
      <c r="B534" s="16" t="str">
        <f>IF(売上入力!B180="","",売上入力!B180)</f>
        <v/>
      </c>
      <c r="C534" s="16" t="str">
        <f>IF(売上入力!C180="","",売上入力!C180)</f>
        <v/>
      </c>
      <c r="D534" s="16" t="str">
        <f>IF(売上入力!D180="","",売上入力!D180)</f>
        <v/>
      </c>
      <c r="E534" s="89">
        <f>IFERROR(IF(売上入力!E180="",0,売上入力!E180*INDEX(マスター_OTA!$D$4:$D$29,MATCH(売上入力!D180,マスター_OTA!$A$4:$A$29,0))/100),0)</f>
        <v>0</v>
      </c>
      <c r="F534" s="90" t="str">
        <f>IF(売上入力!A180="","",売上入力!A180)</f>
        <v/>
      </c>
      <c r="G534" s="16" t="s">
        <v>386</v>
      </c>
    </row>
    <row r="535" spans="1:7" ht="15" customHeight="1">
      <c r="A535" s="88" t="str">
        <f>IFERROR(IF(売上入力!A181="","",IF(INDEX(マスター_OTA!$B$4:$B$29,MATCH(売上入力!D181,マスター_OTA!$A$4:$A$29,0))=0,"",DATE(YEAR(売上入力!A181),MONTH(売上入力!A181),IFERROR(INDEX(マスター_OTA!$E$4:$E$29,MATCH(売上入力!D181,マスター_OTA!$A$4:$A$29,0)),28)))),"")</f>
        <v/>
      </c>
      <c r="B535" s="16" t="str">
        <f>IF(売上入力!B181="","",売上入力!B181)</f>
        <v/>
      </c>
      <c r="C535" s="16" t="str">
        <f>IF(売上入力!C181="","",売上入力!C181)</f>
        <v/>
      </c>
      <c r="D535" s="16" t="str">
        <f>IF(売上入力!D181="","",売上入力!D181)</f>
        <v/>
      </c>
      <c r="E535" s="89">
        <f>IFERROR(IF(売上入力!E181="",0,売上入力!E181*INDEX(マスター_OTA!$B$4:$B$29,MATCH(売上入力!D181,マスター_OTA!$A$4:$A$29,0))/100),0)</f>
        <v>0</v>
      </c>
      <c r="F535" s="90" t="str">
        <f>IF(売上入力!A181="","",売上入力!A181)</f>
        <v/>
      </c>
      <c r="G535" s="16" t="s">
        <v>384</v>
      </c>
    </row>
    <row r="536" spans="1:7" ht="15" customHeight="1">
      <c r="A536" s="88" t="str">
        <f>IFERROR(IF(売上入力!A181="","",IF(INDEX(マスター_OTA!$C$4:$C$29,MATCH(売上入力!D181,マスター_OTA!$A$4:$A$29,0))=0,"",DATE(YEAR(売上入力!A181),MONTH(売上入力!A181)+1,IFERROR(INDEX(マスター_OTA!$F$4:$F$29,MATCH(売上入力!D181,マスター_OTA!$A$4:$A$29,0)),25)))),"")</f>
        <v/>
      </c>
      <c r="B536" s="16" t="str">
        <f>IF(売上入力!B181="","",売上入力!B181)</f>
        <v/>
      </c>
      <c r="C536" s="16" t="str">
        <f>IF(売上入力!C181="","",売上入力!C181)</f>
        <v/>
      </c>
      <c r="D536" s="16" t="str">
        <f>IF(売上入力!D181="","",売上入力!D181)</f>
        <v/>
      </c>
      <c r="E536" s="89">
        <f>IFERROR(IF(売上入力!E181="",0,売上入力!E181*INDEX(マスター_OTA!$C$4:$C$29,MATCH(売上入力!D181,マスター_OTA!$A$4:$A$29,0))/100),0)</f>
        <v>0</v>
      </c>
      <c r="F536" s="90" t="str">
        <f>IF(売上入力!A181="","",売上入力!A181)</f>
        <v/>
      </c>
      <c r="G536" s="16" t="s">
        <v>385</v>
      </c>
    </row>
    <row r="537" spans="1:7" ht="15" customHeight="1">
      <c r="A537" s="88" t="str">
        <f>IFERROR(IF(売上入力!A181="","",IF(INDEX(マスター_OTA!$D$4:$D$29,MATCH(売上入力!D181,マスター_OTA!$A$4:$A$29,0))=0,"",DATE(YEAR(売上入力!A181),MONTH(売上入力!A181)+2,IFERROR(INDEX(マスター_OTA!$G$4:$G$29,MATCH(売上入力!D181,マスター_OTA!$A$4:$A$29,0)),25)))),"")</f>
        <v/>
      </c>
      <c r="B537" s="16" t="str">
        <f>IF(売上入力!B181="","",売上入力!B181)</f>
        <v/>
      </c>
      <c r="C537" s="16" t="str">
        <f>IF(売上入力!C181="","",売上入力!C181)</f>
        <v/>
      </c>
      <c r="D537" s="16" t="str">
        <f>IF(売上入力!D181="","",売上入力!D181)</f>
        <v/>
      </c>
      <c r="E537" s="89">
        <f>IFERROR(IF(売上入力!E181="",0,売上入力!E181*INDEX(マスター_OTA!$D$4:$D$29,MATCH(売上入力!D181,マスター_OTA!$A$4:$A$29,0))/100),0)</f>
        <v>0</v>
      </c>
      <c r="F537" s="90" t="str">
        <f>IF(売上入力!A181="","",売上入力!A181)</f>
        <v/>
      </c>
      <c r="G537" s="16" t="s">
        <v>386</v>
      </c>
    </row>
    <row r="538" spans="1:7" ht="15" customHeight="1">
      <c r="A538" s="88" t="str">
        <f>IFERROR(IF(売上入力!A182="","",IF(INDEX(マスター_OTA!$B$4:$B$29,MATCH(売上入力!D182,マスター_OTA!$A$4:$A$29,0))=0,"",DATE(YEAR(売上入力!A182),MONTH(売上入力!A182),IFERROR(INDEX(マスター_OTA!$E$4:$E$29,MATCH(売上入力!D182,マスター_OTA!$A$4:$A$29,0)),28)))),"")</f>
        <v/>
      </c>
      <c r="B538" s="16" t="str">
        <f>IF(売上入力!B182="","",売上入力!B182)</f>
        <v/>
      </c>
      <c r="C538" s="16" t="str">
        <f>IF(売上入力!C182="","",売上入力!C182)</f>
        <v/>
      </c>
      <c r="D538" s="16" t="str">
        <f>IF(売上入力!D182="","",売上入力!D182)</f>
        <v/>
      </c>
      <c r="E538" s="89">
        <f>IFERROR(IF(売上入力!E182="",0,売上入力!E182*INDEX(マスター_OTA!$B$4:$B$29,MATCH(売上入力!D182,マスター_OTA!$A$4:$A$29,0))/100),0)</f>
        <v>0</v>
      </c>
      <c r="F538" s="90" t="str">
        <f>IF(売上入力!A182="","",売上入力!A182)</f>
        <v/>
      </c>
      <c r="G538" s="16" t="s">
        <v>384</v>
      </c>
    </row>
    <row r="539" spans="1:7" ht="15" customHeight="1">
      <c r="A539" s="88" t="str">
        <f>IFERROR(IF(売上入力!A182="","",IF(INDEX(マスター_OTA!$C$4:$C$29,MATCH(売上入力!D182,マスター_OTA!$A$4:$A$29,0))=0,"",DATE(YEAR(売上入力!A182),MONTH(売上入力!A182)+1,IFERROR(INDEX(マスター_OTA!$F$4:$F$29,MATCH(売上入力!D182,マスター_OTA!$A$4:$A$29,0)),25)))),"")</f>
        <v/>
      </c>
      <c r="B539" s="16" t="str">
        <f>IF(売上入力!B182="","",売上入力!B182)</f>
        <v/>
      </c>
      <c r="C539" s="16" t="str">
        <f>IF(売上入力!C182="","",売上入力!C182)</f>
        <v/>
      </c>
      <c r="D539" s="16" t="str">
        <f>IF(売上入力!D182="","",売上入力!D182)</f>
        <v/>
      </c>
      <c r="E539" s="89">
        <f>IFERROR(IF(売上入力!E182="",0,売上入力!E182*INDEX(マスター_OTA!$C$4:$C$29,MATCH(売上入力!D182,マスター_OTA!$A$4:$A$29,0))/100),0)</f>
        <v>0</v>
      </c>
      <c r="F539" s="90" t="str">
        <f>IF(売上入力!A182="","",売上入力!A182)</f>
        <v/>
      </c>
      <c r="G539" s="16" t="s">
        <v>385</v>
      </c>
    </row>
    <row r="540" spans="1:7" ht="15" customHeight="1">
      <c r="A540" s="88" t="str">
        <f>IFERROR(IF(売上入力!A182="","",IF(INDEX(マスター_OTA!$D$4:$D$29,MATCH(売上入力!D182,マスター_OTA!$A$4:$A$29,0))=0,"",DATE(YEAR(売上入力!A182),MONTH(売上入力!A182)+2,IFERROR(INDEX(マスター_OTA!$G$4:$G$29,MATCH(売上入力!D182,マスター_OTA!$A$4:$A$29,0)),25)))),"")</f>
        <v/>
      </c>
      <c r="B540" s="16" t="str">
        <f>IF(売上入力!B182="","",売上入力!B182)</f>
        <v/>
      </c>
      <c r="C540" s="16" t="str">
        <f>IF(売上入力!C182="","",売上入力!C182)</f>
        <v/>
      </c>
      <c r="D540" s="16" t="str">
        <f>IF(売上入力!D182="","",売上入力!D182)</f>
        <v/>
      </c>
      <c r="E540" s="89">
        <f>IFERROR(IF(売上入力!E182="",0,売上入力!E182*INDEX(マスター_OTA!$D$4:$D$29,MATCH(売上入力!D182,マスター_OTA!$A$4:$A$29,0))/100),0)</f>
        <v>0</v>
      </c>
      <c r="F540" s="90" t="str">
        <f>IF(売上入力!A182="","",売上入力!A182)</f>
        <v/>
      </c>
      <c r="G540" s="16" t="s">
        <v>386</v>
      </c>
    </row>
    <row r="541" spans="1:7" ht="15" customHeight="1">
      <c r="A541" s="88" t="str">
        <f>IFERROR(IF(売上入力!A183="","",IF(INDEX(マスター_OTA!$B$4:$B$29,MATCH(売上入力!D183,マスター_OTA!$A$4:$A$29,0))=0,"",DATE(YEAR(売上入力!A183),MONTH(売上入力!A183),IFERROR(INDEX(マスター_OTA!$E$4:$E$29,MATCH(売上入力!D183,マスター_OTA!$A$4:$A$29,0)),28)))),"")</f>
        <v/>
      </c>
      <c r="B541" s="16" t="str">
        <f>IF(売上入力!B183="","",売上入力!B183)</f>
        <v/>
      </c>
      <c r="C541" s="16" t="str">
        <f>IF(売上入力!C183="","",売上入力!C183)</f>
        <v/>
      </c>
      <c r="D541" s="16" t="str">
        <f>IF(売上入力!D183="","",売上入力!D183)</f>
        <v/>
      </c>
      <c r="E541" s="89">
        <f>IFERROR(IF(売上入力!E183="",0,売上入力!E183*INDEX(マスター_OTA!$B$4:$B$29,MATCH(売上入力!D183,マスター_OTA!$A$4:$A$29,0))/100),0)</f>
        <v>0</v>
      </c>
      <c r="F541" s="90" t="str">
        <f>IF(売上入力!A183="","",売上入力!A183)</f>
        <v/>
      </c>
      <c r="G541" s="16" t="s">
        <v>384</v>
      </c>
    </row>
    <row r="542" spans="1:7" ht="15" customHeight="1">
      <c r="A542" s="88" t="str">
        <f>IFERROR(IF(売上入力!A183="","",IF(INDEX(マスター_OTA!$C$4:$C$29,MATCH(売上入力!D183,マスター_OTA!$A$4:$A$29,0))=0,"",DATE(YEAR(売上入力!A183),MONTH(売上入力!A183)+1,IFERROR(INDEX(マスター_OTA!$F$4:$F$29,MATCH(売上入力!D183,マスター_OTA!$A$4:$A$29,0)),25)))),"")</f>
        <v/>
      </c>
      <c r="B542" s="16" t="str">
        <f>IF(売上入力!B183="","",売上入力!B183)</f>
        <v/>
      </c>
      <c r="C542" s="16" t="str">
        <f>IF(売上入力!C183="","",売上入力!C183)</f>
        <v/>
      </c>
      <c r="D542" s="16" t="str">
        <f>IF(売上入力!D183="","",売上入力!D183)</f>
        <v/>
      </c>
      <c r="E542" s="89">
        <f>IFERROR(IF(売上入力!E183="",0,売上入力!E183*INDEX(マスター_OTA!$C$4:$C$29,MATCH(売上入力!D183,マスター_OTA!$A$4:$A$29,0))/100),0)</f>
        <v>0</v>
      </c>
      <c r="F542" s="90" t="str">
        <f>IF(売上入力!A183="","",売上入力!A183)</f>
        <v/>
      </c>
      <c r="G542" s="16" t="s">
        <v>385</v>
      </c>
    </row>
    <row r="543" spans="1:7" ht="15" customHeight="1">
      <c r="A543" s="88" t="str">
        <f>IFERROR(IF(売上入力!A183="","",IF(INDEX(マスター_OTA!$D$4:$D$29,MATCH(売上入力!D183,マスター_OTA!$A$4:$A$29,0))=0,"",DATE(YEAR(売上入力!A183),MONTH(売上入力!A183)+2,IFERROR(INDEX(マスター_OTA!$G$4:$G$29,MATCH(売上入力!D183,マスター_OTA!$A$4:$A$29,0)),25)))),"")</f>
        <v/>
      </c>
      <c r="B543" s="16" t="str">
        <f>IF(売上入力!B183="","",売上入力!B183)</f>
        <v/>
      </c>
      <c r="C543" s="16" t="str">
        <f>IF(売上入力!C183="","",売上入力!C183)</f>
        <v/>
      </c>
      <c r="D543" s="16" t="str">
        <f>IF(売上入力!D183="","",売上入力!D183)</f>
        <v/>
      </c>
      <c r="E543" s="89">
        <f>IFERROR(IF(売上入力!E183="",0,売上入力!E183*INDEX(マスター_OTA!$D$4:$D$29,MATCH(売上入力!D183,マスター_OTA!$A$4:$A$29,0))/100),0)</f>
        <v>0</v>
      </c>
      <c r="F543" s="90" t="str">
        <f>IF(売上入力!A183="","",売上入力!A183)</f>
        <v/>
      </c>
      <c r="G543" s="16" t="s">
        <v>386</v>
      </c>
    </row>
    <row r="544" spans="1:7" ht="15" customHeight="1">
      <c r="A544" s="88" t="str">
        <f>IFERROR(IF(売上入力!A184="","",IF(INDEX(マスター_OTA!$B$4:$B$29,MATCH(売上入力!D184,マスター_OTA!$A$4:$A$29,0))=0,"",DATE(YEAR(売上入力!A184),MONTH(売上入力!A184),IFERROR(INDEX(マスター_OTA!$E$4:$E$29,MATCH(売上入力!D184,マスター_OTA!$A$4:$A$29,0)),28)))),"")</f>
        <v/>
      </c>
      <c r="B544" s="16" t="str">
        <f>IF(売上入力!B184="","",売上入力!B184)</f>
        <v/>
      </c>
      <c r="C544" s="16" t="str">
        <f>IF(売上入力!C184="","",売上入力!C184)</f>
        <v/>
      </c>
      <c r="D544" s="16" t="str">
        <f>IF(売上入力!D184="","",売上入力!D184)</f>
        <v/>
      </c>
      <c r="E544" s="89">
        <f>IFERROR(IF(売上入力!E184="",0,売上入力!E184*INDEX(マスター_OTA!$B$4:$B$29,MATCH(売上入力!D184,マスター_OTA!$A$4:$A$29,0))/100),0)</f>
        <v>0</v>
      </c>
      <c r="F544" s="90" t="str">
        <f>IF(売上入力!A184="","",売上入力!A184)</f>
        <v/>
      </c>
      <c r="G544" s="16" t="s">
        <v>384</v>
      </c>
    </row>
    <row r="545" spans="1:7" ht="15" customHeight="1">
      <c r="A545" s="88" t="str">
        <f>IFERROR(IF(売上入力!A184="","",IF(INDEX(マスター_OTA!$C$4:$C$29,MATCH(売上入力!D184,マスター_OTA!$A$4:$A$29,0))=0,"",DATE(YEAR(売上入力!A184),MONTH(売上入力!A184)+1,IFERROR(INDEX(マスター_OTA!$F$4:$F$29,MATCH(売上入力!D184,マスター_OTA!$A$4:$A$29,0)),25)))),"")</f>
        <v/>
      </c>
      <c r="B545" s="16" t="str">
        <f>IF(売上入力!B184="","",売上入力!B184)</f>
        <v/>
      </c>
      <c r="C545" s="16" t="str">
        <f>IF(売上入力!C184="","",売上入力!C184)</f>
        <v/>
      </c>
      <c r="D545" s="16" t="str">
        <f>IF(売上入力!D184="","",売上入力!D184)</f>
        <v/>
      </c>
      <c r="E545" s="89">
        <f>IFERROR(IF(売上入力!E184="",0,売上入力!E184*INDEX(マスター_OTA!$C$4:$C$29,MATCH(売上入力!D184,マスター_OTA!$A$4:$A$29,0))/100),0)</f>
        <v>0</v>
      </c>
      <c r="F545" s="90" t="str">
        <f>IF(売上入力!A184="","",売上入力!A184)</f>
        <v/>
      </c>
      <c r="G545" s="16" t="s">
        <v>385</v>
      </c>
    </row>
    <row r="546" spans="1:7" ht="15" customHeight="1">
      <c r="A546" s="88" t="str">
        <f>IFERROR(IF(売上入力!A184="","",IF(INDEX(マスター_OTA!$D$4:$D$29,MATCH(売上入力!D184,マスター_OTA!$A$4:$A$29,0))=0,"",DATE(YEAR(売上入力!A184),MONTH(売上入力!A184)+2,IFERROR(INDEX(マスター_OTA!$G$4:$G$29,MATCH(売上入力!D184,マスター_OTA!$A$4:$A$29,0)),25)))),"")</f>
        <v/>
      </c>
      <c r="B546" s="16" t="str">
        <f>IF(売上入力!B184="","",売上入力!B184)</f>
        <v/>
      </c>
      <c r="C546" s="16" t="str">
        <f>IF(売上入力!C184="","",売上入力!C184)</f>
        <v/>
      </c>
      <c r="D546" s="16" t="str">
        <f>IF(売上入力!D184="","",売上入力!D184)</f>
        <v/>
      </c>
      <c r="E546" s="89">
        <f>IFERROR(IF(売上入力!E184="",0,売上入力!E184*INDEX(マスター_OTA!$D$4:$D$29,MATCH(売上入力!D184,マスター_OTA!$A$4:$A$29,0))/100),0)</f>
        <v>0</v>
      </c>
      <c r="F546" s="90" t="str">
        <f>IF(売上入力!A184="","",売上入力!A184)</f>
        <v/>
      </c>
      <c r="G546" s="16" t="s">
        <v>386</v>
      </c>
    </row>
    <row r="547" spans="1:7" ht="15" customHeight="1">
      <c r="A547" s="88" t="str">
        <f>IFERROR(IF(売上入力!A185="","",IF(INDEX(マスター_OTA!$B$4:$B$29,MATCH(売上入力!D185,マスター_OTA!$A$4:$A$29,0))=0,"",DATE(YEAR(売上入力!A185),MONTH(売上入力!A185),IFERROR(INDEX(マスター_OTA!$E$4:$E$29,MATCH(売上入力!D185,マスター_OTA!$A$4:$A$29,0)),28)))),"")</f>
        <v/>
      </c>
      <c r="B547" s="16" t="str">
        <f>IF(売上入力!B185="","",売上入力!B185)</f>
        <v/>
      </c>
      <c r="C547" s="16" t="str">
        <f>IF(売上入力!C185="","",売上入力!C185)</f>
        <v/>
      </c>
      <c r="D547" s="16" t="str">
        <f>IF(売上入力!D185="","",売上入力!D185)</f>
        <v/>
      </c>
      <c r="E547" s="89">
        <f>IFERROR(IF(売上入力!E185="",0,売上入力!E185*INDEX(マスター_OTA!$B$4:$B$29,MATCH(売上入力!D185,マスター_OTA!$A$4:$A$29,0))/100),0)</f>
        <v>0</v>
      </c>
      <c r="F547" s="90" t="str">
        <f>IF(売上入力!A185="","",売上入力!A185)</f>
        <v/>
      </c>
      <c r="G547" s="16" t="s">
        <v>384</v>
      </c>
    </row>
    <row r="548" spans="1:7" ht="15" customHeight="1">
      <c r="A548" s="88" t="str">
        <f>IFERROR(IF(売上入力!A185="","",IF(INDEX(マスター_OTA!$C$4:$C$29,MATCH(売上入力!D185,マスター_OTA!$A$4:$A$29,0))=0,"",DATE(YEAR(売上入力!A185),MONTH(売上入力!A185)+1,IFERROR(INDEX(マスター_OTA!$F$4:$F$29,MATCH(売上入力!D185,マスター_OTA!$A$4:$A$29,0)),25)))),"")</f>
        <v/>
      </c>
      <c r="B548" s="16" t="str">
        <f>IF(売上入力!B185="","",売上入力!B185)</f>
        <v/>
      </c>
      <c r="C548" s="16" t="str">
        <f>IF(売上入力!C185="","",売上入力!C185)</f>
        <v/>
      </c>
      <c r="D548" s="16" t="str">
        <f>IF(売上入力!D185="","",売上入力!D185)</f>
        <v/>
      </c>
      <c r="E548" s="89">
        <f>IFERROR(IF(売上入力!E185="",0,売上入力!E185*INDEX(マスター_OTA!$C$4:$C$29,MATCH(売上入力!D185,マスター_OTA!$A$4:$A$29,0))/100),0)</f>
        <v>0</v>
      </c>
      <c r="F548" s="90" t="str">
        <f>IF(売上入力!A185="","",売上入力!A185)</f>
        <v/>
      </c>
      <c r="G548" s="16" t="s">
        <v>385</v>
      </c>
    </row>
    <row r="549" spans="1:7" ht="15" customHeight="1">
      <c r="A549" s="88" t="str">
        <f>IFERROR(IF(売上入力!A185="","",IF(INDEX(マスター_OTA!$D$4:$D$29,MATCH(売上入力!D185,マスター_OTA!$A$4:$A$29,0))=0,"",DATE(YEAR(売上入力!A185),MONTH(売上入力!A185)+2,IFERROR(INDEX(マスター_OTA!$G$4:$G$29,MATCH(売上入力!D185,マスター_OTA!$A$4:$A$29,0)),25)))),"")</f>
        <v/>
      </c>
      <c r="B549" s="16" t="str">
        <f>IF(売上入力!B185="","",売上入力!B185)</f>
        <v/>
      </c>
      <c r="C549" s="16" t="str">
        <f>IF(売上入力!C185="","",売上入力!C185)</f>
        <v/>
      </c>
      <c r="D549" s="16" t="str">
        <f>IF(売上入力!D185="","",売上入力!D185)</f>
        <v/>
      </c>
      <c r="E549" s="89">
        <f>IFERROR(IF(売上入力!E185="",0,売上入力!E185*INDEX(マスター_OTA!$D$4:$D$29,MATCH(売上入力!D185,マスター_OTA!$A$4:$A$29,0))/100),0)</f>
        <v>0</v>
      </c>
      <c r="F549" s="90" t="str">
        <f>IF(売上入力!A185="","",売上入力!A185)</f>
        <v/>
      </c>
      <c r="G549" s="16" t="s">
        <v>386</v>
      </c>
    </row>
    <row r="550" spans="1:7" ht="15" customHeight="1">
      <c r="A550" s="88" t="str">
        <f>IFERROR(IF(売上入力!A186="","",IF(INDEX(マスター_OTA!$B$4:$B$29,MATCH(売上入力!D186,マスター_OTA!$A$4:$A$29,0))=0,"",DATE(YEAR(売上入力!A186),MONTH(売上入力!A186),IFERROR(INDEX(マスター_OTA!$E$4:$E$29,MATCH(売上入力!D186,マスター_OTA!$A$4:$A$29,0)),28)))),"")</f>
        <v/>
      </c>
      <c r="B550" s="16" t="str">
        <f>IF(売上入力!B186="","",売上入力!B186)</f>
        <v/>
      </c>
      <c r="C550" s="16" t="str">
        <f>IF(売上入力!C186="","",売上入力!C186)</f>
        <v/>
      </c>
      <c r="D550" s="16" t="str">
        <f>IF(売上入力!D186="","",売上入力!D186)</f>
        <v/>
      </c>
      <c r="E550" s="89">
        <f>IFERROR(IF(売上入力!E186="",0,売上入力!E186*INDEX(マスター_OTA!$B$4:$B$29,MATCH(売上入力!D186,マスター_OTA!$A$4:$A$29,0))/100),0)</f>
        <v>0</v>
      </c>
      <c r="F550" s="90" t="str">
        <f>IF(売上入力!A186="","",売上入力!A186)</f>
        <v/>
      </c>
      <c r="G550" s="16" t="s">
        <v>384</v>
      </c>
    </row>
    <row r="551" spans="1:7" ht="15" customHeight="1">
      <c r="A551" s="88" t="str">
        <f>IFERROR(IF(売上入力!A186="","",IF(INDEX(マスター_OTA!$C$4:$C$29,MATCH(売上入力!D186,マスター_OTA!$A$4:$A$29,0))=0,"",DATE(YEAR(売上入力!A186),MONTH(売上入力!A186)+1,IFERROR(INDEX(マスター_OTA!$F$4:$F$29,MATCH(売上入力!D186,マスター_OTA!$A$4:$A$29,0)),25)))),"")</f>
        <v/>
      </c>
      <c r="B551" s="16" t="str">
        <f>IF(売上入力!B186="","",売上入力!B186)</f>
        <v/>
      </c>
      <c r="C551" s="16" t="str">
        <f>IF(売上入力!C186="","",売上入力!C186)</f>
        <v/>
      </c>
      <c r="D551" s="16" t="str">
        <f>IF(売上入力!D186="","",売上入力!D186)</f>
        <v/>
      </c>
      <c r="E551" s="89">
        <f>IFERROR(IF(売上入力!E186="",0,売上入力!E186*INDEX(マスター_OTA!$C$4:$C$29,MATCH(売上入力!D186,マスター_OTA!$A$4:$A$29,0))/100),0)</f>
        <v>0</v>
      </c>
      <c r="F551" s="90" t="str">
        <f>IF(売上入力!A186="","",売上入力!A186)</f>
        <v/>
      </c>
      <c r="G551" s="16" t="s">
        <v>385</v>
      </c>
    </row>
    <row r="552" spans="1:7" ht="15" customHeight="1">
      <c r="A552" s="88" t="str">
        <f>IFERROR(IF(売上入力!A186="","",IF(INDEX(マスター_OTA!$D$4:$D$29,MATCH(売上入力!D186,マスター_OTA!$A$4:$A$29,0))=0,"",DATE(YEAR(売上入力!A186),MONTH(売上入力!A186)+2,IFERROR(INDEX(マスター_OTA!$G$4:$G$29,MATCH(売上入力!D186,マスター_OTA!$A$4:$A$29,0)),25)))),"")</f>
        <v/>
      </c>
      <c r="B552" s="16" t="str">
        <f>IF(売上入力!B186="","",売上入力!B186)</f>
        <v/>
      </c>
      <c r="C552" s="16" t="str">
        <f>IF(売上入力!C186="","",売上入力!C186)</f>
        <v/>
      </c>
      <c r="D552" s="16" t="str">
        <f>IF(売上入力!D186="","",売上入力!D186)</f>
        <v/>
      </c>
      <c r="E552" s="89">
        <f>IFERROR(IF(売上入力!E186="",0,売上入力!E186*INDEX(マスター_OTA!$D$4:$D$29,MATCH(売上入力!D186,マスター_OTA!$A$4:$A$29,0))/100),0)</f>
        <v>0</v>
      </c>
      <c r="F552" s="90" t="str">
        <f>IF(売上入力!A186="","",売上入力!A186)</f>
        <v/>
      </c>
      <c r="G552" s="16" t="s">
        <v>386</v>
      </c>
    </row>
    <row r="553" spans="1:7" ht="15" customHeight="1">
      <c r="A553" s="88" t="str">
        <f>IFERROR(IF(売上入力!A187="","",IF(INDEX(マスター_OTA!$B$4:$B$29,MATCH(売上入力!D187,マスター_OTA!$A$4:$A$29,0))=0,"",DATE(YEAR(売上入力!A187),MONTH(売上入力!A187),IFERROR(INDEX(マスター_OTA!$E$4:$E$29,MATCH(売上入力!D187,マスター_OTA!$A$4:$A$29,0)),28)))),"")</f>
        <v/>
      </c>
      <c r="B553" s="16" t="str">
        <f>IF(売上入力!B187="","",売上入力!B187)</f>
        <v/>
      </c>
      <c r="C553" s="16" t="str">
        <f>IF(売上入力!C187="","",売上入力!C187)</f>
        <v/>
      </c>
      <c r="D553" s="16" t="str">
        <f>IF(売上入力!D187="","",売上入力!D187)</f>
        <v/>
      </c>
      <c r="E553" s="89">
        <f>IFERROR(IF(売上入力!E187="",0,売上入力!E187*INDEX(マスター_OTA!$B$4:$B$29,MATCH(売上入力!D187,マスター_OTA!$A$4:$A$29,0))/100),0)</f>
        <v>0</v>
      </c>
      <c r="F553" s="90" t="str">
        <f>IF(売上入力!A187="","",売上入力!A187)</f>
        <v/>
      </c>
      <c r="G553" s="16" t="s">
        <v>384</v>
      </c>
    </row>
    <row r="554" spans="1:7" ht="15" customHeight="1">
      <c r="A554" s="88" t="str">
        <f>IFERROR(IF(売上入力!A187="","",IF(INDEX(マスター_OTA!$C$4:$C$29,MATCH(売上入力!D187,マスター_OTA!$A$4:$A$29,0))=0,"",DATE(YEAR(売上入力!A187),MONTH(売上入力!A187)+1,IFERROR(INDEX(マスター_OTA!$F$4:$F$29,MATCH(売上入力!D187,マスター_OTA!$A$4:$A$29,0)),25)))),"")</f>
        <v/>
      </c>
      <c r="B554" s="16" t="str">
        <f>IF(売上入力!B187="","",売上入力!B187)</f>
        <v/>
      </c>
      <c r="C554" s="16" t="str">
        <f>IF(売上入力!C187="","",売上入力!C187)</f>
        <v/>
      </c>
      <c r="D554" s="16" t="str">
        <f>IF(売上入力!D187="","",売上入力!D187)</f>
        <v/>
      </c>
      <c r="E554" s="89">
        <f>IFERROR(IF(売上入力!E187="",0,売上入力!E187*INDEX(マスター_OTA!$C$4:$C$29,MATCH(売上入力!D187,マスター_OTA!$A$4:$A$29,0))/100),0)</f>
        <v>0</v>
      </c>
      <c r="F554" s="90" t="str">
        <f>IF(売上入力!A187="","",売上入力!A187)</f>
        <v/>
      </c>
      <c r="G554" s="16" t="s">
        <v>385</v>
      </c>
    </row>
    <row r="555" spans="1:7" ht="15" customHeight="1">
      <c r="A555" s="88" t="str">
        <f>IFERROR(IF(売上入力!A187="","",IF(INDEX(マスター_OTA!$D$4:$D$29,MATCH(売上入力!D187,マスター_OTA!$A$4:$A$29,0))=0,"",DATE(YEAR(売上入力!A187),MONTH(売上入力!A187)+2,IFERROR(INDEX(マスター_OTA!$G$4:$G$29,MATCH(売上入力!D187,マスター_OTA!$A$4:$A$29,0)),25)))),"")</f>
        <v/>
      </c>
      <c r="B555" s="16" t="str">
        <f>IF(売上入力!B187="","",売上入力!B187)</f>
        <v/>
      </c>
      <c r="C555" s="16" t="str">
        <f>IF(売上入力!C187="","",売上入力!C187)</f>
        <v/>
      </c>
      <c r="D555" s="16" t="str">
        <f>IF(売上入力!D187="","",売上入力!D187)</f>
        <v/>
      </c>
      <c r="E555" s="89">
        <f>IFERROR(IF(売上入力!E187="",0,売上入力!E187*INDEX(マスター_OTA!$D$4:$D$29,MATCH(売上入力!D187,マスター_OTA!$A$4:$A$29,0))/100),0)</f>
        <v>0</v>
      </c>
      <c r="F555" s="90" t="str">
        <f>IF(売上入力!A187="","",売上入力!A187)</f>
        <v/>
      </c>
      <c r="G555" s="16" t="s">
        <v>386</v>
      </c>
    </row>
    <row r="556" spans="1:7" ht="15" customHeight="1">
      <c r="A556" s="88" t="str">
        <f>IFERROR(IF(売上入力!A188="","",IF(INDEX(マスター_OTA!$B$4:$B$29,MATCH(売上入力!D188,マスター_OTA!$A$4:$A$29,0))=0,"",DATE(YEAR(売上入力!A188),MONTH(売上入力!A188),IFERROR(INDEX(マスター_OTA!$E$4:$E$29,MATCH(売上入力!D188,マスター_OTA!$A$4:$A$29,0)),28)))),"")</f>
        <v/>
      </c>
      <c r="B556" s="16" t="str">
        <f>IF(売上入力!B188="","",売上入力!B188)</f>
        <v/>
      </c>
      <c r="C556" s="16" t="str">
        <f>IF(売上入力!C188="","",売上入力!C188)</f>
        <v/>
      </c>
      <c r="D556" s="16" t="str">
        <f>IF(売上入力!D188="","",売上入力!D188)</f>
        <v/>
      </c>
      <c r="E556" s="89">
        <f>IFERROR(IF(売上入力!E188="",0,売上入力!E188*INDEX(マスター_OTA!$B$4:$B$29,MATCH(売上入力!D188,マスター_OTA!$A$4:$A$29,0))/100),0)</f>
        <v>0</v>
      </c>
      <c r="F556" s="90" t="str">
        <f>IF(売上入力!A188="","",売上入力!A188)</f>
        <v/>
      </c>
      <c r="G556" s="16" t="s">
        <v>384</v>
      </c>
    </row>
    <row r="557" spans="1:7" ht="15" customHeight="1">
      <c r="A557" s="88" t="str">
        <f>IFERROR(IF(売上入力!A188="","",IF(INDEX(マスター_OTA!$C$4:$C$29,MATCH(売上入力!D188,マスター_OTA!$A$4:$A$29,0))=0,"",DATE(YEAR(売上入力!A188),MONTH(売上入力!A188)+1,IFERROR(INDEX(マスター_OTA!$F$4:$F$29,MATCH(売上入力!D188,マスター_OTA!$A$4:$A$29,0)),25)))),"")</f>
        <v/>
      </c>
      <c r="B557" s="16" t="str">
        <f>IF(売上入力!B188="","",売上入力!B188)</f>
        <v/>
      </c>
      <c r="C557" s="16" t="str">
        <f>IF(売上入力!C188="","",売上入力!C188)</f>
        <v/>
      </c>
      <c r="D557" s="16" t="str">
        <f>IF(売上入力!D188="","",売上入力!D188)</f>
        <v/>
      </c>
      <c r="E557" s="89">
        <f>IFERROR(IF(売上入力!E188="",0,売上入力!E188*INDEX(マスター_OTA!$C$4:$C$29,MATCH(売上入力!D188,マスター_OTA!$A$4:$A$29,0))/100),0)</f>
        <v>0</v>
      </c>
      <c r="F557" s="90" t="str">
        <f>IF(売上入力!A188="","",売上入力!A188)</f>
        <v/>
      </c>
      <c r="G557" s="16" t="s">
        <v>385</v>
      </c>
    </row>
    <row r="558" spans="1:7" ht="15" customHeight="1">
      <c r="A558" s="88" t="str">
        <f>IFERROR(IF(売上入力!A188="","",IF(INDEX(マスター_OTA!$D$4:$D$29,MATCH(売上入力!D188,マスター_OTA!$A$4:$A$29,0))=0,"",DATE(YEAR(売上入力!A188),MONTH(売上入力!A188)+2,IFERROR(INDEX(マスター_OTA!$G$4:$G$29,MATCH(売上入力!D188,マスター_OTA!$A$4:$A$29,0)),25)))),"")</f>
        <v/>
      </c>
      <c r="B558" s="16" t="str">
        <f>IF(売上入力!B188="","",売上入力!B188)</f>
        <v/>
      </c>
      <c r="C558" s="16" t="str">
        <f>IF(売上入力!C188="","",売上入力!C188)</f>
        <v/>
      </c>
      <c r="D558" s="16" t="str">
        <f>IF(売上入力!D188="","",売上入力!D188)</f>
        <v/>
      </c>
      <c r="E558" s="89">
        <f>IFERROR(IF(売上入力!E188="",0,売上入力!E188*INDEX(マスター_OTA!$D$4:$D$29,MATCH(売上入力!D188,マスター_OTA!$A$4:$A$29,0))/100),0)</f>
        <v>0</v>
      </c>
      <c r="F558" s="90" t="str">
        <f>IF(売上入力!A188="","",売上入力!A188)</f>
        <v/>
      </c>
      <c r="G558" s="16" t="s">
        <v>386</v>
      </c>
    </row>
    <row r="559" spans="1:7" ht="15" customHeight="1">
      <c r="A559" s="88" t="str">
        <f>IFERROR(IF(売上入力!A189="","",IF(INDEX(マスター_OTA!$B$4:$B$29,MATCH(売上入力!D189,マスター_OTA!$A$4:$A$29,0))=0,"",DATE(YEAR(売上入力!A189),MONTH(売上入力!A189),IFERROR(INDEX(マスター_OTA!$E$4:$E$29,MATCH(売上入力!D189,マスター_OTA!$A$4:$A$29,0)),28)))),"")</f>
        <v/>
      </c>
      <c r="B559" s="16" t="str">
        <f>IF(売上入力!B189="","",売上入力!B189)</f>
        <v/>
      </c>
      <c r="C559" s="16" t="str">
        <f>IF(売上入力!C189="","",売上入力!C189)</f>
        <v/>
      </c>
      <c r="D559" s="16" t="str">
        <f>IF(売上入力!D189="","",売上入力!D189)</f>
        <v/>
      </c>
      <c r="E559" s="89">
        <f>IFERROR(IF(売上入力!E189="",0,売上入力!E189*INDEX(マスター_OTA!$B$4:$B$29,MATCH(売上入力!D189,マスター_OTA!$A$4:$A$29,0))/100),0)</f>
        <v>0</v>
      </c>
      <c r="F559" s="90" t="str">
        <f>IF(売上入力!A189="","",売上入力!A189)</f>
        <v/>
      </c>
      <c r="G559" s="16" t="s">
        <v>384</v>
      </c>
    </row>
    <row r="560" spans="1:7" ht="15" customHeight="1">
      <c r="A560" s="88" t="str">
        <f>IFERROR(IF(売上入力!A189="","",IF(INDEX(マスター_OTA!$C$4:$C$29,MATCH(売上入力!D189,マスター_OTA!$A$4:$A$29,0))=0,"",DATE(YEAR(売上入力!A189),MONTH(売上入力!A189)+1,IFERROR(INDEX(マスター_OTA!$F$4:$F$29,MATCH(売上入力!D189,マスター_OTA!$A$4:$A$29,0)),25)))),"")</f>
        <v/>
      </c>
      <c r="B560" s="16" t="str">
        <f>IF(売上入力!B189="","",売上入力!B189)</f>
        <v/>
      </c>
      <c r="C560" s="16" t="str">
        <f>IF(売上入力!C189="","",売上入力!C189)</f>
        <v/>
      </c>
      <c r="D560" s="16" t="str">
        <f>IF(売上入力!D189="","",売上入力!D189)</f>
        <v/>
      </c>
      <c r="E560" s="89">
        <f>IFERROR(IF(売上入力!E189="",0,売上入力!E189*INDEX(マスター_OTA!$C$4:$C$29,MATCH(売上入力!D189,マスター_OTA!$A$4:$A$29,0))/100),0)</f>
        <v>0</v>
      </c>
      <c r="F560" s="90" t="str">
        <f>IF(売上入力!A189="","",売上入力!A189)</f>
        <v/>
      </c>
      <c r="G560" s="16" t="s">
        <v>385</v>
      </c>
    </row>
    <row r="561" spans="1:7" ht="15" customHeight="1">
      <c r="A561" s="88" t="str">
        <f>IFERROR(IF(売上入力!A189="","",IF(INDEX(マスター_OTA!$D$4:$D$29,MATCH(売上入力!D189,マスター_OTA!$A$4:$A$29,0))=0,"",DATE(YEAR(売上入力!A189),MONTH(売上入力!A189)+2,IFERROR(INDEX(マスター_OTA!$G$4:$G$29,MATCH(売上入力!D189,マスター_OTA!$A$4:$A$29,0)),25)))),"")</f>
        <v/>
      </c>
      <c r="B561" s="16" t="str">
        <f>IF(売上入力!B189="","",売上入力!B189)</f>
        <v/>
      </c>
      <c r="C561" s="16" t="str">
        <f>IF(売上入力!C189="","",売上入力!C189)</f>
        <v/>
      </c>
      <c r="D561" s="16" t="str">
        <f>IF(売上入力!D189="","",売上入力!D189)</f>
        <v/>
      </c>
      <c r="E561" s="89">
        <f>IFERROR(IF(売上入力!E189="",0,売上入力!E189*INDEX(マスター_OTA!$D$4:$D$29,MATCH(売上入力!D189,マスター_OTA!$A$4:$A$29,0))/100),0)</f>
        <v>0</v>
      </c>
      <c r="F561" s="90" t="str">
        <f>IF(売上入力!A189="","",売上入力!A189)</f>
        <v/>
      </c>
      <c r="G561" s="16" t="s">
        <v>386</v>
      </c>
    </row>
    <row r="562" spans="1:7" ht="15" customHeight="1">
      <c r="A562" s="88" t="str">
        <f>IFERROR(IF(売上入力!A190="","",IF(INDEX(マスター_OTA!$B$4:$B$29,MATCH(売上入力!D190,マスター_OTA!$A$4:$A$29,0))=0,"",DATE(YEAR(売上入力!A190),MONTH(売上入力!A190),IFERROR(INDEX(マスター_OTA!$E$4:$E$29,MATCH(売上入力!D190,マスター_OTA!$A$4:$A$29,0)),28)))),"")</f>
        <v/>
      </c>
      <c r="B562" s="16" t="str">
        <f>IF(売上入力!B190="","",売上入力!B190)</f>
        <v/>
      </c>
      <c r="C562" s="16" t="str">
        <f>IF(売上入力!C190="","",売上入力!C190)</f>
        <v/>
      </c>
      <c r="D562" s="16" t="str">
        <f>IF(売上入力!D190="","",売上入力!D190)</f>
        <v/>
      </c>
      <c r="E562" s="89">
        <f>IFERROR(IF(売上入力!E190="",0,売上入力!E190*INDEX(マスター_OTA!$B$4:$B$29,MATCH(売上入力!D190,マスター_OTA!$A$4:$A$29,0))/100),0)</f>
        <v>0</v>
      </c>
      <c r="F562" s="90" t="str">
        <f>IF(売上入力!A190="","",売上入力!A190)</f>
        <v/>
      </c>
      <c r="G562" s="16" t="s">
        <v>384</v>
      </c>
    </row>
    <row r="563" spans="1:7" ht="15" customHeight="1">
      <c r="A563" s="88" t="str">
        <f>IFERROR(IF(売上入力!A190="","",IF(INDEX(マスター_OTA!$C$4:$C$29,MATCH(売上入力!D190,マスター_OTA!$A$4:$A$29,0))=0,"",DATE(YEAR(売上入力!A190),MONTH(売上入力!A190)+1,IFERROR(INDEX(マスター_OTA!$F$4:$F$29,MATCH(売上入力!D190,マスター_OTA!$A$4:$A$29,0)),25)))),"")</f>
        <v/>
      </c>
      <c r="B563" s="16" t="str">
        <f>IF(売上入力!B190="","",売上入力!B190)</f>
        <v/>
      </c>
      <c r="C563" s="16" t="str">
        <f>IF(売上入力!C190="","",売上入力!C190)</f>
        <v/>
      </c>
      <c r="D563" s="16" t="str">
        <f>IF(売上入力!D190="","",売上入力!D190)</f>
        <v/>
      </c>
      <c r="E563" s="89">
        <f>IFERROR(IF(売上入力!E190="",0,売上入力!E190*INDEX(マスター_OTA!$C$4:$C$29,MATCH(売上入力!D190,マスター_OTA!$A$4:$A$29,0))/100),0)</f>
        <v>0</v>
      </c>
      <c r="F563" s="90" t="str">
        <f>IF(売上入力!A190="","",売上入力!A190)</f>
        <v/>
      </c>
      <c r="G563" s="16" t="s">
        <v>385</v>
      </c>
    </row>
    <row r="564" spans="1:7" ht="15" customHeight="1">
      <c r="A564" s="88" t="str">
        <f>IFERROR(IF(売上入力!A190="","",IF(INDEX(マスター_OTA!$D$4:$D$29,MATCH(売上入力!D190,マスター_OTA!$A$4:$A$29,0))=0,"",DATE(YEAR(売上入力!A190),MONTH(売上入力!A190)+2,IFERROR(INDEX(マスター_OTA!$G$4:$G$29,MATCH(売上入力!D190,マスター_OTA!$A$4:$A$29,0)),25)))),"")</f>
        <v/>
      </c>
      <c r="B564" s="16" t="str">
        <f>IF(売上入力!B190="","",売上入力!B190)</f>
        <v/>
      </c>
      <c r="C564" s="16" t="str">
        <f>IF(売上入力!C190="","",売上入力!C190)</f>
        <v/>
      </c>
      <c r="D564" s="16" t="str">
        <f>IF(売上入力!D190="","",売上入力!D190)</f>
        <v/>
      </c>
      <c r="E564" s="89">
        <f>IFERROR(IF(売上入力!E190="",0,売上入力!E190*INDEX(マスター_OTA!$D$4:$D$29,MATCH(売上入力!D190,マスター_OTA!$A$4:$A$29,0))/100),0)</f>
        <v>0</v>
      </c>
      <c r="F564" s="90" t="str">
        <f>IF(売上入力!A190="","",売上入力!A190)</f>
        <v/>
      </c>
      <c r="G564" s="16" t="s">
        <v>386</v>
      </c>
    </row>
    <row r="565" spans="1:7" ht="15" customHeight="1">
      <c r="A565" s="88" t="str">
        <f>IFERROR(IF(売上入力!A191="","",IF(INDEX(マスター_OTA!$B$4:$B$29,MATCH(売上入力!D191,マスター_OTA!$A$4:$A$29,0))=0,"",DATE(YEAR(売上入力!A191),MONTH(売上入力!A191),IFERROR(INDEX(マスター_OTA!$E$4:$E$29,MATCH(売上入力!D191,マスター_OTA!$A$4:$A$29,0)),28)))),"")</f>
        <v/>
      </c>
      <c r="B565" s="16" t="str">
        <f>IF(売上入力!B191="","",売上入力!B191)</f>
        <v/>
      </c>
      <c r="C565" s="16" t="str">
        <f>IF(売上入力!C191="","",売上入力!C191)</f>
        <v/>
      </c>
      <c r="D565" s="16" t="str">
        <f>IF(売上入力!D191="","",売上入力!D191)</f>
        <v/>
      </c>
      <c r="E565" s="89">
        <f>IFERROR(IF(売上入力!E191="",0,売上入力!E191*INDEX(マスター_OTA!$B$4:$B$29,MATCH(売上入力!D191,マスター_OTA!$A$4:$A$29,0))/100),0)</f>
        <v>0</v>
      </c>
      <c r="F565" s="90" t="str">
        <f>IF(売上入力!A191="","",売上入力!A191)</f>
        <v/>
      </c>
      <c r="G565" s="16" t="s">
        <v>384</v>
      </c>
    </row>
    <row r="566" spans="1:7" ht="15" customHeight="1">
      <c r="A566" s="88" t="str">
        <f>IFERROR(IF(売上入力!A191="","",IF(INDEX(マスター_OTA!$C$4:$C$29,MATCH(売上入力!D191,マスター_OTA!$A$4:$A$29,0))=0,"",DATE(YEAR(売上入力!A191),MONTH(売上入力!A191)+1,IFERROR(INDEX(マスター_OTA!$F$4:$F$29,MATCH(売上入力!D191,マスター_OTA!$A$4:$A$29,0)),25)))),"")</f>
        <v/>
      </c>
      <c r="B566" s="16" t="str">
        <f>IF(売上入力!B191="","",売上入力!B191)</f>
        <v/>
      </c>
      <c r="C566" s="16" t="str">
        <f>IF(売上入力!C191="","",売上入力!C191)</f>
        <v/>
      </c>
      <c r="D566" s="16" t="str">
        <f>IF(売上入力!D191="","",売上入力!D191)</f>
        <v/>
      </c>
      <c r="E566" s="89">
        <f>IFERROR(IF(売上入力!E191="",0,売上入力!E191*INDEX(マスター_OTA!$C$4:$C$29,MATCH(売上入力!D191,マスター_OTA!$A$4:$A$29,0))/100),0)</f>
        <v>0</v>
      </c>
      <c r="F566" s="90" t="str">
        <f>IF(売上入力!A191="","",売上入力!A191)</f>
        <v/>
      </c>
      <c r="G566" s="16" t="s">
        <v>385</v>
      </c>
    </row>
    <row r="567" spans="1:7" ht="15" customHeight="1">
      <c r="A567" s="88" t="str">
        <f>IFERROR(IF(売上入力!A191="","",IF(INDEX(マスター_OTA!$D$4:$D$29,MATCH(売上入力!D191,マスター_OTA!$A$4:$A$29,0))=0,"",DATE(YEAR(売上入力!A191),MONTH(売上入力!A191)+2,IFERROR(INDEX(マスター_OTA!$G$4:$G$29,MATCH(売上入力!D191,マスター_OTA!$A$4:$A$29,0)),25)))),"")</f>
        <v/>
      </c>
      <c r="B567" s="16" t="str">
        <f>IF(売上入力!B191="","",売上入力!B191)</f>
        <v/>
      </c>
      <c r="C567" s="16" t="str">
        <f>IF(売上入力!C191="","",売上入力!C191)</f>
        <v/>
      </c>
      <c r="D567" s="16" t="str">
        <f>IF(売上入力!D191="","",売上入力!D191)</f>
        <v/>
      </c>
      <c r="E567" s="89">
        <f>IFERROR(IF(売上入力!E191="",0,売上入力!E191*INDEX(マスター_OTA!$D$4:$D$29,MATCH(売上入力!D191,マスター_OTA!$A$4:$A$29,0))/100),0)</f>
        <v>0</v>
      </c>
      <c r="F567" s="90" t="str">
        <f>IF(売上入力!A191="","",売上入力!A191)</f>
        <v/>
      </c>
      <c r="G567" s="16" t="s">
        <v>386</v>
      </c>
    </row>
    <row r="568" spans="1:7" ht="15" customHeight="1">
      <c r="A568" s="88" t="str">
        <f>IFERROR(IF(売上入力!A192="","",IF(INDEX(マスター_OTA!$B$4:$B$29,MATCH(売上入力!D192,マスター_OTA!$A$4:$A$29,0))=0,"",DATE(YEAR(売上入力!A192),MONTH(売上入力!A192),IFERROR(INDEX(マスター_OTA!$E$4:$E$29,MATCH(売上入力!D192,マスター_OTA!$A$4:$A$29,0)),28)))),"")</f>
        <v/>
      </c>
      <c r="B568" s="16" t="str">
        <f>IF(売上入力!B192="","",売上入力!B192)</f>
        <v/>
      </c>
      <c r="C568" s="16" t="str">
        <f>IF(売上入力!C192="","",売上入力!C192)</f>
        <v/>
      </c>
      <c r="D568" s="16" t="str">
        <f>IF(売上入力!D192="","",売上入力!D192)</f>
        <v/>
      </c>
      <c r="E568" s="89">
        <f>IFERROR(IF(売上入力!E192="",0,売上入力!E192*INDEX(マスター_OTA!$B$4:$B$29,MATCH(売上入力!D192,マスター_OTA!$A$4:$A$29,0))/100),0)</f>
        <v>0</v>
      </c>
      <c r="F568" s="90" t="str">
        <f>IF(売上入力!A192="","",売上入力!A192)</f>
        <v/>
      </c>
      <c r="G568" s="16" t="s">
        <v>384</v>
      </c>
    </row>
    <row r="569" spans="1:7" ht="15" customHeight="1">
      <c r="A569" s="88" t="str">
        <f>IFERROR(IF(売上入力!A192="","",IF(INDEX(マスター_OTA!$C$4:$C$29,MATCH(売上入力!D192,マスター_OTA!$A$4:$A$29,0))=0,"",DATE(YEAR(売上入力!A192),MONTH(売上入力!A192)+1,IFERROR(INDEX(マスター_OTA!$F$4:$F$29,MATCH(売上入力!D192,マスター_OTA!$A$4:$A$29,0)),25)))),"")</f>
        <v/>
      </c>
      <c r="B569" s="16" t="str">
        <f>IF(売上入力!B192="","",売上入力!B192)</f>
        <v/>
      </c>
      <c r="C569" s="16" t="str">
        <f>IF(売上入力!C192="","",売上入力!C192)</f>
        <v/>
      </c>
      <c r="D569" s="16" t="str">
        <f>IF(売上入力!D192="","",売上入力!D192)</f>
        <v/>
      </c>
      <c r="E569" s="89">
        <f>IFERROR(IF(売上入力!E192="",0,売上入力!E192*INDEX(マスター_OTA!$C$4:$C$29,MATCH(売上入力!D192,マスター_OTA!$A$4:$A$29,0))/100),0)</f>
        <v>0</v>
      </c>
      <c r="F569" s="90" t="str">
        <f>IF(売上入力!A192="","",売上入力!A192)</f>
        <v/>
      </c>
      <c r="G569" s="16" t="s">
        <v>385</v>
      </c>
    </row>
    <row r="570" spans="1:7" ht="15" customHeight="1">
      <c r="A570" s="88" t="str">
        <f>IFERROR(IF(売上入力!A192="","",IF(INDEX(マスター_OTA!$D$4:$D$29,MATCH(売上入力!D192,マスター_OTA!$A$4:$A$29,0))=0,"",DATE(YEAR(売上入力!A192),MONTH(売上入力!A192)+2,IFERROR(INDEX(マスター_OTA!$G$4:$G$29,MATCH(売上入力!D192,マスター_OTA!$A$4:$A$29,0)),25)))),"")</f>
        <v/>
      </c>
      <c r="B570" s="16" t="str">
        <f>IF(売上入力!B192="","",売上入力!B192)</f>
        <v/>
      </c>
      <c r="C570" s="16" t="str">
        <f>IF(売上入力!C192="","",売上入力!C192)</f>
        <v/>
      </c>
      <c r="D570" s="16" t="str">
        <f>IF(売上入力!D192="","",売上入力!D192)</f>
        <v/>
      </c>
      <c r="E570" s="89">
        <f>IFERROR(IF(売上入力!E192="",0,売上入力!E192*INDEX(マスター_OTA!$D$4:$D$29,MATCH(売上入力!D192,マスター_OTA!$A$4:$A$29,0))/100),0)</f>
        <v>0</v>
      </c>
      <c r="F570" s="90" t="str">
        <f>IF(売上入力!A192="","",売上入力!A192)</f>
        <v/>
      </c>
      <c r="G570" s="16" t="s">
        <v>386</v>
      </c>
    </row>
    <row r="571" spans="1:7" ht="15" customHeight="1">
      <c r="A571" s="88" t="str">
        <f>IFERROR(IF(売上入力!A193="","",IF(INDEX(マスター_OTA!$B$4:$B$29,MATCH(売上入力!D193,マスター_OTA!$A$4:$A$29,0))=0,"",DATE(YEAR(売上入力!A193),MONTH(売上入力!A193),IFERROR(INDEX(マスター_OTA!$E$4:$E$29,MATCH(売上入力!D193,マスター_OTA!$A$4:$A$29,0)),28)))),"")</f>
        <v/>
      </c>
      <c r="B571" s="16" t="str">
        <f>IF(売上入力!B193="","",売上入力!B193)</f>
        <v/>
      </c>
      <c r="C571" s="16" t="str">
        <f>IF(売上入力!C193="","",売上入力!C193)</f>
        <v/>
      </c>
      <c r="D571" s="16" t="str">
        <f>IF(売上入力!D193="","",売上入力!D193)</f>
        <v/>
      </c>
      <c r="E571" s="89">
        <f>IFERROR(IF(売上入力!E193="",0,売上入力!E193*INDEX(マスター_OTA!$B$4:$B$29,MATCH(売上入力!D193,マスター_OTA!$A$4:$A$29,0))/100),0)</f>
        <v>0</v>
      </c>
      <c r="F571" s="90" t="str">
        <f>IF(売上入力!A193="","",売上入力!A193)</f>
        <v/>
      </c>
      <c r="G571" s="16" t="s">
        <v>384</v>
      </c>
    </row>
    <row r="572" spans="1:7" ht="15" customHeight="1">
      <c r="A572" s="88" t="str">
        <f>IFERROR(IF(売上入力!A193="","",IF(INDEX(マスター_OTA!$C$4:$C$29,MATCH(売上入力!D193,マスター_OTA!$A$4:$A$29,0))=0,"",DATE(YEAR(売上入力!A193),MONTH(売上入力!A193)+1,IFERROR(INDEX(マスター_OTA!$F$4:$F$29,MATCH(売上入力!D193,マスター_OTA!$A$4:$A$29,0)),25)))),"")</f>
        <v/>
      </c>
      <c r="B572" s="16" t="str">
        <f>IF(売上入力!B193="","",売上入力!B193)</f>
        <v/>
      </c>
      <c r="C572" s="16" t="str">
        <f>IF(売上入力!C193="","",売上入力!C193)</f>
        <v/>
      </c>
      <c r="D572" s="16" t="str">
        <f>IF(売上入力!D193="","",売上入力!D193)</f>
        <v/>
      </c>
      <c r="E572" s="89">
        <f>IFERROR(IF(売上入力!E193="",0,売上入力!E193*INDEX(マスター_OTA!$C$4:$C$29,MATCH(売上入力!D193,マスター_OTA!$A$4:$A$29,0))/100),0)</f>
        <v>0</v>
      </c>
      <c r="F572" s="90" t="str">
        <f>IF(売上入力!A193="","",売上入力!A193)</f>
        <v/>
      </c>
      <c r="G572" s="16" t="s">
        <v>385</v>
      </c>
    </row>
    <row r="573" spans="1:7" ht="15" customHeight="1">
      <c r="A573" s="88" t="str">
        <f>IFERROR(IF(売上入力!A193="","",IF(INDEX(マスター_OTA!$D$4:$D$29,MATCH(売上入力!D193,マスター_OTA!$A$4:$A$29,0))=0,"",DATE(YEAR(売上入力!A193),MONTH(売上入力!A193)+2,IFERROR(INDEX(マスター_OTA!$G$4:$G$29,MATCH(売上入力!D193,マスター_OTA!$A$4:$A$29,0)),25)))),"")</f>
        <v/>
      </c>
      <c r="B573" s="16" t="str">
        <f>IF(売上入力!B193="","",売上入力!B193)</f>
        <v/>
      </c>
      <c r="C573" s="16" t="str">
        <f>IF(売上入力!C193="","",売上入力!C193)</f>
        <v/>
      </c>
      <c r="D573" s="16" t="str">
        <f>IF(売上入力!D193="","",売上入力!D193)</f>
        <v/>
      </c>
      <c r="E573" s="89">
        <f>IFERROR(IF(売上入力!E193="",0,売上入力!E193*INDEX(マスター_OTA!$D$4:$D$29,MATCH(売上入力!D193,マスター_OTA!$A$4:$A$29,0))/100),0)</f>
        <v>0</v>
      </c>
      <c r="F573" s="90" t="str">
        <f>IF(売上入力!A193="","",売上入力!A193)</f>
        <v/>
      </c>
      <c r="G573" s="16" t="s">
        <v>386</v>
      </c>
    </row>
    <row r="574" spans="1:7" ht="15" customHeight="1">
      <c r="A574" s="88" t="str">
        <f>IFERROR(IF(売上入力!A194="","",IF(INDEX(マスター_OTA!$B$4:$B$29,MATCH(売上入力!D194,マスター_OTA!$A$4:$A$29,0))=0,"",DATE(YEAR(売上入力!A194),MONTH(売上入力!A194),IFERROR(INDEX(マスター_OTA!$E$4:$E$29,MATCH(売上入力!D194,マスター_OTA!$A$4:$A$29,0)),28)))),"")</f>
        <v/>
      </c>
      <c r="B574" s="16" t="str">
        <f>IF(売上入力!B194="","",売上入力!B194)</f>
        <v/>
      </c>
      <c r="C574" s="16" t="str">
        <f>IF(売上入力!C194="","",売上入力!C194)</f>
        <v/>
      </c>
      <c r="D574" s="16" t="str">
        <f>IF(売上入力!D194="","",売上入力!D194)</f>
        <v/>
      </c>
      <c r="E574" s="89">
        <f>IFERROR(IF(売上入力!E194="",0,売上入力!E194*INDEX(マスター_OTA!$B$4:$B$29,MATCH(売上入力!D194,マスター_OTA!$A$4:$A$29,0))/100),0)</f>
        <v>0</v>
      </c>
      <c r="F574" s="90" t="str">
        <f>IF(売上入力!A194="","",売上入力!A194)</f>
        <v/>
      </c>
      <c r="G574" s="16" t="s">
        <v>384</v>
      </c>
    </row>
    <row r="575" spans="1:7" ht="15" customHeight="1">
      <c r="A575" s="88" t="str">
        <f>IFERROR(IF(売上入力!A194="","",IF(INDEX(マスター_OTA!$C$4:$C$29,MATCH(売上入力!D194,マスター_OTA!$A$4:$A$29,0))=0,"",DATE(YEAR(売上入力!A194),MONTH(売上入力!A194)+1,IFERROR(INDEX(マスター_OTA!$F$4:$F$29,MATCH(売上入力!D194,マスター_OTA!$A$4:$A$29,0)),25)))),"")</f>
        <v/>
      </c>
      <c r="B575" s="16" t="str">
        <f>IF(売上入力!B194="","",売上入力!B194)</f>
        <v/>
      </c>
      <c r="C575" s="16" t="str">
        <f>IF(売上入力!C194="","",売上入力!C194)</f>
        <v/>
      </c>
      <c r="D575" s="16" t="str">
        <f>IF(売上入力!D194="","",売上入力!D194)</f>
        <v/>
      </c>
      <c r="E575" s="89">
        <f>IFERROR(IF(売上入力!E194="",0,売上入力!E194*INDEX(マスター_OTA!$C$4:$C$29,MATCH(売上入力!D194,マスター_OTA!$A$4:$A$29,0))/100),0)</f>
        <v>0</v>
      </c>
      <c r="F575" s="90" t="str">
        <f>IF(売上入力!A194="","",売上入力!A194)</f>
        <v/>
      </c>
      <c r="G575" s="16" t="s">
        <v>385</v>
      </c>
    </row>
    <row r="576" spans="1:7" ht="15" customHeight="1">
      <c r="A576" s="88" t="str">
        <f>IFERROR(IF(売上入力!A194="","",IF(INDEX(マスター_OTA!$D$4:$D$29,MATCH(売上入力!D194,マスター_OTA!$A$4:$A$29,0))=0,"",DATE(YEAR(売上入力!A194),MONTH(売上入力!A194)+2,IFERROR(INDEX(マスター_OTA!$G$4:$G$29,MATCH(売上入力!D194,マスター_OTA!$A$4:$A$29,0)),25)))),"")</f>
        <v/>
      </c>
      <c r="B576" s="16" t="str">
        <f>IF(売上入力!B194="","",売上入力!B194)</f>
        <v/>
      </c>
      <c r="C576" s="16" t="str">
        <f>IF(売上入力!C194="","",売上入力!C194)</f>
        <v/>
      </c>
      <c r="D576" s="16" t="str">
        <f>IF(売上入力!D194="","",売上入力!D194)</f>
        <v/>
      </c>
      <c r="E576" s="89">
        <f>IFERROR(IF(売上入力!E194="",0,売上入力!E194*INDEX(マスター_OTA!$D$4:$D$29,MATCH(売上入力!D194,マスター_OTA!$A$4:$A$29,0))/100),0)</f>
        <v>0</v>
      </c>
      <c r="F576" s="90" t="str">
        <f>IF(売上入力!A194="","",売上入力!A194)</f>
        <v/>
      </c>
      <c r="G576" s="16" t="s">
        <v>386</v>
      </c>
    </row>
    <row r="577" spans="1:7" ht="15" customHeight="1">
      <c r="A577" s="88" t="str">
        <f>IFERROR(IF(売上入力!A195="","",IF(INDEX(マスター_OTA!$B$4:$B$29,MATCH(売上入力!D195,マスター_OTA!$A$4:$A$29,0))=0,"",DATE(YEAR(売上入力!A195),MONTH(売上入力!A195),IFERROR(INDEX(マスター_OTA!$E$4:$E$29,MATCH(売上入力!D195,マスター_OTA!$A$4:$A$29,0)),28)))),"")</f>
        <v/>
      </c>
      <c r="B577" s="16" t="str">
        <f>IF(売上入力!B195="","",売上入力!B195)</f>
        <v/>
      </c>
      <c r="C577" s="16" t="str">
        <f>IF(売上入力!C195="","",売上入力!C195)</f>
        <v/>
      </c>
      <c r="D577" s="16" t="str">
        <f>IF(売上入力!D195="","",売上入力!D195)</f>
        <v/>
      </c>
      <c r="E577" s="89">
        <f>IFERROR(IF(売上入力!E195="",0,売上入力!E195*INDEX(マスター_OTA!$B$4:$B$29,MATCH(売上入力!D195,マスター_OTA!$A$4:$A$29,0))/100),0)</f>
        <v>0</v>
      </c>
      <c r="F577" s="90" t="str">
        <f>IF(売上入力!A195="","",売上入力!A195)</f>
        <v/>
      </c>
      <c r="G577" s="16" t="s">
        <v>384</v>
      </c>
    </row>
    <row r="578" spans="1:7" ht="15" customHeight="1">
      <c r="A578" s="88" t="str">
        <f>IFERROR(IF(売上入力!A195="","",IF(INDEX(マスター_OTA!$C$4:$C$29,MATCH(売上入力!D195,マスター_OTA!$A$4:$A$29,0))=0,"",DATE(YEAR(売上入力!A195),MONTH(売上入力!A195)+1,IFERROR(INDEX(マスター_OTA!$F$4:$F$29,MATCH(売上入力!D195,マスター_OTA!$A$4:$A$29,0)),25)))),"")</f>
        <v/>
      </c>
      <c r="B578" s="16" t="str">
        <f>IF(売上入力!B195="","",売上入力!B195)</f>
        <v/>
      </c>
      <c r="C578" s="16" t="str">
        <f>IF(売上入力!C195="","",売上入力!C195)</f>
        <v/>
      </c>
      <c r="D578" s="16" t="str">
        <f>IF(売上入力!D195="","",売上入力!D195)</f>
        <v/>
      </c>
      <c r="E578" s="89">
        <f>IFERROR(IF(売上入力!E195="",0,売上入力!E195*INDEX(マスター_OTA!$C$4:$C$29,MATCH(売上入力!D195,マスター_OTA!$A$4:$A$29,0))/100),0)</f>
        <v>0</v>
      </c>
      <c r="F578" s="90" t="str">
        <f>IF(売上入力!A195="","",売上入力!A195)</f>
        <v/>
      </c>
      <c r="G578" s="16" t="s">
        <v>385</v>
      </c>
    </row>
    <row r="579" spans="1:7" ht="15" customHeight="1">
      <c r="A579" s="88" t="str">
        <f>IFERROR(IF(売上入力!A195="","",IF(INDEX(マスター_OTA!$D$4:$D$29,MATCH(売上入力!D195,マスター_OTA!$A$4:$A$29,0))=0,"",DATE(YEAR(売上入力!A195),MONTH(売上入力!A195)+2,IFERROR(INDEX(マスター_OTA!$G$4:$G$29,MATCH(売上入力!D195,マスター_OTA!$A$4:$A$29,0)),25)))),"")</f>
        <v/>
      </c>
      <c r="B579" s="16" t="str">
        <f>IF(売上入力!B195="","",売上入力!B195)</f>
        <v/>
      </c>
      <c r="C579" s="16" t="str">
        <f>IF(売上入力!C195="","",売上入力!C195)</f>
        <v/>
      </c>
      <c r="D579" s="16" t="str">
        <f>IF(売上入力!D195="","",売上入力!D195)</f>
        <v/>
      </c>
      <c r="E579" s="89">
        <f>IFERROR(IF(売上入力!E195="",0,売上入力!E195*INDEX(マスター_OTA!$D$4:$D$29,MATCH(売上入力!D195,マスター_OTA!$A$4:$A$29,0))/100),0)</f>
        <v>0</v>
      </c>
      <c r="F579" s="90" t="str">
        <f>IF(売上入力!A195="","",売上入力!A195)</f>
        <v/>
      </c>
      <c r="G579" s="16" t="s">
        <v>386</v>
      </c>
    </row>
    <row r="580" spans="1:7" ht="15" customHeight="1">
      <c r="A580" s="88" t="str">
        <f>IFERROR(IF(売上入力!A196="","",IF(INDEX(マスター_OTA!$B$4:$B$29,MATCH(売上入力!D196,マスター_OTA!$A$4:$A$29,0))=0,"",DATE(YEAR(売上入力!A196),MONTH(売上入力!A196),IFERROR(INDEX(マスター_OTA!$E$4:$E$29,MATCH(売上入力!D196,マスター_OTA!$A$4:$A$29,0)),28)))),"")</f>
        <v/>
      </c>
      <c r="B580" s="16" t="str">
        <f>IF(売上入力!B196="","",売上入力!B196)</f>
        <v/>
      </c>
      <c r="C580" s="16" t="str">
        <f>IF(売上入力!C196="","",売上入力!C196)</f>
        <v/>
      </c>
      <c r="D580" s="16" t="str">
        <f>IF(売上入力!D196="","",売上入力!D196)</f>
        <v/>
      </c>
      <c r="E580" s="89">
        <f>IFERROR(IF(売上入力!E196="",0,売上入力!E196*INDEX(マスター_OTA!$B$4:$B$29,MATCH(売上入力!D196,マスター_OTA!$A$4:$A$29,0))/100),0)</f>
        <v>0</v>
      </c>
      <c r="F580" s="90" t="str">
        <f>IF(売上入力!A196="","",売上入力!A196)</f>
        <v/>
      </c>
      <c r="G580" s="16" t="s">
        <v>384</v>
      </c>
    </row>
    <row r="581" spans="1:7" ht="15" customHeight="1">
      <c r="A581" s="88" t="str">
        <f>IFERROR(IF(売上入力!A196="","",IF(INDEX(マスター_OTA!$C$4:$C$29,MATCH(売上入力!D196,マスター_OTA!$A$4:$A$29,0))=0,"",DATE(YEAR(売上入力!A196),MONTH(売上入力!A196)+1,IFERROR(INDEX(マスター_OTA!$F$4:$F$29,MATCH(売上入力!D196,マスター_OTA!$A$4:$A$29,0)),25)))),"")</f>
        <v/>
      </c>
      <c r="B581" s="16" t="str">
        <f>IF(売上入力!B196="","",売上入力!B196)</f>
        <v/>
      </c>
      <c r="C581" s="16" t="str">
        <f>IF(売上入力!C196="","",売上入力!C196)</f>
        <v/>
      </c>
      <c r="D581" s="16" t="str">
        <f>IF(売上入力!D196="","",売上入力!D196)</f>
        <v/>
      </c>
      <c r="E581" s="89">
        <f>IFERROR(IF(売上入力!E196="",0,売上入力!E196*INDEX(マスター_OTA!$C$4:$C$29,MATCH(売上入力!D196,マスター_OTA!$A$4:$A$29,0))/100),0)</f>
        <v>0</v>
      </c>
      <c r="F581" s="90" t="str">
        <f>IF(売上入力!A196="","",売上入力!A196)</f>
        <v/>
      </c>
      <c r="G581" s="16" t="s">
        <v>385</v>
      </c>
    </row>
    <row r="582" spans="1:7" ht="15" customHeight="1">
      <c r="A582" s="88" t="str">
        <f>IFERROR(IF(売上入力!A196="","",IF(INDEX(マスター_OTA!$D$4:$D$29,MATCH(売上入力!D196,マスター_OTA!$A$4:$A$29,0))=0,"",DATE(YEAR(売上入力!A196),MONTH(売上入力!A196)+2,IFERROR(INDEX(マスター_OTA!$G$4:$G$29,MATCH(売上入力!D196,マスター_OTA!$A$4:$A$29,0)),25)))),"")</f>
        <v/>
      </c>
      <c r="B582" s="16" t="str">
        <f>IF(売上入力!B196="","",売上入力!B196)</f>
        <v/>
      </c>
      <c r="C582" s="16" t="str">
        <f>IF(売上入力!C196="","",売上入力!C196)</f>
        <v/>
      </c>
      <c r="D582" s="16" t="str">
        <f>IF(売上入力!D196="","",売上入力!D196)</f>
        <v/>
      </c>
      <c r="E582" s="89">
        <f>IFERROR(IF(売上入力!E196="",0,売上入力!E196*INDEX(マスター_OTA!$D$4:$D$29,MATCH(売上入力!D196,マスター_OTA!$A$4:$A$29,0))/100),0)</f>
        <v>0</v>
      </c>
      <c r="F582" s="90" t="str">
        <f>IF(売上入力!A196="","",売上入力!A196)</f>
        <v/>
      </c>
      <c r="G582" s="16" t="s">
        <v>386</v>
      </c>
    </row>
    <row r="583" spans="1:7" ht="15" customHeight="1">
      <c r="A583" s="88" t="str">
        <f>IFERROR(IF(売上入力!A197="","",IF(INDEX(マスター_OTA!$B$4:$B$29,MATCH(売上入力!D197,マスター_OTA!$A$4:$A$29,0))=0,"",DATE(YEAR(売上入力!A197),MONTH(売上入力!A197),IFERROR(INDEX(マスター_OTA!$E$4:$E$29,MATCH(売上入力!D197,マスター_OTA!$A$4:$A$29,0)),28)))),"")</f>
        <v/>
      </c>
      <c r="B583" s="16" t="str">
        <f>IF(売上入力!B197="","",売上入力!B197)</f>
        <v/>
      </c>
      <c r="C583" s="16" t="str">
        <f>IF(売上入力!C197="","",売上入力!C197)</f>
        <v/>
      </c>
      <c r="D583" s="16" t="str">
        <f>IF(売上入力!D197="","",売上入力!D197)</f>
        <v/>
      </c>
      <c r="E583" s="89">
        <f>IFERROR(IF(売上入力!E197="",0,売上入力!E197*INDEX(マスター_OTA!$B$4:$B$29,MATCH(売上入力!D197,マスター_OTA!$A$4:$A$29,0))/100),0)</f>
        <v>0</v>
      </c>
      <c r="F583" s="90" t="str">
        <f>IF(売上入力!A197="","",売上入力!A197)</f>
        <v/>
      </c>
      <c r="G583" s="16" t="s">
        <v>384</v>
      </c>
    </row>
    <row r="584" spans="1:7" ht="15" customHeight="1">
      <c r="A584" s="88" t="str">
        <f>IFERROR(IF(売上入力!A197="","",IF(INDEX(マスター_OTA!$C$4:$C$29,MATCH(売上入力!D197,マスター_OTA!$A$4:$A$29,0))=0,"",DATE(YEAR(売上入力!A197),MONTH(売上入力!A197)+1,IFERROR(INDEX(マスター_OTA!$F$4:$F$29,MATCH(売上入力!D197,マスター_OTA!$A$4:$A$29,0)),25)))),"")</f>
        <v/>
      </c>
      <c r="B584" s="16" t="str">
        <f>IF(売上入力!B197="","",売上入力!B197)</f>
        <v/>
      </c>
      <c r="C584" s="16" t="str">
        <f>IF(売上入力!C197="","",売上入力!C197)</f>
        <v/>
      </c>
      <c r="D584" s="16" t="str">
        <f>IF(売上入力!D197="","",売上入力!D197)</f>
        <v/>
      </c>
      <c r="E584" s="89">
        <f>IFERROR(IF(売上入力!E197="",0,売上入力!E197*INDEX(マスター_OTA!$C$4:$C$29,MATCH(売上入力!D197,マスター_OTA!$A$4:$A$29,0))/100),0)</f>
        <v>0</v>
      </c>
      <c r="F584" s="90" t="str">
        <f>IF(売上入力!A197="","",売上入力!A197)</f>
        <v/>
      </c>
      <c r="G584" s="16" t="s">
        <v>385</v>
      </c>
    </row>
    <row r="585" spans="1:7" ht="15" customHeight="1">
      <c r="A585" s="88" t="str">
        <f>IFERROR(IF(売上入力!A197="","",IF(INDEX(マスター_OTA!$D$4:$D$29,MATCH(売上入力!D197,マスター_OTA!$A$4:$A$29,0))=0,"",DATE(YEAR(売上入力!A197),MONTH(売上入力!A197)+2,IFERROR(INDEX(マスター_OTA!$G$4:$G$29,MATCH(売上入力!D197,マスター_OTA!$A$4:$A$29,0)),25)))),"")</f>
        <v/>
      </c>
      <c r="B585" s="16" t="str">
        <f>IF(売上入力!B197="","",売上入力!B197)</f>
        <v/>
      </c>
      <c r="C585" s="16" t="str">
        <f>IF(売上入力!C197="","",売上入力!C197)</f>
        <v/>
      </c>
      <c r="D585" s="16" t="str">
        <f>IF(売上入力!D197="","",売上入力!D197)</f>
        <v/>
      </c>
      <c r="E585" s="89">
        <f>IFERROR(IF(売上入力!E197="",0,売上入力!E197*INDEX(マスター_OTA!$D$4:$D$29,MATCH(売上入力!D197,マスター_OTA!$A$4:$A$29,0))/100),0)</f>
        <v>0</v>
      </c>
      <c r="F585" s="90" t="str">
        <f>IF(売上入力!A197="","",売上入力!A197)</f>
        <v/>
      </c>
      <c r="G585" s="16" t="s">
        <v>386</v>
      </c>
    </row>
    <row r="586" spans="1:7" ht="15" customHeight="1">
      <c r="A586" s="88" t="str">
        <f>IFERROR(IF(売上入力!A198="","",IF(INDEX(マスター_OTA!$B$4:$B$29,MATCH(売上入力!D198,マスター_OTA!$A$4:$A$29,0))=0,"",DATE(YEAR(売上入力!A198),MONTH(売上入力!A198),IFERROR(INDEX(マスター_OTA!$E$4:$E$29,MATCH(売上入力!D198,マスター_OTA!$A$4:$A$29,0)),28)))),"")</f>
        <v/>
      </c>
      <c r="B586" s="16" t="str">
        <f>IF(売上入力!B198="","",売上入力!B198)</f>
        <v/>
      </c>
      <c r="C586" s="16" t="str">
        <f>IF(売上入力!C198="","",売上入力!C198)</f>
        <v/>
      </c>
      <c r="D586" s="16" t="str">
        <f>IF(売上入力!D198="","",売上入力!D198)</f>
        <v/>
      </c>
      <c r="E586" s="89">
        <f>IFERROR(IF(売上入力!E198="",0,売上入力!E198*INDEX(マスター_OTA!$B$4:$B$29,MATCH(売上入力!D198,マスター_OTA!$A$4:$A$29,0))/100),0)</f>
        <v>0</v>
      </c>
      <c r="F586" s="90" t="str">
        <f>IF(売上入力!A198="","",売上入力!A198)</f>
        <v/>
      </c>
      <c r="G586" s="16" t="s">
        <v>384</v>
      </c>
    </row>
    <row r="587" spans="1:7" ht="15" customHeight="1">
      <c r="A587" s="88" t="str">
        <f>IFERROR(IF(売上入力!A198="","",IF(INDEX(マスター_OTA!$C$4:$C$29,MATCH(売上入力!D198,マスター_OTA!$A$4:$A$29,0))=0,"",DATE(YEAR(売上入力!A198),MONTH(売上入力!A198)+1,IFERROR(INDEX(マスター_OTA!$F$4:$F$29,MATCH(売上入力!D198,マスター_OTA!$A$4:$A$29,0)),25)))),"")</f>
        <v/>
      </c>
      <c r="B587" s="16" t="str">
        <f>IF(売上入力!B198="","",売上入力!B198)</f>
        <v/>
      </c>
      <c r="C587" s="16" t="str">
        <f>IF(売上入力!C198="","",売上入力!C198)</f>
        <v/>
      </c>
      <c r="D587" s="16" t="str">
        <f>IF(売上入力!D198="","",売上入力!D198)</f>
        <v/>
      </c>
      <c r="E587" s="89">
        <f>IFERROR(IF(売上入力!E198="",0,売上入力!E198*INDEX(マスター_OTA!$C$4:$C$29,MATCH(売上入力!D198,マスター_OTA!$A$4:$A$29,0))/100),0)</f>
        <v>0</v>
      </c>
      <c r="F587" s="90" t="str">
        <f>IF(売上入力!A198="","",売上入力!A198)</f>
        <v/>
      </c>
      <c r="G587" s="16" t="s">
        <v>385</v>
      </c>
    </row>
    <row r="588" spans="1:7" ht="15" customHeight="1">
      <c r="A588" s="88" t="str">
        <f>IFERROR(IF(売上入力!A198="","",IF(INDEX(マスター_OTA!$D$4:$D$29,MATCH(売上入力!D198,マスター_OTA!$A$4:$A$29,0))=0,"",DATE(YEAR(売上入力!A198),MONTH(売上入力!A198)+2,IFERROR(INDEX(マスター_OTA!$G$4:$G$29,MATCH(売上入力!D198,マスター_OTA!$A$4:$A$29,0)),25)))),"")</f>
        <v/>
      </c>
      <c r="B588" s="16" t="str">
        <f>IF(売上入力!B198="","",売上入力!B198)</f>
        <v/>
      </c>
      <c r="C588" s="16" t="str">
        <f>IF(売上入力!C198="","",売上入力!C198)</f>
        <v/>
      </c>
      <c r="D588" s="16" t="str">
        <f>IF(売上入力!D198="","",売上入力!D198)</f>
        <v/>
      </c>
      <c r="E588" s="89">
        <f>IFERROR(IF(売上入力!E198="",0,売上入力!E198*INDEX(マスター_OTA!$D$4:$D$29,MATCH(売上入力!D198,マスター_OTA!$A$4:$A$29,0))/100),0)</f>
        <v>0</v>
      </c>
      <c r="F588" s="90" t="str">
        <f>IF(売上入力!A198="","",売上入力!A198)</f>
        <v/>
      </c>
      <c r="G588" s="16" t="s">
        <v>386</v>
      </c>
    </row>
    <row r="589" spans="1:7" ht="15" customHeight="1">
      <c r="A589" s="88" t="str">
        <f>IFERROR(IF(売上入力!A199="","",IF(INDEX(マスター_OTA!$B$4:$B$29,MATCH(売上入力!D199,マスター_OTA!$A$4:$A$29,0))=0,"",DATE(YEAR(売上入力!A199),MONTH(売上入力!A199),IFERROR(INDEX(マスター_OTA!$E$4:$E$29,MATCH(売上入力!D199,マスター_OTA!$A$4:$A$29,0)),28)))),"")</f>
        <v/>
      </c>
      <c r="B589" s="16" t="str">
        <f>IF(売上入力!B199="","",売上入力!B199)</f>
        <v/>
      </c>
      <c r="C589" s="16" t="str">
        <f>IF(売上入力!C199="","",売上入力!C199)</f>
        <v/>
      </c>
      <c r="D589" s="16" t="str">
        <f>IF(売上入力!D199="","",売上入力!D199)</f>
        <v/>
      </c>
      <c r="E589" s="89">
        <f>IFERROR(IF(売上入力!E199="",0,売上入力!E199*INDEX(マスター_OTA!$B$4:$B$29,MATCH(売上入力!D199,マスター_OTA!$A$4:$A$29,0))/100),0)</f>
        <v>0</v>
      </c>
      <c r="F589" s="90" t="str">
        <f>IF(売上入力!A199="","",売上入力!A199)</f>
        <v/>
      </c>
      <c r="G589" s="16" t="s">
        <v>384</v>
      </c>
    </row>
    <row r="590" spans="1:7" ht="15" customHeight="1">
      <c r="A590" s="88" t="str">
        <f>IFERROR(IF(売上入力!A199="","",IF(INDEX(マスター_OTA!$C$4:$C$29,MATCH(売上入力!D199,マスター_OTA!$A$4:$A$29,0))=0,"",DATE(YEAR(売上入力!A199),MONTH(売上入力!A199)+1,IFERROR(INDEX(マスター_OTA!$F$4:$F$29,MATCH(売上入力!D199,マスター_OTA!$A$4:$A$29,0)),25)))),"")</f>
        <v/>
      </c>
      <c r="B590" s="16" t="str">
        <f>IF(売上入力!B199="","",売上入力!B199)</f>
        <v/>
      </c>
      <c r="C590" s="16" t="str">
        <f>IF(売上入力!C199="","",売上入力!C199)</f>
        <v/>
      </c>
      <c r="D590" s="16" t="str">
        <f>IF(売上入力!D199="","",売上入力!D199)</f>
        <v/>
      </c>
      <c r="E590" s="89">
        <f>IFERROR(IF(売上入力!E199="",0,売上入力!E199*INDEX(マスター_OTA!$C$4:$C$29,MATCH(売上入力!D199,マスター_OTA!$A$4:$A$29,0))/100),0)</f>
        <v>0</v>
      </c>
      <c r="F590" s="90" t="str">
        <f>IF(売上入力!A199="","",売上入力!A199)</f>
        <v/>
      </c>
      <c r="G590" s="16" t="s">
        <v>385</v>
      </c>
    </row>
    <row r="591" spans="1:7" ht="15" customHeight="1">
      <c r="A591" s="88" t="str">
        <f>IFERROR(IF(売上入力!A199="","",IF(INDEX(マスター_OTA!$D$4:$D$29,MATCH(売上入力!D199,マスター_OTA!$A$4:$A$29,0))=0,"",DATE(YEAR(売上入力!A199),MONTH(売上入力!A199)+2,IFERROR(INDEX(マスター_OTA!$G$4:$G$29,MATCH(売上入力!D199,マスター_OTA!$A$4:$A$29,0)),25)))),"")</f>
        <v/>
      </c>
      <c r="B591" s="16" t="str">
        <f>IF(売上入力!B199="","",売上入力!B199)</f>
        <v/>
      </c>
      <c r="C591" s="16" t="str">
        <f>IF(売上入力!C199="","",売上入力!C199)</f>
        <v/>
      </c>
      <c r="D591" s="16" t="str">
        <f>IF(売上入力!D199="","",売上入力!D199)</f>
        <v/>
      </c>
      <c r="E591" s="89">
        <f>IFERROR(IF(売上入力!E199="",0,売上入力!E199*INDEX(マスター_OTA!$D$4:$D$29,MATCH(売上入力!D199,マスター_OTA!$A$4:$A$29,0))/100),0)</f>
        <v>0</v>
      </c>
      <c r="F591" s="90" t="str">
        <f>IF(売上入力!A199="","",売上入力!A199)</f>
        <v/>
      </c>
      <c r="G591" s="16" t="s">
        <v>386</v>
      </c>
    </row>
    <row r="592" spans="1:7" ht="15" customHeight="1">
      <c r="A592" s="88" t="str">
        <f>IFERROR(IF(売上入力!A200="","",IF(INDEX(マスター_OTA!$B$4:$B$29,MATCH(売上入力!D200,マスター_OTA!$A$4:$A$29,0))=0,"",DATE(YEAR(売上入力!A200),MONTH(売上入力!A200),IFERROR(INDEX(マスター_OTA!$E$4:$E$29,MATCH(売上入力!D200,マスター_OTA!$A$4:$A$29,0)),28)))),"")</f>
        <v/>
      </c>
      <c r="B592" s="16" t="str">
        <f>IF(売上入力!B200="","",売上入力!B200)</f>
        <v/>
      </c>
      <c r="C592" s="16" t="str">
        <f>IF(売上入力!C200="","",売上入力!C200)</f>
        <v/>
      </c>
      <c r="D592" s="16" t="str">
        <f>IF(売上入力!D200="","",売上入力!D200)</f>
        <v/>
      </c>
      <c r="E592" s="89">
        <f>IFERROR(IF(売上入力!E200="",0,売上入力!E200*INDEX(マスター_OTA!$B$4:$B$29,MATCH(売上入力!D200,マスター_OTA!$A$4:$A$29,0))/100),0)</f>
        <v>0</v>
      </c>
      <c r="F592" s="90" t="str">
        <f>IF(売上入力!A200="","",売上入力!A200)</f>
        <v/>
      </c>
      <c r="G592" s="16" t="s">
        <v>384</v>
      </c>
    </row>
    <row r="593" spans="1:7" ht="15" customHeight="1">
      <c r="A593" s="88" t="str">
        <f>IFERROR(IF(売上入力!A200="","",IF(INDEX(マスター_OTA!$C$4:$C$29,MATCH(売上入力!D200,マスター_OTA!$A$4:$A$29,0))=0,"",DATE(YEAR(売上入力!A200),MONTH(売上入力!A200)+1,IFERROR(INDEX(マスター_OTA!$F$4:$F$29,MATCH(売上入力!D200,マスター_OTA!$A$4:$A$29,0)),25)))),"")</f>
        <v/>
      </c>
      <c r="B593" s="16" t="str">
        <f>IF(売上入力!B200="","",売上入力!B200)</f>
        <v/>
      </c>
      <c r="C593" s="16" t="str">
        <f>IF(売上入力!C200="","",売上入力!C200)</f>
        <v/>
      </c>
      <c r="D593" s="16" t="str">
        <f>IF(売上入力!D200="","",売上入力!D200)</f>
        <v/>
      </c>
      <c r="E593" s="89">
        <f>IFERROR(IF(売上入力!E200="",0,売上入力!E200*INDEX(マスター_OTA!$C$4:$C$29,MATCH(売上入力!D200,マスター_OTA!$A$4:$A$29,0))/100),0)</f>
        <v>0</v>
      </c>
      <c r="F593" s="90" t="str">
        <f>IF(売上入力!A200="","",売上入力!A200)</f>
        <v/>
      </c>
      <c r="G593" s="16" t="s">
        <v>385</v>
      </c>
    </row>
    <row r="594" spans="1:7" ht="15" customHeight="1">
      <c r="A594" s="88" t="str">
        <f>IFERROR(IF(売上入力!A200="","",IF(INDEX(マスター_OTA!$D$4:$D$29,MATCH(売上入力!D200,マスター_OTA!$A$4:$A$29,0))=0,"",DATE(YEAR(売上入力!A200),MONTH(売上入力!A200)+2,IFERROR(INDEX(マスター_OTA!$G$4:$G$29,MATCH(売上入力!D200,マスター_OTA!$A$4:$A$29,0)),25)))),"")</f>
        <v/>
      </c>
      <c r="B594" s="16" t="str">
        <f>IF(売上入力!B200="","",売上入力!B200)</f>
        <v/>
      </c>
      <c r="C594" s="16" t="str">
        <f>IF(売上入力!C200="","",売上入力!C200)</f>
        <v/>
      </c>
      <c r="D594" s="16" t="str">
        <f>IF(売上入力!D200="","",売上入力!D200)</f>
        <v/>
      </c>
      <c r="E594" s="89">
        <f>IFERROR(IF(売上入力!E200="",0,売上入力!E200*INDEX(マスター_OTA!$D$4:$D$29,MATCH(売上入力!D200,マスター_OTA!$A$4:$A$29,0))/100),0)</f>
        <v>0</v>
      </c>
      <c r="F594" s="90" t="str">
        <f>IF(売上入力!A200="","",売上入力!A200)</f>
        <v/>
      </c>
      <c r="G594" s="16" t="s">
        <v>386</v>
      </c>
    </row>
    <row r="595" spans="1:7" ht="15" customHeight="1">
      <c r="A595" s="88" t="str">
        <f>IFERROR(IF(売上入力!A201="","",IF(INDEX(マスター_OTA!$B$4:$B$29,MATCH(売上入力!D201,マスター_OTA!$A$4:$A$29,0))=0,"",DATE(YEAR(売上入力!A201),MONTH(売上入力!A201),IFERROR(INDEX(マスター_OTA!$E$4:$E$29,MATCH(売上入力!D201,マスター_OTA!$A$4:$A$29,0)),28)))),"")</f>
        <v/>
      </c>
      <c r="B595" s="16" t="str">
        <f>IF(売上入力!B201="","",売上入力!B201)</f>
        <v/>
      </c>
      <c r="C595" s="16" t="str">
        <f>IF(売上入力!C201="","",売上入力!C201)</f>
        <v/>
      </c>
      <c r="D595" s="16" t="str">
        <f>IF(売上入力!D201="","",売上入力!D201)</f>
        <v/>
      </c>
      <c r="E595" s="89">
        <f>IFERROR(IF(売上入力!E201="",0,売上入力!E201*INDEX(マスター_OTA!$B$4:$B$29,MATCH(売上入力!D201,マスター_OTA!$A$4:$A$29,0))/100),0)</f>
        <v>0</v>
      </c>
      <c r="F595" s="90" t="str">
        <f>IF(売上入力!A201="","",売上入力!A201)</f>
        <v/>
      </c>
      <c r="G595" s="16" t="s">
        <v>384</v>
      </c>
    </row>
    <row r="596" spans="1:7" ht="15" customHeight="1">
      <c r="A596" s="88" t="str">
        <f>IFERROR(IF(売上入力!A201="","",IF(INDEX(マスター_OTA!$C$4:$C$29,MATCH(売上入力!D201,マスター_OTA!$A$4:$A$29,0))=0,"",DATE(YEAR(売上入力!A201),MONTH(売上入力!A201)+1,IFERROR(INDEX(マスター_OTA!$F$4:$F$29,MATCH(売上入力!D201,マスター_OTA!$A$4:$A$29,0)),25)))),"")</f>
        <v/>
      </c>
      <c r="B596" s="16" t="str">
        <f>IF(売上入力!B201="","",売上入力!B201)</f>
        <v/>
      </c>
      <c r="C596" s="16" t="str">
        <f>IF(売上入力!C201="","",売上入力!C201)</f>
        <v/>
      </c>
      <c r="D596" s="16" t="str">
        <f>IF(売上入力!D201="","",売上入力!D201)</f>
        <v/>
      </c>
      <c r="E596" s="89">
        <f>IFERROR(IF(売上入力!E201="",0,売上入力!E201*INDEX(マスター_OTA!$C$4:$C$29,MATCH(売上入力!D201,マスター_OTA!$A$4:$A$29,0))/100),0)</f>
        <v>0</v>
      </c>
      <c r="F596" s="90" t="str">
        <f>IF(売上入力!A201="","",売上入力!A201)</f>
        <v/>
      </c>
      <c r="G596" s="16" t="s">
        <v>385</v>
      </c>
    </row>
    <row r="597" spans="1:7" ht="15" customHeight="1">
      <c r="A597" s="88" t="str">
        <f>IFERROR(IF(売上入力!A201="","",IF(INDEX(マスター_OTA!$D$4:$D$29,MATCH(売上入力!D201,マスター_OTA!$A$4:$A$29,0))=0,"",DATE(YEAR(売上入力!A201),MONTH(売上入力!A201)+2,IFERROR(INDEX(マスター_OTA!$G$4:$G$29,MATCH(売上入力!D201,マスター_OTA!$A$4:$A$29,0)),25)))),"")</f>
        <v/>
      </c>
      <c r="B597" s="16" t="str">
        <f>IF(売上入力!B201="","",売上入力!B201)</f>
        <v/>
      </c>
      <c r="C597" s="16" t="str">
        <f>IF(売上入力!C201="","",売上入力!C201)</f>
        <v/>
      </c>
      <c r="D597" s="16" t="str">
        <f>IF(売上入力!D201="","",売上入力!D201)</f>
        <v/>
      </c>
      <c r="E597" s="89">
        <f>IFERROR(IF(売上入力!E201="",0,売上入力!E201*INDEX(マスター_OTA!$D$4:$D$29,MATCH(売上入力!D201,マスター_OTA!$A$4:$A$29,0))/100),0)</f>
        <v>0</v>
      </c>
      <c r="F597" s="90" t="str">
        <f>IF(売上入力!A201="","",売上入力!A201)</f>
        <v/>
      </c>
      <c r="G597" s="16" t="s">
        <v>386</v>
      </c>
    </row>
    <row r="598" spans="1:7" ht="15" customHeight="1">
      <c r="A598" s="88" t="str">
        <f>IFERROR(IF(売上入力!A202="","",IF(INDEX(マスター_OTA!$B$4:$B$29,MATCH(売上入力!D202,マスター_OTA!$A$4:$A$29,0))=0,"",DATE(YEAR(売上入力!A202),MONTH(売上入力!A202),IFERROR(INDEX(マスター_OTA!$E$4:$E$29,MATCH(売上入力!D202,マスター_OTA!$A$4:$A$29,0)),28)))),"")</f>
        <v/>
      </c>
      <c r="B598" s="16" t="str">
        <f>IF(売上入力!B202="","",売上入力!B202)</f>
        <v/>
      </c>
      <c r="C598" s="16" t="str">
        <f>IF(売上入力!C202="","",売上入力!C202)</f>
        <v/>
      </c>
      <c r="D598" s="16" t="str">
        <f>IF(売上入力!D202="","",売上入力!D202)</f>
        <v/>
      </c>
      <c r="E598" s="89">
        <f>IFERROR(IF(売上入力!E202="",0,売上入力!E202*INDEX(マスター_OTA!$B$4:$B$29,MATCH(売上入力!D202,マスター_OTA!$A$4:$A$29,0))/100),0)</f>
        <v>0</v>
      </c>
      <c r="F598" s="90" t="str">
        <f>IF(売上入力!A202="","",売上入力!A202)</f>
        <v/>
      </c>
      <c r="G598" s="16" t="s">
        <v>384</v>
      </c>
    </row>
    <row r="599" spans="1:7" ht="15" customHeight="1">
      <c r="A599" s="88" t="str">
        <f>IFERROR(IF(売上入力!A202="","",IF(INDEX(マスター_OTA!$C$4:$C$29,MATCH(売上入力!D202,マスター_OTA!$A$4:$A$29,0))=0,"",DATE(YEAR(売上入力!A202),MONTH(売上入力!A202)+1,IFERROR(INDEX(マスター_OTA!$F$4:$F$29,MATCH(売上入力!D202,マスター_OTA!$A$4:$A$29,0)),25)))),"")</f>
        <v/>
      </c>
      <c r="B599" s="16" t="str">
        <f>IF(売上入力!B202="","",売上入力!B202)</f>
        <v/>
      </c>
      <c r="C599" s="16" t="str">
        <f>IF(売上入力!C202="","",売上入力!C202)</f>
        <v/>
      </c>
      <c r="D599" s="16" t="str">
        <f>IF(売上入力!D202="","",売上入力!D202)</f>
        <v/>
      </c>
      <c r="E599" s="89">
        <f>IFERROR(IF(売上入力!E202="",0,売上入力!E202*INDEX(マスター_OTA!$C$4:$C$29,MATCH(売上入力!D202,マスター_OTA!$A$4:$A$29,0))/100),0)</f>
        <v>0</v>
      </c>
      <c r="F599" s="90" t="str">
        <f>IF(売上入力!A202="","",売上入力!A202)</f>
        <v/>
      </c>
      <c r="G599" s="16" t="s">
        <v>385</v>
      </c>
    </row>
    <row r="600" spans="1:7" ht="15" customHeight="1">
      <c r="A600" s="88" t="str">
        <f>IFERROR(IF(売上入力!A202="","",IF(INDEX(マスター_OTA!$D$4:$D$29,MATCH(売上入力!D202,マスター_OTA!$A$4:$A$29,0))=0,"",DATE(YEAR(売上入力!A202),MONTH(売上入力!A202)+2,IFERROR(INDEX(マスター_OTA!$G$4:$G$29,MATCH(売上入力!D202,マスター_OTA!$A$4:$A$29,0)),25)))),"")</f>
        <v/>
      </c>
      <c r="B600" s="16" t="str">
        <f>IF(売上入力!B202="","",売上入力!B202)</f>
        <v/>
      </c>
      <c r="C600" s="16" t="str">
        <f>IF(売上入力!C202="","",売上入力!C202)</f>
        <v/>
      </c>
      <c r="D600" s="16" t="str">
        <f>IF(売上入力!D202="","",売上入力!D202)</f>
        <v/>
      </c>
      <c r="E600" s="89">
        <f>IFERROR(IF(売上入力!E202="",0,売上入力!E202*INDEX(マスター_OTA!$D$4:$D$29,MATCH(売上入力!D202,マスター_OTA!$A$4:$A$29,0))/100),0)</f>
        <v>0</v>
      </c>
      <c r="F600" s="90" t="str">
        <f>IF(売上入力!A202="","",売上入力!A202)</f>
        <v/>
      </c>
      <c r="G600" s="16" t="s">
        <v>386</v>
      </c>
    </row>
    <row r="601" spans="1:7" ht="15" customHeight="1">
      <c r="A601" s="88" t="str">
        <f>IFERROR(IF(売上入力!A203="","",IF(INDEX(マスター_OTA!$B$4:$B$29,MATCH(売上入力!D203,マスター_OTA!$A$4:$A$29,0))=0,"",DATE(YEAR(売上入力!A203),MONTH(売上入力!A203),IFERROR(INDEX(マスター_OTA!$E$4:$E$29,MATCH(売上入力!D203,マスター_OTA!$A$4:$A$29,0)),28)))),"")</f>
        <v/>
      </c>
      <c r="B601" s="16" t="str">
        <f>IF(売上入力!B203="","",売上入力!B203)</f>
        <v/>
      </c>
      <c r="C601" s="16" t="str">
        <f>IF(売上入力!C203="","",売上入力!C203)</f>
        <v/>
      </c>
      <c r="D601" s="16" t="str">
        <f>IF(売上入力!D203="","",売上入力!D203)</f>
        <v/>
      </c>
      <c r="E601" s="89">
        <f>IFERROR(IF(売上入力!E203="",0,売上入力!E203*INDEX(マスター_OTA!$B$4:$B$29,MATCH(売上入力!D203,マスター_OTA!$A$4:$A$29,0))/100),0)</f>
        <v>0</v>
      </c>
      <c r="F601" s="90" t="str">
        <f>IF(売上入力!A203="","",売上入力!A203)</f>
        <v/>
      </c>
      <c r="G601" s="16" t="s">
        <v>384</v>
      </c>
    </row>
    <row r="602" spans="1:7" ht="15" customHeight="1">
      <c r="A602" s="88" t="str">
        <f>IFERROR(IF(売上入力!A203="","",IF(INDEX(マスター_OTA!$C$4:$C$29,MATCH(売上入力!D203,マスター_OTA!$A$4:$A$29,0))=0,"",DATE(YEAR(売上入力!A203),MONTH(売上入力!A203)+1,IFERROR(INDEX(マスター_OTA!$F$4:$F$29,MATCH(売上入力!D203,マスター_OTA!$A$4:$A$29,0)),25)))),"")</f>
        <v/>
      </c>
      <c r="B602" s="16" t="str">
        <f>IF(売上入力!B203="","",売上入力!B203)</f>
        <v/>
      </c>
      <c r="C602" s="16" t="str">
        <f>IF(売上入力!C203="","",売上入力!C203)</f>
        <v/>
      </c>
      <c r="D602" s="16" t="str">
        <f>IF(売上入力!D203="","",売上入力!D203)</f>
        <v/>
      </c>
      <c r="E602" s="89">
        <f>IFERROR(IF(売上入力!E203="",0,売上入力!E203*INDEX(マスター_OTA!$C$4:$C$29,MATCH(売上入力!D203,マスター_OTA!$A$4:$A$29,0))/100),0)</f>
        <v>0</v>
      </c>
      <c r="F602" s="90" t="str">
        <f>IF(売上入力!A203="","",売上入力!A203)</f>
        <v/>
      </c>
      <c r="G602" s="16" t="s">
        <v>385</v>
      </c>
    </row>
    <row r="603" spans="1:7" ht="15" customHeight="1">
      <c r="A603" s="88" t="str">
        <f>IFERROR(IF(売上入力!A203="","",IF(INDEX(マスター_OTA!$D$4:$D$29,MATCH(売上入力!D203,マスター_OTA!$A$4:$A$29,0))=0,"",DATE(YEAR(売上入力!A203),MONTH(売上入力!A203)+2,IFERROR(INDEX(マスター_OTA!$G$4:$G$29,MATCH(売上入力!D203,マスター_OTA!$A$4:$A$29,0)),25)))),"")</f>
        <v/>
      </c>
      <c r="B603" s="16" t="str">
        <f>IF(売上入力!B203="","",売上入力!B203)</f>
        <v/>
      </c>
      <c r="C603" s="16" t="str">
        <f>IF(売上入力!C203="","",売上入力!C203)</f>
        <v/>
      </c>
      <c r="D603" s="16" t="str">
        <f>IF(売上入力!D203="","",売上入力!D203)</f>
        <v/>
      </c>
      <c r="E603" s="89">
        <f>IFERROR(IF(売上入力!E203="",0,売上入力!E203*INDEX(マスター_OTA!$D$4:$D$29,MATCH(売上入力!D203,マスター_OTA!$A$4:$A$29,0))/100),0)</f>
        <v>0</v>
      </c>
      <c r="F603" s="90" t="str">
        <f>IF(売上入力!A203="","",売上入力!A203)</f>
        <v/>
      </c>
      <c r="G603" s="16" t="s">
        <v>386</v>
      </c>
    </row>
    <row r="605" spans="1:7" ht="15" customHeight="1">
      <c r="A605" s="6" t="s">
        <v>350</v>
      </c>
      <c r="B605" s="6"/>
      <c r="C605" s="6"/>
      <c r="D605" s="6"/>
      <c r="E605" s="24">
        <f>SUM(E4:E603)</f>
        <v>247638350</v>
      </c>
      <c r="F605" s="44"/>
      <c r="G605" s="44"/>
    </row>
  </sheetData>
  <autoFilter ref="A3:G603" xr:uid="{00000000-0009-0000-0000-00000A000000}"/>
  <mergeCells count="3">
    <mergeCell ref="A1:G1"/>
    <mergeCell ref="A2:G2"/>
    <mergeCell ref="A605:D60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29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Q1"/>
    </sheetView>
  </sheetViews>
  <sheetFormatPr defaultColWidth="8.7109375" defaultRowHeight="15"/>
  <cols>
    <col min="1" max="1" width="14" customWidth="1"/>
    <col min="2" max="3" width="12" customWidth="1"/>
    <col min="4" max="4" width="28" customWidth="1"/>
    <col min="5" max="6" width="12" customWidth="1"/>
    <col min="7" max="7" width="14" customWidth="1"/>
    <col min="8" max="11" width="12" customWidth="1"/>
    <col min="12" max="12" width="14" customWidth="1"/>
    <col min="13" max="13" width="12" customWidth="1"/>
    <col min="14" max="15" width="14" customWidth="1"/>
    <col min="16" max="16" width="12" customWidth="1"/>
    <col min="17" max="17" width="36" customWidth="1"/>
  </cols>
  <sheetData>
    <row r="1" spans="1:17" ht="27.75" customHeight="1">
      <c r="A1" s="14" t="s">
        <v>387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" customHeight="1">
      <c r="A2" s="91" t="s">
        <v>388</v>
      </c>
      <c r="B2" s="92" t="s">
        <v>83</v>
      </c>
      <c r="C2" s="93" t="s">
        <v>96</v>
      </c>
      <c r="D2" s="94" t="s">
        <v>104</v>
      </c>
      <c r="E2" s="95" t="s">
        <v>389</v>
      </c>
      <c r="F2" s="96" t="s">
        <v>390</v>
      </c>
      <c r="H2" s="5" t="s">
        <v>391</v>
      </c>
      <c r="I2" s="5"/>
      <c r="J2" s="5"/>
      <c r="K2" s="5"/>
      <c r="L2" s="5"/>
      <c r="M2" s="5"/>
      <c r="N2" s="5"/>
      <c r="O2" s="5"/>
      <c r="P2" s="5"/>
      <c r="Q2" s="5"/>
    </row>
    <row r="3" spans="1:17" ht="30" customHeight="1">
      <c r="A3" s="15" t="s">
        <v>56</v>
      </c>
      <c r="B3" s="15" t="s">
        <v>392</v>
      </c>
      <c r="C3" s="15" t="s">
        <v>76</v>
      </c>
      <c r="D3" s="15" t="s">
        <v>77</v>
      </c>
      <c r="E3" s="15" t="s">
        <v>162</v>
      </c>
      <c r="F3" s="15" t="s">
        <v>393</v>
      </c>
      <c r="G3" s="15" t="s">
        <v>394</v>
      </c>
      <c r="H3" s="15" t="s">
        <v>384</v>
      </c>
      <c r="I3" s="15" t="s">
        <v>395</v>
      </c>
      <c r="J3" s="15" t="s">
        <v>396</v>
      </c>
      <c r="K3" s="15" t="s">
        <v>397</v>
      </c>
      <c r="L3" s="15" t="s">
        <v>398</v>
      </c>
      <c r="M3" s="15" t="s">
        <v>79</v>
      </c>
      <c r="N3" s="15" t="s">
        <v>399</v>
      </c>
      <c r="O3" s="15" t="s">
        <v>400</v>
      </c>
      <c r="P3" s="15" t="s">
        <v>401</v>
      </c>
      <c r="Q3" s="15" t="s">
        <v>402</v>
      </c>
    </row>
    <row r="4" spans="1:17" ht="23.25" customHeight="1">
      <c r="A4" s="76" t="s">
        <v>60</v>
      </c>
      <c r="B4" s="16" t="s">
        <v>403</v>
      </c>
      <c r="C4" s="16" t="s">
        <v>160</v>
      </c>
      <c r="D4" s="18" t="s">
        <v>404</v>
      </c>
      <c r="E4" s="16" t="s">
        <v>167</v>
      </c>
      <c r="F4" s="88">
        <v>46173</v>
      </c>
      <c r="G4" s="19" t="s">
        <v>405</v>
      </c>
      <c r="H4" s="20">
        <v>6050</v>
      </c>
      <c r="I4" s="20">
        <v>0</v>
      </c>
      <c r="J4" s="20">
        <v>0</v>
      </c>
      <c r="K4" s="20">
        <v>0</v>
      </c>
      <c r="L4" s="97">
        <v>6050</v>
      </c>
      <c r="M4" s="76" t="s">
        <v>389</v>
      </c>
      <c r="N4" s="77">
        <v>46173</v>
      </c>
      <c r="O4" s="79">
        <v>6050</v>
      </c>
      <c r="P4" s="73"/>
      <c r="Q4" s="78"/>
    </row>
    <row r="5" spans="1:17" ht="15" customHeight="1">
      <c r="A5" s="76" t="s">
        <v>59</v>
      </c>
      <c r="B5" s="16" t="s">
        <v>406</v>
      </c>
      <c r="C5" s="16" t="s">
        <v>59</v>
      </c>
      <c r="D5" s="43" t="s">
        <v>407</v>
      </c>
      <c r="E5" s="16" t="s">
        <v>172</v>
      </c>
      <c r="F5" s="88">
        <v>46157</v>
      </c>
      <c r="G5" s="16" t="s">
        <v>139</v>
      </c>
      <c r="H5" s="20">
        <v>39871</v>
      </c>
      <c r="I5" s="20">
        <v>15932</v>
      </c>
      <c r="J5" s="20">
        <v>0</v>
      </c>
      <c r="K5" s="20">
        <v>0</v>
      </c>
      <c r="L5" s="97">
        <v>15932</v>
      </c>
      <c r="M5" s="76" t="s">
        <v>104</v>
      </c>
      <c r="N5" s="77">
        <v>46157</v>
      </c>
      <c r="O5" s="79">
        <v>39871</v>
      </c>
      <c r="P5" s="73"/>
      <c r="Q5" s="78"/>
    </row>
    <row r="6" spans="1:17" ht="15" customHeight="1">
      <c r="A6" s="76" t="s">
        <v>59</v>
      </c>
      <c r="B6" s="16" t="s">
        <v>406</v>
      </c>
      <c r="C6" s="16" t="s">
        <v>59</v>
      </c>
      <c r="D6" s="18" t="s">
        <v>408</v>
      </c>
      <c r="E6" s="16" t="s">
        <v>171</v>
      </c>
      <c r="F6" s="88">
        <v>46157</v>
      </c>
      <c r="G6" s="16" t="s">
        <v>139</v>
      </c>
      <c r="H6" s="20">
        <v>11000</v>
      </c>
      <c r="I6" s="20">
        <v>11000</v>
      </c>
      <c r="J6" s="20">
        <v>11000</v>
      </c>
      <c r="K6" s="20">
        <v>0</v>
      </c>
      <c r="L6" s="97">
        <v>22000</v>
      </c>
      <c r="M6" s="76" t="s">
        <v>96</v>
      </c>
      <c r="N6" s="77">
        <v>46157</v>
      </c>
      <c r="O6" s="79">
        <v>11000</v>
      </c>
      <c r="P6" s="73"/>
      <c r="Q6" s="78"/>
    </row>
    <row r="7" spans="1:17" ht="15" customHeight="1">
      <c r="A7" s="76" t="s">
        <v>59</v>
      </c>
      <c r="B7" s="16" t="s">
        <v>406</v>
      </c>
      <c r="C7" s="16" t="s">
        <v>59</v>
      </c>
      <c r="D7" s="18" t="s">
        <v>409</v>
      </c>
      <c r="E7" s="16" t="s">
        <v>169</v>
      </c>
      <c r="F7" s="88">
        <v>46171</v>
      </c>
      <c r="G7" s="16" t="s">
        <v>139</v>
      </c>
      <c r="H7" s="20">
        <v>6249</v>
      </c>
      <c r="I7" s="20">
        <v>12741</v>
      </c>
      <c r="J7" s="20">
        <v>12910</v>
      </c>
      <c r="K7" s="20">
        <v>0</v>
      </c>
      <c r="L7" s="97">
        <v>25651</v>
      </c>
      <c r="M7" s="76" t="s">
        <v>96</v>
      </c>
      <c r="N7" s="77">
        <v>46171</v>
      </c>
      <c r="O7" s="79">
        <v>6249</v>
      </c>
      <c r="P7" s="73"/>
      <c r="Q7" s="78"/>
    </row>
    <row r="8" spans="1:17" ht="15" customHeight="1">
      <c r="A8" s="76"/>
      <c r="B8" s="16"/>
      <c r="C8" s="16"/>
      <c r="D8" s="43"/>
      <c r="E8" s="16"/>
      <c r="F8" s="88"/>
      <c r="G8" s="16"/>
      <c r="H8" s="20"/>
      <c r="I8" s="20"/>
      <c r="J8" s="20"/>
      <c r="K8" s="20"/>
      <c r="L8" s="97"/>
      <c r="M8" s="76"/>
      <c r="N8" s="77"/>
      <c r="O8" s="79"/>
      <c r="P8" s="73"/>
      <c r="Q8" s="78"/>
    </row>
    <row r="9" spans="1:17" ht="15" customHeight="1">
      <c r="A9" s="76" t="s">
        <v>59</v>
      </c>
      <c r="B9" s="16" t="s">
        <v>403</v>
      </c>
      <c r="C9" s="16" t="s">
        <v>59</v>
      </c>
      <c r="D9" s="43" t="s">
        <v>410</v>
      </c>
      <c r="E9" s="16" t="s">
        <v>172</v>
      </c>
      <c r="F9" s="88">
        <v>46157</v>
      </c>
      <c r="G9" s="16" t="s">
        <v>139</v>
      </c>
      <c r="H9" s="20">
        <v>131472</v>
      </c>
      <c r="I9" s="20">
        <v>0</v>
      </c>
      <c r="J9" s="20">
        <v>0</v>
      </c>
      <c r="K9" s="20">
        <v>0</v>
      </c>
      <c r="L9" s="97">
        <v>131472</v>
      </c>
      <c r="M9" s="76" t="s">
        <v>389</v>
      </c>
      <c r="N9" s="77">
        <v>46157</v>
      </c>
      <c r="O9" s="79">
        <v>131472</v>
      </c>
      <c r="P9" s="73"/>
      <c r="Q9" s="78"/>
    </row>
    <row r="10" spans="1:17" ht="15" customHeight="1">
      <c r="A10" s="76"/>
      <c r="B10" s="16"/>
      <c r="C10" s="16"/>
      <c r="D10" s="18"/>
      <c r="E10" s="16"/>
      <c r="F10" s="88"/>
      <c r="G10" s="16"/>
      <c r="H10" s="20"/>
      <c r="I10" s="20"/>
      <c r="J10" s="20"/>
      <c r="K10" s="20"/>
      <c r="L10" s="97"/>
      <c r="M10" s="76"/>
      <c r="N10" s="77"/>
      <c r="O10" s="79"/>
      <c r="P10" s="73"/>
      <c r="Q10" s="78"/>
    </row>
    <row r="11" spans="1:17" ht="15" customHeight="1">
      <c r="A11" s="76"/>
      <c r="B11" s="16"/>
      <c r="C11" s="16"/>
      <c r="D11" s="18"/>
      <c r="E11" s="16"/>
      <c r="F11" s="88"/>
      <c r="G11" s="16"/>
      <c r="H11" s="20"/>
      <c r="I11" s="20"/>
      <c r="J11" s="20"/>
      <c r="K11" s="20"/>
      <c r="L11" s="97"/>
      <c r="M11" s="76"/>
      <c r="N11" s="77"/>
      <c r="O11" s="79"/>
      <c r="P11" s="73"/>
      <c r="Q11" s="78"/>
    </row>
    <row r="12" spans="1:17" ht="15" customHeight="1">
      <c r="A12" s="76" t="s">
        <v>59</v>
      </c>
      <c r="B12" s="16" t="s">
        <v>403</v>
      </c>
      <c r="C12" s="16" t="s">
        <v>59</v>
      </c>
      <c r="D12" s="18" t="s">
        <v>411</v>
      </c>
      <c r="E12" s="16" t="s">
        <v>172</v>
      </c>
      <c r="F12" s="88">
        <v>46171</v>
      </c>
      <c r="G12" s="16" t="s">
        <v>139</v>
      </c>
      <c r="H12" s="20">
        <v>20240</v>
      </c>
      <c r="I12" s="20">
        <v>0</v>
      </c>
      <c r="J12" s="20">
        <v>0</v>
      </c>
      <c r="K12" s="20">
        <v>0</v>
      </c>
      <c r="L12" s="97">
        <v>20240</v>
      </c>
      <c r="M12" s="76" t="s">
        <v>389</v>
      </c>
      <c r="N12" s="77">
        <v>46171</v>
      </c>
      <c r="O12" s="79">
        <v>20240</v>
      </c>
      <c r="P12" s="73"/>
      <c r="Q12" s="78"/>
    </row>
    <row r="13" spans="1:17" ht="15" customHeight="1">
      <c r="A13" s="76" t="s">
        <v>59</v>
      </c>
      <c r="B13" s="16" t="s">
        <v>403</v>
      </c>
      <c r="C13" s="16" t="s">
        <v>59</v>
      </c>
      <c r="D13" s="18" t="s">
        <v>404</v>
      </c>
      <c r="E13" s="16" t="s">
        <v>167</v>
      </c>
      <c r="F13" s="88">
        <v>46171</v>
      </c>
      <c r="G13" s="16" t="s">
        <v>139</v>
      </c>
      <c r="H13" s="20">
        <v>5000</v>
      </c>
      <c r="I13" s="20">
        <v>0</v>
      </c>
      <c r="J13" s="20">
        <v>0</v>
      </c>
      <c r="K13" s="20">
        <v>0</v>
      </c>
      <c r="L13" s="97">
        <v>5000</v>
      </c>
      <c r="M13" s="76" t="s">
        <v>389</v>
      </c>
      <c r="N13" s="77">
        <v>46171</v>
      </c>
      <c r="O13" s="79">
        <v>5000</v>
      </c>
      <c r="P13" s="73"/>
      <c r="Q13" s="78"/>
    </row>
    <row r="14" spans="1:17" ht="23.25" customHeight="1">
      <c r="A14" s="76" t="s">
        <v>59</v>
      </c>
      <c r="B14" s="16" t="s">
        <v>403</v>
      </c>
      <c r="C14" s="16" t="s">
        <v>59</v>
      </c>
      <c r="D14" s="18" t="s">
        <v>412</v>
      </c>
      <c r="E14" s="16" t="s">
        <v>170</v>
      </c>
      <c r="F14" s="88">
        <v>46157</v>
      </c>
      <c r="G14" s="16" t="s">
        <v>139</v>
      </c>
      <c r="H14" s="20">
        <v>13750</v>
      </c>
      <c r="I14" s="20">
        <v>0</v>
      </c>
      <c r="J14" s="20">
        <v>0</v>
      </c>
      <c r="K14" s="20">
        <v>0</v>
      </c>
      <c r="L14" s="97">
        <v>13750</v>
      </c>
      <c r="M14" s="76" t="s">
        <v>389</v>
      </c>
      <c r="N14" s="77">
        <v>46157</v>
      </c>
      <c r="O14" s="79">
        <v>56100</v>
      </c>
      <c r="P14" s="73"/>
      <c r="Q14" s="78"/>
    </row>
    <row r="15" spans="1:17" ht="23.25" customHeight="1">
      <c r="A15" s="76"/>
      <c r="B15" s="16"/>
      <c r="C15" s="16"/>
      <c r="D15" s="18"/>
      <c r="E15" s="16"/>
      <c r="F15" s="88"/>
      <c r="G15" s="16"/>
      <c r="H15" s="20"/>
      <c r="I15" s="20"/>
      <c r="J15" s="20"/>
      <c r="K15" s="20"/>
      <c r="L15" s="97"/>
      <c r="M15" s="76"/>
      <c r="N15" s="77"/>
      <c r="O15" s="79"/>
      <c r="P15" s="73"/>
      <c r="Q15" s="78"/>
    </row>
    <row r="16" spans="1:17" ht="15" customHeight="1">
      <c r="A16" s="76" t="s">
        <v>59</v>
      </c>
      <c r="B16" s="16" t="s">
        <v>403</v>
      </c>
      <c r="C16" s="16" t="s">
        <v>59</v>
      </c>
      <c r="D16" s="18" t="s">
        <v>413</v>
      </c>
      <c r="E16" s="16" t="s">
        <v>168</v>
      </c>
      <c r="F16" s="88">
        <v>46157</v>
      </c>
      <c r="G16" s="16" t="s">
        <v>139</v>
      </c>
      <c r="H16" s="20">
        <v>1153421</v>
      </c>
      <c r="I16" s="20">
        <v>0</v>
      </c>
      <c r="J16" s="20">
        <v>0</v>
      </c>
      <c r="K16" s="20">
        <v>0</v>
      </c>
      <c r="L16" s="97">
        <v>1153421</v>
      </c>
      <c r="M16" s="76" t="s">
        <v>389</v>
      </c>
      <c r="N16" s="77">
        <v>46157</v>
      </c>
      <c r="O16" s="79">
        <v>1153421</v>
      </c>
      <c r="P16" s="73"/>
      <c r="Q16" s="78"/>
    </row>
    <row r="17" spans="1:17" ht="23.25" customHeight="1">
      <c r="A17" s="76" t="s">
        <v>59</v>
      </c>
      <c r="B17" s="16" t="s">
        <v>403</v>
      </c>
      <c r="C17" s="16" t="s">
        <v>59</v>
      </c>
      <c r="D17" s="18" t="s">
        <v>414</v>
      </c>
      <c r="E17" s="16" t="s">
        <v>170</v>
      </c>
      <c r="F17" s="88">
        <v>46153</v>
      </c>
      <c r="G17" s="16" t="s">
        <v>139</v>
      </c>
      <c r="H17" s="20">
        <v>144004</v>
      </c>
      <c r="I17" s="20">
        <v>0</v>
      </c>
      <c r="J17" s="20">
        <v>0</v>
      </c>
      <c r="K17" s="20">
        <v>0</v>
      </c>
      <c r="L17" s="97">
        <v>144004</v>
      </c>
      <c r="M17" s="76" t="s">
        <v>389</v>
      </c>
      <c r="N17" s="77">
        <v>46153</v>
      </c>
      <c r="O17" s="79">
        <v>144004</v>
      </c>
      <c r="P17" s="73"/>
      <c r="Q17" s="78"/>
    </row>
    <row r="18" spans="1:17" ht="15" customHeight="1">
      <c r="A18" s="76" t="s">
        <v>59</v>
      </c>
      <c r="B18" s="16" t="s">
        <v>403</v>
      </c>
      <c r="C18" s="16" t="s">
        <v>59</v>
      </c>
      <c r="D18" s="18" t="s">
        <v>415</v>
      </c>
      <c r="E18" s="16" t="s">
        <v>416</v>
      </c>
      <c r="F18" s="88">
        <v>46171</v>
      </c>
      <c r="G18" s="16" t="s">
        <v>139</v>
      </c>
      <c r="H18" s="20">
        <v>18000</v>
      </c>
      <c r="I18" s="20">
        <v>0</v>
      </c>
      <c r="J18" s="20">
        <v>0</v>
      </c>
      <c r="K18" s="20">
        <v>0</v>
      </c>
      <c r="L18" s="97">
        <v>18000</v>
      </c>
      <c r="M18" s="76" t="s">
        <v>389</v>
      </c>
      <c r="N18" s="77">
        <v>46171</v>
      </c>
      <c r="O18" s="79">
        <v>18000</v>
      </c>
      <c r="P18" s="73"/>
      <c r="Q18" s="78"/>
    </row>
    <row r="19" spans="1:17" ht="15" customHeight="1">
      <c r="A19" s="76" t="s">
        <v>59</v>
      </c>
      <c r="B19" s="16" t="s">
        <v>403</v>
      </c>
      <c r="C19" s="16" t="s">
        <v>59</v>
      </c>
      <c r="D19" s="18" t="s">
        <v>417</v>
      </c>
      <c r="E19" s="16" t="s">
        <v>169</v>
      </c>
      <c r="F19" s="88">
        <v>46162</v>
      </c>
      <c r="G19" s="16" t="s">
        <v>139</v>
      </c>
      <c r="H19" s="20">
        <v>10026</v>
      </c>
      <c r="I19" s="20">
        <v>0</v>
      </c>
      <c r="J19" s="20">
        <v>0</v>
      </c>
      <c r="K19" s="20">
        <v>0</v>
      </c>
      <c r="L19" s="97">
        <v>10026</v>
      </c>
      <c r="M19" s="76" t="s">
        <v>389</v>
      </c>
      <c r="N19" s="77">
        <v>46162</v>
      </c>
      <c r="O19" s="79">
        <v>10026</v>
      </c>
      <c r="P19" s="73"/>
      <c r="Q19" s="78"/>
    </row>
    <row r="20" spans="1:17" ht="15" customHeight="1">
      <c r="A20" s="76" t="s">
        <v>59</v>
      </c>
      <c r="B20" s="16" t="s">
        <v>403</v>
      </c>
      <c r="C20" s="16" t="s">
        <v>59</v>
      </c>
      <c r="D20" s="18" t="s">
        <v>418</v>
      </c>
      <c r="E20" s="16" t="s">
        <v>171</v>
      </c>
      <c r="F20" s="88">
        <v>46171</v>
      </c>
      <c r="G20" s="16" t="s">
        <v>139</v>
      </c>
      <c r="H20" s="20">
        <v>218358</v>
      </c>
      <c r="I20" s="20">
        <v>0</v>
      </c>
      <c r="J20" s="20">
        <v>0</v>
      </c>
      <c r="K20" s="20">
        <v>0</v>
      </c>
      <c r="L20" s="97">
        <v>218358</v>
      </c>
      <c r="M20" s="76" t="s">
        <v>389</v>
      </c>
      <c r="N20" s="77">
        <v>46171</v>
      </c>
      <c r="O20" s="79">
        <v>218358</v>
      </c>
      <c r="P20" s="73"/>
      <c r="Q20" s="78"/>
    </row>
    <row r="21" spans="1:17" ht="23.25" customHeight="1">
      <c r="A21" s="76" t="s">
        <v>58</v>
      </c>
      <c r="B21" s="16" t="s">
        <v>406</v>
      </c>
      <c r="C21" s="16" t="s">
        <v>88</v>
      </c>
      <c r="D21" s="18" t="s">
        <v>419</v>
      </c>
      <c r="E21" s="16" t="s">
        <v>169</v>
      </c>
      <c r="F21" s="88">
        <v>46171</v>
      </c>
      <c r="G21" s="16" t="s">
        <v>420</v>
      </c>
      <c r="H21" s="20">
        <v>12980</v>
      </c>
      <c r="I21" s="20">
        <v>62150</v>
      </c>
      <c r="J21" s="20">
        <v>0</v>
      </c>
      <c r="K21" s="20">
        <v>62150</v>
      </c>
      <c r="L21" s="97">
        <v>124300</v>
      </c>
      <c r="M21" s="76" t="s">
        <v>83</v>
      </c>
      <c r="N21" s="77">
        <v>46171</v>
      </c>
      <c r="O21" s="79">
        <v>12980</v>
      </c>
      <c r="P21" s="73"/>
      <c r="Q21" s="78"/>
    </row>
    <row r="22" spans="1:17" ht="23.25" customHeight="1">
      <c r="A22" s="76" t="s">
        <v>58</v>
      </c>
      <c r="B22" s="16" t="s">
        <v>406</v>
      </c>
      <c r="C22" s="16" t="s">
        <v>88</v>
      </c>
      <c r="D22" s="18" t="s">
        <v>421</v>
      </c>
      <c r="E22" s="16" t="s">
        <v>172</v>
      </c>
      <c r="F22" s="88">
        <v>46171</v>
      </c>
      <c r="G22" s="16" t="s">
        <v>420</v>
      </c>
      <c r="H22" s="20">
        <v>7346</v>
      </c>
      <c r="I22" s="20">
        <v>0</v>
      </c>
      <c r="J22" s="20">
        <v>18648</v>
      </c>
      <c r="K22" s="20">
        <v>0</v>
      </c>
      <c r="L22" s="97">
        <v>18648</v>
      </c>
      <c r="M22" s="76" t="s">
        <v>96</v>
      </c>
      <c r="N22" s="77">
        <v>46171</v>
      </c>
      <c r="O22" s="79">
        <v>7346</v>
      </c>
      <c r="P22" s="73"/>
      <c r="Q22" s="78"/>
    </row>
    <row r="23" spans="1:17" ht="15" customHeight="1">
      <c r="A23" s="76" t="s">
        <v>58</v>
      </c>
      <c r="B23" s="16" t="s">
        <v>406</v>
      </c>
      <c r="C23" s="16" t="s">
        <v>58</v>
      </c>
      <c r="D23" s="18" t="s">
        <v>422</v>
      </c>
      <c r="E23" s="16" t="s">
        <v>423</v>
      </c>
      <c r="F23" s="88">
        <v>46157</v>
      </c>
      <c r="G23" s="16"/>
      <c r="H23" s="20">
        <v>132000</v>
      </c>
      <c r="I23" s="20">
        <v>132000</v>
      </c>
      <c r="J23" s="20">
        <v>132000</v>
      </c>
      <c r="K23" s="20">
        <v>0</v>
      </c>
      <c r="L23" s="97">
        <v>264000</v>
      </c>
      <c r="M23" s="76" t="s">
        <v>96</v>
      </c>
      <c r="N23" s="77">
        <v>46157</v>
      </c>
      <c r="O23" s="79">
        <v>132000</v>
      </c>
      <c r="P23" s="73"/>
      <c r="Q23" s="78"/>
    </row>
    <row r="24" spans="1:17" ht="23.25" customHeight="1">
      <c r="A24" s="76" t="s">
        <v>58</v>
      </c>
      <c r="B24" s="16" t="s">
        <v>406</v>
      </c>
      <c r="C24" s="16" t="s">
        <v>58</v>
      </c>
      <c r="D24" s="18" t="s">
        <v>424</v>
      </c>
      <c r="E24" s="16" t="s">
        <v>170</v>
      </c>
      <c r="F24" s="88">
        <v>46171</v>
      </c>
      <c r="G24" s="16"/>
      <c r="H24" s="20">
        <v>193050</v>
      </c>
      <c r="I24" s="20">
        <v>193050</v>
      </c>
      <c r="J24" s="20">
        <v>303050</v>
      </c>
      <c r="K24" s="20">
        <v>305800</v>
      </c>
      <c r="L24" s="97">
        <v>801900</v>
      </c>
      <c r="M24" s="76" t="s">
        <v>83</v>
      </c>
      <c r="N24" s="77">
        <v>46171</v>
      </c>
      <c r="O24" s="79">
        <v>193050</v>
      </c>
      <c r="P24" s="73"/>
      <c r="Q24" s="78"/>
    </row>
    <row r="25" spans="1:17" ht="15" customHeight="1">
      <c r="A25" s="76" t="s">
        <v>58</v>
      </c>
      <c r="B25" s="16" t="s">
        <v>406</v>
      </c>
      <c r="C25" s="16" t="s">
        <v>58</v>
      </c>
      <c r="D25" s="18" t="s">
        <v>425</v>
      </c>
      <c r="E25" s="16" t="s">
        <v>179</v>
      </c>
      <c r="F25" s="88">
        <v>46171</v>
      </c>
      <c r="G25" s="16" t="s">
        <v>426</v>
      </c>
      <c r="H25" s="20">
        <v>17600</v>
      </c>
      <c r="I25" s="20">
        <v>17600</v>
      </c>
      <c r="J25" s="20">
        <v>17600</v>
      </c>
      <c r="K25" s="20">
        <v>35200</v>
      </c>
      <c r="L25" s="97">
        <v>70400</v>
      </c>
      <c r="M25" s="76" t="s">
        <v>83</v>
      </c>
      <c r="N25" s="77">
        <v>46171</v>
      </c>
      <c r="O25" s="79">
        <v>17600</v>
      </c>
      <c r="P25" s="73"/>
      <c r="Q25" s="78"/>
    </row>
    <row r="26" spans="1:17" ht="15" customHeight="1">
      <c r="A26" s="76" t="s">
        <v>58</v>
      </c>
      <c r="B26" s="16" t="s">
        <v>406</v>
      </c>
      <c r="C26" s="16" t="s">
        <v>58</v>
      </c>
      <c r="D26" s="18" t="s">
        <v>427</v>
      </c>
      <c r="E26" s="16" t="s">
        <v>172</v>
      </c>
      <c r="F26" s="88">
        <v>46171</v>
      </c>
      <c r="G26" s="16" t="s">
        <v>428</v>
      </c>
      <c r="H26" s="20">
        <v>13200</v>
      </c>
      <c r="I26" s="20">
        <v>35340</v>
      </c>
      <c r="J26" s="20">
        <v>13200</v>
      </c>
      <c r="K26" s="20">
        <v>0</v>
      </c>
      <c r="L26" s="97">
        <v>48540</v>
      </c>
      <c r="M26" s="76" t="s">
        <v>96</v>
      </c>
      <c r="N26" s="77">
        <v>46171</v>
      </c>
      <c r="O26" s="79">
        <v>46530</v>
      </c>
      <c r="P26" s="73"/>
      <c r="Q26" s="78"/>
    </row>
    <row r="27" spans="1:17" ht="15" customHeight="1">
      <c r="A27" s="76"/>
      <c r="B27" s="16"/>
      <c r="C27" s="16"/>
      <c r="D27" s="18"/>
      <c r="E27" s="16"/>
      <c r="F27" s="88"/>
      <c r="G27" s="16"/>
      <c r="H27" s="20"/>
      <c r="I27" s="20"/>
      <c r="J27" s="20"/>
      <c r="K27" s="20"/>
      <c r="L27" s="97"/>
      <c r="M27" s="76"/>
      <c r="N27" s="77"/>
      <c r="O27" s="79"/>
      <c r="P27" s="73"/>
      <c r="Q27" s="78"/>
    </row>
    <row r="28" spans="1:17" ht="15" customHeight="1">
      <c r="A28" s="76" t="s">
        <v>58</v>
      </c>
      <c r="B28" s="16" t="s">
        <v>406</v>
      </c>
      <c r="C28" s="16" t="s">
        <v>58</v>
      </c>
      <c r="D28" s="18" t="s">
        <v>429</v>
      </c>
      <c r="E28" s="16" t="s">
        <v>172</v>
      </c>
      <c r="F28" s="88">
        <v>46171</v>
      </c>
      <c r="G28" s="16" t="s">
        <v>428</v>
      </c>
      <c r="H28" s="20">
        <v>13860</v>
      </c>
      <c r="I28" s="20">
        <v>13860</v>
      </c>
      <c r="J28" s="20">
        <v>10626</v>
      </c>
      <c r="K28" s="20">
        <v>0</v>
      </c>
      <c r="L28" s="97">
        <v>24486</v>
      </c>
      <c r="M28" s="76" t="s">
        <v>96</v>
      </c>
      <c r="N28" s="77">
        <v>46171</v>
      </c>
      <c r="O28" s="79">
        <v>13860</v>
      </c>
      <c r="P28" s="73"/>
      <c r="Q28" s="78"/>
    </row>
    <row r="29" spans="1:17" ht="15" customHeight="1">
      <c r="A29" s="76" t="s">
        <v>58</v>
      </c>
      <c r="B29" s="16" t="s">
        <v>406</v>
      </c>
      <c r="C29" s="16" t="s">
        <v>58</v>
      </c>
      <c r="D29" s="18" t="s">
        <v>430</v>
      </c>
      <c r="E29" s="16" t="s">
        <v>172</v>
      </c>
      <c r="F29" s="88">
        <v>46167</v>
      </c>
      <c r="G29" s="16" t="s">
        <v>431</v>
      </c>
      <c r="H29" s="20">
        <v>9852</v>
      </c>
      <c r="I29" s="20">
        <v>7893</v>
      </c>
      <c r="J29" s="20">
        <v>15809</v>
      </c>
      <c r="K29" s="20">
        <v>0</v>
      </c>
      <c r="L29" s="97">
        <v>23702</v>
      </c>
      <c r="M29" s="76" t="s">
        <v>96</v>
      </c>
      <c r="N29" s="77">
        <v>46167</v>
      </c>
      <c r="O29" s="79">
        <v>9852</v>
      </c>
      <c r="P29" s="73"/>
      <c r="Q29" s="78"/>
    </row>
    <row r="30" spans="1:17" ht="15" customHeight="1">
      <c r="A30" s="76" t="s">
        <v>58</v>
      </c>
      <c r="B30" s="16" t="s">
        <v>406</v>
      </c>
      <c r="C30" s="16" t="s">
        <v>58</v>
      </c>
      <c r="D30" s="18" t="s">
        <v>432</v>
      </c>
      <c r="E30" s="16" t="s">
        <v>168</v>
      </c>
      <c r="F30" s="88">
        <v>46171</v>
      </c>
      <c r="G30" s="16" t="s">
        <v>140</v>
      </c>
      <c r="H30" s="20">
        <v>96800</v>
      </c>
      <c r="I30" s="20">
        <v>173800</v>
      </c>
      <c r="J30" s="20">
        <v>194040</v>
      </c>
      <c r="K30" s="20">
        <v>121000</v>
      </c>
      <c r="L30" s="97">
        <v>488840</v>
      </c>
      <c r="M30" s="76" t="s">
        <v>83</v>
      </c>
      <c r="N30" s="77">
        <v>46171</v>
      </c>
      <c r="O30" s="79">
        <v>96800</v>
      </c>
      <c r="P30" s="73"/>
      <c r="Q30" s="78"/>
    </row>
    <row r="31" spans="1:17" ht="15" customHeight="1">
      <c r="A31" s="76" t="s">
        <v>58</v>
      </c>
      <c r="B31" s="16" t="s">
        <v>406</v>
      </c>
      <c r="C31" s="16" t="s">
        <v>58</v>
      </c>
      <c r="D31" s="18" t="s">
        <v>433</v>
      </c>
      <c r="E31" s="16" t="s">
        <v>173</v>
      </c>
      <c r="F31" s="88">
        <v>46171</v>
      </c>
      <c r="G31" s="16" t="s">
        <v>431</v>
      </c>
      <c r="H31" s="20">
        <v>27500</v>
      </c>
      <c r="I31" s="20">
        <v>27500</v>
      </c>
      <c r="J31" s="20">
        <v>27500</v>
      </c>
      <c r="K31" s="20">
        <v>55000</v>
      </c>
      <c r="L31" s="97">
        <v>110000</v>
      </c>
      <c r="M31" s="76" t="s">
        <v>83</v>
      </c>
      <c r="N31" s="77">
        <v>46171</v>
      </c>
      <c r="O31" s="79">
        <v>27500</v>
      </c>
      <c r="P31" s="73"/>
      <c r="Q31" s="78"/>
    </row>
    <row r="32" spans="1:17" ht="15" customHeight="1">
      <c r="A32" s="76" t="s">
        <v>58</v>
      </c>
      <c r="B32" s="16" t="s">
        <v>406</v>
      </c>
      <c r="C32" s="16" t="s">
        <v>58</v>
      </c>
      <c r="D32" s="18" t="s">
        <v>434</v>
      </c>
      <c r="E32" s="16" t="s">
        <v>169</v>
      </c>
      <c r="F32" s="88">
        <v>46171</v>
      </c>
      <c r="G32" s="16" t="s">
        <v>141</v>
      </c>
      <c r="H32" s="20">
        <v>33000</v>
      </c>
      <c r="I32" s="20">
        <v>82500</v>
      </c>
      <c r="J32" s="20">
        <v>60500</v>
      </c>
      <c r="K32" s="20">
        <v>44000</v>
      </c>
      <c r="L32" s="97">
        <v>187000</v>
      </c>
      <c r="M32" s="76" t="s">
        <v>83</v>
      </c>
      <c r="N32" s="77">
        <v>46171</v>
      </c>
      <c r="O32" s="79">
        <v>33000</v>
      </c>
      <c r="P32" s="73"/>
      <c r="Q32" s="78"/>
    </row>
    <row r="33" spans="1:17" ht="15" customHeight="1">
      <c r="A33" s="76" t="s">
        <v>58</v>
      </c>
      <c r="B33" s="16" t="s">
        <v>406</v>
      </c>
      <c r="C33" s="16" t="s">
        <v>58</v>
      </c>
      <c r="D33" s="18" t="s">
        <v>435</v>
      </c>
      <c r="E33" s="16" t="s">
        <v>173</v>
      </c>
      <c r="F33" s="88">
        <v>46171</v>
      </c>
      <c r="G33" s="16" t="s">
        <v>428</v>
      </c>
      <c r="H33" s="20">
        <v>22000</v>
      </c>
      <c r="I33" s="20">
        <v>22000</v>
      </c>
      <c r="J33" s="20">
        <v>22000</v>
      </c>
      <c r="K33" s="20">
        <v>44000</v>
      </c>
      <c r="L33" s="97">
        <v>88000</v>
      </c>
      <c r="M33" s="76" t="s">
        <v>83</v>
      </c>
      <c r="N33" s="77">
        <v>46171</v>
      </c>
      <c r="O33" s="79">
        <v>22000</v>
      </c>
      <c r="P33" s="73"/>
      <c r="Q33" s="78"/>
    </row>
    <row r="34" spans="1:17" ht="15" customHeight="1">
      <c r="A34" s="76" t="s">
        <v>58</v>
      </c>
      <c r="B34" s="16" t="s">
        <v>406</v>
      </c>
      <c r="C34" s="16" t="s">
        <v>58</v>
      </c>
      <c r="D34" s="18" t="s">
        <v>436</v>
      </c>
      <c r="E34" s="16" t="s">
        <v>167</v>
      </c>
      <c r="F34" s="88">
        <v>46150</v>
      </c>
      <c r="G34" s="16" t="s">
        <v>428</v>
      </c>
      <c r="H34" s="20">
        <v>0</v>
      </c>
      <c r="I34" s="20">
        <v>0</v>
      </c>
      <c r="J34" s="20">
        <v>22000</v>
      </c>
      <c r="K34" s="20">
        <v>44000</v>
      </c>
      <c r="L34" s="97">
        <v>66000</v>
      </c>
      <c r="M34" s="76" t="s">
        <v>83</v>
      </c>
      <c r="N34" s="77">
        <v>46149</v>
      </c>
      <c r="O34" s="79">
        <v>100000</v>
      </c>
      <c r="P34" s="73"/>
      <c r="Q34" s="78"/>
    </row>
    <row r="35" spans="1:17" ht="15" customHeight="1">
      <c r="A35" s="76" t="s">
        <v>58</v>
      </c>
      <c r="B35" s="16" t="s">
        <v>406</v>
      </c>
      <c r="C35" s="16" t="s">
        <v>58</v>
      </c>
      <c r="D35" s="18" t="s">
        <v>437</v>
      </c>
      <c r="E35" s="16" t="s">
        <v>167</v>
      </c>
      <c r="F35" s="88">
        <v>46171</v>
      </c>
      <c r="G35" s="16" t="s">
        <v>141</v>
      </c>
      <c r="H35" s="20">
        <v>46750</v>
      </c>
      <c r="I35" s="20">
        <v>46750</v>
      </c>
      <c r="J35" s="20">
        <v>46750</v>
      </c>
      <c r="K35" s="20">
        <v>93500</v>
      </c>
      <c r="L35" s="97">
        <v>187000</v>
      </c>
      <c r="M35" s="76" t="s">
        <v>83</v>
      </c>
      <c r="N35" s="77">
        <v>46171</v>
      </c>
      <c r="O35" s="79">
        <v>46750</v>
      </c>
      <c r="P35" s="73"/>
      <c r="Q35" s="78"/>
    </row>
    <row r="36" spans="1:17" ht="15" customHeight="1">
      <c r="A36" s="76" t="s">
        <v>58</v>
      </c>
      <c r="B36" s="16" t="s">
        <v>406</v>
      </c>
      <c r="C36" s="16" t="s">
        <v>58</v>
      </c>
      <c r="D36" s="18" t="s">
        <v>91</v>
      </c>
      <c r="E36" s="16" t="s">
        <v>173</v>
      </c>
      <c r="F36" s="88">
        <v>46171</v>
      </c>
      <c r="G36" s="16" t="s">
        <v>140</v>
      </c>
      <c r="H36" s="20">
        <v>30800</v>
      </c>
      <c r="I36" s="20">
        <v>30800</v>
      </c>
      <c r="J36" s="20">
        <v>30800</v>
      </c>
      <c r="K36" s="20">
        <v>30800</v>
      </c>
      <c r="L36" s="97">
        <v>92400</v>
      </c>
      <c r="M36" s="76" t="s">
        <v>83</v>
      </c>
      <c r="N36" s="77"/>
      <c r="O36" s="79">
        <v>92400</v>
      </c>
      <c r="P36" s="73"/>
      <c r="Q36" s="78"/>
    </row>
    <row r="37" spans="1:17" ht="15" customHeight="1">
      <c r="A37" s="76" t="s">
        <v>58</v>
      </c>
      <c r="B37" s="16" t="s">
        <v>406</v>
      </c>
      <c r="C37" s="16" t="s">
        <v>58</v>
      </c>
      <c r="D37" s="18" t="s">
        <v>95</v>
      </c>
      <c r="E37" s="16" t="s">
        <v>172</v>
      </c>
      <c r="F37" s="88">
        <v>46171</v>
      </c>
      <c r="G37" s="16" t="s">
        <v>140</v>
      </c>
      <c r="H37" s="20">
        <v>319440</v>
      </c>
      <c r="I37" s="20">
        <v>372405</v>
      </c>
      <c r="J37" s="20">
        <v>114015</v>
      </c>
      <c r="K37" s="20">
        <v>0</v>
      </c>
      <c r="L37" s="97">
        <v>486420</v>
      </c>
      <c r="M37" s="76" t="s">
        <v>96</v>
      </c>
      <c r="N37" s="77"/>
      <c r="O37" s="79">
        <v>486420</v>
      </c>
      <c r="P37" s="73"/>
      <c r="Q37" s="78"/>
    </row>
    <row r="38" spans="1:17" ht="23.25" customHeight="1">
      <c r="A38" s="76" t="s">
        <v>58</v>
      </c>
      <c r="B38" s="16" t="s">
        <v>403</v>
      </c>
      <c r="C38" s="16" t="s">
        <v>157</v>
      </c>
      <c r="D38" s="18" t="s">
        <v>412</v>
      </c>
      <c r="E38" s="16" t="s">
        <v>170</v>
      </c>
      <c r="F38" s="88">
        <v>46157</v>
      </c>
      <c r="G38" s="16"/>
      <c r="H38" s="20">
        <v>16500</v>
      </c>
      <c r="I38" s="20">
        <v>0</v>
      </c>
      <c r="J38" s="20">
        <v>0</v>
      </c>
      <c r="K38" s="20">
        <v>0</v>
      </c>
      <c r="L38" s="97">
        <v>16500</v>
      </c>
      <c r="M38" s="76" t="s">
        <v>389</v>
      </c>
      <c r="N38" s="77">
        <v>46172</v>
      </c>
      <c r="O38" s="79">
        <v>89800</v>
      </c>
      <c r="P38" s="73"/>
      <c r="Q38" s="78"/>
    </row>
    <row r="39" spans="1:17" ht="15" customHeight="1">
      <c r="A39" s="76" t="s">
        <v>58</v>
      </c>
      <c r="B39" s="16" t="s">
        <v>403</v>
      </c>
      <c r="C39" s="16" t="s">
        <v>157</v>
      </c>
      <c r="D39" s="18" t="s">
        <v>438</v>
      </c>
      <c r="E39" s="16" t="s">
        <v>164</v>
      </c>
      <c r="F39" s="88">
        <v>46160</v>
      </c>
      <c r="G39" s="16"/>
      <c r="H39" s="20">
        <v>5927</v>
      </c>
      <c r="I39" s="20">
        <v>0</v>
      </c>
      <c r="J39" s="20">
        <v>0</v>
      </c>
      <c r="K39" s="20">
        <v>0</v>
      </c>
      <c r="L39" s="97">
        <v>5927</v>
      </c>
      <c r="M39" s="76" t="s">
        <v>389</v>
      </c>
      <c r="N39" s="77">
        <v>46160</v>
      </c>
      <c r="O39" s="79">
        <v>5927</v>
      </c>
      <c r="P39" s="73"/>
      <c r="Q39" s="78"/>
    </row>
    <row r="40" spans="1:17" ht="23.25" customHeight="1">
      <c r="A40" s="76" t="s">
        <v>58</v>
      </c>
      <c r="B40" s="16" t="s">
        <v>403</v>
      </c>
      <c r="C40" s="16" t="s">
        <v>157</v>
      </c>
      <c r="D40" s="18" t="s">
        <v>439</v>
      </c>
      <c r="E40" s="16" t="s">
        <v>164</v>
      </c>
      <c r="F40" s="88">
        <v>46149</v>
      </c>
      <c r="G40" s="16"/>
      <c r="H40" s="20">
        <v>363435</v>
      </c>
      <c r="I40" s="20">
        <v>0</v>
      </c>
      <c r="J40" s="20">
        <v>0</v>
      </c>
      <c r="K40" s="20">
        <v>0</v>
      </c>
      <c r="L40" s="97">
        <v>363435</v>
      </c>
      <c r="M40" s="76" t="s">
        <v>389</v>
      </c>
      <c r="N40" s="77">
        <v>46149</v>
      </c>
      <c r="O40" s="79">
        <v>363435</v>
      </c>
      <c r="P40" s="73"/>
      <c r="Q40" s="78"/>
    </row>
    <row r="41" spans="1:17" ht="23.25" customHeight="1">
      <c r="A41" s="76"/>
      <c r="B41" s="16"/>
      <c r="C41" s="16"/>
      <c r="D41" s="18"/>
      <c r="E41" s="16"/>
      <c r="F41" s="88"/>
      <c r="G41" s="16"/>
      <c r="H41" s="20"/>
      <c r="I41" s="20"/>
      <c r="J41" s="20"/>
      <c r="K41" s="20"/>
      <c r="L41" s="97"/>
      <c r="M41" s="76"/>
      <c r="N41" s="77"/>
      <c r="O41" s="79"/>
      <c r="P41" s="73"/>
      <c r="Q41" s="78"/>
    </row>
    <row r="42" spans="1:17" ht="23.25" customHeight="1">
      <c r="A42" s="76" t="s">
        <v>58</v>
      </c>
      <c r="B42" s="16" t="s">
        <v>403</v>
      </c>
      <c r="C42" s="16" t="s">
        <v>88</v>
      </c>
      <c r="D42" s="18" t="s">
        <v>440</v>
      </c>
      <c r="E42" s="16" t="s">
        <v>423</v>
      </c>
      <c r="F42" s="88">
        <v>46149</v>
      </c>
      <c r="G42" s="16" t="s">
        <v>420</v>
      </c>
      <c r="H42" s="20">
        <v>660000</v>
      </c>
      <c r="I42" s="20">
        <v>0</v>
      </c>
      <c r="J42" s="20">
        <v>0</v>
      </c>
      <c r="K42" s="20">
        <v>0</v>
      </c>
      <c r="L42" s="97">
        <v>660000</v>
      </c>
      <c r="M42" s="76" t="s">
        <v>389</v>
      </c>
      <c r="N42" s="77">
        <v>46149</v>
      </c>
      <c r="O42" s="79">
        <v>660000</v>
      </c>
      <c r="P42" s="73"/>
      <c r="Q42" s="78"/>
    </row>
    <row r="43" spans="1:17" ht="23.25" customHeight="1">
      <c r="A43" s="76" t="s">
        <v>58</v>
      </c>
      <c r="B43" s="16" t="s">
        <v>403</v>
      </c>
      <c r="C43" s="16" t="s">
        <v>88</v>
      </c>
      <c r="D43" s="18" t="s">
        <v>441</v>
      </c>
      <c r="E43" s="16" t="s">
        <v>423</v>
      </c>
      <c r="F43" s="88">
        <v>46153</v>
      </c>
      <c r="G43" s="16" t="s">
        <v>420</v>
      </c>
      <c r="H43" s="20">
        <v>660000</v>
      </c>
      <c r="I43" s="20">
        <v>0</v>
      </c>
      <c r="J43" s="20">
        <v>0</v>
      </c>
      <c r="K43" s="20">
        <v>0</v>
      </c>
      <c r="L43" s="97">
        <v>660000</v>
      </c>
      <c r="M43" s="76" t="s">
        <v>389</v>
      </c>
      <c r="N43" s="77">
        <v>46153</v>
      </c>
      <c r="O43" s="79">
        <v>660000</v>
      </c>
      <c r="P43" s="73"/>
      <c r="Q43" s="78"/>
    </row>
    <row r="44" spans="1:17" ht="23.25" customHeight="1">
      <c r="A44" s="76" t="s">
        <v>58</v>
      </c>
      <c r="B44" s="16" t="s">
        <v>403</v>
      </c>
      <c r="C44" s="16" t="s">
        <v>88</v>
      </c>
      <c r="D44" s="18" t="s">
        <v>442</v>
      </c>
      <c r="E44" s="16" t="s">
        <v>423</v>
      </c>
      <c r="F44" s="88">
        <v>46160</v>
      </c>
      <c r="G44" s="16" t="s">
        <v>420</v>
      </c>
      <c r="H44" s="20">
        <v>660000</v>
      </c>
      <c r="I44" s="20">
        <v>0</v>
      </c>
      <c r="J44" s="20">
        <v>0</v>
      </c>
      <c r="K44" s="20">
        <v>0</v>
      </c>
      <c r="L44" s="97">
        <v>660000</v>
      </c>
      <c r="M44" s="76" t="s">
        <v>389</v>
      </c>
      <c r="N44" s="77">
        <v>46160</v>
      </c>
      <c r="O44" s="79">
        <v>660000</v>
      </c>
      <c r="P44" s="73"/>
      <c r="Q44" s="78"/>
    </row>
    <row r="45" spans="1:17" ht="23.25" customHeight="1">
      <c r="A45" s="76" t="s">
        <v>58</v>
      </c>
      <c r="B45" s="16" t="s">
        <v>403</v>
      </c>
      <c r="C45" s="16" t="s">
        <v>88</v>
      </c>
      <c r="D45" s="18" t="s">
        <v>443</v>
      </c>
      <c r="E45" s="16" t="s">
        <v>423</v>
      </c>
      <c r="F45" s="88">
        <v>46171</v>
      </c>
      <c r="G45" s="16" t="s">
        <v>420</v>
      </c>
      <c r="H45" s="20">
        <v>660000</v>
      </c>
      <c r="I45" s="20">
        <v>0</v>
      </c>
      <c r="J45" s="20">
        <v>0</v>
      </c>
      <c r="K45" s="20">
        <v>0</v>
      </c>
      <c r="L45" s="97">
        <v>660000</v>
      </c>
      <c r="M45" s="76" t="s">
        <v>389</v>
      </c>
      <c r="N45" s="77">
        <v>46171</v>
      </c>
      <c r="O45" s="79">
        <v>660000</v>
      </c>
      <c r="P45" s="73"/>
      <c r="Q45" s="78"/>
    </row>
    <row r="46" spans="1:17" ht="23.25" customHeight="1">
      <c r="A46" s="76"/>
      <c r="B46" s="16"/>
      <c r="C46" s="16"/>
      <c r="D46" s="18"/>
      <c r="E46" s="16"/>
      <c r="F46" s="88"/>
      <c r="G46" s="16"/>
      <c r="H46" s="20"/>
      <c r="I46" s="20"/>
      <c r="J46" s="20"/>
      <c r="K46" s="20"/>
      <c r="L46" s="97"/>
      <c r="M46" s="76"/>
      <c r="N46" s="77"/>
      <c r="O46" s="79"/>
      <c r="P46" s="73"/>
      <c r="Q46" s="78"/>
    </row>
    <row r="47" spans="1:17" ht="23.25" customHeight="1">
      <c r="A47" s="76" t="s">
        <v>58</v>
      </c>
      <c r="B47" s="16" t="s">
        <v>403</v>
      </c>
      <c r="C47" s="16" t="s">
        <v>88</v>
      </c>
      <c r="D47" s="18" t="s">
        <v>444</v>
      </c>
      <c r="E47" s="16" t="s">
        <v>166</v>
      </c>
      <c r="F47" s="88">
        <v>46171</v>
      </c>
      <c r="G47" s="16" t="s">
        <v>420</v>
      </c>
      <c r="H47" s="20">
        <v>23100</v>
      </c>
      <c r="I47" s="20">
        <v>0</v>
      </c>
      <c r="J47" s="20">
        <v>0</v>
      </c>
      <c r="K47" s="20">
        <v>0</v>
      </c>
      <c r="L47" s="97">
        <v>23100</v>
      </c>
      <c r="M47" s="76" t="s">
        <v>389</v>
      </c>
      <c r="N47" s="77">
        <v>46171</v>
      </c>
      <c r="O47" s="79">
        <v>23100</v>
      </c>
      <c r="P47" s="73"/>
      <c r="Q47" s="78"/>
    </row>
    <row r="48" spans="1:17" ht="23.25" customHeight="1">
      <c r="A48" s="76" t="s">
        <v>58</v>
      </c>
      <c r="B48" s="16" t="s">
        <v>403</v>
      </c>
      <c r="C48" s="16" t="s">
        <v>88</v>
      </c>
      <c r="D48" s="18" t="s">
        <v>445</v>
      </c>
      <c r="E48" s="16" t="s">
        <v>164</v>
      </c>
      <c r="F48" s="88">
        <v>46171</v>
      </c>
      <c r="G48" s="16" t="s">
        <v>420</v>
      </c>
      <c r="H48" s="20">
        <v>9207</v>
      </c>
      <c r="I48" s="20">
        <v>0</v>
      </c>
      <c r="J48" s="20">
        <v>0</v>
      </c>
      <c r="K48" s="20">
        <v>0</v>
      </c>
      <c r="L48" s="97">
        <v>9207</v>
      </c>
      <c r="M48" s="76" t="s">
        <v>389</v>
      </c>
      <c r="N48" s="77">
        <v>46171</v>
      </c>
      <c r="O48" s="79">
        <v>9207</v>
      </c>
      <c r="P48" s="73"/>
      <c r="Q48" s="78"/>
    </row>
    <row r="49" spans="1:17" ht="23.25" customHeight="1">
      <c r="A49" s="76" t="s">
        <v>58</v>
      </c>
      <c r="B49" s="16" t="s">
        <v>403</v>
      </c>
      <c r="C49" s="16" t="s">
        <v>88</v>
      </c>
      <c r="D49" s="18" t="s">
        <v>446</v>
      </c>
      <c r="E49" s="16" t="s">
        <v>168</v>
      </c>
      <c r="F49" s="88">
        <v>46157</v>
      </c>
      <c r="G49" s="16" t="s">
        <v>420</v>
      </c>
      <c r="H49" s="20">
        <v>132929</v>
      </c>
      <c r="I49" s="20">
        <v>0</v>
      </c>
      <c r="J49" s="20">
        <v>0</v>
      </c>
      <c r="K49" s="20">
        <v>0</v>
      </c>
      <c r="L49" s="97">
        <v>132929</v>
      </c>
      <c r="M49" s="76" t="s">
        <v>389</v>
      </c>
      <c r="N49" s="77">
        <v>46157</v>
      </c>
      <c r="O49" s="79">
        <v>33000</v>
      </c>
      <c r="P49" s="73"/>
      <c r="Q49" s="78"/>
    </row>
    <row r="50" spans="1:17" ht="23.25" customHeight="1">
      <c r="A50" s="76" t="s">
        <v>58</v>
      </c>
      <c r="B50" s="16" t="s">
        <v>403</v>
      </c>
      <c r="C50" s="16" t="s">
        <v>88</v>
      </c>
      <c r="D50" s="18" t="s">
        <v>417</v>
      </c>
      <c r="E50" s="16" t="s">
        <v>169</v>
      </c>
      <c r="F50" s="88">
        <v>46162</v>
      </c>
      <c r="G50" s="16" t="s">
        <v>420</v>
      </c>
      <c r="H50" s="20">
        <v>11774</v>
      </c>
      <c r="I50" s="20">
        <v>0</v>
      </c>
      <c r="J50" s="20">
        <v>0</v>
      </c>
      <c r="K50" s="20">
        <v>0</v>
      </c>
      <c r="L50" s="97">
        <v>11774</v>
      </c>
      <c r="M50" s="76" t="s">
        <v>389</v>
      </c>
      <c r="N50" s="77">
        <v>46162</v>
      </c>
      <c r="O50" s="79">
        <v>189334</v>
      </c>
      <c r="P50" s="73"/>
      <c r="Q50" s="78"/>
    </row>
    <row r="51" spans="1:17" ht="23.25" customHeight="1">
      <c r="A51" s="76" t="s">
        <v>58</v>
      </c>
      <c r="B51" s="16" t="s">
        <v>403</v>
      </c>
      <c r="C51" s="16" t="s">
        <v>58</v>
      </c>
      <c r="D51" s="43" t="s">
        <v>447</v>
      </c>
      <c r="E51" s="16" t="s">
        <v>423</v>
      </c>
      <c r="F51" s="88">
        <v>46153</v>
      </c>
      <c r="G51" s="16" t="s">
        <v>420</v>
      </c>
      <c r="H51" s="20">
        <v>262500</v>
      </c>
      <c r="I51" s="20">
        <v>0</v>
      </c>
      <c r="J51" s="20">
        <v>0</v>
      </c>
      <c r="K51" s="20">
        <v>0</v>
      </c>
      <c r="L51" s="97">
        <v>262500</v>
      </c>
      <c r="M51" s="76" t="s">
        <v>389</v>
      </c>
      <c r="N51" s="77">
        <v>46153</v>
      </c>
      <c r="O51" s="79">
        <v>262500</v>
      </c>
      <c r="P51" s="73"/>
      <c r="Q51" s="78"/>
    </row>
    <row r="52" spans="1:17" ht="23.25" customHeight="1">
      <c r="A52" s="76" t="s">
        <v>58</v>
      </c>
      <c r="B52" s="16" t="s">
        <v>403</v>
      </c>
      <c r="C52" s="16" t="s">
        <v>58</v>
      </c>
      <c r="D52" s="43" t="s">
        <v>448</v>
      </c>
      <c r="E52" s="16" t="s">
        <v>423</v>
      </c>
      <c r="F52" s="88">
        <v>46157</v>
      </c>
      <c r="G52" s="16" t="s">
        <v>420</v>
      </c>
      <c r="H52" s="20">
        <v>262500</v>
      </c>
      <c r="I52" s="20">
        <v>0</v>
      </c>
      <c r="J52" s="20">
        <v>0</v>
      </c>
      <c r="K52" s="20">
        <v>0</v>
      </c>
      <c r="L52" s="97">
        <v>262500</v>
      </c>
      <c r="M52" s="76" t="s">
        <v>389</v>
      </c>
      <c r="N52" s="77">
        <v>46157</v>
      </c>
      <c r="O52" s="79">
        <v>262500</v>
      </c>
      <c r="P52" s="73"/>
      <c r="Q52" s="78"/>
    </row>
    <row r="53" spans="1:17" ht="23.25" customHeight="1">
      <c r="A53" s="76"/>
      <c r="B53" s="16"/>
      <c r="C53" s="16"/>
      <c r="D53" s="43"/>
      <c r="E53" s="16"/>
      <c r="F53" s="88"/>
      <c r="G53" s="16"/>
      <c r="H53" s="20"/>
      <c r="I53" s="20"/>
      <c r="J53" s="20"/>
      <c r="K53" s="20"/>
      <c r="L53" s="97"/>
      <c r="M53" s="76"/>
      <c r="N53" s="77"/>
      <c r="O53" s="79"/>
      <c r="P53" s="73"/>
      <c r="Q53" s="78"/>
    </row>
    <row r="54" spans="1:17" ht="23.25" customHeight="1">
      <c r="A54" s="76" t="s">
        <v>58</v>
      </c>
      <c r="B54" s="16" t="s">
        <v>403</v>
      </c>
      <c r="C54" s="16" t="s">
        <v>58</v>
      </c>
      <c r="D54" s="43" t="s">
        <v>449</v>
      </c>
      <c r="E54" s="16" t="s">
        <v>423</v>
      </c>
      <c r="F54" s="88">
        <v>46171</v>
      </c>
      <c r="G54" s="16" t="s">
        <v>420</v>
      </c>
      <c r="H54" s="20">
        <v>225000</v>
      </c>
      <c r="I54" s="20">
        <v>0</v>
      </c>
      <c r="J54" s="20">
        <v>0</v>
      </c>
      <c r="K54" s="20">
        <v>0</v>
      </c>
      <c r="L54" s="97">
        <v>225000</v>
      </c>
      <c r="M54" s="76" t="s">
        <v>389</v>
      </c>
      <c r="N54" s="77">
        <v>46171</v>
      </c>
      <c r="O54" s="79">
        <v>225000</v>
      </c>
      <c r="P54" s="73"/>
      <c r="Q54" s="78"/>
    </row>
    <row r="55" spans="1:17" ht="15" customHeight="1">
      <c r="A55" s="76" t="s">
        <v>58</v>
      </c>
      <c r="B55" s="16" t="s">
        <v>403</v>
      </c>
      <c r="C55" s="16" t="s">
        <v>58</v>
      </c>
      <c r="D55" s="43" t="s">
        <v>410</v>
      </c>
      <c r="E55" s="16" t="s">
        <v>172</v>
      </c>
      <c r="F55" s="88">
        <v>46157</v>
      </c>
      <c r="G55" s="16" t="s">
        <v>426</v>
      </c>
      <c r="H55" s="20">
        <v>107625</v>
      </c>
      <c r="I55" s="20">
        <v>0</v>
      </c>
      <c r="J55" s="20">
        <v>0</v>
      </c>
      <c r="K55" s="20">
        <v>0</v>
      </c>
      <c r="L55" s="97">
        <v>107625</v>
      </c>
      <c r="M55" s="76" t="s">
        <v>389</v>
      </c>
      <c r="N55" s="77">
        <v>46157</v>
      </c>
      <c r="O55" s="79">
        <v>206646</v>
      </c>
      <c r="P55" s="73"/>
      <c r="Q55" s="78"/>
    </row>
    <row r="56" spans="1:17" ht="15" customHeight="1">
      <c r="A56" s="76"/>
      <c r="B56" s="16"/>
      <c r="C56" s="16"/>
      <c r="D56" s="43"/>
      <c r="E56" s="16"/>
      <c r="F56" s="88"/>
      <c r="G56" s="16"/>
      <c r="H56" s="20"/>
      <c r="I56" s="20"/>
      <c r="J56" s="20"/>
      <c r="K56" s="20"/>
      <c r="L56" s="97"/>
      <c r="M56" s="76"/>
      <c r="N56" s="77"/>
      <c r="O56" s="79"/>
      <c r="P56" s="73"/>
      <c r="Q56" s="78"/>
    </row>
    <row r="57" spans="1:17" ht="15" customHeight="1">
      <c r="A57" s="76" t="s">
        <v>58</v>
      </c>
      <c r="B57" s="16" t="s">
        <v>403</v>
      </c>
      <c r="C57" s="16" t="s">
        <v>58</v>
      </c>
      <c r="D57" s="43" t="s">
        <v>450</v>
      </c>
      <c r="E57" s="16" t="s">
        <v>167</v>
      </c>
      <c r="F57" s="88">
        <v>46152</v>
      </c>
      <c r="G57" s="16"/>
      <c r="H57" s="20">
        <v>880</v>
      </c>
      <c r="I57" s="20">
        <v>0</v>
      </c>
      <c r="J57" s="20">
        <v>0</v>
      </c>
      <c r="K57" s="20">
        <v>0</v>
      </c>
      <c r="L57" s="97">
        <v>880</v>
      </c>
      <c r="M57" s="76" t="s">
        <v>389</v>
      </c>
      <c r="N57" s="77">
        <v>46152</v>
      </c>
      <c r="O57" s="79">
        <v>880</v>
      </c>
      <c r="P57" s="73"/>
      <c r="Q57" s="78"/>
    </row>
    <row r="58" spans="1:17" ht="15" customHeight="1">
      <c r="A58" s="76"/>
      <c r="B58" s="16"/>
      <c r="C58" s="16"/>
      <c r="D58" s="18"/>
      <c r="E58" s="16"/>
      <c r="F58" s="88"/>
      <c r="G58" s="16"/>
      <c r="H58" s="20"/>
      <c r="I58" s="20"/>
      <c r="J58" s="20"/>
      <c r="K58" s="20"/>
      <c r="L58" s="97"/>
      <c r="M58" s="76"/>
      <c r="N58" s="77"/>
      <c r="O58" s="79"/>
      <c r="P58" s="73"/>
      <c r="Q58" s="78"/>
    </row>
    <row r="59" spans="1:17" ht="23.25" customHeight="1">
      <c r="A59" s="76"/>
      <c r="B59" s="16"/>
      <c r="C59" s="16"/>
      <c r="D59" s="18"/>
      <c r="E59" s="16"/>
      <c r="F59" s="88"/>
      <c r="G59" s="16"/>
      <c r="H59" s="20"/>
      <c r="I59" s="20"/>
      <c r="J59" s="20"/>
      <c r="K59" s="20"/>
      <c r="L59" s="97"/>
      <c r="M59" s="76"/>
      <c r="N59" s="77"/>
      <c r="O59" s="79"/>
      <c r="P59" s="73"/>
      <c r="Q59" s="78"/>
    </row>
    <row r="60" spans="1:17" ht="15" customHeight="1">
      <c r="A60" s="76"/>
      <c r="B60" s="16"/>
      <c r="C60" s="16"/>
      <c r="D60" s="18"/>
      <c r="E60" s="16"/>
      <c r="F60" s="88"/>
      <c r="G60" s="16"/>
      <c r="H60" s="20"/>
      <c r="I60" s="20"/>
      <c r="J60" s="20"/>
      <c r="K60" s="20"/>
      <c r="L60" s="97"/>
      <c r="M60" s="76"/>
      <c r="N60" s="77"/>
      <c r="O60" s="79"/>
      <c r="P60" s="73"/>
      <c r="Q60" s="78"/>
    </row>
    <row r="61" spans="1:17" ht="15" customHeight="1">
      <c r="A61" s="76"/>
      <c r="B61" s="16"/>
      <c r="C61" s="16"/>
      <c r="D61" s="18"/>
      <c r="E61" s="16"/>
      <c r="F61" s="88"/>
      <c r="G61" s="16"/>
      <c r="H61" s="20"/>
      <c r="I61" s="20"/>
      <c r="J61" s="20"/>
      <c r="K61" s="20"/>
      <c r="L61" s="97"/>
      <c r="M61" s="76"/>
      <c r="N61" s="77"/>
      <c r="O61" s="79"/>
      <c r="P61" s="73"/>
      <c r="Q61" s="78"/>
    </row>
    <row r="62" spans="1:17" ht="15" customHeight="1">
      <c r="A62" s="76"/>
      <c r="B62" s="16"/>
      <c r="C62" s="16"/>
      <c r="D62" s="18"/>
      <c r="E62" s="16"/>
      <c r="F62" s="88"/>
      <c r="G62" s="16"/>
      <c r="H62" s="20"/>
      <c r="I62" s="20"/>
      <c r="J62" s="20"/>
      <c r="K62" s="20"/>
      <c r="L62" s="97"/>
      <c r="M62" s="76"/>
      <c r="N62" s="77"/>
      <c r="O62" s="79"/>
      <c r="P62" s="73"/>
      <c r="Q62" s="78"/>
    </row>
    <row r="63" spans="1:17" ht="15" customHeight="1">
      <c r="A63" s="76" t="s">
        <v>58</v>
      </c>
      <c r="B63" s="16" t="s">
        <v>403</v>
      </c>
      <c r="C63" s="16" t="s">
        <v>58</v>
      </c>
      <c r="D63" s="18" t="s">
        <v>451</v>
      </c>
      <c r="E63" s="16" t="s">
        <v>452</v>
      </c>
      <c r="F63" s="88">
        <v>46153</v>
      </c>
      <c r="G63" s="16" t="s">
        <v>428</v>
      </c>
      <c r="H63" s="20">
        <v>387200</v>
      </c>
      <c r="I63" s="20">
        <v>0</v>
      </c>
      <c r="J63" s="20">
        <v>0</v>
      </c>
      <c r="K63" s="20">
        <v>0</v>
      </c>
      <c r="L63" s="97">
        <v>387200</v>
      </c>
      <c r="M63" s="76" t="s">
        <v>389</v>
      </c>
      <c r="N63" s="77">
        <v>46153</v>
      </c>
      <c r="O63" s="79">
        <v>387200</v>
      </c>
      <c r="P63" s="73"/>
      <c r="Q63" s="78"/>
    </row>
    <row r="64" spans="1:17" ht="15" customHeight="1">
      <c r="A64" s="76" t="s">
        <v>58</v>
      </c>
      <c r="B64" s="16" t="s">
        <v>403</v>
      </c>
      <c r="C64" s="16" t="s">
        <v>58</v>
      </c>
      <c r="D64" s="18" t="s">
        <v>453</v>
      </c>
      <c r="E64" s="16" t="s">
        <v>166</v>
      </c>
      <c r="F64" s="88">
        <v>46171</v>
      </c>
      <c r="G64" s="16" t="s">
        <v>141</v>
      </c>
      <c r="H64" s="20">
        <v>341000</v>
      </c>
      <c r="I64" s="20">
        <v>0</v>
      </c>
      <c r="J64" s="20">
        <v>0</v>
      </c>
      <c r="K64" s="20">
        <v>0</v>
      </c>
      <c r="L64" s="97">
        <v>341000</v>
      </c>
      <c r="M64" s="76" t="s">
        <v>389</v>
      </c>
      <c r="N64" s="77">
        <v>46171</v>
      </c>
      <c r="O64" s="79">
        <v>341000</v>
      </c>
      <c r="P64" s="73"/>
      <c r="Q64" s="78"/>
    </row>
    <row r="65" spans="1:17" ht="15" customHeight="1">
      <c r="A65" s="76"/>
      <c r="B65" s="16"/>
      <c r="C65" s="16"/>
      <c r="D65" s="18"/>
      <c r="E65" s="16"/>
      <c r="F65" s="88"/>
      <c r="G65" s="16"/>
      <c r="H65" s="20"/>
      <c r="I65" s="20"/>
      <c r="J65" s="20"/>
      <c r="K65" s="20"/>
      <c r="L65" s="97"/>
      <c r="M65" s="76"/>
      <c r="N65" s="77"/>
      <c r="O65" s="79"/>
      <c r="P65" s="73"/>
      <c r="Q65" s="78"/>
    </row>
    <row r="66" spans="1:17" ht="15" customHeight="1">
      <c r="A66" s="76" t="s">
        <v>58</v>
      </c>
      <c r="B66" s="16" t="s">
        <v>403</v>
      </c>
      <c r="C66" s="16" t="s">
        <v>58</v>
      </c>
      <c r="D66" s="18" t="s">
        <v>454</v>
      </c>
      <c r="E66" s="16" t="s">
        <v>166</v>
      </c>
      <c r="F66" s="88">
        <v>46171</v>
      </c>
      <c r="G66" s="16" t="s">
        <v>428</v>
      </c>
      <c r="H66" s="20">
        <v>136301</v>
      </c>
      <c r="I66" s="20">
        <v>0</v>
      </c>
      <c r="J66" s="20">
        <v>0</v>
      </c>
      <c r="K66" s="20">
        <v>0</v>
      </c>
      <c r="L66" s="97">
        <v>136301</v>
      </c>
      <c r="M66" s="76" t="s">
        <v>389</v>
      </c>
      <c r="N66" s="77">
        <v>46149</v>
      </c>
      <c r="O66" s="79">
        <v>260000</v>
      </c>
      <c r="P66" s="73"/>
      <c r="Q66" s="78"/>
    </row>
    <row r="67" spans="1:17" ht="15" customHeight="1">
      <c r="A67" s="76"/>
      <c r="B67" s="16"/>
      <c r="C67" s="16"/>
      <c r="D67" s="18"/>
      <c r="E67" s="16"/>
      <c r="F67" s="88"/>
      <c r="G67" s="16"/>
      <c r="H67" s="20"/>
      <c r="I67" s="20"/>
      <c r="J67" s="20"/>
      <c r="K67" s="20"/>
      <c r="L67" s="97"/>
      <c r="M67" s="76"/>
      <c r="N67" s="77"/>
      <c r="O67" s="79"/>
      <c r="P67" s="73"/>
      <c r="Q67" s="78"/>
    </row>
    <row r="68" spans="1:17" ht="15" customHeight="1">
      <c r="A68" s="76" t="s">
        <v>58</v>
      </c>
      <c r="B68" s="16" t="s">
        <v>403</v>
      </c>
      <c r="C68" s="16" t="s">
        <v>58</v>
      </c>
      <c r="D68" s="18" t="s">
        <v>455</v>
      </c>
      <c r="E68" s="16" t="s">
        <v>166</v>
      </c>
      <c r="F68" s="88">
        <v>46149</v>
      </c>
      <c r="G68" s="16" t="s">
        <v>140</v>
      </c>
      <c r="H68" s="20">
        <v>37400</v>
      </c>
      <c r="I68" s="20">
        <v>0</v>
      </c>
      <c r="J68" s="20">
        <v>0</v>
      </c>
      <c r="K68" s="20">
        <v>0</v>
      </c>
      <c r="L68" s="97">
        <v>37400</v>
      </c>
      <c r="M68" s="76" t="s">
        <v>389</v>
      </c>
      <c r="N68" s="77">
        <v>46149</v>
      </c>
      <c r="O68" s="79">
        <v>37400</v>
      </c>
      <c r="P68" s="73"/>
      <c r="Q68" s="78"/>
    </row>
    <row r="69" spans="1:17" ht="15" customHeight="1">
      <c r="A69" s="76"/>
      <c r="B69" s="16"/>
      <c r="C69" s="16"/>
      <c r="D69" s="18"/>
      <c r="E69" s="16"/>
      <c r="F69" s="88"/>
      <c r="G69" s="16"/>
      <c r="H69" s="20"/>
      <c r="I69" s="20"/>
      <c r="J69" s="20"/>
      <c r="K69" s="20"/>
      <c r="L69" s="97"/>
      <c r="M69" s="76"/>
      <c r="N69" s="77"/>
      <c r="O69" s="79"/>
      <c r="P69" s="73"/>
      <c r="Q69" s="78"/>
    </row>
    <row r="70" spans="1:17" ht="15" customHeight="1">
      <c r="A70" s="76"/>
      <c r="B70" s="16"/>
      <c r="C70" s="16"/>
      <c r="D70" s="18"/>
      <c r="E70" s="16"/>
      <c r="F70" s="88"/>
      <c r="G70" s="16"/>
      <c r="H70" s="20"/>
      <c r="I70" s="20"/>
      <c r="J70" s="20"/>
      <c r="K70" s="20"/>
      <c r="L70" s="97"/>
      <c r="M70" s="76"/>
      <c r="N70" s="77"/>
      <c r="O70" s="79"/>
      <c r="P70" s="73"/>
      <c r="Q70" s="78"/>
    </row>
    <row r="71" spans="1:17" ht="15" customHeight="1">
      <c r="A71" s="76" t="s">
        <v>58</v>
      </c>
      <c r="B71" s="16" t="s">
        <v>403</v>
      </c>
      <c r="C71" s="16" t="s">
        <v>58</v>
      </c>
      <c r="D71" s="18" t="s">
        <v>456</v>
      </c>
      <c r="E71" s="16" t="s">
        <v>178</v>
      </c>
      <c r="F71" s="88">
        <v>46146</v>
      </c>
      <c r="G71" s="16"/>
      <c r="H71" s="20">
        <v>182265</v>
      </c>
      <c r="I71" s="20">
        <v>0</v>
      </c>
      <c r="J71" s="20">
        <v>0</v>
      </c>
      <c r="K71" s="20">
        <v>0</v>
      </c>
      <c r="L71" s="97">
        <v>182265</v>
      </c>
      <c r="M71" s="76" t="s">
        <v>389</v>
      </c>
      <c r="N71" s="77">
        <v>46146</v>
      </c>
      <c r="O71" s="79">
        <v>182265</v>
      </c>
      <c r="P71" s="73"/>
      <c r="Q71" s="78"/>
    </row>
    <row r="72" spans="1:17" ht="15" customHeight="1">
      <c r="A72" s="76" t="s">
        <v>58</v>
      </c>
      <c r="B72" s="16" t="s">
        <v>403</v>
      </c>
      <c r="C72" s="16" t="s">
        <v>58</v>
      </c>
      <c r="D72" s="18" t="s">
        <v>215</v>
      </c>
      <c r="E72" s="16" t="s">
        <v>172</v>
      </c>
      <c r="F72" s="88">
        <v>46171</v>
      </c>
      <c r="G72" s="16" t="s">
        <v>141</v>
      </c>
      <c r="H72" s="20">
        <v>34660</v>
      </c>
      <c r="I72" s="20">
        <v>0</v>
      </c>
      <c r="J72" s="20">
        <v>0</v>
      </c>
      <c r="K72" s="20">
        <v>0</v>
      </c>
      <c r="L72" s="97">
        <v>34660</v>
      </c>
      <c r="M72" s="76" t="s">
        <v>389</v>
      </c>
      <c r="N72" s="77">
        <v>46171</v>
      </c>
      <c r="O72" s="79">
        <v>34660</v>
      </c>
      <c r="P72" s="73"/>
      <c r="Q72" s="78"/>
    </row>
    <row r="73" spans="1:17" ht="15" customHeight="1">
      <c r="A73" s="76" t="s">
        <v>58</v>
      </c>
      <c r="B73" s="16" t="s">
        <v>403</v>
      </c>
      <c r="C73" s="16" t="s">
        <v>58</v>
      </c>
      <c r="D73" s="18" t="s">
        <v>457</v>
      </c>
      <c r="E73" s="16" t="s">
        <v>164</v>
      </c>
      <c r="F73" s="88">
        <v>46147</v>
      </c>
      <c r="G73" s="16"/>
      <c r="H73" s="20">
        <v>178844</v>
      </c>
      <c r="I73" s="20">
        <v>0</v>
      </c>
      <c r="J73" s="20">
        <v>0</v>
      </c>
      <c r="K73" s="20">
        <v>0</v>
      </c>
      <c r="L73" s="97">
        <v>178844</v>
      </c>
      <c r="M73" s="76" t="s">
        <v>389</v>
      </c>
      <c r="N73" s="77">
        <v>46157</v>
      </c>
      <c r="O73" s="79">
        <v>198016</v>
      </c>
      <c r="P73" s="73"/>
      <c r="Q73" s="78"/>
    </row>
    <row r="74" spans="1:17" ht="15" customHeight="1">
      <c r="A74" s="76"/>
      <c r="B74" s="16"/>
      <c r="C74" s="16"/>
      <c r="D74" s="18"/>
      <c r="E74" s="16"/>
      <c r="F74" s="88"/>
      <c r="G74" s="16"/>
      <c r="H74" s="20"/>
      <c r="I74" s="20"/>
      <c r="J74" s="20"/>
      <c r="K74" s="20"/>
      <c r="L74" s="97"/>
      <c r="M74" s="76"/>
      <c r="N74" s="77"/>
      <c r="O74" s="79"/>
      <c r="P74" s="73"/>
      <c r="Q74" s="78"/>
    </row>
    <row r="75" spans="1:17" ht="15" customHeight="1">
      <c r="A75" s="76"/>
      <c r="B75" s="16"/>
      <c r="C75" s="16"/>
      <c r="D75" s="18"/>
      <c r="E75" s="16"/>
      <c r="F75" s="88"/>
      <c r="G75" s="16"/>
      <c r="H75" s="20"/>
      <c r="I75" s="20"/>
      <c r="J75" s="20"/>
      <c r="K75" s="20"/>
      <c r="L75" s="97"/>
      <c r="M75" s="76"/>
      <c r="N75" s="77"/>
      <c r="O75" s="79"/>
      <c r="P75" s="73"/>
      <c r="Q75" s="78"/>
    </row>
    <row r="76" spans="1:17" ht="23.25" customHeight="1">
      <c r="A76" s="76" t="s">
        <v>58</v>
      </c>
      <c r="B76" s="16" t="s">
        <v>403</v>
      </c>
      <c r="C76" s="16" t="s">
        <v>58</v>
      </c>
      <c r="D76" s="18" t="s">
        <v>458</v>
      </c>
      <c r="E76" s="16" t="s">
        <v>164</v>
      </c>
      <c r="F76" s="88">
        <v>46149</v>
      </c>
      <c r="G76" s="16" t="s">
        <v>431</v>
      </c>
      <c r="H76" s="20">
        <v>5667</v>
      </c>
      <c r="I76" s="20">
        <v>0</v>
      </c>
      <c r="J76" s="20">
        <v>0</v>
      </c>
      <c r="K76" s="20">
        <v>0</v>
      </c>
      <c r="L76" s="97">
        <v>5667</v>
      </c>
      <c r="M76" s="76" t="s">
        <v>389</v>
      </c>
      <c r="N76" s="77">
        <v>46149</v>
      </c>
      <c r="O76" s="79">
        <v>55354</v>
      </c>
      <c r="P76" s="73"/>
      <c r="Q76" s="78"/>
    </row>
    <row r="77" spans="1:17" ht="23.25" customHeight="1">
      <c r="A77" s="76"/>
      <c r="B77" s="16"/>
      <c r="C77" s="16"/>
      <c r="D77" s="18"/>
      <c r="E77" s="16"/>
      <c r="F77" s="88"/>
      <c r="G77" s="16"/>
      <c r="H77" s="20"/>
      <c r="I77" s="20"/>
      <c r="J77" s="20"/>
      <c r="K77" s="20"/>
      <c r="L77" s="97"/>
      <c r="M77" s="76"/>
      <c r="N77" s="77"/>
      <c r="O77" s="79"/>
      <c r="P77" s="73"/>
      <c r="Q77" s="78"/>
    </row>
    <row r="78" spans="1:17" ht="15" customHeight="1">
      <c r="A78" s="76" t="s">
        <v>58</v>
      </c>
      <c r="B78" s="16" t="s">
        <v>403</v>
      </c>
      <c r="C78" s="16" t="s">
        <v>58</v>
      </c>
      <c r="D78" s="18" t="s">
        <v>404</v>
      </c>
      <c r="E78" s="16" t="s">
        <v>167</v>
      </c>
      <c r="F78" s="88">
        <v>46171</v>
      </c>
      <c r="G78" s="16"/>
      <c r="H78" s="20">
        <v>56250</v>
      </c>
      <c r="I78" s="20">
        <v>0</v>
      </c>
      <c r="J78" s="20">
        <v>0</v>
      </c>
      <c r="K78" s="20">
        <v>0</v>
      </c>
      <c r="L78" s="97">
        <v>56250</v>
      </c>
      <c r="M78" s="76" t="s">
        <v>389</v>
      </c>
      <c r="N78" s="77">
        <v>46171</v>
      </c>
      <c r="O78" s="79">
        <v>56250</v>
      </c>
      <c r="P78" s="73"/>
      <c r="Q78" s="78"/>
    </row>
    <row r="79" spans="1:17" ht="23.25" customHeight="1">
      <c r="A79" s="76"/>
      <c r="B79" s="16"/>
      <c r="C79" s="16"/>
      <c r="D79" s="18"/>
      <c r="E79" s="16"/>
      <c r="F79" s="88"/>
      <c r="G79" s="16"/>
      <c r="H79" s="20"/>
      <c r="I79" s="20"/>
      <c r="J79" s="20"/>
      <c r="K79" s="20"/>
      <c r="L79" s="97"/>
      <c r="M79" s="76"/>
      <c r="N79" s="77"/>
      <c r="O79" s="79"/>
      <c r="P79" s="73"/>
      <c r="Q79" s="78"/>
    </row>
    <row r="80" spans="1:17" ht="23.25" customHeight="1">
      <c r="A80" s="76"/>
      <c r="B80" s="16"/>
      <c r="C80" s="16"/>
      <c r="D80" s="18"/>
      <c r="E80" s="16"/>
      <c r="F80" s="88"/>
      <c r="G80" s="16"/>
      <c r="H80" s="20"/>
      <c r="I80" s="20"/>
      <c r="J80" s="20"/>
      <c r="K80" s="20"/>
      <c r="L80" s="97"/>
      <c r="M80" s="76"/>
      <c r="N80" s="77"/>
      <c r="O80" s="79"/>
      <c r="P80" s="73"/>
      <c r="Q80" s="78"/>
    </row>
    <row r="81" spans="1:17" ht="23.25" customHeight="1">
      <c r="A81" s="76"/>
      <c r="B81" s="16"/>
      <c r="C81" s="16"/>
      <c r="D81" s="18"/>
      <c r="E81" s="16"/>
      <c r="F81" s="88"/>
      <c r="G81" s="16"/>
      <c r="H81" s="20"/>
      <c r="I81" s="20"/>
      <c r="J81" s="20"/>
      <c r="K81" s="20"/>
      <c r="L81" s="97"/>
      <c r="M81" s="76"/>
      <c r="N81" s="77"/>
      <c r="O81" s="79"/>
      <c r="P81" s="73"/>
      <c r="Q81" s="78"/>
    </row>
    <row r="82" spans="1:17" ht="23.25" customHeight="1">
      <c r="A82" s="76" t="s">
        <v>58</v>
      </c>
      <c r="B82" s="16" t="s">
        <v>403</v>
      </c>
      <c r="C82" s="16" t="s">
        <v>58</v>
      </c>
      <c r="D82" s="18" t="s">
        <v>459</v>
      </c>
      <c r="E82" s="16" t="s">
        <v>170</v>
      </c>
      <c r="F82" s="88">
        <v>46160</v>
      </c>
      <c r="G82" s="16"/>
      <c r="H82" s="20">
        <v>89800</v>
      </c>
      <c r="I82" s="20">
        <v>0</v>
      </c>
      <c r="J82" s="20">
        <v>0</v>
      </c>
      <c r="K82" s="20">
        <v>0</v>
      </c>
      <c r="L82" s="97">
        <v>89800</v>
      </c>
      <c r="M82" s="76" t="s">
        <v>389</v>
      </c>
      <c r="N82" s="77">
        <v>46171</v>
      </c>
      <c r="O82" s="79">
        <v>89800</v>
      </c>
      <c r="P82" s="73"/>
      <c r="Q82" s="78"/>
    </row>
    <row r="83" spans="1:17" ht="23.25" customHeight="1">
      <c r="A83" s="76"/>
      <c r="B83" s="16"/>
      <c r="C83" s="16"/>
      <c r="D83" s="18"/>
      <c r="E83" s="16"/>
      <c r="F83" s="88"/>
      <c r="G83" s="16"/>
      <c r="H83" s="20"/>
      <c r="I83" s="20"/>
      <c r="J83" s="20"/>
      <c r="K83" s="20"/>
      <c r="L83" s="97"/>
      <c r="M83" s="76"/>
      <c r="N83" s="77"/>
      <c r="O83" s="79"/>
      <c r="P83" s="73"/>
      <c r="Q83" s="78"/>
    </row>
    <row r="84" spans="1:17" ht="23.25" customHeight="1">
      <c r="A84" s="76" t="s">
        <v>58</v>
      </c>
      <c r="B84" s="16" t="s">
        <v>403</v>
      </c>
      <c r="C84" s="16" t="s">
        <v>58</v>
      </c>
      <c r="D84" s="18" t="s">
        <v>460</v>
      </c>
      <c r="E84" s="16" t="s">
        <v>170</v>
      </c>
      <c r="F84" s="88">
        <v>46153</v>
      </c>
      <c r="G84" s="16"/>
      <c r="H84" s="20">
        <v>89800</v>
      </c>
      <c r="I84" s="20">
        <v>0</v>
      </c>
      <c r="J84" s="20">
        <v>0</v>
      </c>
      <c r="K84" s="20">
        <v>0</v>
      </c>
      <c r="L84" s="97">
        <v>89800</v>
      </c>
      <c r="M84" s="76" t="s">
        <v>389</v>
      </c>
      <c r="N84" s="77">
        <v>46153</v>
      </c>
      <c r="O84" s="79">
        <v>89800</v>
      </c>
      <c r="P84" s="73"/>
      <c r="Q84" s="78"/>
    </row>
    <row r="85" spans="1:17" ht="15" customHeight="1">
      <c r="A85" s="76"/>
      <c r="B85" s="16"/>
      <c r="C85" s="16"/>
      <c r="D85" s="18"/>
      <c r="E85" s="16"/>
      <c r="F85" s="88"/>
      <c r="G85" s="16"/>
      <c r="H85" s="20"/>
      <c r="I85" s="20"/>
      <c r="J85" s="20"/>
      <c r="K85" s="20"/>
      <c r="L85" s="97"/>
      <c r="M85" s="76"/>
      <c r="N85" s="77"/>
      <c r="O85" s="79"/>
      <c r="P85" s="73"/>
      <c r="Q85" s="78"/>
    </row>
    <row r="86" spans="1:17" ht="15" customHeight="1">
      <c r="A86" s="76" t="s">
        <v>58</v>
      </c>
      <c r="B86" s="16" t="s">
        <v>403</v>
      </c>
      <c r="C86" s="16" t="s">
        <v>58</v>
      </c>
      <c r="D86" s="18" t="s">
        <v>461</v>
      </c>
      <c r="E86" s="16" t="s">
        <v>168</v>
      </c>
      <c r="F86" s="88">
        <v>46160</v>
      </c>
      <c r="G86" s="16" t="s">
        <v>140</v>
      </c>
      <c r="H86" s="20">
        <v>200000</v>
      </c>
      <c r="I86" s="20">
        <v>0</v>
      </c>
      <c r="J86" s="20">
        <v>0</v>
      </c>
      <c r="K86" s="20">
        <v>0</v>
      </c>
      <c r="L86" s="97">
        <v>200000</v>
      </c>
      <c r="M86" s="76" t="s">
        <v>389</v>
      </c>
      <c r="N86" s="77">
        <v>46160</v>
      </c>
      <c r="O86" s="79">
        <v>200000</v>
      </c>
      <c r="P86" s="73"/>
      <c r="Q86" s="78"/>
    </row>
    <row r="87" spans="1:17" ht="23.25" customHeight="1">
      <c r="A87" s="76" t="s">
        <v>58</v>
      </c>
      <c r="B87" s="16" t="s">
        <v>403</v>
      </c>
      <c r="C87" s="16" t="s">
        <v>58</v>
      </c>
      <c r="D87" s="18" t="s">
        <v>462</v>
      </c>
      <c r="E87" s="16" t="s">
        <v>168</v>
      </c>
      <c r="F87" s="88">
        <v>46171</v>
      </c>
      <c r="G87" s="16" t="s">
        <v>140</v>
      </c>
      <c r="H87" s="20">
        <v>200000</v>
      </c>
      <c r="I87" s="20">
        <v>0</v>
      </c>
      <c r="J87" s="20">
        <v>0</v>
      </c>
      <c r="K87" s="20">
        <v>0</v>
      </c>
      <c r="L87" s="97">
        <v>200000</v>
      </c>
      <c r="M87" s="76" t="s">
        <v>389</v>
      </c>
      <c r="N87" s="77">
        <v>46171</v>
      </c>
      <c r="O87" s="79">
        <v>200000</v>
      </c>
      <c r="P87" s="73"/>
      <c r="Q87" s="78"/>
    </row>
    <row r="88" spans="1:17" ht="23.25" customHeight="1">
      <c r="A88" s="76" t="s">
        <v>58</v>
      </c>
      <c r="B88" s="16" t="s">
        <v>403</v>
      </c>
      <c r="C88" s="16" t="s">
        <v>58</v>
      </c>
      <c r="D88" s="18" t="s">
        <v>414</v>
      </c>
      <c r="E88" s="16" t="s">
        <v>170</v>
      </c>
      <c r="F88" s="88">
        <v>46171</v>
      </c>
      <c r="G88" s="16" t="s">
        <v>140</v>
      </c>
      <c r="H88" s="20">
        <v>56508</v>
      </c>
      <c r="I88" s="20">
        <v>0</v>
      </c>
      <c r="J88" s="20">
        <v>0</v>
      </c>
      <c r="K88" s="20">
        <v>0</v>
      </c>
      <c r="L88" s="97">
        <v>56508</v>
      </c>
      <c r="M88" s="76" t="s">
        <v>389</v>
      </c>
      <c r="N88" s="77">
        <v>46171</v>
      </c>
      <c r="O88" s="79">
        <v>77308</v>
      </c>
      <c r="P88" s="73"/>
      <c r="Q88" s="78"/>
    </row>
    <row r="89" spans="1:17" ht="23.25" customHeight="1">
      <c r="A89" s="76"/>
      <c r="B89" s="16"/>
      <c r="C89" s="16"/>
      <c r="D89" s="18"/>
      <c r="E89" s="16"/>
      <c r="F89" s="88"/>
      <c r="G89" s="16"/>
      <c r="H89" s="20"/>
      <c r="I89" s="20"/>
      <c r="J89" s="20"/>
      <c r="K89" s="20"/>
      <c r="L89" s="97"/>
      <c r="M89" s="76"/>
      <c r="N89" s="77"/>
      <c r="O89" s="79"/>
      <c r="P89" s="73"/>
      <c r="Q89" s="78"/>
    </row>
    <row r="90" spans="1:17" ht="15" customHeight="1">
      <c r="A90" s="76" t="s">
        <v>58</v>
      </c>
      <c r="B90" s="16" t="s">
        <v>403</v>
      </c>
      <c r="C90" s="16" t="s">
        <v>58</v>
      </c>
      <c r="D90" s="18" t="s">
        <v>463</v>
      </c>
      <c r="E90" s="16" t="s">
        <v>164</v>
      </c>
      <c r="F90" s="88">
        <v>46160</v>
      </c>
      <c r="G90" s="16" t="s">
        <v>141</v>
      </c>
      <c r="H90" s="20">
        <v>612</v>
      </c>
      <c r="I90" s="20">
        <v>0</v>
      </c>
      <c r="J90" s="20">
        <v>0</v>
      </c>
      <c r="K90" s="20">
        <v>0</v>
      </c>
      <c r="L90" s="97">
        <v>612</v>
      </c>
      <c r="M90" s="76" t="s">
        <v>389</v>
      </c>
      <c r="N90" s="77">
        <v>46167</v>
      </c>
      <c r="O90" s="79">
        <v>8790</v>
      </c>
      <c r="P90" s="73"/>
      <c r="Q90" s="78"/>
    </row>
    <row r="91" spans="1:17" ht="15" customHeight="1">
      <c r="A91" s="76"/>
      <c r="B91" s="16"/>
      <c r="C91" s="16"/>
      <c r="D91" s="18"/>
      <c r="E91" s="16"/>
      <c r="F91" s="88"/>
      <c r="G91" s="16"/>
      <c r="H91" s="20"/>
      <c r="I91" s="20"/>
      <c r="J91" s="20"/>
      <c r="K91" s="20"/>
      <c r="L91" s="97"/>
      <c r="M91" s="76"/>
      <c r="N91" s="77"/>
      <c r="O91" s="79"/>
      <c r="P91" s="73"/>
      <c r="Q91" s="78"/>
    </row>
    <row r="92" spans="1:17" ht="23.25" customHeight="1">
      <c r="A92" s="76" t="s">
        <v>58</v>
      </c>
      <c r="B92" s="16" t="s">
        <v>403</v>
      </c>
      <c r="C92" s="16" t="s">
        <v>58</v>
      </c>
      <c r="D92" s="18" t="s">
        <v>464</v>
      </c>
      <c r="E92" s="16" t="s">
        <v>423</v>
      </c>
      <c r="F92" s="88">
        <v>46158</v>
      </c>
      <c r="G92" s="16"/>
      <c r="H92" s="20">
        <v>43896</v>
      </c>
      <c r="I92" s="20">
        <v>0</v>
      </c>
      <c r="J92" s="20">
        <v>0</v>
      </c>
      <c r="K92" s="20">
        <v>0</v>
      </c>
      <c r="L92" s="97">
        <v>43896</v>
      </c>
      <c r="M92" s="76" t="s">
        <v>389</v>
      </c>
      <c r="N92" s="77">
        <v>46158</v>
      </c>
      <c r="O92" s="79">
        <v>43896</v>
      </c>
      <c r="P92" s="73"/>
      <c r="Q92" s="78"/>
    </row>
    <row r="93" spans="1:17" ht="15" customHeight="1">
      <c r="A93" s="76" t="s">
        <v>58</v>
      </c>
      <c r="B93" s="16" t="s">
        <v>403</v>
      </c>
      <c r="C93" s="16" t="s">
        <v>58</v>
      </c>
      <c r="D93" s="18" t="s">
        <v>465</v>
      </c>
      <c r="E93" s="16" t="s">
        <v>174</v>
      </c>
      <c r="F93" s="88">
        <v>46153</v>
      </c>
      <c r="G93" s="16"/>
      <c r="H93" s="20">
        <v>1700</v>
      </c>
      <c r="I93" s="20">
        <v>0</v>
      </c>
      <c r="J93" s="20">
        <v>0</v>
      </c>
      <c r="K93" s="20">
        <v>0</v>
      </c>
      <c r="L93" s="97">
        <v>1700</v>
      </c>
      <c r="M93" s="76" t="s">
        <v>389</v>
      </c>
      <c r="N93" s="77">
        <v>46153</v>
      </c>
      <c r="O93" s="79">
        <v>1700</v>
      </c>
      <c r="P93" s="73"/>
      <c r="Q93" s="78"/>
    </row>
    <row r="94" spans="1:17" ht="15" customHeight="1">
      <c r="A94" s="76" t="s">
        <v>58</v>
      </c>
      <c r="B94" s="16" t="s">
        <v>403</v>
      </c>
      <c r="C94" s="16" t="s">
        <v>58</v>
      </c>
      <c r="D94" s="18" t="s">
        <v>466</v>
      </c>
      <c r="E94" s="16" t="s">
        <v>423</v>
      </c>
      <c r="F94" s="88">
        <v>46153</v>
      </c>
      <c r="G94" s="16"/>
      <c r="H94" s="20">
        <v>400000</v>
      </c>
      <c r="I94" s="20">
        <v>0</v>
      </c>
      <c r="J94" s="20">
        <v>0</v>
      </c>
      <c r="K94" s="20">
        <v>0</v>
      </c>
      <c r="L94" s="97">
        <v>400000</v>
      </c>
      <c r="M94" s="76" t="s">
        <v>389</v>
      </c>
      <c r="N94" s="77">
        <v>46153</v>
      </c>
      <c r="O94" s="79">
        <v>400000</v>
      </c>
      <c r="P94" s="73"/>
      <c r="Q94" s="78"/>
    </row>
    <row r="95" spans="1:17" ht="15" customHeight="1">
      <c r="A95" s="76" t="s">
        <v>58</v>
      </c>
      <c r="B95" s="16" t="s">
        <v>403</v>
      </c>
      <c r="C95" s="16" t="s">
        <v>58</v>
      </c>
      <c r="D95" s="18" t="s">
        <v>467</v>
      </c>
      <c r="E95" s="16" t="s">
        <v>174</v>
      </c>
      <c r="F95" s="88">
        <v>46153</v>
      </c>
      <c r="G95" s="16"/>
      <c r="H95" s="20">
        <v>5800</v>
      </c>
      <c r="I95" s="20">
        <v>0</v>
      </c>
      <c r="J95" s="20">
        <v>0</v>
      </c>
      <c r="K95" s="20">
        <v>0</v>
      </c>
      <c r="L95" s="97">
        <v>5800</v>
      </c>
      <c r="M95" s="76" t="s">
        <v>389</v>
      </c>
      <c r="N95" s="77">
        <v>46153</v>
      </c>
      <c r="O95" s="79">
        <v>5800</v>
      </c>
      <c r="P95" s="73"/>
      <c r="Q95" s="78"/>
    </row>
    <row r="96" spans="1:17" ht="15" customHeight="1">
      <c r="A96" s="76"/>
      <c r="B96" s="16"/>
      <c r="C96" s="16"/>
      <c r="D96" s="18"/>
      <c r="E96" s="16"/>
      <c r="F96" s="88"/>
      <c r="G96" s="16"/>
      <c r="H96" s="20"/>
      <c r="I96" s="20"/>
      <c r="J96" s="20"/>
      <c r="K96" s="20"/>
      <c r="L96" s="97"/>
      <c r="M96" s="76"/>
      <c r="N96" s="77"/>
      <c r="O96" s="79"/>
      <c r="P96" s="73"/>
      <c r="Q96" s="78"/>
    </row>
    <row r="97" spans="1:17" ht="15" customHeight="1">
      <c r="A97" s="76" t="s">
        <v>58</v>
      </c>
      <c r="B97" s="16" t="s">
        <v>403</v>
      </c>
      <c r="C97" s="16" t="s">
        <v>58</v>
      </c>
      <c r="D97" s="18" t="s">
        <v>468</v>
      </c>
      <c r="E97" s="16" t="s">
        <v>174</v>
      </c>
      <c r="F97" s="88">
        <v>46153</v>
      </c>
      <c r="G97" s="16"/>
      <c r="H97" s="20">
        <v>11100</v>
      </c>
      <c r="I97" s="20">
        <v>0</v>
      </c>
      <c r="J97" s="20">
        <v>0</v>
      </c>
      <c r="K97" s="20">
        <v>0</v>
      </c>
      <c r="L97" s="97">
        <v>11100</v>
      </c>
      <c r="M97" s="76" t="s">
        <v>389</v>
      </c>
      <c r="N97" s="77">
        <v>46153</v>
      </c>
      <c r="O97" s="79">
        <v>11100</v>
      </c>
      <c r="P97" s="73"/>
      <c r="Q97" s="78"/>
    </row>
    <row r="98" spans="1:17" ht="15" customHeight="1">
      <c r="A98" s="76" t="s">
        <v>58</v>
      </c>
      <c r="B98" s="16" t="s">
        <v>403</v>
      </c>
      <c r="C98" s="16" t="s">
        <v>58</v>
      </c>
      <c r="D98" s="18" t="s">
        <v>469</v>
      </c>
      <c r="E98" s="16" t="s">
        <v>172</v>
      </c>
      <c r="F98" s="88">
        <v>46171</v>
      </c>
      <c r="G98" s="16" t="s">
        <v>428</v>
      </c>
      <c r="H98" s="20">
        <v>3730</v>
      </c>
      <c r="I98" s="20">
        <v>0</v>
      </c>
      <c r="J98" s="20">
        <v>0</v>
      </c>
      <c r="K98" s="20">
        <v>0</v>
      </c>
      <c r="L98" s="97">
        <v>3730</v>
      </c>
      <c r="M98" s="76" t="s">
        <v>389</v>
      </c>
      <c r="N98" s="77">
        <v>46171</v>
      </c>
      <c r="O98" s="79">
        <v>3730</v>
      </c>
      <c r="P98" s="73"/>
      <c r="Q98" s="78"/>
    </row>
    <row r="99" spans="1:17" ht="15" customHeight="1">
      <c r="A99" s="76" t="s">
        <v>58</v>
      </c>
      <c r="B99" s="16" t="s">
        <v>403</v>
      </c>
      <c r="C99" s="16" t="s">
        <v>58</v>
      </c>
      <c r="D99" s="18" t="s">
        <v>470</v>
      </c>
      <c r="E99" s="16" t="s">
        <v>174</v>
      </c>
      <c r="F99" s="88">
        <v>46153</v>
      </c>
      <c r="G99" s="16"/>
      <c r="H99" s="20">
        <v>18600</v>
      </c>
      <c r="I99" s="20">
        <v>0</v>
      </c>
      <c r="J99" s="20">
        <v>0</v>
      </c>
      <c r="K99" s="20">
        <v>0</v>
      </c>
      <c r="L99" s="97">
        <v>18600</v>
      </c>
      <c r="M99" s="76" t="s">
        <v>389</v>
      </c>
      <c r="N99" s="77">
        <v>46153</v>
      </c>
      <c r="O99" s="79">
        <v>18600</v>
      </c>
      <c r="P99" s="73"/>
      <c r="Q99" s="78"/>
    </row>
    <row r="100" spans="1:17" ht="15" customHeight="1">
      <c r="A100" s="76" t="s">
        <v>58</v>
      </c>
      <c r="B100" s="16" t="s">
        <v>403</v>
      </c>
      <c r="C100" s="16" t="s">
        <v>58</v>
      </c>
      <c r="D100" s="18" t="s">
        <v>471</v>
      </c>
      <c r="E100" s="16" t="s">
        <v>166</v>
      </c>
      <c r="F100" s="88">
        <v>46171</v>
      </c>
      <c r="G100" s="16" t="s">
        <v>141</v>
      </c>
      <c r="H100" s="20">
        <v>156200</v>
      </c>
      <c r="I100" s="20">
        <v>0</v>
      </c>
      <c r="J100" s="20">
        <v>0</v>
      </c>
      <c r="K100" s="20">
        <v>0</v>
      </c>
      <c r="L100" s="97">
        <v>156200</v>
      </c>
      <c r="M100" s="76" t="s">
        <v>389</v>
      </c>
      <c r="N100" s="77">
        <v>46171</v>
      </c>
      <c r="O100" s="79">
        <v>156200</v>
      </c>
      <c r="P100" s="73"/>
      <c r="Q100" s="78"/>
    </row>
    <row r="101" spans="1:17" ht="15" customHeight="1">
      <c r="A101" s="76" t="s">
        <v>58</v>
      </c>
      <c r="B101" s="16" t="s">
        <v>403</v>
      </c>
      <c r="C101" s="16" t="s">
        <v>58</v>
      </c>
      <c r="D101" s="18" t="s">
        <v>472</v>
      </c>
      <c r="E101" s="16" t="s">
        <v>164</v>
      </c>
      <c r="F101" s="88">
        <v>46171</v>
      </c>
      <c r="G101" s="16" t="s">
        <v>138</v>
      </c>
      <c r="H101" s="20">
        <v>17622</v>
      </c>
      <c r="I101" s="20">
        <v>0</v>
      </c>
      <c r="J101" s="20">
        <v>0</v>
      </c>
      <c r="K101" s="20">
        <v>0</v>
      </c>
      <c r="L101" s="97">
        <v>17622</v>
      </c>
      <c r="M101" s="76" t="s">
        <v>389</v>
      </c>
      <c r="N101" s="77">
        <v>46171</v>
      </c>
      <c r="O101" s="79">
        <v>17622</v>
      </c>
      <c r="P101" s="73"/>
      <c r="Q101" s="78"/>
    </row>
    <row r="102" spans="1:17" ht="15" customHeight="1">
      <c r="A102" s="76" t="s">
        <v>58</v>
      </c>
      <c r="B102" s="16" t="s">
        <v>403</v>
      </c>
      <c r="C102" s="16" t="s">
        <v>58</v>
      </c>
      <c r="D102" s="18" t="s">
        <v>473</v>
      </c>
      <c r="E102" s="16" t="s">
        <v>474</v>
      </c>
      <c r="F102" s="88">
        <v>46157</v>
      </c>
      <c r="G102" s="16" t="s">
        <v>140</v>
      </c>
      <c r="H102" s="20">
        <v>2543200</v>
      </c>
      <c r="I102" s="20">
        <v>0</v>
      </c>
      <c r="J102" s="20">
        <v>0</v>
      </c>
      <c r="K102" s="20">
        <v>0</v>
      </c>
      <c r="L102" s="97">
        <v>2543200</v>
      </c>
      <c r="M102" s="76" t="s">
        <v>389</v>
      </c>
      <c r="N102" s="77">
        <v>46157</v>
      </c>
      <c r="O102" s="79">
        <v>2543200</v>
      </c>
      <c r="P102" s="73"/>
      <c r="Q102" s="78"/>
    </row>
    <row r="103" spans="1:17" ht="15" customHeight="1">
      <c r="A103" s="76" t="s">
        <v>58</v>
      </c>
      <c r="B103" s="16" t="s">
        <v>403</v>
      </c>
      <c r="C103" s="16" t="s">
        <v>58</v>
      </c>
      <c r="D103" s="18" t="s">
        <v>475</v>
      </c>
      <c r="E103" s="16" t="s">
        <v>174</v>
      </c>
      <c r="F103" s="88">
        <v>46153</v>
      </c>
      <c r="G103" s="16"/>
      <c r="H103" s="20">
        <v>56200</v>
      </c>
      <c r="I103" s="20">
        <v>0</v>
      </c>
      <c r="J103" s="20">
        <v>0</v>
      </c>
      <c r="K103" s="20">
        <v>0</v>
      </c>
      <c r="L103" s="97">
        <v>56200</v>
      </c>
      <c r="M103" s="76" t="s">
        <v>389</v>
      </c>
      <c r="N103" s="77">
        <v>46153</v>
      </c>
      <c r="O103" s="79">
        <v>60100</v>
      </c>
      <c r="P103" s="73"/>
      <c r="Q103" s="78"/>
    </row>
    <row r="104" spans="1:17" ht="15" customHeight="1">
      <c r="A104" s="76"/>
      <c r="B104" s="16"/>
      <c r="C104" s="16"/>
      <c r="D104" s="18"/>
      <c r="E104" s="16"/>
      <c r="F104" s="88"/>
      <c r="G104" s="16"/>
      <c r="H104" s="20"/>
      <c r="I104" s="20"/>
      <c r="J104" s="20"/>
      <c r="K104" s="20"/>
      <c r="L104" s="97"/>
      <c r="M104" s="76"/>
      <c r="N104" s="77"/>
      <c r="O104" s="79"/>
      <c r="P104" s="73"/>
      <c r="Q104" s="78"/>
    </row>
    <row r="105" spans="1:17" ht="15" customHeight="1">
      <c r="A105" s="76" t="s">
        <v>58</v>
      </c>
      <c r="B105" s="16" t="s">
        <v>403</v>
      </c>
      <c r="C105" s="16" t="s">
        <v>58</v>
      </c>
      <c r="D105" s="18" t="s">
        <v>476</v>
      </c>
      <c r="E105" s="16" t="s">
        <v>166</v>
      </c>
      <c r="F105" s="88">
        <v>46171</v>
      </c>
      <c r="G105" s="16" t="s">
        <v>141</v>
      </c>
      <c r="H105" s="20">
        <v>3410</v>
      </c>
      <c r="I105" s="20">
        <v>0</v>
      </c>
      <c r="J105" s="20">
        <v>0</v>
      </c>
      <c r="K105" s="20">
        <v>0</v>
      </c>
      <c r="L105" s="97">
        <v>3410</v>
      </c>
      <c r="M105" s="76" t="s">
        <v>389</v>
      </c>
      <c r="N105" s="77">
        <v>46171</v>
      </c>
      <c r="O105" s="79">
        <v>3410</v>
      </c>
      <c r="P105" s="73"/>
      <c r="Q105" s="78"/>
    </row>
    <row r="106" spans="1:17" ht="15" customHeight="1">
      <c r="A106" s="76" t="s">
        <v>58</v>
      </c>
      <c r="B106" s="16" t="s">
        <v>403</v>
      </c>
      <c r="C106" s="16" t="s">
        <v>58</v>
      </c>
      <c r="D106" s="18" t="s">
        <v>477</v>
      </c>
      <c r="E106" s="16" t="s">
        <v>174</v>
      </c>
      <c r="F106" s="88">
        <v>46153</v>
      </c>
      <c r="G106" s="16"/>
      <c r="H106" s="20">
        <v>4000</v>
      </c>
      <c r="I106" s="20">
        <v>0</v>
      </c>
      <c r="J106" s="20">
        <v>0</v>
      </c>
      <c r="K106" s="20">
        <v>0</v>
      </c>
      <c r="L106" s="97">
        <v>4000</v>
      </c>
      <c r="M106" s="76" t="s">
        <v>389</v>
      </c>
      <c r="N106" s="77">
        <v>46153</v>
      </c>
      <c r="O106" s="79">
        <v>54700</v>
      </c>
      <c r="P106" s="73"/>
      <c r="Q106" s="78"/>
    </row>
    <row r="107" spans="1:17" ht="15" customHeight="1">
      <c r="A107" s="76"/>
      <c r="B107" s="16"/>
      <c r="C107" s="16"/>
      <c r="D107" s="18"/>
      <c r="E107" s="16"/>
      <c r="F107" s="88"/>
      <c r="G107" s="16"/>
      <c r="H107" s="20"/>
      <c r="I107" s="20"/>
      <c r="J107" s="20"/>
      <c r="K107" s="20"/>
      <c r="L107" s="97"/>
      <c r="M107" s="76"/>
      <c r="N107" s="77"/>
      <c r="O107" s="79"/>
      <c r="P107" s="73"/>
      <c r="Q107" s="78"/>
    </row>
    <row r="108" spans="1:17" ht="15" customHeight="1">
      <c r="A108" s="76"/>
      <c r="B108" s="16"/>
      <c r="C108" s="16"/>
      <c r="D108" s="18"/>
      <c r="E108" s="16"/>
      <c r="F108" s="88"/>
      <c r="G108" s="16"/>
      <c r="H108" s="20"/>
      <c r="I108" s="20"/>
      <c r="J108" s="20"/>
      <c r="K108" s="20"/>
      <c r="L108" s="97"/>
      <c r="M108" s="76"/>
      <c r="N108" s="77"/>
      <c r="O108" s="79"/>
      <c r="P108" s="73"/>
      <c r="Q108" s="78"/>
    </row>
    <row r="109" spans="1:17" ht="15" customHeight="1">
      <c r="A109" s="76" t="s">
        <v>58</v>
      </c>
      <c r="B109" s="16" t="s">
        <v>403</v>
      </c>
      <c r="C109" s="16" t="s">
        <v>58</v>
      </c>
      <c r="D109" s="18" t="s">
        <v>478</v>
      </c>
      <c r="E109" s="16" t="s">
        <v>174</v>
      </c>
      <c r="F109" s="88">
        <v>46162</v>
      </c>
      <c r="G109" s="16"/>
      <c r="H109" s="20">
        <v>100</v>
      </c>
      <c r="I109" s="20">
        <v>0</v>
      </c>
      <c r="J109" s="20">
        <v>0</v>
      </c>
      <c r="K109" s="20">
        <v>0</v>
      </c>
      <c r="L109" s="97">
        <v>100</v>
      </c>
      <c r="M109" s="76" t="s">
        <v>389</v>
      </c>
      <c r="N109" s="77">
        <v>46162</v>
      </c>
      <c r="O109" s="79">
        <v>100</v>
      </c>
      <c r="P109" s="73"/>
      <c r="Q109" s="78"/>
    </row>
    <row r="110" spans="1:17" ht="15" customHeight="1">
      <c r="A110" s="76" t="s">
        <v>58</v>
      </c>
      <c r="B110" s="16" t="s">
        <v>403</v>
      </c>
      <c r="C110" s="16" t="s">
        <v>58</v>
      </c>
      <c r="D110" s="18" t="s">
        <v>415</v>
      </c>
      <c r="E110" s="16" t="s">
        <v>416</v>
      </c>
      <c r="F110" s="88">
        <v>46171</v>
      </c>
      <c r="G110" s="16" t="s">
        <v>426</v>
      </c>
      <c r="H110" s="20">
        <v>18000</v>
      </c>
      <c r="I110" s="20">
        <v>0</v>
      </c>
      <c r="J110" s="20">
        <v>0</v>
      </c>
      <c r="K110" s="20">
        <v>0</v>
      </c>
      <c r="L110" s="97">
        <v>18000</v>
      </c>
      <c r="M110" s="76" t="s">
        <v>389</v>
      </c>
      <c r="N110" s="77">
        <v>46171</v>
      </c>
      <c r="O110" s="79">
        <v>18000</v>
      </c>
      <c r="P110" s="73"/>
      <c r="Q110" s="78"/>
    </row>
    <row r="111" spans="1:17" ht="15" customHeight="1">
      <c r="A111" s="76"/>
      <c r="B111" s="16"/>
      <c r="C111" s="16"/>
      <c r="D111" s="18"/>
      <c r="E111" s="16"/>
      <c r="F111" s="88"/>
      <c r="G111" s="16"/>
      <c r="H111" s="20"/>
      <c r="I111" s="20"/>
      <c r="J111" s="20"/>
      <c r="K111" s="20"/>
      <c r="L111" s="97"/>
      <c r="M111" s="76"/>
      <c r="N111" s="77"/>
      <c r="O111" s="79"/>
      <c r="P111" s="73"/>
      <c r="Q111" s="78"/>
    </row>
    <row r="112" spans="1:17" ht="15" customHeight="1">
      <c r="A112" s="76"/>
      <c r="B112" s="16"/>
      <c r="C112" s="16"/>
      <c r="D112" s="18"/>
      <c r="E112" s="16"/>
      <c r="F112" s="88"/>
      <c r="G112" s="16"/>
      <c r="H112" s="20"/>
      <c r="I112" s="20"/>
      <c r="J112" s="20"/>
      <c r="K112" s="20"/>
      <c r="L112" s="97"/>
      <c r="M112" s="76"/>
      <c r="N112" s="77"/>
      <c r="O112" s="79"/>
      <c r="P112" s="73"/>
      <c r="Q112" s="78"/>
    </row>
    <row r="113" spans="1:17" ht="15" customHeight="1">
      <c r="A113" s="76"/>
      <c r="B113" s="16"/>
      <c r="C113" s="16"/>
      <c r="D113" s="18"/>
      <c r="E113" s="16"/>
      <c r="F113" s="88"/>
      <c r="G113" s="16"/>
      <c r="H113" s="20"/>
      <c r="I113" s="20"/>
      <c r="J113" s="20"/>
      <c r="K113" s="20"/>
      <c r="L113" s="97"/>
      <c r="M113" s="76"/>
      <c r="N113" s="77"/>
      <c r="O113" s="79"/>
      <c r="P113" s="73"/>
      <c r="Q113" s="78"/>
    </row>
    <row r="114" spans="1:17" ht="15" customHeight="1">
      <c r="A114" s="76"/>
      <c r="B114" s="16"/>
      <c r="C114" s="16"/>
      <c r="D114" s="18"/>
      <c r="E114" s="16"/>
      <c r="F114" s="88"/>
      <c r="G114" s="16"/>
      <c r="H114" s="20"/>
      <c r="I114" s="20"/>
      <c r="J114" s="20"/>
      <c r="K114" s="20"/>
      <c r="L114" s="97"/>
      <c r="M114" s="76"/>
      <c r="N114" s="77"/>
      <c r="O114" s="79"/>
      <c r="P114" s="73"/>
      <c r="Q114" s="78"/>
    </row>
    <row r="115" spans="1:17" ht="15" customHeight="1">
      <c r="A115" s="76"/>
      <c r="B115" s="16"/>
      <c r="C115" s="16"/>
      <c r="D115" s="18"/>
      <c r="E115" s="16"/>
      <c r="F115" s="88"/>
      <c r="G115" s="16"/>
      <c r="H115" s="20"/>
      <c r="I115" s="20"/>
      <c r="J115" s="20"/>
      <c r="K115" s="20"/>
      <c r="L115" s="97"/>
      <c r="M115" s="76"/>
      <c r="N115" s="77"/>
      <c r="O115" s="79"/>
      <c r="P115" s="73"/>
      <c r="Q115" s="78"/>
    </row>
    <row r="116" spans="1:17" ht="15" customHeight="1">
      <c r="A116" s="76" t="s">
        <v>58</v>
      </c>
      <c r="B116" s="16" t="s">
        <v>403</v>
      </c>
      <c r="C116" s="16" t="s">
        <v>58</v>
      </c>
      <c r="D116" s="18" t="s">
        <v>479</v>
      </c>
      <c r="E116" s="16" t="s">
        <v>174</v>
      </c>
      <c r="F116" s="88">
        <v>46153</v>
      </c>
      <c r="G116" s="16"/>
      <c r="H116" s="20">
        <v>6200</v>
      </c>
      <c r="I116" s="20">
        <v>0</v>
      </c>
      <c r="J116" s="20">
        <v>0</v>
      </c>
      <c r="K116" s="20">
        <v>0</v>
      </c>
      <c r="L116" s="97">
        <v>6200</v>
      </c>
      <c r="M116" s="76" t="s">
        <v>389</v>
      </c>
      <c r="N116" s="77">
        <v>46153</v>
      </c>
      <c r="O116" s="79">
        <v>6200</v>
      </c>
      <c r="P116" s="73"/>
      <c r="Q116" s="78"/>
    </row>
    <row r="117" spans="1:17" ht="15" customHeight="1">
      <c r="A117" s="76"/>
      <c r="B117" s="16"/>
      <c r="C117" s="16"/>
      <c r="D117" s="18"/>
      <c r="E117" s="16"/>
      <c r="F117" s="88"/>
      <c r="G117" s="16"/>
      <c r="H117" s="20"/>
      <c r="I117" s="20"/>
      <c r="J117" s="20"/>
      <c r="K117" s="20"/>
      <c r="L117" s="97"/>
      <c r="M117" s="76"/>
      <c r="N117" s="77"/>
      <c r="O117" s="79"/>
      <c r="P117" s="73"/>
      <c r="Q117" s="78"/>
    </row>
    <row r="118" spans="1:17" ht="15" customHeight="1">
      <c r="A118" s="76" t="s">
        <v>58</v>
      </c>
      <c r="B118" s="16" t="s">
        <v>403</v>
      </c>
      <c r="C118" s="16" t="s">
        <v>58</v>
      </c>
      <c r="D118" s="18" t="s">
        <v>480</v>
      </c>
      <c r="E118" s="16" t="s">
        <v>166</v>
      </c>
      <c r="F118" s="88">
        <v>46171</v>
      </c>
      <c r="G118" s="16" t="s">
        <v>141</v>
      </c>
      <c r="H118" s="20">
        <v>414700</v>
      </c>
      <c r="I118" s="20">
        <v>0</v>
      </c>
      <c r="J118" s="20">
        <v>0</v>
      </c>
      <c r="K118" s="20">
        <v>0</v>
      </c>
      <c r="L118" s="97">
        <v>414700</v>
      </c>
      <c r="M118" s="76" t="s">
        <v>389</v>
      </c>
      <c r="N118" s="77">
        <v>46171</v>
      </c>
      <c r="O118" s="79">
        <v>414700</v>
      </c>
      <c r="P118" s="73"/>
      <c r="Q118" s="78"/>
    </row>
    <row r="119" spans="1:17" ht="15" customHeight="1">
      <c r="A119" s="76" t="s">
        <v>58</v>
      </c>
      <c r="B119" s="16" t="s">
        <v>403</v>
      </c>
      <c r="C119" s="16" t="s">
        <v>58</v>
      </c>
      <c r="D119" s="18" t="s">
        <v>481</v>
      </c>
      <c r="E119" s="16" t="s">
        <v>169</v>
      </c>
      <c r="F119" s="88">
        <v>46171</v>
      </c>
      <c r="G119" s="16" t="s">
        <v>140</v>
      </c>
      <c r="H119" s="20">
        <v>54200</v>
      </c>
      <c r="I119" s="20">
        <v>0</v>
      </c>
      <c r="J119" s="20">
        <v>0</v>
      </c>
      <c r="K119" s="20">
        <v>0</v>
      </c>
      <c r="L119" s="97">
        <v>54200</v>
      </c>
      <c r="M119" s="76" t="s">
        <v>389</v>
      </c>
      <c r="N119" s="77">
        <v>46171</v>
      </c>
      <c r="O119" s="79">
        <v>367972</v>
      </c>
      <c r="P119" s="73"/>
      <c r="Q119" s="78"/>
    </row>
    <row r="120" spans="1:17" ht="15" customHeight="1">
      <c r="A120" s="76"/>
      <c r="B120" s="16"/>
      <c r="C120" s="16"/>
      <c r="D120" s="18"/>
      <c r="E120" s="16"/>
      <c r="F120" s="88"/>
      <c r="G120" s="16"/>
      <c r="H120" s="20"/>
      <c r="I120" s="20"/>
      <c r="J120" s="20"/>
      <c r="K120" s="20"/>
      <c r="L120" s="97"/>
      <c r="M120" s="76"/>
      <c r="N120" s="77"/>
      <c r="O120" s="79"/>
      <c r="P120" s="73"/>
      <c r="Q120" s="78"/>
    </row>
    <row r="121" spans="1:17" ht="15" customHeight="1">
      <c r="A121" s="76" t="s">
        <v>58</v>
      </c>
      <c r="B121" s="16" t="s">
        <v>403</v>
      </c>
      <c r="C121" s="16" t="s">
        <v>58</v>
      </c>
      <c r="D121" s="18" t="s">
        <v>482</v>
      </c>
      <c r="E121" s="16" t="s">
        <v>423</v>
      </c>
      <c r="F121" s="88">
        <v>46167</v>
      </c>
      <c r="G121" s="16" t="s">
        <v>140</v>
      </c>
      <c r="H121" s="20">
        <v>600000</v>
      </c>
      <c r="I121" s="20">
        <v>0</v>
      </c>
      <c r="J121" s="20">
        <v>0</v>
      </c>
      <c r="K121" s="20">
        <v>0</v>
      </c>
      <c r="L121" s="97">
        <v>600000</v>
      </c>
      <c r="M121" s="76" t="s">
        <v>389</v>
      </c>
      <c r="N121" s="77">
        <v>46167</v>
      </c>
      <c r="O121" s="79">
        <v>600000</v>
      </c>
      <c r="P121" s="73"/>
      <c r="Q121" s="78"/>
    </row>
    <row r="122" spans="1:17" ht="15" customHeight="1">
      <c r="A122" s="76" t="s">
        <v>58</v>
      </c>
      <c r="B122" s="16" t="s">
        <v>390</v>
      </c>
      <c r="C122" s="16"/>
      <c r="D122" s="43" t="s">
        <v>203</v>
      </c>
      <c r="E122" s="16" t="s">
        <v>207</v>
      </c>
      <c r="F122" s="88">
        <v>46153</v>
      </c>
      <c r="G122" s="16"/>
      <c r="H122" s="20">
        <v>970000</v>
      </c>
      <c r="I122" s="20">
        <v>0</v>
      </c>
      <c r="J122" s="20">
        <v>0</v>
      </c>
      <c r="K122" s="20">
        <v>0</v>
      </c>
      <c r="L122" s="97">
        <v>970000</v>
      </c>
      <c r="M122" s="76" t="s">
        <v>390</v>
      </c>
      <c r="N122" s="77">
        <v>46153</v>
      </c>
      <c r="O122" s="79">
        <v>970000</v>
      </c>
      <c r="P122" s="73"/>
      <c r="Q122" s="78"/>
    </row>
    <row r="123" spans="1:17" ht="15" customHeight="1">
      <c r="A123" s="76" t="s">
        <v>58</v>
      </c>
      <c r="B123" s="16" t="s">
        <v>390</v>
      </c>
      <c r="C123" s="16"/>
      <c r="D123" s="18" t="s">
        <v>483</v>
      </c>
      <c r="E123" s="16" t="s">
        <v>207</v>
      </c>
      <c r="F123" s="88">
        <v>46149</v>
      </c>
      <c r="G123" s="16"/>
      <c r="H123" s="20">
        <v>2600000</v>
      </c>
      <c r="I123" s="20">
        <v>0</v>
      </c>
      <c r="J123" s="20">
        <v>0</v>
      </c>
      <c r="K123" s="20">
        <v>0</v>
      </c>
      <c r="L123" s="97">
        <v>2600000</v>
      </c>
      <c r="M123" s="76" t="s">
        <v>390</v>
      </c>
      <c r="N123" s="77">
        <v>46149</v>
      </c>
      <c r="O123" s="79">
        <v>2600000</v>
      </c>
      <c r="P123" s="73"/>
      <c r="Q123" s="78"/>
    </row>
    <row r="124" spans="1:17" ht="15" customHeight="1">
      <c r="A124" s="76" t="s">
        <v>58</v>
      </c>
      <c r="B124" s="16" t="s">
        <v>390</v>
      </c>
      <c r="C124" s="16"/>
      <c r="D124" s="18" t="s">
        <v>484</v>
      </c>
      <c r="E124" s="16" t="s">
        <v>207</v>
      </c>
      <c r="F124" s="88">
        <v>46149</v>
      </c>
      <c r="G124" s="16"/>
      <c r="H124" s="20">
        <v>1700000</v>
      </c>
      <c r="I124" s="20">
        <v>0</v>
      </c>
      <c r="J124" s="20">
        <v>0</v>
      </c>
      <c r="K124" s="20">
        <v>0</v>
      </c>
      <c r="L124" s="97">
        <v>1700000</v>
      </c>
      <c r="M124" s="76" t="s">
        <v>390</v>
      </c>
      <c r="N124" s="77">
        <v>46149</v>
      </c>
      <c r="O124" s="79">
        <v>1700000</v>
      </c>
      <c r="P124" s="73"/>
      <c r="Q124" s="78"/>
    </row>
    <row r="125" spans="1:17" ht="15" customHeight="1">
      <c r="A125" s="76" t="s">
        <v>57</v>
      </c>
      <c r="B125" s="16" t="s">
        <v>406</v>
      </c>
      <c r="C125" s="16" t="s">
        <v>57</v>
      </c>
      <c r="D125" s="18" t="s">
        <v>422</v>
      </c>
      <c r="E125" s="16" t="s">
        <v>171</v>
      </c>
      <c r="F125" s="88">
        <v>46157</v>
      </c>
      <c r="G125" s="16" t="s">
        <v>57</v>
      </c>
      <c r="H125" s="20">
        <v>33000</v>
      </c>
      <c r="I125" s="20">
        <v>33000</v>
      </c>
      <c r="J125" s="20">
        <v>33000</v>
      </c>
      <c r="K125" s="20">
        <v>66000</v>
      </c>
      <c r="L125" s="97">
        <v>132000</v>
      </c>
      <c r="M125" s="76" t="s">
        <v>83</v>
      </c>
      <c r="N125" s="77">
        <v>46157</v>
      </c>
      <c r="O125" s="79">
        <v>33000</v>
      </c>
      <c r="P125" s="73"/>
      <c r="Q125" s="78"/>
    </row>
    <row r="126" spans="1:17" ht="15" customHeight="1">
      <c r="A126" s="76"/>
      <c r="B126" s="16"/>
      <c r="C126" s="16"/>
      <c r="D126" s="18"/>
      <c r="E126" s="16"/>
      <c r="F126" s="88"/>
      <c r="G126" s="16"/>
      <c r="H126" s="20"/>
      <c r="I126" s="20"/>
      <c r="J126" s="20"/>
      <c r="K126" s="20"/>
      <c r="L126" s="97"/>
      <c r="M126" s="76"/>
      <c r="N126" s="77"/>
      <c r="O126" s="79"/>
      <c r="P126" s="73"/>
      <c r="Q126" s="78"/>
    </row>
    <row r="127" spans="1:17" ht="15" customHeight="1">
      <c r="A127" s="76" t="s">
        <v>57</v>
      </c>
      <c r="B127" s="16" t="s">
        <v>403</v>
      </c>
      <c r="C127" s="16" t="s">
        <v>57</v>
      </c>
      <c r="D127" s="18" t="s">
        <v>485</v>
      </c>
      <c r="E127" s="16" t="s">
        <v>167</v>
      </c>
      <c r="F127" s="88">
        <v>46171</v>
      </c>
      <c r="G127" s="16" t="s">
        <v>57</v>
      </c>
      <c r="H127" s="20">
        <v>13932</v>
      </c>
      <c r="I127" s="20">
        <v>0</v>
      </c>
      <c r="J127" s="20">
        <v>0</v>
      </c>
      <c r="K127" s="20">
        <v>0</v>
      </c>
      <c r="L127" s="97">
        <v>13932</v>
      </c>
      <c r="M127" s="76" t="s">
        <v>389</v>
      </c>
      <c r="N127" s="77">
        <v>46171</v>
      </c>
      <c r="O127" s="79">
        <v>13932</v>
      </c>
      <c r="P127" s="73"/>
      <c r="Q127" s="78"/>
    </row>
    <row r="128" spans="1:17" ht="15" customHeight="1">
      <c r="A128" s="76" t="s">
        <v>57</v>
      </c>
      <c r="B128" s="16" t="s">
        <v>403</v>
      </c>
      <c r="C128" s="16" t="s">
        <v>57</v>
      </c>
      <c r="D128" s="18" t="s">
        <v>404</v>
      </c>
      <c r="E128" s="16" t="s">
        <v>167</v>
      </c>
      <c r="F128" s="88">
        <v>46171</v>
      </c>
      <c r="G128" s="16" t="s">
        <v>57</v>
      </c>
      <c r="H128" s="20">
        <v>112800</v>
      </c>
      <c r="I128" s="20">
        <v>0</v>
      </c>
      <c r="J128" s="20">
        <v>0</v>
      </c>
      <c r="K128" s="20">
        <v>0</v>
      </c>
      <c r="L128" s="97">
        <v>112800</v>
      </c>
      <c r="M128" s="76" t="s">
        <v>389</v>
      </c>
      <c r="N128" s="77">
        <v>46171</v>
      </c>
      <c r="O128" s="79">
        <v>112800</v>
      </c>
      <c r="P128" s="73"/>
      <c r="Q128" s="78"/>
    </row>
    <row r="129" spans="1:17" ht="15" customHeight="1">
      <c r="A129" s="76" t="s">
        <v>57</v>
      </c>
      <c r="B129" s="98" t="s">
        <v>403</v>
      </c>
      <c r="C129" s="99"/>
      <c r="D129" s="100" t="s">
        <v>486</v>
      </c>
      <c r="E129" s="98" t="s">
        <v>180</v>
      </c>
      <c r="F129" s="101">
        <v>46142</v>
      </c>
      <c r="G129" s="98" t="s">
        <v>487</v>
      </c>
      <c r="H129" s="102">
        <v>382102</v>
      </c>
      <c r="I129" s="102">
        <v>0</v>
      </c>
      <c r="J129" s="102">
        <v>0</v>
      </c>
      <c r="K129" s="102">
        <v>0</v>
      </c>
      <c r="L129" s="97">
        <v>382102</v>
      </c>
      <c r="M129" s="76" t="s">
        <v>389</v>
      </c>
      <c r="N129" s="77">
        <v>46142</v>
      </c>
      <c r="O129" s="79">
        <v>382102</v>
      </c>
      <c r="P129" s="72" t="s">
        <v>488</v>
      </c>
      <c r="Q129" s="78" t="s">
        <v>489</v>
      </c>
    </row>
    <row r="130" spans="1:17" ht="15" customHeight="1">
      <c r="A130" s="76" t="s">
        <v>57</v>
      </c>
      <c r="B130" s="98" t="s">
        <v>403</v>
      </c>
      <c r="C130" s="98"/>
      <c r="D130" s="100" t="s">
        <v>490</v>
      </c>
      <c r="E130" s="98" t="s">
        <v>180</v>
      </c>
      <c r="F130" s="101">
        <v>46142</v>
      </c>
      <c r="G130" s="98" t="s">
        <v>491</v>
      </c>
      <c r="H130" s="102">
        <v>24290</v>
      </c>
      <c r="I130" s="102">
        <v>0</v>
      </c>
      <c r="J130" s="102">
        <v>0</v>
      </c>
      <c r="K130" s="102">
        <v>0</v>
      </c>
      <c r="L130" s="97">
        <v>24290</v>
      </c>
      <c r="M130" s="76" t="s">
        <v>389</v>
      </c>
      <c r="N130" s="77">
        <v>46142</v>
      </c>
      <c r="O130" s="79">
        <v>24290</v>
      </c>
      <c r="P130" s="72" t="s">
        <v>488</v>
      </c>
      <c r="Q130" s="78" t="s">
        <v>489</v>
      </c>
    </row>
    <row r="131" spans="1:17" ht="15" customHeight="1">
      <c r="A131" s="76" t="s">
        <v>57</v>
      </c>
      <c r="B131" s="98" t="s">
        <v>403</v>
      </c>
      <c r="C131" s="98"/>
      <c r="D131" s="100" t="s">
        <v>492</v>
      </c>
      <c r="E131" s="98" t="s">
        <v>180</v>
      </c>
      <c r="F131" s="101">
        <v>46142</v>
      </c>
      <c r="G131" s="98" t="s">
        <v>493</v>
      </c>
      <c r="H131" s="102">
        <v>6745</v>
      </c>
      <c r="I131" s="102">
        <v>0</v>
      </c>
      <c r="J131" s="102">
        <v>0</v>
      </c>
      <c r="K131" s="102">
        <v>0</v>
      </c>
      <c r="L131" s="97">
        <v>6745</v>
      </c>
      <c r="M131" s="76" t="s">
        <v>389</v>
      </c>
      <c r="N131" s="77">
        <v>46142</v>
      </c>
      <c r="O131" s="79">
        <v>6745</v>
      </c>
      <c r="P131" s="72" t="s">
        <v>488</v>
      </c>
      <c r="Q131" s="78" t="s">
        <v>489</v>
      </c>
    </row>
    <row r="132" spans="1:17" ht="15" customHeight="1">
      <c r="A132" s="76" t="s">
        <v>57</v>
      </c>
      <c r="B132" s="98" t="s">
        <v>403</v>
      </c>
      <c r="C132" s="98"/>
      <c r="D132" s="100" t="s">
        <v>494</v>
      </c>
      <c r="E132" s="98" t="s">
        <v>180</v>
      </c>
      <c r="F132" s="101">
        <v>46142</v>
      </c>
      <c r="G132" s="98" t="s">
        <v>495</v>
      </c>
      <c r="H132" s="102">
        <v>30250</v>
      </c>
      <c r="I132" s="102">
        <v>0</v>
      </c>
      <c r="J132" s="102">
        <v>0</v>
      </c>
      <c r="K132" s="102">
        <v>0</v>
      </c>
      <c r="L132" s="97">
        <v>30250</v>
      </c>
      <c r="M132" s="76" t="s">
        <v>389</v>
      </c>
      <c r="N132" s="77">
        <v>46142</v>
      </c>
      <c r="O132" s="79">
        <v>30250</v>
      </c>
      <c r="P132" s="72" t="s">
        <v>488</v>
      </c>
      <c r="Q132" s="78" t="s">
        <v>489</v>
      </c>
    </row>
    <row r="133" spans="1:17" ht="15" customHeight="1">
      <c r="A133" s="76" t="s">
        <v>57</v>
      </c>
      <c r="B133" s="98" t="s">
        <v>403</v>
      </c>
      <c r="C133" s="98"/>
      <c r="D133" s="100" t="s">
        <v>494</v>
      </c>
      <c r="E133" s="98" t="s">
        <v>180</v>
      </c>
      <c r="F133" s="101">
        <v>46142</v>
      </c>
      <c r="G133" s="98" t="s">
        <v>495</v>
      </c>
      <c r="H133" s="102">
        <v>114589</v>
      </c>
      <c r="I133" s="102">
        <v>0</v>
      </c>
      <c r="J133" s="102">
        <v>0</v>
      </c>
      <c r="K133" s="102">
        <v>0</v>
      </c>
      <c r="L133" s="97">
        <v>114589</v>
      </c>
      <c r="M133" s="76" t="s">
        <v>389</v>
      </c>
      <c r="N133" s="77">
        <v>46142</v>
      </c>
      <c r="O133" s="79">
        <v>114589</v>
      </c>
      <c r="P133" s="72" t="s">
        <v>488</v>
      </c>
      <c r="Q133" s="78" t="s">
        <v>489</v>
      </c>
    </row>
    <row r="134" spans="1:17" ht="15" customHeight="1">
      <c r="A134" s="76" t="s">
        <v>57</v>
      </c>
      <c r="B134" s="98" t="s">
        <v>403</v>
      </c>
      <c r="C134" s="98"/>
      <c r="D134" s="100" t="s">
        <v>496</v>
      </c>
      <c r="E134" s="98" t="s">
        <v>180</v>
      </c>
      <c r="F134" s="101">
        <v>46141</v>
      </c>
      <c r="G134" s="98" t="s">
        <v>497</v>
      </c>
      <c r="H134" s="102">
        <v>151945</v>
      </c>
      <c r="I134" s="102">
        <v>0</v>
      </c>
      <c r="J134" s="102">
        <v>0</v>
      </c>
      <c r="K134" s="102">
        <v>0</v>
      </c>
      <c r="L134" s="97">
        <v>151945</v>
      </c>
      <c r="M134" s="76" t="s">
        <v>389</v>
      </c>
      <c r="N134" s="77">
        <v>46141</v>
      </c>
      <c r="O134" s="79">
        <v>151945</v>
      </c>
      <c r="P134" s="72" t="s">
        <v>488</v>
      </c>
      <c r="Q134" s="78" t="s">
        <v>489</v>
      </c>
    </row>
    <row r="135" spans="1:17" ht="15" customHeight="1">
      <c r="A135" s="76" t="s">
        <v>57</v>
      </c>
      <c r="B135" s="98" t="s">
        <v>403</v>
      </c>
      <c r="C135" s="98"/>
      <c r="D135" s="100" t="s">
        <v>498</v>
      </c>
      <c r="E135" s="98" t="s">
        <v>166</v>
      </c>
      <c r="F135" s="101">
        <v>46141</v>
      </c>
      <c r="G135" s="98" t="s">
        <v>491</v>
      </c>
      <c r="H135" s="102">
        <v>33145</v>
      </c>
      <c r="I135" s="102">
        <v>0</v>
      </c>
      <c r="J135" s="102">
        <v>0</v>
      </c>
      <c r="K135" s="102">
        <v>0</v>
      </c>
      <c r="L135" s="97">
        <v>33145</v>
      </c>
      <c r="M135" s="76" t="s">
        <v>389</v>
      </c>
      <c r="N135" s="77">
        <v>46141</v>
      </c>
      <c r="O135" s="79">
        <v>33145</v>
      </c>
      <c r="P135" s="72" t="s">
        <v>488</v>
      </c>
      <c r="Q135" s="78" t="s">
        <v>489</v>
      </c>
    </row>
    <row r="136" spans="1:17" ht="15" customHeight="1">
      <c r="A136" s="76" t="s">
        <v>57</v>
      </c>
      <c r="B136" s="98" t="s">
        <v>403</v>
      </c>
      <c r="C136" s="98"/>
      <c r="D136" s="100" t="s">
        <v>499</v>
      </c>
      <c r="E136" s="98" t="s">
        <v>164</v>
      </c>
      <c r="F136" s="101">
        <v>46141</v>
      </c>
      <c r="G136" s="98" t="s">
        <v>487</v>
      </c>
      <c r="H136" s="102">
        <v>33145</v>
      </c>
      <c r="I136" s="102">
        <v>0</v>
      </c>
      <c r="J136" s="102">
        <v>0</v>
      </c>
      <c r="K136" s="102">
        <v>0</v>
      </c>
      <c r="L136" s="97">
        <v>33145</v>
      </c>
      <c r="M136" s="76" t="s">
        <v>389</v>
      </c>
      <c r="N136" s="77">
        <v>46141</v>
      </c>
      <c r="O136" s="79">
        <v>33145</v>
      </c>
      <c r="P136" s="72" t="s">
        <v>488</v>
      </c>
      <c r="Q136" s="78" t="s">
        <v>489</v>
      </c>
    </row>
    <row r="137" spans="1:17" ht="15" customHeight="1">
      <c r="A137" s="76" t="s">
        <v>57</v>
      </c>
      <c r="B137" s="98" t="s">
        <v>403</v>
      </c>
      <c r="C137" s="98"/>
      <c r="D137" s="100" t="s">
        <v>500</v>
      </c>
      <c r="E137" s="98" t="s">
        <v>180</v>
      </c>
      <c r="F137" s="101">
        <v>46141</v>
      </c>
      <c r="G137" s="98" t="s">
        <v>491</v>
      </c>
      <c r="H137" s="102">
        <v>165145</v>
      </c>
      <c r="I137" s="102">
        <v>0</v>
      </c>
      <c r="J137" s="102">
        <v>0</v>
      </c>
      <c r="K137" s="102">
        <v>0</v>
      </c>
      <c r="L137" s="97">
        <v>165145</v>
      </c>
      <c r="M137" s="76" t="s">
        <v>389</v>
      </c>
      <c r="N137" s="77">
        <v>46141</v>
      </c>
      <c r="O137" s="79">
        <v>165145</v>
      </c>
      <c r="P137" s="72" t="s">
        <v>488</v>
      </c>
      <c r="Q137" s="78" t="s">
        <v>489</v>
      </c>
    </row>
    <row r="138" spans="1:17" ht="15" customHeight="1">
      <c r="A138" s="76" t="s">
        <v>57</v>
      </c>
      <c r="B138" s="98" t="s">
        <v>403</v>
      </c>
      <c r="C138" s="98"/>
      <c r="D138" s="100" t="s">
        <v>501</v>
      </c>
      <c r="E138" s="98" t="s">
        <v>166</v>
      </c>
      <c r="F138" s="101">
        <v>46141</v>
      </c>
      <c r="G138" s="98" t="s">
        <v>502</v>
      </c>
      <c r="H138" s="102">
        <v>98045</v>
      </c>
      <c r="I138" s="102">
        <v>0</v>
      </c>
      <c r="J138" s="102">
        <v>0</v>
      </c>
      <c r="K138" s="102">
        <v>0</v>
      </c>
      <c r="L138" s="97">
        <v>98045</v>
      </c>
      <c r="M138" s="76" t="s">
        <v>389</v>
      </c>
      <c r="N138" s="77">
        <v>46141</v>
      </c>
      <c r="O138" s="79">
        <v>98045</v>
      </c>
      <c r="P138" s="72" t="s">
        <v>488</v>
      </c>
      <c r="Q138" s="78" t="s">
        <v>489</v>
      </c>
    </row>
    <row r="139" spans="1:17" ht="15" customHeight="1">
      <c r="A139" s="76" t="s">
        <v>57</v>
      </c>
      <c r="B139" s="98" t="s">
        <v>403</v>
      </c>
      <c r="C139" s="98"/>
      <c r="D139" s="100" t="s">
        <v>503</v>
      </c>
      <c r="E139" s="98" t="s">
        <v>180</v>
      </c>
      <c r="F139" s="101">
        <v>46141</v>
      </c>
      <c r="G139" s="98" t="s">
        <v>491</v>
      </c>
      <c r="H139" s="102">
        <v>66549</v>
      </c>
      <c r="I139" s="102">
        <v>0</v>
      </c>
      <c r="J139" s="102">
        <v>0</v>
      </c>
      <c r="K139" s="102">
        <v>0</v>
      </c>
      <c r="L139" s="97">
        <v>66549</v>
      </c>
      <c r="M139" s="76" t="s">
        <v>389</v>
      </c>
      <c r="N139" s="77">
        <v>46141</v>
      </c>
      <c r="O139" s="79">
        <v>66549</v>
      </c>
      <c r="P139" s="72" t="s">
        <v>488</v>
      </c>
      <c r="Q139" s="78" t="s">
        <v>489</v>
      </c>
    </row>
    <row r="140" spans="1:17" ht="15" customHeight="1">
      <c r="A140" s="76" t="s">
        <v>57</v>
      </c>
      <c r="B140" s="98" t="s">
        <v>403</v>
      </c>
      <c r="C140" s="98"/>
      <c r="D140" s="100" t="s">
        <v>504</v>
      </c>
      <c r="E140" s="98" t="s">
        <v>180</v>
      </c>
      <c r="F140" s="101">
        <v>46141</v>
      </c>
      <c r="G140" s="98" t="s">
        <v>491</v>
      </c>
      <c r="H140" s="102">
        <v>122145</v>
      </c>
      <c r="I140" s="102">
        <v>0</v>
      </c>
      <c r="J140" s="102">
        <v>0</v>
      </c>
      <c r="K140" s="102">
        <v>0</v>
      </c>
      <c r="L140" s="97">
        <v>122145</v>
      </c>
      <c r="M140" s="76" t="s">
        <v>389</v>
      </c>
      <c r="N140" s="77">
        <v>46141</v>
      </c>
      <c r="O140" s="79">
        <v>122145</v>
      </c>
      <c r="P140" s="72" t="s">
        <v>488</v>
      </c>
      <c r="Q140" s="78" t="s">
        <v>489</v>
      </c>
    </row>
    <row r="141" spans="1:17" ht="15" customHeight="1">
      <c r="A141" s="76" t="s">
        <v>57</v>
      </c>
      <c r="B141" s="98" t="s">
        <v>403</v>
      </c>
      <c r="C141" s="98"/>
      <c r="D141" s="100" t="s">
        <v>505</v>
      </c>
      <c r="E141" s="98" t="s">
        <v>180</v>
      </c>
      <c r="F141" s="101">
        <v>46141</v>
      </c>
      <c r="G141" s="98" t="s">
        <v>487</v>
      </c>
      <c r="H141" s="102">
        <v>120145</v>
      </c>
      <c r="I141" s="102">
        <v>0</v>
      </c>
      <c r="J141" s="102">
        <v>0</v>
      </c>
      <c r="K141" s="102">
        <v>0</v>
      </c>
      <c r="L141" s="97">
        <v>120145</v>
      </c>
      <c r="M141" s="76" t="s">
        <v>389</v>
      </c>
      <c r="N141" s="77">
        <v>46141</v>
      </c>
      <c r="O141" s="79">
        <v>120145</v>
      </c>
      <c r="P141" s="72" t="s">
        <v>488</v>
      </c>
      <c r="Q141" s="78" t="s">
        <v>489</v>
      </c>
    </row>
    <row r="142" spans="1:17" ht="15" customHeight="1">
      <c r="A142" s="76" t="s">
        <v>57</v>
      </c>
      <c r="B142" s="98" t="s">
        <v>403</v>
      </c>
      <c r="C142" s="98"/>
      <c r="D142" s="100" t="s">
        <v>506</v>
      </c>
      <c r="E142" s="98" t="s">
        <v>180</v>
      </c>
      <c r="F142" s="101">
        <v>46141</v>
      </c>
      <c r="G142" s="98" t="s">
        <v>493</v>
      </c>
      <c r="H142" s="102">
        <v>150145</v>
      </c>
      <c r="I142" s="102">
        <v>0</v>
      </c>
      <c r="J142" s="102">
        <v>0</v>
      </c>
      <c r="K142" s="102">
        <v>0</v>
      </c>
      <c r="L142" s="97">
        <v>150145</v>
      </c>
      <c r="M142" s="76" t="s">
        <v>389</v>
      </c>
      <c r="N142" s="77">
        <v>46141</v>
      </c>
      <c r="O142" s="79">
        <v>150145</v>
      </c>
      <c r="P142" s="72" t="s">
        <v>488</v>
      </c>
      <c r="Q142" s="78" t="s">
        <v>489</v>
      </c>
    </row>
    <row r="143" spans="1:17" ht="15" customHeight="1">
      <c r="A143" s="76" t="s">
        <v>57</v>
      </c>
      <c r="B143" s="98" t="s">
        <v>403</v>
      </c>
      <c r="C143" s="98"/>
      <c r="D143" s="100" t="s">
        <v>507</v>
      </c>
      <c r="E143" s="98" t="s">
        <v>180</v>
      </c>
      <c r="F143" s="101">
        <v>46140</v>
      </c>
      <c r="G143" s="98" t="s">
        <v>508</v>
      </c>
      <c r="H143" s="102">
        <v>300145</v>
      </c>
      <c r="I143" s="102">
        <v>0</v>
      </c>
      <c r="J143" s="102">
        <v>0</v>
      </c>
      <c r="K143" s="102">
        <v>0</v>
      </c>
      <c r="L143" s="97">
        <v>300145</v>
      </c>
      <c r="M143" s="76" t="s">
        <v>389</v>
      </c>
      <c r="N143" s="77">
        <v>46140</v>
      </c>
      <c r="O143" s="79">
        <v>300145</v>
      </c>
      <c r="P143" s="72" t="s">
        <v>488</v>
      </c>
      <c r="Q143" s="78" t="s">
        <v>489</v>
      </c>
    </row>
    <row r="144" spans="1:17" ht="15" customHeight="1">
      <c r="A144" s="76" t="s">
        <v>57</v>
      </c>
      <c r="B144" s="98" t="s">
        <v>403</v>
      </c>
      <c r="C144" s="98"/>
      <c r="D144" s="100" t="s">
        <v>509</v>
      </c>
      <c r="E144" s="98" t="s">
        <v>180</v>
      </c>
      <c r="F144" s="101">
        <v>46140</v>
      </c>
      <c r="G144" s="98" t="s">
        <v>510</v>
      </c>
      <c r="H144" s="102">
        <v>365895</v>
      </c>
      <c r="I144" s="102">
        <v>0</v>
      </c>
      <c r="J144" s="102">
        <v>0</v>
      </c>
      <c r="K144" s="102">
        <v>0</v>
      </c>
      <c r="L144" s="97">
        <v>365895</v>
      </c>
      <c r="M144" s="76" t="s">
        <v>389</v>
      </c>
      <c r="N144" s="77">
        <v>46140</v>
      </c>
      <c r="O144" s="79">
        <v>365895</v>
      </c>
      <c r="P144" s="72" t="s">
        <v>488</v>
      </c>
      <c r="Q144" s="78" t="s">
        <v>489</v>
      </c>
    </row>
    <row r="145" spans="1:17" ht="15" customHeight="1">
      <c r="A145" s="76" t="s">
        <v>57</v>
      </c>
      <c r="B145" s="98" t="s">
        <v>403</v>
      </c>
      <c r="C145" s="98"/>
      <c r="D145" s="100" t="s">
        <v>511</v>
      </c>
      <c r="E145" s="98" t="s">
        <v>180</v>
      </c>
      <c r="F145" s="101">
        <v>46140</v>
      </c>
      <c r="G145" s="98" t="s">
        <v>491</v>
      </c>
      <c r="H145" s="102">
        <v>111025</v>
      </c>
      <c r="I145" s="102">
        <v>0</v>
      </c>
      <c r="J145" s="102">
        <v>0</v>
      </c>
      <c r="K145" s="102">
        <v>0</v>
      </c>
      <c r="L145" s="97">
        <v>111025</v>
      </c>
      <c r="M145" s="76" t="s">
        <v>389</v>
      </c>
      <c r="N145" s="77">
        <v>46140</v>
      </c>
      <c r="O145" s="79">
        <v>111025</v>
      </c>
      <c r="P145" s="72" t="s">
        <v>488</v>
      </c>
      <c r="Q145" s="78" t="s">
        <v>489</v>
      </c>
    </row>
    <row r="146" spans="1:17" ht="15" customHeight="1">
      <c r="A146" s="76" t="s">
        <v>57</v>
      </c>
      <c r="B146" s="98" t="s">
        <v>403</v>
      </c>
      <c r="C146" s="98"/>
      <c r="D146" s="100" t="s">
        <v>512</v>
      </c>
      <c r="E146" s="98" t="s">
        <v>180</v>
      </c>
      <c r="F146" s="101">
        <v>46137</v>
      </c>
      <c r="G146" s="98" t="s">
        <v>476</v>
      </c>
      <c r="H146" s="102">
        <v>250145</v>
      </c>
      <c r="I146" s="102">
        <v>0</v>
      </c>
      <c r="J146" s="102">
        <v>0</v>
      </c>
      <c r="K146" s="102">
        <v>0</v>
      </c>
      <c r="L146" s="97">
        <v>250145</v>
      </c>
      <c r="M146" s="76" t="s">
        <v>389</v>
      </c>
      <c r="N146" s="77">
        <v>46137</v>
      </c>
      <c r="O146" s="79">
        <v>250145</v>
      </c>
      <c r="P146" s="72" t="s">
        <v>488</v>
      </c>
      <c r="Q146" s="78" t="s">
        <v>489</v>
      </c>
    </row>
    <row r="147" spans="1:17" ht="15" customHeight="1">
      <c r="A147" s="76" t="s">
        <v>57</v>
      </c>
      <c r="B147" s="98" t="s">
        <v>403</v>
      </c>
      <c r="C147" s="98"/>
      <c r="D147" s="100" t="s">
        <v>513</v>
      </c>
      <c r="E147" s="98" t="s">
        <v>180</v>
      </c>
      <c r="F147" s="101">
        <v>46132</v>
      </c>
      <c r="G147" s="98" t="s">
        <v>514</v>
      </c>
      <c r="H147" s="102">
        <v>465742</v>
      </c>
      <c r="I147" s="102">
        <v>0</v>
      </c>
      <c r="J147" s="102">
        <v>0</v>
      </c>
      <c r="K147" s="102">
        <v>0</v>
      </c>
      <c r="L147" s="97">
        <v>465742</v>
      </c>
      <c r="M147" s="76" t="s">
        <v>389</v>
      </c>
      <c r="N147" s="77">
        <v>46132</v>
      </c>
      <c r="O147" s="79">
        <v>465742</v>
      </c>
      <c r="P147" s="72" t="s">
        <v>488</v>
      </c>
      <c r="Q147" s="78" t="s">
        <v>489</v>
      </c>
    </row>
    <row r="148" spans="1:17" ht="15" customHeight="1">
      <c r="A148" s="76" t="s">
        <v>57</v>
      </c>
      <c r="B148" s="98" t="s">
        <v>403</v>
      </c>
      <c r="C148" s="98"/>
      <c r="D148" s="100" t="s">
        <v>515</v>
      </c>
      <c r="E148" s="98" t="s">
        <v>180</v>
      </c>
      <c r="F148" s="101">
        <v>46128</v>
      </c>
      <c r="G148" s="98" t="s">
        <v>516</v>
      </c>
      <c r="H148" s="102">
        <v>143145</v>
      </c>
      <c r="I148" s="102">
        <v>0</v>
      </c>
      <c r="J148" s="102">
        <v>0</v>
      </c>
      <c r="K148" s="102">
        <v>0</v>
      </c>
      <c r="L148" s="97">
        <v>143145</v>
      </c>
      <c r="M148" s="76" t="s">
        <v>389</v>
      </c>
      <c r="N148" s="77">
        <v>46128</v>
      </c>
      <c r="O148" s="79">
        <v>143145</v>
      </c>
      <c r="P148" s="72" t="s">
        <v>488</v>
      </c>
      <c r="Q148" s="78" t="s">
        <v>489</v>
      </c>
    </row>
    <row r="149" spans="1:17" ht="15" customHeight="1">
      <c r="A149" s="76" t="s">
        <v>57</v>
      </c>
      <c r="B149" s="98" t="s">
        <v>403</v>
      </c>
      <c r="C149" s="98"/>
      <c r="D149" s="100" t="s">
        <v>517</v>
      </c>
      <c r="E149" s="98" t="s">
        <v>180</v>
      </c>
      <c r="F149" s="101">
        <v>46122</v>
      </c>
      <c r="G149" s="98" t="s">
        <v>516</v>
      </c>
      <c r="H149" s="102">
        <v>7267751</v>
      </c>
      <c r="I149" s="102">
        <v>0</v>
      </c>
      <c r="J149" s="102">
        <v>0</v>
      </c>
      <c r="K149" s="102">
        <v>0</v>
      </c>
      <c r="L149" s="97">
        <v>7267751</v>
      </c>
      <c r="M149" s="76" t="s">
        <v>389</v>
      </c>
      <c r="N149" s="77">
        <v>46122</v>
      </c>
      <c r="O149" s="79">
        <v>7267751</v>
      </c>
      <c r="P149" s="72" t="s">
        <v>488</v>
      </c>
      <c r="Q149" s="78" t="s">
        <v>489</v>
      </c>
    </row>
    <row r="150" spans="1:17" ht="15" customHeight="1">
      <c r="A150" s="76" t="s">
        <v>57</v>
      </c>
      <c r="B150" s="98" t="s">
        <v>403</v>
      </c>
      <c r="C150" s="98"/>
      <c r="D150" s="100" t="s">
        <v>518</v>
      </c>
      <c r="E150" s="98" t="s">
        <v>180</v>
      </c>
      <c r="F150" s="101">
        <v>46121</v>
      </c>
      <c r="G150" s="98" t="s">
        <v>491</v>
      </c>
      <c r="H150" s="102">
        <v>2690145</v>
      </c>
      <c r="I150" s="102">
        <v>0</v>
      </c>
      <c r="J150" s="102">
        <v>0</v>
      </c>
      <c r="K150" s="102">
        <v>0</v>
      </c>
      <c r="L150" s="97">
        <v>2690145</v>
      </c>
      <c r="M150" s="76" t="s">
        <v>389</v>
      </c>
      <c r="N150" s="77">
        <v>46121</v>
      </c>
      <c r="O150" s="79">
        <v>2690145</v>
      </c>
      <c r="P150" s="72" t="s">
        <v>488</v>
      </c>
      <c r="Q150" s="78" t="s">
        <v>489</v>
      </c>
    </row>
    <row r="151" spans="1:17" ht="15" customHeight="1">
      <c r="A151" s="76" t="s">
        <v>57</v>
      </c>
      <c r="B151" s="98" t="s">
        <v>403</v>
      </c>
      <c r="C151" s="98"/>
      <c r="D151" s="100" t="s">
        <v>519</v>
      </c>
      <c r="E151" s="98" t="s">
        <v>180</v>
      </c>
      <c r="F151" s="101">
        <v>46121</v>
      </c>
      <c r="G151" s="98" t="s">
        <v>520</v>
      </c>
      <c r="H151" s="102">
        <v>1000145</v>
      </c>
      <c r="I151" s="102">
        <v>0</v>
      </c>
      <c r="J151" s="102">
        <v>0</v>
      </c>
      <c r="K151" s="102">
        <v>0</v>
      </c>
      <c r="L151" s="97">
        <v>1000145</v>
      </c>
      <c r="M151" s="76" t="s">
        <v>389</v>
      </c>
      <c r="N151" s="77">
        <v>46121</v>
      </c>
      <c r="O151" s="79">
        <v>1000145</v>
      </c>
      <c r="P151" s="72" t="s">
        <v>488</v>
      </c>
      <c r="Q151" s="78" t="s">
        <v>489</v>
      </c>
    </row>
    <row r="152" spans="1:17" ht="15" customHeight="1">
      <c r="A152" s="76" t="s">
        <v>57</v>
      </c>
      <c r="B152" s="98" t="s">
        <v>403</v>
      </c>
      <c r="C152" s="98"/>
      <c r="D152" s="100" t="s">
        <v>494</v>
      </c>
      <c r="E152" s="98" t="s">
        <v>180</v>
      </c>
      <c r="F152" s="101">
        <v>46114</v>
      </c>
      <c r="G152" s="98" t="s">
        <v>495</v>
      </c>
      <c r="H152" s="102">
        <v>114589</v>
      </c>
      <c r="I152" s="102">
        <v>0</v>
      </c>
      <c r="J152" s="102">
        <v>0</v>
      </c>
      <c r="K152" s="102">
        <v>0</v>
      </c>
      <c r="L152" s="97">
        <v>114589</v>
      </c>
      <c r="M152" s="76" t="s">
        <v>389</v>
      </c>
      <c r="N152" s="77">
        <v>46114</v>
      </c>
      <c r="O152" s="79">
        <v>114589</v>
      </c>
      <c r="P152" s="72" t="s">
        <v>488</v>
      </c>
      <c r="Q152" s="78" t="s">
        <v>489</v>
      </c>
    </row>
    <row r="153" spans="1:17" ht="15" customHeight="1">
      <c r="A153" s="76" t="s">
        <v>57</v>
      </c>
      <c r="B153" s="98" t="s">
        <v>403</v>
      </c>
      <c r="C153" s="98"/>
      <c r="D153" s="100" t="s">
        <v>504</v>
      </c>
      <c r="E153" s="98" t="s">
        <v>180</v>
      </c>
      <c r="F153" s="101">
        <v>46112</v>
      </c>
      <c r="G153" s="98" t="s">
        <v>491</v>
      </c>
      <c r="H153" s="102">
        <v>122145</v>
      </c>
      <c r="I153" s="102">
        <v>0</v>
      </c>
      <c r="J153" s="102">
        <v>0</v>
      </c>
      <c r="K153" s="102">
        <v>0</v>
      </c>
      <c r="L153" s="97">
        <v>122145</v>
      </c>
      <c r="M153" s="76" t="s">
        <v>389</v>
      </c>
      <c r="N153" s="77">
        <v>46112</v>
      </c>
      <c r="O153" s="79">
        <v>122145</v>
      </c>
      <c r="P153" s="72" t="s">
        <v>488</v>
      </c>
      <c r="Q153" s="78" t="s">
        <v>489</v>
      </c>
    </row>
    <row r="154" spans="1:17" ht="15" customHeight="1">
      <c r="A154" s="76" t="s">
        <v>57</v>
      </c>
      <c r="B154" s="98" t="s">
        <v>403</v>
      </c>
      <c r="C154" s="98"/>
      <c r="D154" s="100" t="s">
        <v>521</v>
      </c>
      <c r="E154" s="98" t="s">
        <v>180</v>
      </c>
      <c r="F154" s="101">
        <v>46112</v>
      </c>
      <c r="G154" s="98" t="s">
        <v>491</v>
      </c>
      <c r="H154" s="102">
        <v>13345</v>
      </c>
      <c r="I154" s="102">
        <v>0</v>
      </c>
      <c r="J154" s="102">
        <v>0</v>
      </c>
      <c r="K154" s="102">
        <v>0</v>
      </c>
      <c r="L154" s="97">
        <v>13345</v>
      </c>
      <c r="M154" s="76" t="s">
        <v>389</v>
      </c>
      <c r="N154" s="77">
        <v>46112</v>
      </c>
      <c r="O154" s="79">
        <v>13345</v>
      </c>
      <c r="P154" s="72" t="s">
        <v>488</v>
      </c>
      <c r="Q154" s="78" t="s">
        <v>489</v>
      </c>
    </row>
    <row r="155" spans="1:17" ht="15" customHeight="1">
      <c r="A155" s="76" t="s">
        <v>57</v>
      </c>
      <c r="B155" s="98" t="s">
        <v>403</v>
      </c>
      <c r="C155" s="98"/>
      <c r="D155" s="100" t="s">
        <v>505</v>
      </c>
      <c r="E155" s="98" t="s">
        <v>180</v>
      </c>
      <c r="F155" s="101">
        <v>46112</v>
      </c>
      <c r="G155" s="98" t="s">
        <v>487</v>
      </c>
      <c r="H155" s="102">
        <v>120145</v>
      </c>
      <c r="I155" s="102">
        <v>0</v>
      </c>
      <c r="J155" s="102">
        <v>0</v>
      </c>
      <c r="K155" s="102">
        <v>0</v>
      </c>
      <c r="L155" s="97">
        <v>120145</v>
      </c>
      <c r="M155" s="76" t="s">
        <v>389</v>
      </c>
      <c r="N155" s="77">
        <v>46112</v>
      </c>
      <c r="O155" s="79">
        <v>120145</v>
      </c>
      <c r="P155" s="72" t="s">
        <v>488</v>
      </c>
      <c r="Q155" s="78" t="s">
        <v>489</v>
      </c>
    </row>
    <row r="156" spans="1:17" ht="15" customHeight="1">
      <c r="A156" s="76" t="s">
        <v>57</v>
      </c>
      <c r="B156" s="98" t="s">
        <v>403</v>
      </c>
      <c r="C156" s="98"/>
      <c r="D156" s="100" t="s">
        <v>503</v>
      </c>
      <c r="E156" s="98" t="s">
        <v>180</v>
      </c>
      <c r="F156" s="101">
        <v>46112</v>
      </c>
      <c r="G156" s="98" t="s">
        <v>491</v>
      </c>
      <c r="H156" s="102">
        <v>66549</v>
      </c>
      <c r="I156" s="102">
        <v>0</v>
      </c>
      <c r="J156" s="102">
        <v>0</v>
      </c>
      <c r="K156" s="102">
        <v>0</v>
      </c>
      <c r="L156" s="97">
        <v>66549</v>
      </c>
      <c r="M156" s="76" t="s">
        <v>389</v>
      </c>
      <c r="N156" s="77">
        <v>46112</v>
      </c>
      <c r="O156" s="79">
        <v>66549</v>
      </c>
      <c r="P156" s="72" t="s">
        <v>488</v>
      </c>
      <c r="Q156" s="78" t="s">
        <v>489</v>
      </c>
    </row>
    <row r="157" spans="1:17" ht="15" customHeight="1">
      <c r="A157" s="76" t="s">
        <v>57</v>
      </c>
      <c r="B157" s="98" t="s">
        <v>403</v>
      </c>
      <c r="C157" s="98"/>
      <c r="D157" s="100" t="s">
        <v>522</v>
      </c>
      <c r="E157" s="98" t="s">
        <v>180</v>
      </c>
      <c r="F157" s="101">
        <v>46111</v>
      </c>
      <c r="G157" s="98" t="s">
        <v>493</v>
      </c>
      <c r="H157" s="102">
        <v>638902</v>
      </c>
      <c r="I157" s="102">
        <v>0</v>
      </c>
      <c r="J157" s="102">
        <v>0</v>
      </c>
      <c r="K157" s="102">
        <v>0</v>
      </c>
      <c r="L157" s="97">
        <v>638902</v>
      </c>
      <c r="M157" s="76" t="s">
        <v>389</v>
      </c>
      <c r="N157" s="77">
        <v>46111</v>
      </c>
      <c r="O157" s="79">
        <v>638902</v>
      </c>
      <c r="P157" s="72" t="s">
        <v>488</v>
      </c>
      <c r="Q157" s="78" t="s">
        <v>489</v>
      </c>
    </row>
    <row r="158" spans="1:17" ht="15" customHeight="1">
      <c r="A158" s="76" t="s">
        <v>57</v>
      </c>
      <c r="B158" s="98" t="s">
        <v>403</v>
      </c>
      <c r="C158" s="98"/>
      <c r="D158" s="100" t="s">
        <v>486</v>
      </c>
      <c r="E158" s="98" t="s">
        <v>180</v>
      </c>
      <c r="F158" s="101">
        <v>46111</v>
      </c>
      <c r="G158" s="98" t="s">
        <v>487</v>
      </c>
      <c r="H158" s="102">
        <v>376522</v>
      </c>
      <c r="I158" s="102">
        <v>0</v>
      </c>
      <c r="J158" s="102">
        <v>0</v>
      </c>
      <c r="K158" s="102">
        <v>0</v>
      </c>
      <c r="L158" s="97">
        <v>376522</v>
      </c>
      <c r="M158" s="76" t="s">
        <v>389</v>
      </c>
      <c r="N158" s="77">
        <v>46111</v>
      </c>
      <c r="O158" s="79">
        <v>376522</v>
      </c>
      <c r="P158" s="72" t="s">
        <v>488</v>
      </c>
      <c r="Q158" s="78" t="s">
        <v>489</v>
      </c>
    </row>
    <row r="159" spans="1:17" ht="15" customHeight="1">
      <c r="A159" s="76" t="s">
        <v>57</v>
      </c>
      <c r="B159" s="98" t="s">
        <v>403</v>
      </c>
      <c r="C159" s="98"/>
      <c r="D159" s="100" t="s">
        <v>509</v>
      </c>
      <c r="E159" s="98" t="s">
        <v>180</v>
      </c>
      <c r="F159" s="101">
        <v>46111</v>
      </c>
      <c r="G159" s="98" t="s">
        <v>510</v>
      </c>
      <c r="H159" s="102">
        <v>258145</v>
      </c>
      <c r="I159" s="102">
        <v>0</v>
      </c>
      <c r="J159" s="102">
        <v>0</v>
      </c>
      <c r="K159" s="102">
        <v>0</v>
      </c>
      <c r="L159" s="97">
        <v>258145</v>
      </c>
      <c r="M159" s="76" t="s">
        <v>389</v>
      </c>
      <c r="N159" s="77">
        <v>46111</v>
      </c>
      <c r="O159" s="79">
        <v>258145</v>
      </c>
      <c r="P159" s="72" t="s">
        <v>488</v>
      </c>
      <c r="Q159" s="78" t="s">
        <v>489</v>
      </c>
    </row>
    <row r="160" spans="1:17" ht="15" customHeight="1">
      <c r="A160" s="76" t="s">
        <v>57</v>
      </c>
      <c r="B160" s="98" t="s">
        <v>403</v>
      </c>
      <c r="C160" s="98"/>
      <c r="D160" s="100" t="s">
        <v>523</v>
      </c>
      <c r="E160" s="98" t="s">
        <v>180</v>
      </c>
      <c r="F160" s="101">
        <v>46097</v>
      </c>
      <c r="G160" s="98" t="s">
        <v>495</v>
      </c>
      <c r="H160" s="102">
        <v>8800</v>
      </c>
      <c r="I160" s="102">
        <v>0</v>
      </c>
      <c r="J160" s="102">
        <v>0</v>
      </c>
      <c r="K160" s="102">
        <v>0</v>
      </c>
      <c r="L160" s="97">
        <v>8800</v>
      </c>
      <c r="M160" s="76" t="s">
        <v>389</v>
      </c>
      <c r="N160" s="77">
        <v>46097</v>
      </c>
      <c r="O160" s="79">
        <v>8800</v>
      </c>
      <c r="P160" s="72" t="s">
        <v>488</v>
      </c>
      <c r="Q160" s="78" t="s">
        <v>489</v>
      </c>
    </row>
    <row r="161" spans="1:17" ht="15" customHeight="1">
      <c r="A161" s="76" t="s">
        <v>57</v>
      </c>
      <c r="B161" s="98" t="s">
        <v>403</v>
      </c>
      <c r="C161" s="98"/>
      <c r="D161" s="100" t="s">
        <v>524</v>
      </c>
      <c r="E161" s="98" t="s">
        <v>180</v>
      </c>
      <c r="F161" s="101">
        <v>46097</v>
      </c>
      <c r="G161" s="98" t="s">
        <v>487</v>
      </c>
      <c r="H161" s="102">
        <v>330145</v>
      </c>
      <c r="I161" s="102">
        <v>0</v>
      </c>
      <c r="J161" s="102">
        <v>0</v>
      </c>
      <c r="K161" s="102">
        <v>0</v>
      </c>
      <c r="L161" s="97">
        <v>330145</v>
      </c>
      <c r="M161" s="76" t="s">
        <v>389</v>
      </c>
      <c r="N161" s="77">
        <v>46097</v>
      </c>
      <c r="O161" s="79">
        <v>330145</v>
      </c>
      <c r="P161" s="72" t="s">
        <v>488</v>
      </c>
      <c r="Q161" s="78" t="s">
        <v>489</v>
      </c>
    </row>
    <row r="162" spans="1:17" ht="15" customHeight="1">
      <c r="A162" s="76" t="s">
        <v>57</v>
      </c>
      <c r="B162" s="98" t="s">
        <v>403</v>
      </c>
      <c r="C162" s="98"/>
      <c r="D162" s="100" t="s">
        <v>525</v>
      </c>
      <c r="E162" s="98" t="s">
        <v>174</v>
      </c>
      <c r="F162" s="101">
        <v>46097</v>
      </c>
      <c r="G162" s="98" t="s">
        <v>491</v>
      </c>
      <c r="H162" s="102">
        <v>835695</v>
      </c>
      <c r="I162" s="102">
        <v>0</v>
      </c>
      <c r="J162" s="102">
        <v>0</v>
      </c>
      <c r="K162" s="102">
        <v>0</v>
      </c>
      <c r="L162" s="97">
        <v>835695</v>
      </c>
      <c r="M162" s="76" t="s">
        <v>389</v>
      </c>
      <c r="N162" s="77">
        <v>46097</v>
      </c>
      <c r="O162" s="79">
        <v>835695</v>
      </c>
      <c r="P162" s="72" t="s">
        <v>488</v>
      </c>
      <c r="Q162" s="78" t="s">
        <v>489</v>
      </c>
    </row>
    <row r="163" spans="1:17" ht="15" customHeight="1">
      <c r="A163" s="76" t="s">
        <v>57</v>
      </c>
      <c r="B163" s="98" t="s">
        <v>403</v>
      </c>
      <c r="C163" s="98"/>
      <c r="D163" s="100" t="s">
        <v>526</v>
      </c>
      <c r="E163" s="98" t="s">
        <v>171</v>
      </c>
      <c r="F163" s="101">
        <v>46094</v>
      </c>
      <c r="G163" s="98" t="s">
        <v>491</v>
      </c>
      <c r="H163" s="102">
        <v>189746</v>
      </c>
      <c r="I163" s="102">
        <v>0</v>
      </c>
      <c r="J163" s="102">
        <v>0</v>
      </c>
      <c r="K163" s="102">
        <v>0</v>
      </c>
      <c r="L163" s="97">
        <v>189746</v>
      </c>
      <c r="M163" s="76" t="s">
        <v>389</v>
      </c>
      <c r="N163" s="77">
        <v>46094</v>
      </c>
      <c r="O163" s="79">
        <v>189746</v>
      </c>
      <c r="P163" s="72" t="s">
        <v>488</v>
      </c>
      <c r="Q163" s="78" t="s">
        <v>489</v>
      </c>
    </row>
    <row r="164" spans="1:17" ht="15" customHeight="1">
      <c r="A164" s="76" t="s">
        <v>57</v>
      </c>
      <c r="B164" s="98" t="s">
        <v>403</v>
      </c>
      <c r="C164" s="98"/>
      <c r="D164" s="100" t="s">
        <v>504</v>
      </c>
      <c r="E164" s="98" t="s">
        <v>180</v>
      </c>
      <c r="F164" s="101">
        <v>46094</v>
      </c>
      <c r="G164" s="98" t="s">
        <v>491</v>
      </c>
      <c r="H164" s="102">
        <v>122145</v>
      </c>
      <c r="I164" s="102">
        <v>0</v>
      </c>
      <c r="J164" s="102">
        <v>0</v>
      </c>
      <c r="K164" s="102">
        <v>0</v>
      </c>
      <c r="L164" s="97">
        <v>122145</v>
      </c>
      <c r="M164" s="76" t="s">
        <v>389</v>
      </c>
      <c r="N164" s="77">
        <v>46094</v>
      </c>
      <c r="O164" s="79">
        <v>122145</v>
      </c>
      <c r="P164" s="72" t="s">
        <v>488</v>
      </c>
      <c r="Q164" s="78" t="s">
        <v>489</v>
      </c>
    </row>
    <row r="165" spans="1:17" ht="15" customHeight="1">
      <c r="A165" s="76" t="s">
        <v>57</v>
      </c>
      <c r="B165" s="98" t="s">
        <v>403</v>
      </c>
      <c r="C165" s="98"/>
      <c r="D165" s="100" t="s">
        <v>506</v>
      </c>
      <c r="E165" s="98" t="s">
        <v>180</v>
      </c>
      <c r="F165" s="101">
        <v>46094</v>
      </c>
      <c r="G165" s="98" t="s">
        <v>493</v>
      </c>
      <c r="H165" s="102">
        <v>150145</v>
      </c>
      <c r="I165" s="102">
        <v>0</v>
      </c>
      <c r="J165" s="102">
        <v>0</v>
      </c>
      <c r="K165" s="102">
        <v>0</v>
      </c>
      <c r="L165" s="97">
        <v>150145</v>
      </c>
      <c r="M165" s="76" t="s">
        <v>389</v>
      </c>
      <c r="N165" s="77">
        <v>46094</v>
      </c>
      <c r="O165" s="79">
        <v>150145</v>
      </c>
      <c r="P165" s="72" t="s">
        <v>488</v>
      </c>
      <c r="Q165" s="78" t="s">
        <v>489</v>
      </c>
    </row>
    <row r="166" spans="1:17" ht="15" customHeight="1">
      <c r="A166" s="76" t="s">
        <v>57</v>
      </c>
      <c r="B166" s="98" t="s">
        <v>403</v>
      </c>
      <c r="C166" s="98"/>
      <c r="D166" s="100" t="s">
        <v>518</v>
      </c>
      <c r="E166" s="98" t="s">
        <v>180</v>
      </c>
      <c r="F166" s="101">
        <v>46090</v>
      </c>
      <c r="G166" s="98" t="s">
        <v>491</v>
      </c>
      <c r="H166" s="102">
        <v>500145</v>
      </c>
      <c r="I166" s="102">
        <v>0</v>
      </c>
      <c r="J166" s="102">
        <v>0</v>
      </c>
      <c r="K166" s="102">
        <v>0</v>
      </c>
      <c r="L166" s="97">
        <v>500145</v>
      </c>
      <c r="M166" s="76" t="s">
        <v>389</v>
      </c>
      <c r="N166" s="77">
        <v>46090</v>
      </c>
      <c r="O166" s="79">
        <v>500145</v>
      </c>
      <c r="P166" s="72" t="s">
        <v>488</v>
      </c>
      <c r="Q166" s="78" t="s">
        <v>489</v>
      </c>
    </row>
    <row r="167" spans="1:17" ht="15" customHeight="1">
      <c r="A167" s="76" t="s">
        <v>57</v>
      </c>
      <c r="B167" s="98" t="s">
        <v>403</v>
      </c>
      <c r="C167" s="98"/>
      <c r="D167" s="100" t="s">
        <v>503</v>
      </c>
      <c r="E167" s="98" t="s">
        <v>180</v>
      </c>
      <c r="F167" s="101">
        <v>46080</v>
      </c>
      <c r="G167" s="98" t="s">
        <v>491</v>
      </c>
      <c r="H167" s="102">
        <v>66549</v>
      </c>
      <c r="I167" s="102">
        <v>0</v>
      </c>
      <c r="J167" s="102">
        <v>0</v>
      </c>
      <c r="K167" s="102">
        <v>0</v>
      </c>
      <c r="L167" s="97">
        <v>66549</v>
      </c>
      <c r="M167" s="76" t="s">
        <v>389</v>
      </c>
      <c r="N167" s="77">
        <v>46080</v>
      </c>
      <c r="O167" s="79">
        <v>66549</v>
      </c>
      <c r="P167" s="72" t="s">
        <v>488</v>
      </c>
      <c r="Q167" s="78" t="s">
        <v>489</v>
      </c>
    </row>
    <row r="168" spans="1:17" ht="15" customHeight="1">
      <c r="A168" s="76" t="s">
        <v>57</v>
      </c>
      <c r="B168" s="98" t="s">
        <v>403</v>
      </c>
      <c r="C168" s="98"/>
      <c r="D168" s="100" t="s">
        <v>527</v>
      </c>
      <c r="E168" s="98" t="s">
        <v>180</v>
      </c>
      <c r="F168" s="101">
        <v>46080</v>
      </c>
      <c r="G168" s="98" t="s">
        <v>491</v>
      </c>
      <c r="H168" s="102">
        <v>30175</v>
      </c>
      <c r="I168" s="102">
        <v>0</v>
      </c>
      <c r="J168" s="102">
        <v>0</v>
      </c>
      <c r="K168" s="102">
        <v>0</v>
      </c>
      <c r="L168" s="97">
        <v>30175</v>
      </c>
      <c r="M168" s="76" t="s">
        <v>389</v>
      </c>
      <c r="N168" s="77">
        <v>46080</v>
      </c>
      <c r="O168" s="79">
        <v>30175</v>
      </c>
      <c r="P168" s="72" t="s">
        <v>488</v>
      </c>
      <c r="Q168" s="78" t="s">
        <v>489</v>
      </c>
    </row>
    <row r="169" spans="1:17" ht="15" customHeight="1">
      <c r="A169" s="76" t="s">
        <v>57</v>
      </c>
      <c r="B169" s="98" t="s">
        <v>403</v>
      </c>
      <c r="C169" s="98"/>
      <c r="D169" s="100" t="s">
        <v>490</v>
      </c>
      <c r="E169" s="98" t="s">
        <v>180</v>
      </c>
      <c r="F169" s="101">
        <v>46080</v>
      </c>
      <c r="G169" s="98" t="s">
        <v>491</v>
      </c>
      <c r="H169" s="102">
        <v>31345</v>
      </c>
      <c r="I169" s="102">
        <v>0</v>
      </c>
      <c r="J169" s="102">
        <v>0</v>
      </c>
      <c r="K169" s="102">
        <v>0</v>
      </c>
      <c r="L169" s="97">
        <v>31345</v>
      </c>
      <c r="M169" s="76" t="s">
        <v>389</v>
      </c>
      <c r="N169" s="77">
        <v>46080</v>
      </c>
      <c r="O169" s="79">
        <v>31345</v>
      </c>
      <c r="P169" s="72" t="s">
        <v>488</v>
      </c>
      <c r="Q169" s="78" t="s">
        <v>489</v>
      </c>
    </row>
    <row r="170" spans="1:17" ht="15" customHeight="1">
      <c r="A170" s="76" t="s">
        <v>57</v>
      </c>
      <c r="B170" s="98" t="s">
        <v>403</v>
      </c>
      <c r="C170" s="98"/>
      <c r="D170" s="100" t="s">
        <v>505</v>
      </c>
      <c r="E170" s="98" t="s">
        <v>180</v>
      </c>
      <c r="F170" s="101">
        <v>46080</v>
      </c>
      <c r="G170" s="98" t="s">
        <v>487</v>
      </c>
      <c r="H170" s="102">
        <v>120145</v>
      </c>
      <c r="I170" s="102">
        <v>0</v>
      </c>
      <c r="J170" s="102">
        <v>0</v>
      </c>
      <c r="K170" s="102">
        <v>0</v>
      </c>
      <c r="L170" s="97">
        <v>120145</v>
      </c>
      <c r="M170" s="76" t="s">
        <v>389</v>
      </c>
      <c r="N170" s="77">
        <v>46080</v>
      </c>
      <c r="O170" s="79">
        <v>120145</v>
      </c>
      <c r="P170" s="72" t="s">
        <v>488</v>
      </c>
      <c r="Q170" s="78" t="s">
        <v>489</v>
      </c>
    </row>
    <row r="171" spans="1:17" ht="15" customHeight="1">
      <c r="A171" s="76" t="s">
        <v>57</v>
      </c>
      <c r="B171" s="98" t="s">
        <v>403</v>
      </c>
      <c r="C171" s="98"/>
      <c r="D171" s="100" t="s">
        <v>486</v>
      </c>
      <c r="E171" s="98" t="s">
        <v>180</v>
      </c>
      <c r="F171" s="101">
        <v>46080</v>
      </c>
      <c r="G171" s="98" t="s">
        <v>487</v>
      </c>
      <c r="H171" s="102">
        <v>357428</v>
      </c>
      <c r="I171" s="102">
        <v>0</v>
      </c>
      <c r="J171" s="102">
        <v>0</v>
      </c>
      <c r="K171" s="102">
        <v>0</v>
      </c>
      <c r="L171" s="97">
        <v>357428</v>
      </c>
      <c r="M171" s="76" t="s">
        <v>389</v>
      </c>
      <c r="N171" s="77">
        <v>46080</v>
      </c>
      <c r="O171" s="79">
        <v>357428</v>
      </c>
      <c r="P171" s="72" t="s">
        <v>488</v>
      </c>
      <c r="Q171" s="78" t="s">
        <v>489</v>
      </c>
    </row>
    <row r="172" spans="1:17" ht="15" customHeight="1">
      <c r="A172" s="76" t="s">
        <v>57</v>
      </c>
      <c r="B172" s="98" t="s">
        <v>403</v>
      </c>
      <c r="C172" s="98"/>
      <c r="D172" s="100" t="s">
        <v>509</v>
      </c>
      <c r="E172" s="98" t="s">
        <v>180</v>
      </c>
      <c r="F172" s="101">
        <v>46080</v>
      </c>
      <c r="G172" s="98" t="s">
        <v>510</v>
      </c>
      <c r="H172" s="102">
        <v>307645</v>
      </c>
      <c r="I172" s="102">
        <v>0</v>
      </c>
      <c r="J172" s="102">
        <v>0</v>
      </c>
      <c r="K172" s="102">
        <v>0</v>
      </c>
      <c r="L172" s="97">
        <v>307645</v>
      </c>
      <c r="M172" s="76" t="s">
        <v>389</v>
      </c>
      <c r="N172" s="77">
        <v>46080</v>
      </c>
      <c r="O172" s="79">
        <v>307645</v>
      </c>
      <c r="P172" s="72" t="s">
        <v>488</v>
      </c>
      <c r="Q172" s="78" t="s">
        <v>489</v>
      </c>
    </row>
    <row r="173" spans="1:17" ht="15" customHeight="1">
      <c r="A173" s="76" t="s">
        <v>57</v>
      </c>
      <c r="B173" s="98" t="s">
        <v>403</v>
      </c>
      <c r="C173" s="98"/>
      <c r="D173" s="100" t="s">
        <v>519</v>
      </c>
      <c r="E173" s="98" t="s">
        <v>180</v>
      </c>
      <c r="F173" s="101">
        <v>46080</v>
      </c>
      <c r="G173" s="98" t="s">
        <v>520</v>
      </c>
      <c r="H173" s="102">
        <v>610145</v>
      </c>
      <c r="I173" s="102">
        <v>0</v>
      </c>
      <c r="J173" s="102">
        <v>0</v>
      </c>
      <c r="K173" s="102">
        <v>0</v>
      </c>
      <c r="L173" s="97">
        <v>610145</v>
      </c>
      <c r="M173" s="76" t="s">
        <v>389</v>
      </c>
      <c r="N173" s="77">
        <v>46080</v>
      </c>
      <c r="O173" s="79">
        <v>610145</v>
      </c>
      <c r="P173" s="72" t="s">
        <v>488</v>
      </c>
      <c r="Q173" s="78" t="s">
        <v>489</v>
      </c>
    </row>
    <row r="174" spans="1:17" ht="15" customHeight="1">
      <c r="A174" s="76" t="s">
        <v>57</v>
      </c>
      <c r="B174" s="98" t="s">
        <v>403</v>
      </c>
      <c r="C174" s="98"/>
      <c r="D174" s="100" t="s">
        <v>513</v>
      </c>
      <c r="E174" s="98" t="s">
        <v>180</v>
      </c>
      <c r="F174" s="101">
        <v>46071</v>
      </c>
      <c r="G174" s="98" t="s">
        <v>514</v>
      </c>
      <c r="H174" s="102">
        <v>581494</v>
      </c>
      <c r="I174" s="102">
        <v>0</v>
      </c>
      <c r="J174" s="102">
        <v>0</v>
      </c>
      <c r="K174" s="102">
        <v>0</v>
      </c>
      <c r="L174" s="97">
        <v>581494</v>
      </c>
      <c r="M174" s="76" t="s">
        <v>389</v>
      </c>
      <c r="N174" s="77">
        <v>46071</v>
      </c>
      <c r="O174" s="79">
        <v>581494</v>
      </c>
      <c r="P174" s="72" t="s">
        <v>488</v>
      </c>
      <c r="Q174" s="78" t="s">
        <v>489</v>
      </c>
    </row>
    <row r="175" spans="1:17" ht="15" customHeight="1">
      <c r="A175" s="76" t="s">
        <v>57</v>
      </c>
      <c r="B175" s="98" t="s">
        <v>403</v>
      </c>
      <c r="C175" s="98"/>
      <c r="D175" s="100" t="s">
        <v>528</v>
      </c>
      <c r="E175" s="98" t="s">
        <v>180</v>
      </c>
      <c r="F175" s="101">
        <v>46071</v>
      </c>
      <c r="G175" s="98" t="s">
        <v>497</v>
      </c>
      <c r="H175" s="102">
        <v>5815</v>
      </c>
      <c r="I175" s="102">
        <v>0</v>
      </c>
      <c r="J175" s="102">
        <v>0</v>
      </c>
      <c r="K175" s="102">
        <v>0</v>
      </c>
      <c r="L175" s="97">
        <v>5815</v>
      </c>
      <c r="M175" s="76" t="s">
        <v>389</v>
      </c>
      <c r="N175" s="77">
        <v>46071</v>
      </c>
      <c r="O175" s="79">
        <v>5815</v>
      </c>
      <c r="P175" s="72" t="s">
        <v>488</v>
      </c>
      <c r="Q175" s="78" t="s">
        <v>489</v>
      </c>
    </row>
    <row r="176" spans="1:17" ht="15" customHeight="1">
      <c r="A176" s="76" t="s">
        <v>57</v>
      </c>
      <c r="B176" s="98" t="s">
        <v>403</v>
      </c>
      <c r="C176" s="98"/>
      <c r="D176" s="100" t="s">
        <v>529</v>
      </c>
      <c r="E176" s="98" t="s">
        <v>180</v>
      </c>
      <c r="F176" s="101">
        <v>46071</v>
      </c>
      <c r="G176" s="98" t="s">
        <v>497</v>
      </c>
      <c r="H176" s="102">
        <v>43345</v>
      </c>
      <c r="I176" s="102">
        <v>0</v>
      </c>
      <c r="J176" s="102">
        <v>0</v>
      </c>
      <c r="K176" s="102">
        <v>0</v>
      </c>
      <c r="L176" s="97">
        <v>43345</v>
      </c>
      <c r="M176" s="76" t="s">
        <v>389</v>
      </c>
      <c r="N176" s="77">
        <v>46071</v>
      </c>
      <c r="O176" s="79">
        <v>43345</v>
      </c>
      <c r="P176" s="72" t="s">
        <v>488</v>
      </c>
      <c r="Q176" s="78" t="s">
        <v>489</v>
      </c>
    </row>
    <row r="177" spans="1:17" ht="15" customHeight="1">
      <c r="A177" s="76" t="s">
        <v>57</v>
      </c>
      <c r="B177" s="98" t="s">
        <v>403</v>
      </c>
      <c r="C177" s="98"/>
      <c r="D177" s="100" t="s">
        <v>515</v>
      </c>
      <c r="E177" s="98" t="s">
        <v>180</v>
      </c>
      <c r="F177" s="101">
        <v>46070</v>
      </c>
      <c r="G177" s="98" t="s">
        <v>516</v>
      </c>
      <c r="H177" s="102">
        <v>71645</v>
      </c>
      <c r="I177" s="102">
        <v>0</v>
      </c>
      <c r="J177" s="102">
        <v>0</v>
      </c>
      <c r="K177" s="102">
        <v>0</v>
      </c>
      <c r="L177" s="97">
        <v>71645</v>
      </c>
      <c r="M177" s="76" t="s">
        <v>389</v>
      </c>
      <c r="N177" s="77">
        <v>46070</v>
      </c>
      <c r="O177" s="79">
        <v>71645</v>
      </c>
      <c r="P177" s="72" t="s">
        <v>488</v>
      </c>
      <c r="Q177" s="78" t="s">
        <v>489</v>
      </c>
    </row>
    <row r="178" spans="1:17" ht="15" customHeight="1">
      <c r="A178" s="76" t="s">
        <v>57</v>
      </c>
      <c r="B178" s="98" t="s">
        <v>403</v>
      </c>
      <c r="C178" s="98"/>
      <c r="D178" s="100" t="s">
        <v>525</v>
      </c>
      <c r="E178" s="98" t="s">
        <v>174</v>
      </c>
      <c r="F178" s="101">
        <v>46069</v>
      </c>
      <c r="G178" s="98" t="s">
        <v>491</v>
      </c>
      <c r="H178" s="102">
        <v>641058</v>
      </c>
      <c r="I178" s="102">
        <v>0</v>
      </c>
      <c r="J178" s="102">
        <v>0</v>
      </c>
      <c r="K178" s="102">
        <v>0</v>
      </c>
      <c r="L178" s="97">
        <v>641058</v>
      </c>
      <c r="M178" s="76" t="s">
        <v>389</v>
      </c>
      <c r="N178" s="77">
        <v>46069</v>
      </c>
      <c r="O178" s="79">
        <v>641058</v>
      </c>
      <c r="P178" s="72" t="s">
        <v>488</v>
      </c>
      <c r="Q178" s="78" t="s">
        <v>489</v>
      </c>
    </row>
    <row r="179" spans="1:17" ht="15" customHeight="1">
      <c r="A179" s="76" t="s">
        <v>57</v>
      </c>
      <c r="B179" s="98" t="s">
        <v>403</v>
      </c>
      <c r="C179" s="98"/>
      <c r="D179" s="100" t="s">
        <v>494</v>
      </c>
      <c r="E179" s="98" t="s">
        <v>180</v>
      </c>
      <c r="F179" s="101">
        <v>46063</v>
      </c>
      <c r="G179" s="98" t="s">
        <v>495</v>
      </c>
      <c r="H179" s="102">
        <v>114625</v>
      </c>
      <c r="I179" s="102">
        <v>0</v>
      </c>
      <c r="J179" s="102">
        <v>0</v>
      </c>
      <c r="K179" s="102">
        <v>0</v>
      </c>
      <c r="L179" s="97">
        <v>114625</v>
      </c>
      <c r="M179" s="76" t="s">
        <v>389</v>
      </c>
      <c r="N179" s="77">
        <v>46063</v>
      </c>
      <c r="O179" s="79">
        <v>114625</v>
      </c>
      <c r="P179" s="72" t="s">
        <v>488</v>
      </c>
      <c r="Q179" s="78" t="s">
        <v>489</v>
      </c>
    </row>
    <row r="180" spans="1:17" ht="15" customHeight="1">
      <c r="A180" s="76" t="s">
        <v>57</v>
      </c>
      <c r="B180" s="98" t="s">
        <v>403</v>
      </c>
      <c r="C180" s="98"/>
      <c r="D180" s="100" t="s">
        <v>530</v>
      </c>
      <c r="E180" s="98" t="s">
        <v>180</v>
      </c>
      <c r="F180" s="101">
        <v>46054</v>
      </c>
      <c r="G180" s="98" t="s">
        <v>531</v>
      </c>
      <c r="H180" s="102">
        <v>30145</v>
      </c>
      <c r="I180" s="102">
        <v>0</v>
      </c>
      <c r="J180" s="102">
        <v>0</v>
      </c>
      <c r="K180" s="102">
        <v>0</v>
      </c>
      <c r="L180" s="97">
        <v>30145</v>
      </c>
      <c r="M180" s="76" t="s">
        <v>389</v>
      </c>
      <c r="N180" s="77">
        <v>46054</v>
      </c>
      <c r="O180" s="79">
        <v>30145</v>
      </c>
      <c r="P180" s="72" t="s">
        <v>488</v>
      </c>
      <c r="Q180" s="78" t="s">
        <v>489</v>
      </c>
    </row>
    <row r="181" spans="1:17" ht="15" customHeight="1">
      <c r="A181" s="76" t="s">
        <v>57</v>
      </c>
      <c r="B181" s="98" t="s">
        <v>403</v>
      </c>
      <c r="C181" s="98"/>
      <c r="D181" s="100" t="s">
        <v>503</v>
      </c>
      <c r="E181" s="98" t="s">
        <v>180</v>
      </c>
      <c r="F181" s="101">
        <v>46052</v>
      </c>
      <c r="G181" s="98" t="s">
        <v>491</v>
      </c>
      <c r="H181" s="102">
        <v>66549</v>
      </c>
      <c r="I181" s="102">
        <v>0</v>
      </c>
      <c r="J181" s="102">
        <v>0</v>
      </c>
      <c r="K181" s="102">
        <v>0</v>
      </c>
      <c r="L181" s="97">
        <v>66549</v>
      </c>
      <c r="M181" s="76" t="s">
        <v>389</v>
      </c>
      <c r="N181" s="77">
        <v>46052</v>
      </c>
      <c r="O181" s="79">
        <v>66549</v>
      </c>
      <c r="P181" s="72" t="s">
        <v>488</v>
      </c>
      <c r="Q181" s="78" t="s">
        <v>489</v>
      </c>
    </row>
    <row r="182" spans="1:17" ht="15" customHeight="1">
      <c r="A182" s="76" t="s">
        <v>57</v>
      </c>
      <c r="B182" s="98" t="s">
        <v>403</v>
      </c>
      <c r="C182" s="98"/>
      <c r="D182" s="100" t="s">
        <v>532</v>
      </c>
      <c r="E182" s="98" t="s">
        <v>164</v>
      </c>
      <c r="F182" s="101">
        <v>46052</v>
      </c>
      <c r="G182" s="98" t="s">
        <v>491</v>
      </c>
      <c r="H182" s="102">
        <v>95145</v>
      </c>
      <c r="I182" s="102">
        <v>0</v>
      </c>
      <c r="J182" s="102">
        <v>0</v>
      </c>
      <c r="K182" s="102">
        <v>0</v>
      </c>
      <c r="L182" s="97">
        <v>95145</v>
      </c>
      <c r="M182" s="76" t="s">
        <v>389</v>
      </c>
      <c r="N182" s="77">
        <v>46052</v>
      </c>
      <c r="O182" s="79">
        <v>95145</v>
      </c>
      <c r="P182" s="72" t="s">
        <v>488</v>
      </c>
      <c r="Q182" s="78" t="s">
        <v>489</v>
      </c>
    </row>
    <row r="183" spans="1:17" ht="15" customHeight="1">
      <c r="A183" s="76" t="s">
        <v>57</v>
      </c>
      <c r="B183" s="98" t="s">
        <v>403</v>
      </c>
      <c r="C183" s="98"/>
      <c r="D183" s="100" t="s">
        <v>501</v>
      </c>
      <c r="E183" s="98" t="s">
        <v>166</v>
      </c>
      <c r="F183" s="101">
        <v>46052</v>
      </c>
      <c r="G183" s="98" t="s">
        <v>502</v>
      </c>
      <c r="H183" s="102">
        <v>84845</v>
      </c>
      <c r="I183" s="102">
        <v>0</v>
      </c>
      <c r="J183" s="102">
        <v>0</v>
      </c>
      <c r="K183" s="102">
        <v>0</v>
      </c>
      <c r="L183" s="97">
        <v>84845</v>
      </c>
      <c r="M183" s="76" t="s">
        <v>389</v>
      </c>
      <c r="N183" s="77">
        <v>46052</v>
      </c>
      <c r="O183" s="79">
        <v>84845</v>
      </c>
      <c r="P183" s="72" t="s">
        <v>488</v>
      </c>
      <c r="Q183" s="78" t="s">
        <v>489</v>
      </c>
    </row>
    <row r="184" spans="1:17" ht="15" customHeight="1">
      <c r="A184" s="76" t="s">
        <v>57</v>
      </c>
      <c r="B184" s="98" t="s">
        <v>403</v>
      </c>
      <c r="C184" s="98"/>
      <c r="D184" s="100" t="s">
        <v>506</v>
      </c>
      <c r="E184" s="98" t="s">
        <v>180</v>
      </c>
      <c r="F184" s="101">
        <v>46052</v>
      </c>
      <c r="G184" s="98" t="s">
        <v>493</v>
      </c>
      <c r="H184" s="102">
        <v>150145</v>
      </c>
      <c r="I184" s="102">
        <v>0</v>
      </c>
      <c r="J184" s="102">
        <v>0</v>
      </c>
      <c r="K184" s="102">
        <v>0</v>
      </c>
      <c r="L184" s="97">
        <v>150145</v>
      </c>
      <c r="M184" s="76" t="s">
        <v>389</v>
      </c>
      <c r="N184" s="77">
        <v>46052</v>
      </c>
      <c r="O184" s="79">
        <v>150145</v>
      </c>
      <c r="P184" s="72" t="s">
        <v>488</v>
      </c>
      <c r="Q184" s="78" t="s">
        <v>489</v>
      </c>
    </row>
    <row r="185" spans="1:17" ht="15" customHeight="1">
      <c r="A185" s="76" t="s">
        <v>57</v>
      </c>
      <c r="B185" s="98" t="s">
        <v>403</v>
      </c>
      <c r="C185" s="98"/>
      <c r="D185" s="100" t="s">
        <v>519</v>
      </c>
      <c r="E185" s="98" t="s">
        <v>180</v>
      </c>
      <c r="F185" s="101">
        <v>46031</v>
      </c>
      <c r="G185" s="98" t="s">
        <v>495</v>
      </c>
      <c r="H185" s="102">
        <v>3000000</v>
      </c>
      <c r="I185" s="102">
        <v>0</v>
      </c>
      <c r="J185" s="102">
        <v>0</v>
      </c>
      <c r="K185" s="102">
        <v>0</v>
      </c>
      <c r="L185" s="97">
        <v>3000000</v>
      </c>
      <c r="M185" s="76" t="s">
        <v>389</v>
      </c>
      <c r="N185" s="77">
        <v>46031</v>
      </c>
      <c r="O185" s="79">
        <v>3000000</v>
      </c>
      <c r="P185" s="72" t="s">
        <v>488</v>
      </c>
      <c r="Q185" s="78" t="s">
        <v>489</v>
      </c>
    </row>
    <row r="186" spans="1:17" ht="15" customHeight="1">
      <c r="A186" s="76" t="s">
        <v>57</v>
      </c>
      <c r="B186" s="98" t="s">
        <v>403</v>
      </c>
      <c r="C186" s="99"/>
      <c r="D186" s="100" t="s">
        <v>533</v>
      </c>
      <c r="E186" s="98" t="s">
        <v>180</v>
      </c>
      <c r="F186" s="101">
        <v>46172</v>
      </c>
      <c r="G186" s="98" t="s">
        <v>534</v>
      </c>
      <c r="H186" s="102">
        <v>372017</v>
      </c>
      <c r="I186" s="102">
        <v>0</v>
      </c>
      <c r="J186" s="102">
        <v>0</v>
      </c>
      <c r="K186" s="102">
        <v>0</v>
      </c>
      <c r="L186" s="97">
        <v>372017</v>
      </c>
      <c r="M186" s="76" t="s">
        <v>389</v>
      </c>
      <c r="N186" s="77">
        <v>46172</v>
      </c>
      <c r="O186" s="79">
        <v>372017</v>
      </c>
      <c r="P186" s="73"/>
      <c r="Q186" s="78" t="s">
        <v>535</v>
      </c>
    </row>
    <row r="187" spans="1:17" ht="15" customHeight="1">
      <c r="A187" s="76" t="s">
        <v>57</v>
      </c>
      <c r="B187" s="98" t="s">
        <v>403</v>
      </c>
      <c r="C187" s="98"/>
      <c r="D187" s="100" t="s">
        <v>533</v>
      </c>
      <c r="E187" s="98" t="s">
        <v>180</v>
      </c>
      <c r="F187" s="101">
        <v>46203</v>
      </c>
      <c r="G187" s="98" t="s">
        <v>534</v>
      </c>
      <c r="H187" s="102">
        <v>372017</v>
      </c>
      <c r="I187" s="102">
        <v>0</v>
      </c>
      <c r="J187" s="102">
        <v>0</v>
      </c>
      <c r="K187" s="102">
        <v>0</v>
      </c>
      <c r="L187" s="97">
        <v>372017</v>
      </c>
      <c r="M187" s="76" t="s">
        <v>389</v>
      </c>
      <c r="N187" s="77">
        <v>46203</v>
      </c>
      <c r="O187" s="79">
        <v>372017</v>
      </c>
      <c r="P187" s="73"/>
      <c r="Q187" s="78" t="s">
        <v>535</v>
      </c>
    </row>
    <row r="188" spans="1:17" ht="15" customHeight="1">
      <c r="A188" s="76" t="s">
        <v>57</v>
      </c>
      <c r="B188" s="98" t="s">
        <v>403</v>
      </c>
      <c r="C188" s="98"/>
      <c r="D188" s="100" t="s">
        <v>533</v>
      </c>
      <c r="E188" s="98" t="s">
        <v>180</v>
      </c>
      <c r="F188" s="101">
        <v>46233</v>
      </c>
      <c r="G188" s="98" t="s">
        <v>534</v>
      </c>
      <c r="H188" s="102">
        <v>372017</v>
      </c>
      <c r="I188" s="102">
        <v>0</v>
      </c>
      <c r="J188" s="102">
        <v>0</v>
      </c>
      <c r="K188" s="102">
        <v>0</v>
      </c>
      <c r="L188" s="97">
        <v>372017</v>
      </c>
      <c r="M188" s="76" t="s">
        <v>389</v>
      </c>
      <c r="N188" s="77">
        <v>46233</v>
      </c>
      <c r="O188" s="79">
        <v>372017</v>
      </c>
      <c r="P188" s="73"/>
      <c r="Q188" s="78" t="s">
        <v>535</v>
      </c>
    </row>
    <row r="189" spans="1:17" ht="15" customHeight="1">
      <c r="A189" s="76" t="s">
        <v>57</v>
      </c>
      <c r="B189" s="98" t="s">
        <v>403</v>
      </c>
      <c r="C189" s="98"/>
      <c r="D189" s="100" t="s">
        <v>533</v>
      </c>
      <c r="E189" s="98" t="s">
        <v>180</v>
      </c>
      <c r="F189" s="101">
        <v>46264</v>
      </c>
      <c r="G189" s="98" t="s">
        <v>534</v>
      </c>
      <c r="H189" s="102">
        <v>372017</v>
      </c>
      <c r="I189" s="102">
        <v>0</v>
      </c>
      <c r="J189" s="102">
        <v>0</v>
      </c>
      <c r="K189" s="102">
        <v>0</v>
      </c>
      <c r="L189" s="97">
        <v>372017</v>
      </c>
      <c r="M189" s="76" t="s">
        <v>389</v>
      </c>
      <c r="N189" s="77">
        <v>46264</v>
      </c>
      <c r="O189" s="79">
        <v>372017</v>
      </c>
      <c r="P189" s="73"/>
      <c r="Q189" s="78" t="s">
        <v>535</v>
      </c>
    </row>
    <row r="190" spans="1:17" ht="15" customHeight="1">
      <c r="A190" s="76" t="s">
        <v>57</v>
      </c>
      <c r="B190" s="98" t="s">
        <v>403</v>
      </c>
      <c r="C190" s="98"/>
      <c r="D190" s="100" t="s">
        <v>536</v>
      </c>
      <c r="E190" s="98" t="s">
        <v>180</v>
      </c>
      <c r="F190" s="101">
        <v>46172</v>
      </c>
      <c r="G190" s="98" t="s">
        <v>534</v>
      </c>
      <c r="H190" s="102">
        <v>27818</v>
      </c>
      <c r="I190" s="102">
        <v>0</v>
      </c>
      <c r="J190" s="102">
        <v>0</v>
      </c>
      <c r="K190" s="102">
        <v>0</v>
      </c>
      <c r="L190" s="97">
        <v>27818</v>
      </c>
      <c r="M190" s="76" t="s">
        <v>389</v>
      </c>
      <c r="N190" s="77">
        <v>46172</v>
      </c>
      <c r="O190" s="79">
        <v>27818</v>
      </c>
      <c r="P190" s="73"/>
      <c r="Q190" s="78" t="s">
        <v>535</v>
      </c>
    </row>
    <row r="191" spans="1:17" ht="15" customHeight="1">
      <c r="A191" s="76" t="s">
        <v>57</v>
      </c>
      <c r="B191" s="98" t="s">
        <v>403</v>
      </c>
      <c r="C191" s="98"/>
      <c r="D191" s="100" t="s">
        <v>536</v>
      </c>
      <c r="E191" s="98" t="s">
        <v>180</v>
      </c>
      <c r="F191" s="101">
        <v>46203</v>
      </c>
      <c r="G191" s="98" t="s">
        <v>534</v>
      </c>
      <c r="H191" s="102">
        <v>27818</v>
      </c>
      <c r="I191" s="102">
        <v>0</v>
      </c>
      <c r="J191" s="102">
        <v>0</v>
      </c>
      <c r="K191" s="102">
        <v>0</v>
      </c>
      <c r="L191" s="97">
        <v>27818</v>
      </c>
      <c r="M191" s="76" t="s">
        <v>389</v>
      </c>
      <c r="N191" s="77">
        <v>46203</v>
      </c>
      <c r="O191" s="79">
        <v>27818</v>
      </c>
      <c r="P191" s="73"/>
      <c r="Q191" s="78" t="s">
        <v>535</v>
      </c>
    </row>
    <row r="192" spans="1:17" ht="15" customHeight="1">
      <c r="A192" s="76" t="s">
        <v>57</v>
      </c>
      <c r="B192" s="98" t="s">
        <v>403</v>
      </c>
      <c r="C192" s="98"/>
      <c r="D192" s="100" t="s">
        <v>536</v>
      </c>
      <c r="E192" s="98" t="s">
        <v>180</v>
      </c>
      <c r="F192" s="101">
        <v>46233</v>
      </c>
      <c r="G192" s="98" t="s">
        <v>534</v>
      </c>
      <c r="H192" s="102">
        <v>27818</v>
      </c>
      <c r="I192" s="102">
        <v>0</v>
      </c>
      <c r="J192" s="102">
        <v>0</v>
      </c>
      <c r="K192" s="102">
        <v>0</v>
      </c>
      <c r="L192" s="97">
        <v>27818</v>
      </c>
      <c r="M192" s="76" t="s">
        <v>389</v>
      </c>
      <c r="N192" s="77">
        <v>46233</v>
      </c>
      <c r="O192" s="79">
        <v>27818</v>
      </c>
      <c r="P192" s="73"/>
      <c r="Q192" s="78" t="s">
        <v>535</v>
      </c>
    </row>
    <row r="193" spans="1:17" ht="15" customHeight="1">
      <c r="A193" s="76" t="s">
        <v>57</v>
      </c>
      <c r="B193" s="98" t="s">
        <v>403</v>
      </c>
      <c r="C193" s="98"/>
      <c r="D193" s="100" t="s">
        <v>536</v>
      </c>
      <c r="E193" s="98" t="s">
        <v>180</v>
      </c>
      <c r="F193" s="101">
        <v>46264</v>
      </c>
      <c r="G193" s="98" t="s">
        <v>534</v>
      </c>
      <c r="H193" s="102">
        <v>27818</v>
      </c>
      <c r="I193" s="102">
        <v>0</v>
      </c>
      <c r="J193" s="102">
        <v>0</v>
      </c>
      <c r="K193" s="102">
        <v>0</v>
      </c>
      <c r="L193" s="97">
        <v>27818</v>
      </c>
      <c r="M193" s="76" t="s">
        <v>389</v>
      </c>
      <c r="N193" s="77">
        <v>46264</v>
      </c>
      <c r="O193" s="79">
        <v>27818</v>
      </c>
      <c r="P193" s="73"/>
      <c r="Q193" s="78" t="s">
        <v>535</v>
      </c>
    </row>
    <row r="194" spans="1:17" ht="15" customHeight="1">
      <c r="A194" s="76" t="s">
        <v>57</v>
      </c>
      <c r="B194" s="98" t="s">
        <v>403</v>
      </c>
      <c r="C194" s="98"/>
      <c r="D194" s="100" t="s">
        <v>537</v>
      </c>
      <c r="E194" s="98" t="s">
        <v>180</v>
      </c>
      <c r="F194" s="101">
        <v>46172</v>
      </c>
      <c r="G194" s="98" t="s">
        <v>534</v>
      </c>
      <c r="H194" s="102">
        <v>93513</v>
      </c>
      <c r="I194" s="102">
        <v>0</v>
      </c>
      <c r="J194" s="102">
        <v>0</v>
      </c>
      <c r="K194" s="102">
        <v>0</v>
      </c>
      <c r="L194" s="97">
        <v>93513</v>
      </c>
      <c r="M194" s="76" t="s">
        <v>389</v>
      </c>
      <c r="N194" s="77">
        <v>46172</v>
      </c>
      <c r="O194" s="79">
        <v>93513</v>
      </c>
      <c r="P194" s="73"/>
      <c r="Q194" s="78" t="s">
        <v>535</v>
      </c>
    </row>
    <row r="195" spans="1:17" ht="15" customHeight="1">
      <c r="A195" s="76" t="s">
        <v>57</v>
      </c>
      <c r="B195" s="98" t="s">
        <v>403</v>
      </c>
      <c r="C195" s="98"/>
      <c r="D195" s="100" t="s">
        <v>537</v>
      </c>
      <c r="E195" s="98" t="s">
        <v>180</v>
      </c>
      <c r="F195" s="101">
        <v>46203</v>
      </c>
      <c r="G195" s="98" t="s">
        <v>534</v>
      </c>
      <c r="H195" s="102">
        <v>93513</v>
      </c>
      <c r="I195" s="102">
        <v>0</v>
      </c>
      <c r="J195" s="102">
        <v>0</v>
      </c>
      <c r="K195" s="102">
        <v>0</v>
      </c>
      <c r="L195" s="97">
        <v>93513</v>
      </c>
      <c r="M195" s="76" t="s">
        <v>389</v>
      </c>
      <c r="N195" s="77">
        <v>46203</v>
      </c>
      <c r="O195" s="79">
        <v>93513</v>
      </c>
      <c r="P195" s="73"/>
      <c r="Q195" s="78" t="s">
        <v>535</v>
      </c>
    </row>
    <row r="196" spans="1:17" ht="15" customHeight="1">
      <c r="A196" s="76" t="s">
        <v>57</v>
      </c>
      <c r="B196" s="98" t="s">
        <v>403</v>
      </c>
      <c r="C196" s="98"/>
      <c r="D196" s="100" t="s">
        <v>537</v>
      </c>
      <c r="E196" s="98" t="s">
        <v>180</v>
      </c>
      <c r="F196" s="101">
        <v>46233</v>
      </c>
      <c r="G196" s="98" t="s">
        <v>534</v>
      </c>
      <c r="H196" s="102">
        <v>93513</v>
      </c>
      <c r="I196" s="102">
        <v>0</v>
      </c>
      <c r="J196" s="102">
        <v>0</v>
      </c>
      <c r="K196" s="102">
        <v>0</v>
      </c>
      <c r="L196" s="97">
        <v>93513</v>
      </c>
      <c r="M196" s="76" t="s">
        <v>389</v>
      </c>
      <c r="N196" s="77">
        <v>46233</v>
      </c>
      <c r="O196" s="79">
        <v>93513</v>
      </c>
      <c r="P196" s="73"/>
      <c r="Q196" s="78" t="s">
        <v>535</v>
      </c>
    </row>
    <row r="197" spans="1:17" ht="15" customHeight="1">
      <c r="A197" s="76" t="s">
        <v>57</v>
      </c>
      <c r="B197" s="98" t="s">
        <v>403</v>
      </c>
      <c r="C197" s="98"/>
      <c r="D197" s="100" t="s">
        <v>537</v>
      </c>
      <c r="E197" s="98" t="s">
        <v>180</v>
      </c>
      <c r="F197" s="101">
        <v>46264</v>
      </c>
      <c r="G197" s="98" t="s">
        <v>534</v>
      </c>
      <c r="H197" s="102">
        <v>93513</v>
      </c>
      <c r="I197" s="102">
        <v>0</v>
      </c>
      <c r="J197" s="102">
        <v>0</v>
      </c>
      <c r="K197" s="102">
        <v>0</v>
      </c>
      <c r="L197" s="97">
        <v>93513</v>
      </c>
      <c r="M197" s="76" t="s">
        <v>389</v>
      </c>
      <c r="N197" s="77">
        <v>46264</v>
      </c>
      <c r="O197" s="79">
        <v>93513</v>
      </c>
      <c r="P197" s="73"/>
      <c r="Q197" s="78" t="s">
        <v>535</v>
      </c>
    </row>
    <row r="198" spans="1:17" ht="15" customHeight="1">
      <c r="A198" s="76" t="s">
        <v>57</v>
      </c>
      <c r="B198" s="98" t="s">
        <v>403</v>
      </c>
      <c r="C198" s="98"/>
      <c r="D198" s="100" t="s">
        <v>538</v>
      </c>
      <c r="E198" s="98" t="s">
        <v>166</v>
      </c>
      <c r="F198" s="101">
        <v>46171</v>
      </c>
      <c r="G198" s="98" t="s">
        <v>534</v>
      </c>
      <c r="H198" s="102">
        <v>91445</v>
      </c>
      <c r="I198" s="102">
        <v>0</v>
      </c>
      <c r="J198" s="102">
        <v>0</v>
      </c>
      <c r="K198" s="102">
        <v>0</v>
      </c>
      <c r="L198" s="97">
        <v>91445</v>
      </c>
      <c r="M198" s="76" t="s">
        <v>389</v>
      </c>
      <c r="N198" s="77">
        <v>46171</v>
      </c>
      <c r="O198" s="79">
        <v>91445</v>
      </c>
      <c r="P198" s="73"/>
      <c r="Q198" s="78" t="s">
        <v>535</v>
      </c>
    </row>
    <row r="199" spans="1:17" ht="15" customHeight="1">
      <c r="A199" s="76" t="s">
        <v>57</v>
      </c>
      <c r="B199" s="98" t="s">
        <v>403</v>
      </c>
      <c r="C199" s="98"/>
      <c r="D199" s="100" t="s">
        <v>538</v>
      </c>
      <c r="E199" s="98" t="s">
        <v>166</v>
      </c>
      <c r="F199" s="101">
        <v>46202</v>
      </c>
      <c r="G199" s="98" t="s">
        <v>534</v>
      </c>
      <c r="H199" s="102">
        <v>91445</v>
      </c>
      <c r="I199" s="102">
        <v>0</v>
      </c>
      <c r="J199" s="102">
        <v>0</v>
      </c>
      <c r="K199" s="102">
        <v>0</v>
      </c>
      <c r="L199" s="97">
        <v>91445</v>
      </c>
      <c r="M199" s="76" t="s">
        <v>389</v>
      </c>
      <c r="N199" s="77">
        <v>46202</v>
      </c>
      <c r="O199" s="79">
        <v>91445</v>
      </c>
      <c r="P199" s="73"/>
      <c r="Q199" s="78" t="s">
        <v>535</v>
      </c>
    </row>
    <row r="200" spans="1:17" ht="15" customHeight="1">
      <c r="A200" s="76" t="s">
        <v>57</v>
      </c>
      <c r="B200" s="98" t="s">
        <v>403</v>
      </c>
      <c r="C200" s="98"/>
      <c r="D200" s="100" t="s">
        <v>538</v>
      </c>
      <c r="E200" s="98" t="s">
        <v>166</v>
      </c>
      <c r="F200" s="101">
        <v>46232</v>
      </c>
      <c r="G200" s="98" t="s">
        <v>534</v>
      </c>
      <c r="H200" s="102">
        <v>91445</v>
      </c>
      <c r="I200" s="102">
        <v>0</v>
      </c>
      <c r="J200" s="102">
        <v>0</v>
      </c>
      <c r="K200" s="102">
        <v>0</v>
      </c>
      <c r="L200" s="97">
        <v>91445</v>
      </c>
      <c r="M200" s="76" t="s">
        <v>389</v>
      </c>
      <c r="N200" s="77">
        <v>46232</v>
      </c>
      <c r="O200" s="79">
        <v>91445</v>
      </c>
      <c r="P200" s="73"/>
      <c r="Q200" s="78" t="s">
        <v>535</v>
      </c>
    </row>
    <row r="201" spans="1:17" ht="15" customHeight="1">
      <c r="A201" s="76" t="s">
        <v>57</v>
      </c>
      <c r="B201" s="98" t="s">
        <v>403</v>
      </c>
      <c r="C201" s="98"/>
      <c r="D201" s="100" t="s">
        <v>538</v>
      </c>
      <c r="E201" s="98" t="s">
        <v>166</v>
      </c>
      <c r="F201" s="101">
        <v>46263</v>
      </c>
      <c r="G201" s="98" t="s">
        <v>534</v>
      </c>
      <c r="H201" s="102">
        <v>91445</v>
      </c>
      <c r="I201" s="102">
        <v>0</v>
      </c>
      <c r="J201" s="102">
        <v>0</v>
      </c>
      <c r="K201" s="102">
        <v>0</v>
      </c>
      <c r="L201" s="97">
        <v>91445</v>
      </c>
      <c r="M201" s="76" t="s">
        <v>389</v>
      </c>
      <c r="N201" s="77">
        <v>46263</v>
      </c>
      <c r="O201" s="79">
        <v>91445</v>
      </c>
      <c r="P201" s="73"/>
      <c r="Q201" s="78" t="s">
        <v>535</v>
      </c>
    </row>
    <row r="202" spans="1:17" ht="15" customHeight="1">
      <c r="A202" s="76" t="s">
        <v>57</v>
      </c>
      <c r="B202" s="98" t="s">
        <v>403</v>
      </c>
      <c r="C202" s="98"/>
      <c r="D202" s="100" t="s">
        <v>539</v>
      </c>
      <c r="E202" s="98" t="s">
        <v>182</v>
      </c>
      <c r="F202" s="101">
        <v>46171</v>
      </c>
      <c r="G202" s="98" t="s">
        <v>534</v>
      </c>
      <c r="H202" s="102">
        <v>66549</v>
      </c>
      <c r="I202" s="102">
        <v>0</v>
      </c>
      <c r="J202" s="102">
        <v>0</v>
      </c>
      <c r="K202" s="102">
        <v>0</v>
      </c>
      <c r="L202" s="97">
        <v>66549</v>
      </c>
      <c r="M202" s="76" t="s">
        <v>389</v>
      </c>
      <c r="N202" s="77">
        <v>46171</v>
      </c>
      <c r="O202" s="79">
        <v>66549</v>
      </c>
      <c r="P202" s="73"/>
      <c r="Q202" s="78" t="s">
        <v>535</v>
      </c>
    </row>
    <row r="203" spans="1:17" ht="15" customHeight="1">
      <c r="A203" s="76" t="s">
        <v>57</v>
      </c>
      <c r="B203" s="98" t="s">
        <v>403</v>
      </c>
      <c r="C203" s="98"/>
      <c r="D203" s="100" t="s">
        <v>539</v>
      </c>
      <c r="E203" s="98" t="s">
        <v>182</v>
      </c>
      <c r="F203" s="101">
        <v>46202</v>
      </c>
      <c r="G203" s="98" t="s">
        <v>534</v>
      </c>
      <c r="H203" s="102">
        <v>66549</v>
      </c>
      <c r="I203" s="102">
        <v>0</v>
      </c>
      <c r="J203" s="102">
        <v>0</v>
      </c>
      <c r="K203" s="102">
        <v>0</v>
      </c>
      <c r="L203" s="97">
        <v>66549</v>
      </c>
      <c r="M203" s="76" t="s">
        <v>389</v>
      </c>
      <c r="N203" s="77">
        <v>46202</v>
      </c>
      <c r="O203" s="79">
        <v>66549</v>
      </c>
      <c r="P203" s="73"/>
      <c r="Q203" s="78" t="s">
        <v>535</v>
      </c>
    </row>
    <row r="204" spans="1:17" ht="15" customHeight="1">
      <c r="A204" s="76" t="s">
        <v>57</v>
      </c>
      <c r="B204" s="98" t="s">
        <v>403</v>
      </c>
      <c r="C204" s="98"/>
      <c r="D204" s="100" t="s">
        <v>539</v>
      </c>
      <c r="E204" s="98" t="s">
        <v>182</v>
      </c>
      <c r="F204" s="101">
        <v>46232</v>
      </c>
      <c r="G204" s="98" t="s">
        <v>534</v>
      </c>
      <c r="H204" s="102">
        <v>66549</v>
      </c>
      <c r="I204" s="102">
        <v>0</v>
      </c>
      <c r="J204" s="102">
        <v>0</v>
      </c>
      <c r="K204" s="102">
        <v>0</v>
      </c>
      <c r="L204" s="97">
        <v>66549</v>
      </c>
      <c r="M204" s="76" t="s">
        <v>389</v>
      </c>
      <c r="N204" s="77">
        <v>46232</v>
      </c>
      <c r="O204" s="79">
        <v>66549</v>
      </c>
      <c r="P204" s="73"/>
      <c r="Q204" s="78" t="s">
        <v>535</v>
      </c>
    </row>
    <row r="205" spans="1:17" ht="15" customHeight="1">
      <c r="A205" s="76" t="s">
        <v>57</v>
      </c>
      <c r="B205" s="98" t="s">
        <v>403</v>
      </c>
      <c r="C205" s="98"/>
      <c r="D205" s="100" t="s">
        <v>539</v>
      </c>
      <c r="E205" s="98" t="s">
        <v>182</v>
      </c>
      <c r="F205" s="101">
        <v>46263</v>
      </c>
      <c r="G205" s="98" t="s">
        <v>534</v>
      </c>
      <c r="H205" s="102">
        <v>66549</v>
      </c>
      <c r="I205" s="102">
        <v>0</v>
      </c>
      <c r="J205" s="102">
        <v>0</v>
      </c>
      <c r="K205" s="102">
        <v>0</v>
      </c>
      <c r="L205" s="97">
        <v>66549</v>
      </c>
      <c r="M205" s="76" t="s">
        <v>389</v>
      </c>
      <c r="N205" s="77">
        <v>46263</v>
      </c>
      <c r="O205" s="79">
        <v>66549</v>
      </c>
      <c r="P205" s="73"/>
      <c r="Q205" s="78" t="s">
        <v>535</v>
      </c>
    </row>
    <row r="206" spans="1:17" ht="15" customHeight="1">
      <c r="A206" s="76" t="s">
        <v>57</v>
      </c>
      <c r="B206" s="98" t="s">
        <v>403</v>
      </c>
      <c r="C206" s="98"/>
      <c r="D206" s="100" t="s">
        <v>540</v>
      </c>
      <c r="E206" s="98" t="s">
        <v>171</v>
      </c>
      <c r="F206" s="101">
        <v>46171</v>
      </c>
      <c r="G206" s="98" t="s">
        <v>534</v>
      </c>
      <c r="H206" s="102">
        <v>122145</v>
      </c>
      <c r="I206" s="102">
        <v>0</v>
      </c>
      <c r="J206" s="102">
        <v>0</v>
      </c>
      <c r="K206" s="102">
        <v>0</v>
      </c>
      <c r="L206" s="97">
        <v>122145</v>
      </c>
      <c r="M206" s="76" t="s">
        <v>389</v>
      </c>
      <c r="N206" s="77">
        <v>46171</v>
      </c>
      <c r="O206" s="79">
        <v>122145</v>
      </c>
      <c r="P206" s="73"/>
      <c r="Q206" s="78" t="s">
        <v>535</v>
      </c>
    </row>
    <row r="207" spans="1:17" ht="15" customHeight="1">
      <c r="A207" s="76" t="s">
        <v>57</v>
      </c>
      <c r="B207" s="98" t="s">
        <v>403</v>
      </c>
      <c r="C207" s="98"/>
      <c r="D207" s="100" t="s">
        <v>540</v>
      </c>
      <c r="E207" s="98" t="s">
        <v>171</v>
      </c>
      <c r="F207" s="101">
        <v>46202</v>
      </c>
      <c r="G207" s="98" t="s">
        <v>534</v>
      </c>
      <c r="H207" s="102">
        <v>122145</v>
      </c>
      <c r="I207" s="102">
        <v>0</v>
      </c>
      <c r="J207" s="102">
        <v>0</v>
      </c>
      <c r="K207" s="102">
        <v>0</v>
      </c>
      <c r="L207" s="97">
        <v>122145</v>
      </c>
      <c r="M207" s="76" t="s">
        <v>389</v>
      </c>
      <c r="N207" s="77">
        <v>46202</v>
      </c>
      <c r="O207" s="79">
        <v>122145</v>
      </c>
      <c r="P207" s="73"/>
      <c r="Q207" s="78" t="s">
        <v>535</v>
      </c>
    </row>
    <row r="208" spans="1:17" ht="15" customHeight="1">
      <c r="A208" s="76" t="s">
        <v>57</v>
      </c>
      <c r="B208" s="98" t="s">
        <v>403</v>
      </c>
      <c r="C208" s="98"/>
      <c r="D208" s="100" t="s">
        <v>540</v>
      </c>
      <c r="E208" s="98" t="s">
        <v>171</v>
      </c>
      <c r="F208" s="101">
        <v>46232</v>
      </c>
      <c r="G208" s="98" t="s">
        <v>534</v>
      </c>
      <c r="H208" s="102">
        <v>122145</v>
      </c>
      <c r="I208" s="102">
        <v>0</v>
      </c>
      <c r="J208" s="102">
        <v>0</v>
      </c>
      <c r="K208" s="102">
        <v>0</v>
      </c>
      <c r="L208" s="97">
        <v>122145</v>
      </c>
      <c r="M208" s="76" t="s">
        <v>389</v>
      </c>
      <c r="N208" s="77">
        <v>46232</v>
      </c>
      <c r="O208" s="79">
        <v>122145</v>
      </c>
      <c r="P208" s="73"/>
      <c r="Q208" s="78" t="s">
        <v>535</v>
      </c>
    </row>
    <row r="209" spans="1:17" ht="15" customHeight="1">
      <c r="A209" s="76" t="s">
        <v>57</v>
      </c>
      <c r="B209" s="98" t="s">
        <v>403</v>
      </c>
      <c r="C209" s="98"/>
      <c r="D209" s="100" t="s">
        <v>540</v>
      </c>
      <c r="E209" s="98" t="s">
        <v>171</v>
      </c>
      <c r="F209" s="101">
        <v>46263</v>
      </c>
      <c r="G209" s="98" t="s">
        <v>534</v>
      </c>
      <c r="H209" s="102">
        <v>122145</v>
      </c>
      <c r="I209" s="102">
        <v>0</v>
      </c>
      <c r="J209" s="102">
        <v>0</v>
      </c>
      <c r="K209" s="102">
        <v>0</v>
      </c>
      <c r="L209" s="97">
        <v>122145</v>
      </c>
      <c r="M209" s="76" t="s">
        <v>389</v>
      </c>
      <c r="N209" s="77">
        <v>46263</v>
      </c>
      <c r="O209" s="79">
        <v>122145</v>
      </c>
      <c r="P209" s="73"/>
      <c r="Q209" s="78" t="s">
        <v>535</v>
      </c>
    </row>
    <row r="210" spans="1:17" ht="15" customHeight="1">
      <c r="A210" s="76" t="s">
        <v>57</v>
      </c>
      <c r="B210" s="98" t="s">
        <v>403</v>
      </c>
      <c r="C210" s="98"/>
      <c r="D210" s="100" t="s">
        <v>541</v>
      </c>
      <c r="E210" s="98" t="s">
        <v>180</v>
      </c>
      <c r="F210" s="101">
        <v>46171</v>
      </c>
      <c r="G210" s="98" t="s">
        <v>534</v>
      </c>
      <c r="H210" s="102">
        <v>120145</v>
      </c>
      <c r="I210" s="102">
        <v>0</v>
      </c>
      <c r="J210" s="102">
        <v>0</v>
      </c>
      <c r="K210" s="102">
        <v>0</v>
      </c>
      <c r="L210" s="97">
        <v>120145</v>
      </c>
      <c r="M210" s="76" t="s">
        <v>389</v>
      </c>
      <c r="N210" s="77">
        <v>46171</v>
      </c>
      <c r="O210" s="79">
        <v>120145</v>
      </c>
      <c r="P210" s="73"/>
      <c r="Q210" s="78" t="s">
        <v>535</v>
      </c>
    </row>
    <row r="211" spans="1:17" ht="15" customHeight="1">
      <c r="A211" s="76" t="s">
        <v>57</v>
      </c>
      <c r="B211" s="98" t="s">
        <v>403</v>
      </c>
      <c r="C211" s="98"/>
      <c r="D211" s="100" t="s">
        <v>541</v>
      </c>
      <c r="E211" s="98" t="s">
        <v>180</v>
      </c>
      <c r="F211" s="101">
        <v>46202</v>
      </c>
      <c r="G211" s="98" t="s">
        <v>534</v>
      </c>
      <c r="H211" s="102">
        <v>120145</v>
      </c>
      <c r="I211" s="102">
        <v>0</v>
      </c>
      <c r="J211" s="102">
        <v>0</v>
      </c>
      <c r="K211" s="102">
        <v>0</v>
      </c>
      <c r="L211" s="97">
        <v>120145</v>
      </c>
      <c r="M211" s="76" t="s">
        <v>389</v>
      </c>
      <c r="N211" s="77">
        <v>46202</v>
      </c>
      <c r="O211" s="79">
        <v>120145</v>
      </c>
      <c r="P211" s="73"/>
      <c r="Q211" s="78" t="s">
        <v>535</v>
      </c>
    </row>
    <row r="212" spans="1:17" ht="15" customHeight="1">
      <c r="A212" s="76" t="s">
        <v>57</v>
      </c>
      <c r="B212" s="98" t="s">
        <v>403</v>
      </c>
      <c r="C212" s="98"/>
      <c r="D212" s="100" t="s">
        <v>541</v>
      </c>
      <c r="E212" s="98" t="s">
        <v>180</v>
      </c>
      <c r="F212" s="101">
        <v>46232</v>
      </c>
      <c r="G212" s="98" t="s">
        <v>534</v>
      </c>
      <c r="H212" s="102">
        <v>120145</v>
      </c>
      <c r="I212" s="102">
        <v>0</v>
      </c>
      <c r="J212" s="102">
        <v>0</v>
      </c>
      <c r="K212" s="102">
        <v>0</v>
      </c>
      <c r="L212" s="97">
        <v>120145</v>
      </c>
      <c r="M212" s="76" t="s">
        <v>389</v>
      </c>
      <c r="N212" s="77">
        <v>46232</v>
      </c>
      <c r="O212" s="79">
        <v>120145</v>
      </c>
      <c r="P212" s="73"/>
      <c r="Q212" s="78" t="s">
        <v>535</v>
      </c>
    </row>
    <row r="213" spans="1:17" ht="15" customHeight="1">
      <c r="A213" s="76" t="s">
        <v>57</v>
      </c>
      <c r="B213" s="98" t="s">
        <v>403</v>
      </c>
      <c r="C213" s="98"/>
      <c r="D213" s="100" t="s">
        <v>541</v>
      </c>
      <c r="E213" s="98" t="s">
        <v>180</v>
      </c>
      <c r="F213" s="101">
        <v>46263</v>
      </c>
      <c r="G213" s="98" t="s">
        <v>534</v>
      </c>
      <c r="H213" s="102">
        <v>120145</v>
      </c>
      <c r="I213" s="102">
        <v>0</v>
      </c>
      <c r="J213" s="102">
        <v>0</v>
      </c>
      <c r="K213" s="102">
        <v>0</v>
      </c>
      <c r="L213" s="97">
        <v>120145</v>
      </c>
      <c r="M213" s="76" t="s">
        <v>389</v>
      </c>
      <c r="N213" s="77">
        <v>46263</v>
      </c>
      <c r="O213" s="79">
        <v>120145</v>
      </c>
      <c r="P213" s="73"/>
      <c r="Q213" s="78" t="s">
        <v>535</v>
      </c>
    </row>
    <row r="214" spans="1:17" ht="15" customHeight="1">
      <c r="A214" s="76" t="s">
        <v>57</v>
      </c>
      <c r="B214" s="98" t="s">
        <v>403</v>
      </c>
      <c r="C214" s="98"/>
      <c r="D214" s="100" t="s">
        <v>542</v>
      </c>
      <c r="E214" s="98" t="s">
        <v>182</v>
      </c>
      <c r="F214" s="101">
        <v>46171</v>
      </c>
      <c r="G214" s="98" t="s">
        <v>534</v>
      </c>
      <c r="H214" s="102">
        <v>150145</v>
      </c>
      <c r="I214" s="102">
        <v>0</v>
      </c>
      <c r="J214" s="102">
        <v>0</v>
      </c>
      <c r="K214" s="102">
        <v>0</v>
      </c>
      <c r="L214" s="97">
        <v>150145</v>
      </c>
      <c r="M214" s="76" t="s">
        <v>389</v>
      </c>
      <c r="N214" s="77">
        <v>46171</v>
      </c>
      <c r="O214" s="79">
        <v>150145</v>
      </c>
      <c r="P214" s="73"/>
      <c r="Q214" s="78" t="s">
        <v>535</v>
      </c>
    </row>
    <row r="215" spans="1:17" ht="15" customHeight="1">
      <c r="A215" s="76" t="s">
        <v>57</v>
      </c>
      <c r="B215" s="98" t="s">
        <v>403</v>
      </c>
      <c r="C215" s="98"/>
      <c r="D215" s="100" t="s">
        <v>542</v>
      </c>
      <c r="E215" s="98" t="s">
        <v>182</v>
      </c>
      <c r="F215" s="101">
        <v>46202</v>
      </c>
      <c r="G215" s="98" t="s">
        <v>534</v>
      </c>
      <c r="H215" s="102">
        <v>150145</v>
      </c>
      <c r="I215" s="102">
        <v>0</v>
      </c>
      <c r="J215" s="102">
        <v>0</v>
      </c>
      <c r="K215" s="102">
        <v>0</v>
      </c>
      <c r="L215" s="97">
        <v>150145</v>
      </c>
      <c r="M215" s="76" t="s">
        <v>389</v>
      </c>
      <c r="N215" s="77">
        <v>46202</v>
      </c>
      <c r="O215" s="79">
        <v>150145</v>
      </c>
      <c r="P215" s="73"/>
      <c r="Q215" s="78" t="s">
        <v>535</v>
      </c>
    </row>
    <row r="216" spans="1:17" ht="15" customHeight="1">
      <c r="A216" s="76" t="s">
        <v>57</v>
      </c>
      <c r="B216" s="98" t="s">
        <v>403</v>
      </c>
      <c r="C216" s="98"/>
      <c r="D216" s="100" t="s">
        <v>542</v>
      </c>
      <c r="E216" s="98" t="s">
        <v>182</v>
      </c>
      <c r="F216" s="101">
        <v>46232</v>
      </c>
      <c r="G216" s="98" t="s">
        <v>534</v>
      </c>
      <c r="H216" s="102">
        <v>150145</v>
      </c>
      <c r="I216" s="102">
        <v>0</v>
      </c>
      <c r="J216" s="102">
        <v>0</v>
      </c>
      <c r="K216" s="102">
        <v>0</v>
      </c>
      <c r="L216" s="97">
        <v>150145</v>
      </c>
      <c r="M216" s="76" t="s">
        <v>389</v>
      </c>
      <c r="N216" s="77">
        <v>46232</v>
      </c>
      <c r="O216" s="79">
        <v>150145</v>
      </c>
      <c r="P216" s="73"/>
      <c r="Q216" s="78" t="s">
        <v>535</v>
      </c>
    </row>
    <row r="217" spans="1:17" ht="15" customHeight="1">
      <c r="A217" s="76" t="s">
        <v>57</v>
      </c>
      <c r="B217" s="98" t="s">
        <v>403</v>
      </c>
      <c r="C217" s="98"/>
      <c r="D217" s="100" t="s">
        <v>542</v>
      </c>
      <c r="E217" s="98" t="s">
        <v>182</v>
      </c>
      <c r="F217" s="101">
        <v>46263</v>
      </c>
      <c r="G217" s="98" t="s">
        <v>534</v>
      </c>
      <c r="H217" s="102">
        <v>150145</v>
      </c>
      <c r="I217" s="102">
        <v>0</v>
      </c>
      <c r="J217" s="102">
        <v>0</v>
      </c>
      <c r="K217" s="102">
        <v>0</v>
      </c>
      <c r="L217" s="97">
        <v>150145</v>
      </c>
      <c r="M217" s="76" t="s">
        <v>389</v>
      </c>
      <c r="N217" s="77">
        <v>46263</v>
      </c>
      <c r="O217" s="79">
        <v>150145</v>
      </c>
      <c r="P217" s="73"/>
      <c r="Q217" s="78" t="s">
        <v>535</v>
      </c>
    </row>
    <row r="218" spans="1:17" ht="15" customHeight="1">
      <c r="A218" s="76" t="s">
        <v>57</v>
      </c>
      <c r="B218" s="98" t="s">
        <v>403</v>
      </c>
      <c r="C218" s="98"/>
      <c r="D218" s="100" t="s">
        <v>543</v>
      </c>
      <c r="E218" s="98" t="s">
        <v>171</v>
      </c>
      <c r="F218" s="101">
        <v>46170</v>
      </c>
      <c r="G218" s="98" t="s">
        <v>534</v>
      </c>
      <c r="H218" s="102">
        <v>310562</v>
      </c>
      <c r="I218" s="102">
        <v>0</v>
      </c>
      <c r="J218" s="102">
        <v>0</v>
      </c>
      <c r="K218" s="102">
        <v>0</v>
      </c>
      <c r="L218" s="97">
        <v>310562</v>
      </c>
      <c r="M218" s="76" t="s">
        <v>389</v>
      </c>
      <c r="N218" s="77">
        <v>46170</v>
      </c>
      <c r="O218" s="79">
        <v>310562</v>
      </c>
      <c r="P218" s="73"/>
      <c r="Q218" s="78" t="s">
        <v>535</v>
      </c>
    </row>
    <row r="219" spans="1:17" ht="15" customHeight="1">
      <c r="A219" s="76" t="s">
        <v>57</v>
      </c>
      <c r="B219" s="98" t="s">
        <v>403</v>
      </c>
      <c r="C219" s="98"/>
      <c r="D219" s="100" t="s">
        <v>543</v>
      </c>
      <c r="E219" s="98" t="s">
        <v>171</v>
      </c>
      <c r="F219" s="101">
        <v>46201</v>
      </c>
      <c r="G219" s="98" t="s">
        <v>534</v>
      </c>
      <c r="H219" s="102">
        <v>310562</v>
      </c>
      <c r="I219" s="102">
        <v>0</v>
      </c>
      <c r="J219" s="102">
        <v>0</v>
      </c>
      <c r="K219" s="102">
        <v>0</v>
      </c>
      <c r="L219" s="97">
        <v>310562</v>
      </c>
      <c r="M219" s="76" t="s">
        <v>389</v>
      </c>
      <c r="N219" s="77">
        <v>46201</v>
      </c>
      <c r="O219" s="79">
        <v>310562</v>
      </c>
      <c r="P219" s="73"/>
      <c r="Q219" s="78" t="s">
        <v>535</v>
      </c>
    </row>
    <row r="220" spans="1:17" ht="15" customHeight="1">
      <c r="A220" s="76" t="s">
        <v>57</v>
      </c>
      <c r="B220" s="98" t="s">
        <v>403</v>
      </c>
      <c r="C220" s="98"/>
      <c r="D220" s="100" t="s">
        <v>543</v>
      </c>
      <c r="E220" s="98" t="s">
        <v>171</v>
      </c>
      <c r="F220" s="101">
        <v>46231</v>
      </c>
      <c r="G220" s="98" t="s">
        <v>534</v>
      </c>
      <c r="H220" s="102">
        <v>310562</v>
      </c>
      <c r="I220" s="102">
        <v>0</v>
      </c>
      <c r="J220" s="102">
        <v>0</v>
      </c>
      <c r="K220" s="102">
        <v>0</v>
      </c>
      <c r="L220" s="97">
        <v>310562</v>
      </c>
      <c r="M220" s="76" t="s">
        <v>389</v>
      </c>
      <c r="N220" s="77">
        <v>46231</v>
      </c>
      <c r="O220" s="79">
        <v>310562</v>
      </c>
      <c r="P220" s="73"/>
      <c r="Q220" s="78" t="s">
        <v>535</v>
      </c>
    </row>
    <row r="221" spans="1:17" ht="15" customHeight="1">
      <c r="A221" s="76" t="s">
        <v>57</v>
      </c>
      <c r="B221" s="98" t="s">
        <v>403</v>
      </c>
      <c r="C221" s="98"/>
      <c r="D221" s="100" t="s">
        <v>543</v>
      </c>
      <c r="E221" s="98" t="s">
        <v>171</v>
      </c>
      <c r="F221" s="101">
        <v>46262</v>
      </c>
      <c r="G221" s="98" t="s">
        <v>534</v>
      </c>
      <c r="H221" s="102">
        <v>310562</v>
      </c>
      <c r="I221" s="102">
        <v>0</v>
      </c>
      <c r="J221" s="102">
        <v>0</v>
      </c>
      <c r="K221" s="102">
        <v>0</v>
      </c>
      <c r="L221" s="97">
        <v>310562</v>
      </c>
      <c r="M221" s="76" t="s">
        <v>389</v>
      </c>
      <c r="N221" s="77">
        <v>46262</v>
      </c>
      <c r="O221" s="79">
        <v>310562</v>
      </c>
      <c r="P221" s="73"/>
      <c r="Q221" s="78" t="s">
        <v>535</v>
      </c>
    </row>
    <row r="222" spans="1:17" ht="15" customHeight="1">
      <c r="A222" s="76" t="s">
        <v>57</v>
      </c>
      <c r="B222" s="98" t="s">
        <v>403</v>
      </c>
      <c r="C222" s="98"/>
      <c r="D222" s="100" t="s">
        <v>544</v>
      </c>
      <c r="E222" s="98" t="s">
        <v>171</v>
      </c>
      <c r="F222" s="101">
        <v>46162</v>
      </c>
      <c r="G222" s="98" t="s">
        <v>534</v>
      </c>
      <c r="H222" s="102">
        <v>523618</v>
      </c>
      <c r="I222" s="102">
        <v>0</v>
      </c>
      <c r="J222" s="102">
        <v>0</v>
      </c>
      <c r="K222" s="102">
        <v>0</v>
      </c>
      <c r="L222" s="97">
        <v>523618</v>
      </c>
      <c r="M222" s="76" t="s">
        <v>389</v>
      </c>
      <c r="N222" s="77">
        <v>46162</v>
      </c>
      <c r="O222" s="79">
        <v>523618</v>
      </c>
      <c r="P222" s="73"/>
      <c r="Q222" s="78" t="s">
        <v>535</v>
      </c>
    </row>
    <row r="223" spans="1:17" ht="15" customHeight="1">
      <c r="A223" s="76" t="s">
        <v>57</v>
      </c>
      <c r="B223" s="98" t="s">
        <v>403</v>
      </c>
      <c r="C223" s="98"/>
      <c r="D223" s="100" t="s">
        <v>544</v>
      </c>
      <c r="E223" s="98" t="s">
        <v>171</v>
      </c>
      <c r="F223" s="101">
        <v>46193</v>
      </c>
      <c r="G223" s="98" t="s">
        <v>534</v>
      </c>
      <c r="H223" s="102">
        <v>523618</v>
      </c>
      <c r="I223" s="102">
        <v>0</v>
      </c>
      <c r="J223" s="102">
        <v>0</v>
      </c>
      <c r="K223" s="102">
        <v>0</v>
      </c>
      <c r="L223" s="97">
        <v>523618</v>
      </c>
      <c r="M223" s="76" t="s">
        <v>389</v>
      </c>
      <c r="N223" s="77">
        <v>46193</v>
      </c>
      <c r="O223" s="79">
        <v>523618</v>
      </c>
      <c r="P223" s="73"/>
      <c r="Q223" s="78" t="s">
        <v>535</v>
      </c>
    </row>
    <row r="224" spans="1:17" ht="15" customHeight="1">
      <c r="A224" s="76" t="s">
        <v>57</v>
      </c>
      <c r="B224" s="98" t="s">
        <v>403</v>
      </c>
      <c r="C224" s="98"/>
      <c r="D224" s="100" t="s">
        <v>544</v>
      </c>
      <c r="E224" s="98" t="s">
        <v>171</v>
      </c>
      <c r="F224" s="101">
        <v>46223</v>
      </c>
      <c r="G224" s="98" t="s">
        <v>534</v>
      </c>
      <c r="H224" s="102">
        <v>523618</v>
      </c>
      <c r="I224" s="102">
        <v>0</v>
      </c>
      <c r="J224" s="102">
        <v>0</v>
      </c>
      <c r="K224" s="102">
        <v>0</v>
      </c>
      <c r="L224" s="97">
        <v>523618</v>
      </c>
      <c r="M224" s="76" t="s">
        <v>389</v>
      </c>
      <c r="N224" s="77">
        <v>46223</v>
      </c>
      <c r="O224" s="79">
        <v>523618</v>
      </c>
      <c r="P224" s="73"/>
      <c r="Q224" s="78" t="s">
        <v>535</v>
      </c>
    </row>
    <row r="225" spans="1:17" ht="15" customHeight="1">
      <c r="A225" s="76" t="s">
        <v>57</v>
      </c>
      <c r="B225" s="98" t="s">
        <v>403</v>
      </c>
      <c r="C225" s="98"/>
      <c r="D225" s="100" t="s">
        <v>544</v>
      </c>
      <c r="E225" s="98" t="s">
        <v>171</v>
      </c>
      <c r="F225" s="101">
        <v>46254</v>
      </c>
      <c r="G225" s="98" t="s">
        <v>534</v>
      </c>
      <c r="H225" s="102">
        <v>523618</v>
      </c>
      <c r="I225" s="102">
        <v>0</v>
      </c>
      <c r="J225" s="102">
        <v>0</v>
      </c>
      <c r="K225" s="102">
        <v>0</v>
      </c>
      <c r="L225" s="97">
        <v>523618</v>
      </c>
      <c r="M225" s="76" t="s">
        <v>389</v>
      </c>
      <c r="N225" s="77">
        <v>46254</v>
      </c>
      <c r="O225" s="79">
        <v>523618</v>
      </c>
      <c r="P225" s="73"/>
      <c r="Q225" s="78" t="s">
        <v>535</v>
      </c>
    </row>
    <row r="226" spans="1:17" ht="15" customHeight="1">
      <c r="A226" s="76" t="s">
        <v>57</v>
      </c>
      <c r="B226" s="98" t="s">
        <v>403</v>
      </c>
      <c r="C226" s="98"/>
      <c r="D226" s="100" t="s">
        <v>545</v>
      </c>
      <c r="E226" s="98" t="s">
        <v>180</v>
      </c>
      <c r="F226" s="101">
        <v>46158</v>
      </c>
      <c r="G226" s="98" t="s">
        <v>534</v>
      </c>
      <c r="H226" s="102">
        <v>107395</v>
      </c>
      <c r="I226" s="102">
        <v>0</v>
      </c>
      <c r="J226" s="102">
        <v>0</v>
      </c>
      <c r="K226" s="102">
        <v>0</v>
      </c>
      <c r="L226" s="97">
        <v>107395</v>
      </c>
      <c r="M226" s="76" t="s">
        <v>389</v>
      </c>
      <c r="N226" s="77">
        <v>46158</v>
      </c>
      <c r="O226" s="79">
        <v>107395</v>
      </c>
      <c r="P226" s="73"/>
      <c r="Q226" s="78" t="s">
        <v>535</v>
      </c>
    </row>
    <row r="227" spans="1:17" ht="15" customHeight="1">
      <c r="A227" s="76" t="s">
        <v>57</v>
      </c>
      <c r="B227" s="98" t="s">
        <v>403</v>
      </c>
      <c r="C227" s="98"/>
      <c r="D227" s="100" t="s">
        <v>545</v>
      </c>
      <c r="E227" s="98" t="s">
        <v>180</v>
      </c>
      <c r="F227" s="101">
        <v>46189</v>
      </c>
      <c r="G227" s="98" t="s">
        <v>534</v>
      </c>
      <c r="H227" s="102">
        <v>107395</v>
      </c>
      <c r="I227" s="102">
        <v>0</v>
      </c>
      <c r="J227" s="102">
        <v>0</v>
      </c>
      <c r="K227" s="102">
        <v>0</v>
      </c>
      <c r="L227" s="97">
        <v>107395</v>
      </c>
      <c r="M227" s="76" t="s">
        <v>389</v>
      </c>
      <c r="N227" s="77">
        <v>46189</v>
      </c>
      <c r="O227" s="79">
        <v>107395</v>
      </c>
      <c r="P227" s="73"/>
      <c r="Q227" s="78" t="s">
        <v>535</v>
      </c>
    </row>
    <row r="228" spans="1:17" ht="15" customHeight="1">
      <c r="A228" s="76" t="s">
        <v>57</v>
      </c>
      <c r="B228" s="98" t="s">
        <v>403</v>
      </c>
      <c r="C228" s="98"/>
      <c r="D228" s="100" t="s">
        <v>545</v>
      </c>
      <c r="E228" s="98" t="s">
        <v>180</v>
      </c>
      <c r="F228" s="101">
        <v>46219</v>
      </c>
      <c r="G228" s="98" t="s">
        <v>534</v>
      </c>
      <c r="H228" s="102">
        <v>107395</v>
      </c>
      <c r="I228" s="102">
        <v>0</v>
      </c>
      <c r="J228" s="102">
        <v>0</v>
      </c>
      <c r="K228" s="102">
        <v>0</v>
      </c>
      <c r="L228" s="97">
        <v>107395</v>
      </c>
      <c r="M228" s="76" t="s">
        <v>389</v>
      </c>
      <c r="N228" s="77">
        <v>46219</v>
      </c>
      <c r="O228" s="79">
        <v>107395</v>
      </c>
      <c r="P228" s="73"/>
      <c r="Q228" s="78" t="s">
        <v>535</v>
      </c>
    </row>
    <row r="229" spans="1:17" ht="15" customHeight="1">
      <c r="A229" s="76" t="s">
        <v>57</v>
      </c>
      <c r="B229" s="98" t="s">
        <v>403</v>
      </c>
      <c r="C229" s="98"/>
      <c r="D229" s="100" t="s">
        <v>545</v>
      </c>
      <c r="E229" s="98" t="s">
        <v>180</v>
      </c>
      <c r="F229" s="101">
        <v>46250</v>
      </c>
      <c r="G229" s="98" t="s">
        <v>534</v>
      </c>
      <c r="H229" s="102">
        <v>107395</v>
      </c>
      <c r="I229" s="102">
        <v>0</v>
      </c>
      <c r="J229" s="102">
        <v>0</v>
      </c>
      <c r="K229" s="102">
        <v>0</v>
      </c>
      <c r="L229" s="97">
        <v>107395</v>
      </c>
      <c r="M229" s="76" t="s">
        <v>389</v>
      </c>
      <c r="N229" s="77">
        <v>46250</v>
      </c>
      <c r="O229" s="79">
        <v>107395</v>
      </c>
      <c r="P229" s="73"/>
      <c r="Q229" s="78" t="s">
        <v>535</v>
      </c>
    </row>
    <row r="230" spans="1:17" ht="15" customHeight="1">
      <c r="A230" s="76" t="s">
        <v>57</v>
      </c>
      <c r="B230" s="98" t="s">
        <v>403</v>
      </c>
      <c r="C230" s="98"/>
      <c r="D230" s="100" t="s">
        <v>546</v>
      </c>
      <c r="E230" s="98" t="s">
        <v>166</v>
      </c>
      <c r="F230" s="101">
        <v>46151</v>
      </c>
      <c r="G230" s="98" t="s">
        <v>534</v>
      </c>
      <c r="H230" s="102">
        <v>1595145</v>
      </c>
      <c r="I230" s="102">
        <v>0</v>
      </c>
      <c r="J230" s="102">
        <v>0</v>
      </c>
      <c r="K230" s="102">
        <v>0</v>
      </c>
      <c r="L230" s="97">
        <v>1595145</v>
      </c>
      <c r="M230" s="76" t="s">
        <v>389</v>
      </c>
      <c r="N230" s="77">
        <v>46151</v>
      </c>
      <c r="O230" s="79">
        <v>1595145</v>
      </c>
      <c r="P230" s="73"/>
      <c r="Q230" s="78" t="s">
        <v>535</v>
      </c>
    </row>
    <row r="231" spans="1:17" ht="15" customHeight="1">
      <c r="A231" s="76" t="s">
        <v>57</v>
      </c>
      <c r="B231" s="98" t="s">
        <v>403</v>
      </c>
      <c r="C231" s="98"/>
      <c r="D231" s="100" t="s">
        <v>546</v>
      </c>
      <c r="E231" s="98" t="s">
        <v>166</v>
      </c>
      <c r="F231" s="101">
        <v>46182</v>
      </c>
      <c r="G231" s="98" t="s">
        <v>534</v>
      </c>
      <c r="H231" s="102">
        <v>1595145</v>
      </c>
      <c r="I231" s="102">
        <v>0</v>
      </c>
      <c r="J231" s="102">
        <v>0</v>
      </c>
      <c r="K231" s="102">
        <v>0</v>
      </c>
      <c r="L231" s="97">
        <v>1595145</v>
      </c>
      <c r="M231" s="76" t="s">
        <v>389</v>
      </c>
      <c r="N231" s="77">
        <v>46182</v>
      </c>
      <c r="O231" s="79">
        <v>1595145</v>
      </c>
      <c r="P231" s="73"/>
      <c r="Q231" s="78" t="s">
        <v>535</v>
      </c>
    </row>
    <row r="232" spans="1:17" ht="15" customHeight="1">
      <c r="A232" s="76" t="s">
        <v>57</v>
      </c>
      <c r="B232" s="98" t="s">
        <v>403</v>
      </c>
      <c r="C232" s="98"/>
      <c r="D232" s="100" t="s">
        <v>546</v>
      </c>
      <c r="E232" s="98" t="s">
        <v>166</v>
      </c>
      <c r="F232" s="101">
        <v>46212</v>
      </c>
      <c r="G232" s="98" t="s">
        <v>534</v>
      </c>
      <c r="H232" s="102">
        <v>1595145</v>
      </c>
      <c r="I232" s="102">
        <v>0</v>
      </c>
      <c r="J232" s="102">
        <v>0</v>
      </c>
      <c r="K232" s="102">
        <v>0</v>
      </c>
      <c r="L232" s="97">
        <v>1595145</v>
      </c>
      <c r="M232" s="76" t="s">
        <v>389</v>
      </c>
      <c r="N232" s="77">
        <v>46212</v>
      </c>
      <c r="O232" s="79">
        <v>1595145</v>
      </c>
      <c r="P232" s="73"/>
      <c r="Q232" s="78" t="s">
        <v>535</v>
      </c>
    </row>
    <row r="233" spans="1:17" ht="15" customHeight="1">
      <c r="A233" s="76" t="s">
        <v>57</v>
      </c>
      <c r="B233" s="98" t="s">
        <v>403</v>
      </c>
      <c r="C233" s="98"/>
      <c r="D233" s="100" t="s">
        <v>546</v>
      </c>
      <c r="E233" s="98" t="s">
        <v>166</v>
      </c>
      <c r="F233" s="101">
        <v>46243</v>
      </c>
      <c r="G233" s="98" t="s">
        <v>534</v>
      </c>
      <c r="H233" s="102">
        <v>1595145</v>
      </c>
      <c r="I233" s="102">
        <v>0</v>
      </c>
      <c r="J233" s="102">
        <v>0</v>
      </c>
      <c r="K233" s="102">
        <v>0</v>
      </c>
      <c r="L233" s="97">
        <v>1595145</v>
      </c>
      <c r="M233" s="76" t="s">
        <v>389</v>
      </c>
      <c r="N233" s="77">
        <v>46243</v>
      </c>
      <c r="O233" s="79">
        <v>1595145</v>
      </c>
      <c r="P233" s="73"/>
      <c r="Q233" s="78" t="s">
        <v>535</v>
      </c>
    </row>
    <row r="234" spans="1:17" ht="15" customHeight="1">
      <c r="A234" s="76" t="s">
        <v>57</v>
      </c>
      <c r="B234" s="98" t="s">
        <v>403</v>
      </c>
      <c r="C234" s="98"/>
      <c r="D234" s="100" t="s">
        <v>547</v>
      </c>
      <c r="E234" s="98" t="s">
        <v>180</v>
      </c>
      <c r="F234" s="101">
        <v>46151</v>
      </c>
      <c r="G234" s="98" t="s">
        <v>534</v>
      </c>
      <c r="H234" s="102">
        <v>1536763</v>
      </c>
      <c r="I234" s="102">
        <v>0</v>
      </c>
      <c r="J234" s="102">
        <v>0</v>
      </c>
      <c r="K234" s="102">
        <v>0</v>
      </c>
      <c r="L234" s="97">
        <v>1536763</v>
      </c>
      <c r="M234" s="76" t="s">
        <v>389</v>
      </c>
      <c r="N234" s="77">
        <v>46151</v>
      </c>
      <c r="O234" s="79">
        <v>1536763</v>
      </c>
      <c r="P234" s="73"/>
      <c r="Q234" s="78" t="s">
        <v>535</v>
      </c>
    </row>
    <row r="235" spans="1:17" ht="15" customHeight="1">
      <c r="A235" s="76" t="s">
        <v>57</v>
      </c>
      <c r="B235" s="98" t="s">
        <v>403</v>
      </c>
      <c r="C235" s="98"/>
      <c r="D235" s="100" t="s">
        <v>547</v>
      </c>
      <c r="E235" s="98" t="s">
        <v>180</v>
      </c>
      <c r="F235" s="101">
        <v>46182</v>
      </c>
      <c r="G235" s="98" t="s">
        <v>534</v>
      </c>
      <c r="H235" s="102">
        <v>1536763</v>
      </c>
      <c r="I235" s="102">
        <v>0</v>
      </c>
      <c r="J235" s="102">
        <v>0</v>
      </c>
      <c r="K235" s="102">
        <v>0</v>
      </c>
      <c r="L235" s="97">
        <v>1536763</v>
      </c>
      <c r="M235" s="76" t="s">
        <v>389</v>
      </c>
      <c r="N235" s="77">
        <v>46182</v>
      </c>
      <c r="O235" s="79">
        <v>1536763</v>
      </c>
      <c r="P235" s="73"/>
      <c r="Q235" s="78" t="s">
        <v>535</v>
      </c>
    </row>
    <row r="236" spans="1:17" ht="15" customHeight="1">
      <c r="A236" s="76" t="s">
        <v>57</v>
      </c>
      <c r="B236" s="98" t="s">
        <v>403</v>
      </c>
      <c r="C236" s="98"/>
      <c r="D236" s="100" t="s">
        <v>547</v>
      </c>
      <c r="E236" s="98" t="s">
        <v>180</v>
      </c>
      <c r="F236" s="101">
        <v>46212</v>
      </c>
      <c r="G236" s="98" t="s">
        <v>534</v>
      </c>
      <c r="H236" s="102">
        <v>1536763</v>
      </c>
      <c r="I236" s="102">
        <v>0</v>
      </c>
      <c r="J236" s="102">
        <v>0</v>
      </c>
      <c r="K236" s="102">
        <v>0</v>
      </c>
      <c r="L236" s="97">
        <v>1536763</v>
      </c>
      <c r="M236" s="76" t="s">
        <v>389</v>
      </c>
      <c r="N236" s="77">
        <v>46212</v>
      </c>
      <c r="O236" s="79">
        <v>1536763</v>
      </c>
      <c r="P236" s="73"/>
      <c r="Q236" s="78" t="s">
        <v>535</v>
      </c>
    </row>
    <row r="237" spans="1:17" ht="15" customHeight="1">
      <c r="A237" s="76" t="s">
        <v>57</v>
      </c>
      <c r="B237" s="98" t="s">
        <v>403</v>
      </c>
      <c r="C237" s="98"/>
      <c r="D237" s="100" t="s">
        <v>547</v>
      </c>
      <c r="E237" s="98" t="s">
        <v>180</v>
      </c>
      <c r="F237" s="101">
        <v>46243</v>
      </c>
      <c r="G237" s="98" t="s">
        <v>534</v>
      </c>
      <c r="H237" s="102">
        <v>1536763</v>
      </c>
      <c r="I237" s="102">
        <v>0</v>
      </c>
      <c r="J237" s="102">
        <v>0</v>
      </c>
      <c r="K237" s="102">
        <v>0</v>
      </c>
      <c r="L237" s="97">
        <v>1536763</v>
      </c>
      <c r="M237" s="76" t="s">
        <v>389</v>
      </c>
      <c r="N237" s="77">
        <v>46243</v>
      </c>
      <c r="O237" s="79">
        <v>1536763</v>
      </c>
      <c r="P237" s="73"/>
      <c r="Q237" s="78" t="s">
        <v>535</v>
      </c>
    </row>
    <row r="238" spans="1:17" ht="15" customHeight="1">
      <c r="A238" s="76" t="s">
        <v>58</v>
      </c>
      <c r="B238" s="98" t="s">
        <v>403</v>
      </c>
      <c r="C238" s="99"/>
      <c r="D238" s="100" t="s">
        <v>548</v>
      </c>
      <c r="E238" s="98" t="s">
        <v>182</v>
      </c>
      <c r="F238" s="101">
        <v>46167</v>
      </c>
      <c r="G238" s="99" t="s">
        <v>549</v>
      </c>
      <c r="H238" s="102">
        <v>9865590</v>
      </c>
      <c r="I238" s="102">
        <v>0</v>
      </c>
      <c r="J238" s="102">
        <v>0</v>
      </c>
      <c r="K238" s="102">
        <v>0</v>
      </c>
      <c r="L238" s="97">
        <v>9865590</v>
      </c>
      <c r="M238" s="76" t="s">
        <v>389</v>
      </c>
      <c r="N238" s="77">
        <v>46167</v>
      </c>
      <c r="O238" s="79">
        <v>9865590</v>
      </c>
      <c r="P238" s="73"/>
      <c r="Q238" s="78" t="s">
        <v>550</v>
      </c>
    </row>
    <row r="239" spans="1:17" ht="15" customHeight="1">
      <c r="A239" s="76" t="s">
        <v>58</v>
      </c>
      <c r="B239" s="98" t="s">
        <v>403</v>
      </c>
      <c r="C239" s="98"/>
      <c r="D239" s="100" t="s">
        <v>551</v>
      </c>
      <c r="E239" s="98" t="s">
        <v>182</v>
      </c>
      <c r="F239" s="101">
        <v>46198</v>
      </c>
      <c r="G239" s="99" t="s">
        <v>549</v>
      </c>
      <c r="H239" s="102">
        <v>9865590</v>
      </c>
      <c r="I239" s="102">
        <v>0</v>
      </c>
      <c r="J239" s="102">
        <v>0</v>
      </c>
      <c r="K239" s="102">
        <v>0</v>
      </c>
      <c r="L239" s="97">
        <v>9865590</v>
      </c>
      <c r="M239" s="76" t="s">
        <v>389</v>
      </c>
      <c r="N239" s="77">
        <v>46198</v>
      </c>
      <c r="O239" s="79">
        <v>9865590</v>
      </c>
      <c r="P239" s="73"/>
      <c r="Q239" s="78" t="s">
        <v>550</v>
      </c>
    </row>
    <row r="240" spans="1:17" ht="15" customHeight="1">
      <c r="A240" s="76" t="s">
        <v>58</v>
      </c>
      <c r="B240" s="98" t="s">
        <v>403</v>
      </c>
      <c r="C240" s="98"/>
      <c r="D240" s="100" t="s">
        <v>552</v>
      </c>
      <c r="E240" s="98" t="s">
        <v>182</v>
      </c>
      <c r="F240" s="101">
        <v>46228</v>
      </c>
      <c r="G240" s="99" t="s">
        <v>549</v>
      </c>
      <c r="H240" s="102">
        <v>9865590</v>
      </c>
      <c r="I240" s="102">
        <v>0</v>
      </c>
      <c r="J240" s="102">
        <v>0</v>
      </c>
      <c r="K240" s="102">
        <v>0</v>
      </c>
      <c r="L240" s="97">
        <v>9865590</v>
      </c>
      <c r="M240" s="76" t="s">
        <v>389</v>
      </c>
      <c r="N240" s="77">
        <v>46228</v>
      </c>
      <c r="O240" s="79">
        <v>9865590</v>
      </c>
      <c r="P240" s="73"/>
      <c r="Q240" s="78" t="s">
        <v>550</v>
      </c>
    </row>
    <row r="241" spans="1:17" ht="15" customHeight="1">
      <c r="A241" s="76" t="s">
        <v>58</v>
      </c>
      <c r="B241" s="98" t="s">
        <v>403</v>
      </c>
      <c r="C241" s="98"/>
      <c r="D241" s="100" t="s">
        <v>553</v>
      </c>
      <c r="E241" s="98" t="s">
        <v>182</v>
      </c>
      <c r="F241" s="101">
        <v>46259</v>
      </c>
      <c r="G241" s="99" t="s">
        <v>549</v>
      </c>
      <c r="H241" s="102">
        <v>9865590</v>
      </c>
      <c r="I241" s="102">
        <v>0</v>
      </c>
      <c r="J241" s="102">
        <v>0</v>
      </c>
      <c r="K241" s="102">
        <v>0</v>
      </c>
      <c r="L241" s="97">
        <v>9865590</v>
      </c>
      <c r="M241" s="76" t="s">
        <v>389</v>
      </c>
      <c r="N241" s="77">
        <v>46259</v>
      </c>
      <c r="O241" s="79">
        <v>9865590</v>
      </c>
      <c r="P241" s="73"/>
      <c r="Q241" s="78" t="s">
        <v>550</v>
      </c>
    </row>
    <row r="242" spans="1:17" ht="15" customHeight="1">
      <c r="A242" s="76" t="s">
        <v>57</v>
      </c>
      <c r="B242" s="98" t="s">
        <v>403</v>
      </c>
      <c r="C242" s="98"/>
      <c r="D242" s="100" t="s">
        <v>554</v>
      </c>
      <c r="E242" s="98" t="s">
        <v>182</v>
      </c>
      <c r="F242" s="101">
        <v>46167</v>
      </c>
      <c r="G242" s="99" t="s">
        <v>555</v>
      </c>
      <c r="H242" s="102">
        <v>1059878</v>
      </c>
      <c r="I242" s="102">
        <v>0</v>
      </c>
      <c r="J242" s="102">
        <v>0</v>
      </c>
      <c r="K242" s="102">
        <v>0</v>
      </c>
      <c r="L242" s="97">
        <v>1059878</v>
      </c>
      <c r="M242" s="76" t="s">
        <v>389</v>
      </c>
      <c r="N242" s="77">
        <v>46167</v>
      </c>
      <c r="O242" s="79">
        <v>1059878</v>
      </c>
      <c r="P242" s="73"/>
      <c r="Q242" s="78" t="s">
        <v>550</v>
      </c>
    </row>
    <row r="243" spans="1:17" ht="15" customHeight="1">
      <c r="A243" s="76" t="s">
        <v>57</v>
      </c>
      <c r="B243" s="98" t="s">
        <v>403</v>
      </c>
      <c r="C243" s="98"/>
      <c r="D243" s="100" t="s">
        <v>556</v>
      </c>
      <c r="E243" s="98" t="s">
        <v>182</v>
      </c>
      <c r="F243" s="101">
        <v>46198</v>
      </c>
      <c r="G243" s="99" t="s">
        <v>555</v>
      </c>
      <c r="H243" s="102">
        <v>1059878</v>
      </c>
      <c r="I243" s="102">
        <v>0</v>
      </c>
      <c r="J243" s="102">
        <v>0</v>
      </c>
      <c r="K243" s="102">
        <v>0</v>
      </c>
      <c r="L243" s="97">
        <v>1059878</v>
      </c>
      <c r="M243" s="76" t="s">
        <v>389</v>
      </c>
      <c r="N243" s="77">
        <v>46198</v>
      </c>
      <c r="O243" s="79">
        <v>1059878</v>
      </c>
      <c r="P243" s="73"/>
      <c r="Q243" s="78" t="s">
        <v>550</v>
      </c>
    </row>
    <row r="244" spans="1:17" ht="15" customHeight="1">
      <c r="A244" s="76" t="s">
        <v>57</v>
      </c>
      <c r="B244" s="98" t="s">
        <v>403</v>
      </c>
      <c r="C244" s="98"/>
      <c r="D244" s="100" t="s">
        <v>557</v>
      </c>
      <c r="E244" s="98" t="s">
        <v>182</v>
      </c>
      <c r="F244" s="101">
        <v>46228</v>
      </c>
      <c r="G244" s="99" t="s">
        <v>555</v>
      </c>
      <c r="H244" s="102">
        <v>1059878</v>
      </c>
      <c r="I244" s="102">
        <v>0</v>
      </c>
      <c r="J244" s="102">
        <v>0</v>
      </c>
      <c r="K244" s="102">
        <v>0</v>
      </c>
      <c r="L244" s="97">
        <v>1059878</v>
      </c>
      <c r="M244" s="76" t="s">
        <v>389</v>
      </c>
      <c r="N244" s="77">
        <v>46228</v>
      </c>
      <c r="O244" s="79">
        <v>1059878</v>
      </c>
      <c r="P244" s="73"/>
      <c r="Q244" s="78" t="s">
        <v>550</v>
      </c>
    </row>
    <row r="245" spans="1:17" ht="15" customHeight="1">
      <c r="A245" s="76" t="s">
        <v>57</v>
      </c>
      <c r="B245" s="98" t="s">
        <v>403</v>
      </c>
      <c r="C245" s="98"/>
      <c r="D245" s="100" t="s">
        <v>558</v>
      </c>
      <c r="E245" s="98" t="s">
        <v>182</v>
      </c>
      <c r="F245" s="101">
        <v>46259</v>
      </c>
      <c r="G245" s="99" t="s">
        <v>555</v>
      </c>
      <c r="H245" s="102">
        <v>1059878</v>
      </c>
      <c r="I245" s="102">
        <v>0</v>
      </c>
      <c r="J245" s="102">
        <v>0</v>
      </c>
      <c r="K245" s="102">
        <v>0</v>
      </c>
      <c r="L245" s="97">
        <v>1059878</v>
      </c>
      <c r="M245" s="76" t="s">
        <v>389</v>
      </c>
      <c r="N245" s="77">
        <v>46259</v>
      </c>
      <c r="O245" s="79">
        <v>1059878</v>
      </c>
      <c r="P245" s="73"/>
      <c r="Q245" s="78" t="s">
        <v>550</v>
      </c>
    </row>
    <row r="246" spans="1:17" ht="15" customHeight="1">
      <c r="A246" s="76" t="s">
        <v>59</v>
      </c>
      <c r="B246" s="98" t="s">
        <v>403</v>
      </c>
      <c r="C246" s="98"/>
      <c r="D246" s="100" t="s">
        <v>559</v>
      </c>
      <c r="E246" s="98" t="s">
        <v>182</v>
      </c>
      <c r="F246" s="101">
        <v>46167</v>
      </c>
      <c r="G246" s="99" t="s">
        <v>560</v>
      </c>
      <c r="H246" s="102">
        <v>185173</v>
      </c>
      <c r="I246" s="102">
        <v>0</v>
      </c>
      <c r="J246" s="102">
        <v>0</v>
      </c>
      <c r="K246" s="102">
        <v>0</v>
      </c>
      <c r="L246" s="97">
        <v>185173</v>
      </c>
      <c r="M246" s="76" t="s">
        <v>389</v>
      </c>
      <c r="N246" s="77">
        <v>46167</v>
      </c>
      <c r="O246" s="79">
        <v>185173</v>
      </c>
      <c r="P246" s="73"/>
      <c r="Q246" s="78" t="s">
        <v>550</v>
      </c>
    </row>
    <row r="247" spans="1:17" ht="15" customHeight="1">
      <c r="A247" s="76" t="s">
        <v>59</v>
      </c>
      <c r="B247" s="98" t="s">
        <v>403</v>
      </c>
      <c r="C247" s="98"/>
      <c r="D247" s="100" t="s">
        <v>561</v>
      </c>
      <c r="E247" s="98" t="s">
        <v>182</v>
      </c>
      <c r="F247" s="101">
        <v>46198</v>
      </c>
      <c r="G247" s="99" t="s">
        <v>560</v>
      </c>
      <c r="H247" s="102">
        <v>185173</v>
      </c>
      <c r="I247" s="102">
        <v>0</v>
      </c>
      <c r="J247" s="102">
        <v>0</v>
      </c>
      <c r="K247" s="102">
        <v>0</v>
      </c>
      <c r="L247" s="97">
        <v>185173</v>
      </c>
      <c r="M247" s="76" t="s">
        <v>389</v>
      </c>
      <c r="N247" s="77">
        <v>46198</v>
      </c>
      <c r="O247" s="79">
        <v>185173</v>
      </c>
      <c r="P247" s="73"/>
      <c r="Q247" s="78" t="s">
        <v>550</v>
      </c>
    </row>
    <row r="248" spans="1:17" ht="15" customHeight="1">
      <c r="A248" s="76" t="s">
        <v>59</v>
      </c>
      <c r="B248" s="98" t="s">
        <v>403</v>
      </c>
      <c r="C248" s="98"/>
      <c r="D248" s="100" t="s">
        <v>562</v>
      </c>
      <c r="E248" s="98" t="s">
        <v>182</v>
      </c>
      <c r="F248" s="101">
        <v>46228</v>
      </c>
      <c r="G248" s="99" t="s">
        <v>560</v>
      </c>
      <c r="H248" s="102">
        <v>185173</v>
      </c>
      <c r="I248" s="102">
        <v>0</v>
      </c>
      <c r="J248" s="102">
        <v>0</v>
      </c>
      <c r="K248" s="102">
        <v>0</v>
      </c>
      <c r="L248" s="97">
        <v>185173</v>
      </c>
      <c r="M248" s="76" t="s">
        <v>389</v>
      </c>
      <c r="N248" s="77">
        <v>46228</v>
      </c>
      <c r="O248" s="79">
        <v>185173</v>
      </c>
      <c r="P248" s="73"/>
      <c r="Q248" s="78" t="s">
        <v>550</v>
      </c>
    </row>
    <row r="249" spans="1:17" ht="15" customHeight="1">
      <c r="A249" s="76" t="s">
        <v>59</v>
      </c>
      <c r="B249" s="98" t="s">
        <v>403</v>
      </c>
      <c r="C249" s="98"/>
      <c r="D249" s="100" t="s">
        <v>563</v>
      </c>
      <c r="E249" s="98" t="s">
        <v>182</v>
      </c>
      <c r="F249" s="101">
        <v>46259</v>
      </c>
      <c r="G249" s="99" t="s">
        <v>560</v>
      </c>
      <c r="H249" s="102">
        <v>185173</v>
      </c>
      <c r="I249" s="102">
        <v>0</v>
      </c>
      <c r="J249" s="102">
        <v>0</v>
      </c>
      <c r="K249" s="102">
        <v>0</v>
      </c>
      <c r="L249" s="97">
        <v>185173</v>
      </c>
      <c r="M249" s="76" t="s">
        <v>389</v>
      </c>
      <c r="N249" s="77">
        <v>46259</v>
      </c>
      <c r="O249" s="79">
        <v>185173</v>
      </c>
      <c r="P249" s="73"/>
      <c r="Q249" s="78" t="s">
        <v>550</v>
      </c>
    </row>
    <row r="250" spans="1:17" ht="15" customHeight="1">
      <c r="A250" s="76" t="s">
        <v>62</v>
      </c>
      <c r="B250" s="98" t="s">
        <v>403</v>
      </c>
      <c r="C250" s="99"/>
      <c r="D250" s="100" t="s">
        <v>564</v>
      </c>
      <c r="E250" s="98" t="s">
        <v>180</v>
      </c>
      <c r="F250" s="101">
        <v>46125</v>
      </c>
      <c r="G250" s="98" t="s">
        <v>565</v>
      </c>
      <c r="H250" s="102">
        <v>103940</v>
      </c>
      <c r="I250" s="102">
        <v>0</v>
      </c>
      <c r="J250" s="102">
        <v>0</v>
      </c>
      <c r="K250" s="102">
        <v>0</v>
      </c>
      <c r="L250" s="97">
        <v>103940</v>
      </c>
      <c r="M250" s="76" t="s">
        <v>389</v>
      </c>
      <c r="N250" s="77">
        <v>46125</v>
      </c>
      <c r="O250" s="79">
        <v>103940</v>
      </c>
      <c r="P250" s="72" t="s">
        <v>488</v>
      </c>
      <c r="Q250" s="78" t="s">
        <v>566</v>
      </c>
    </row>
    <row r="251" spans="1:17" ht="15" customHeight="1">
      <c r="A251" s="76" t="s">
        <v>62</v>
      </c>
      <c r="B251" s="98" t="s">
        <v>403</v>
      </c>
      <c r="C251" s="98"/>
      <c r="D251" s="100" t="s">
        <v>567</v>
      </c>
      <c r="E251" s="98" t="s">
        <v>184</v>
      </c>
      <c r="F251" s="101">
        <v>46125</v>
      </c>
      <c r="G251" s="98" t="s">
        <v>565</v>
      </c>
      <c r="H251" s="102">
        <v>221770</v>
      </c>
      <c r="I251" s="102">
        <v>0</v>
      </c>
      <c r="J251" s="102">
        <v>0</v>
      </c>
      <c r="K251" s="102">
        <v>0</v>
      </c>
      <c r="L251" s="97">
        <v>221770</v>
      </c>
      <c r="M251" s="76" t="s">
        <v>389</v>
      </c>
      <c r="N251" s="77">
        <v>46125</v>
      </c>
      <c r="O251" s="79">
        <v>221770</v>
      </c>
      <c r="P251" s="72" t="s">
        <v>488</v>
      </c>
      <c r="Q251" s="78" t="s">
        <v>566</v>
      </c>
    </row>
    <row r="252" spans="1:17" ht="15" customHeight="1">
      <c r="A252" s="76" t="s">
        <v>62</v>
      </c>
      <c r="B252" s="98" t="s">
        <v>403</v>
      </c>
      <c r="C252" s="98"/>
      <c r="D252" s="100" t="s">
        <v>567</v>
      </c>
      <c r="E252" s="98" t="s">
        <v>184</v>
      </c>
      <c r="F252" s="101">
        <v>46125</v>
      </c>
      <c r="G252" s="98" t="s">
        <v>565</v>
      </c>
      <c r="H252" s="102">
        <v>327075</v>
      </c>
      <c r="I252" s="102">
        <v>0</v>
      </c>
      <c r="J252" s="102">
        <v>0</v>
      </c>
      <c r="K252" s="102">
        <v>0</v>
      </c>
      <c r="L252" s="97">
        <v>327075</v>
      </c>
      <c r="M252" s="76" t="s">
        <v>389</v>
      </c>
      <c r="N252" s="77">
        <v>46125</v>
      </c>
      <c r="O252" s="79">
        <v>327075</v>
      </c>
      <c r="P252" s="72" t="s">
        <v>488</v>
      </c>
      <c r="Q252" s="78" t="s">
        <v>566</v>
      </c>
    </row>
    <row r="253" spans="1:17" ht="15" customHeight="1">
      <c r="A253" s="76" t="s">
        <v>62</v>
      </c>
      <c r="B253" s="98" t="s">
        <v>403</v>
      </c>
      <c r="C253" s="98"/>
      <c r="D253" s="103" t="s">
        <v>568</v>
      </c>
      <c r="E253" s="98" t="s">
        <v>180</v>
      </c>
      <c r="F253" s="101">
        <v>46127</v>
      </c>
      <c r="G253" s="98" t="s">
        <v>565</v>
      </c>
      <c r="H253" s="102">
        <v>750000</v>
      </c>
      <c r="I253" s="102">
        <v>0</v>
      </c>
      <c r="J253" s="102">
        <v>0</v>
      </c>
      <c r="K253" s="102">
        <v>0</v>
      </c>
      <c r="L253" s="97">
        <v>750000</v>
      </c>
      <c r="M253" s="76" t="s">
        <v>389</v>
      </c>
      <c r="N253" s="77">
        <v>46127</v>
      </c>
      <c r="O253" s="79">
        <v>750000</v>
      </c>
      <c r="P253" s="72" t="s">
        <v>488</v>
      </c>
      <c r="Q253" s="78" t="s">
        <v>566</v>
      </c>
    </row>
    <row r="254" spans="1:17" ht="15" customHeight="1">
      <c r="A254" s="76" t="s">
        <v>62</v>
      </c>
      <c r="B254" s="98" t="s">
        <v>403</v>
      </c>
      <c r="C254" s="98"/>
      <c r="D254" s="103" t="s">
        <v>568</v>
      </c>
      <c r="E254" s="98" t="s">
        <v>180</v>
      </c>
      <c r="F254" s="101">
        <v>46133</v>
      </c>
      <c r="G254" s="98" t="s">
        <v>565</v>
      </c>
      <c r="H254" s="102">
        <v>320000</v>
      </c>
      <c r="I254" s="102">
        <v>0</v>
      </c>
      <c r="J254" s="102">
        <v>0</v>
      </c>
      <c r="K254" s="102">
        <v>0</v>
      </c>
      <c r="L254" s="97">
        <v>320000</v>
      </c>
      <c r="M254" s="76" t="s">
        <v>389</v>
      </c>
      <c r="N254" s="77">
        <v>46133</v>
      </c>
      <c r="O254" s="79">
        <v>320000</v>
      </c>
      <c r="P254" s="72" t="s">
        <v>488</v>
      </c>
      <c r="Q254" s="78" t="s">
        <v>566</v>
      </c>
    </row>
    <row r="255" spans="1:17" ht="15" customHeight="1">
      <c r="A255" s="76" t="s">
        <v>62</v>
      </c>
      <c r="B255" s="98" t="s">
        <v>403</v>
      </c>
      <c r="C255" s="98"/>
      <c r="D255" s="100" t="s">
        <v>564</v>
      </c>
      <c r="E255" s="98" t="s">
        <v>180</v>
      </c>
      <c r="F255" s="101">
        <v>46139</v>
      </c>
      <c r="G255" s="98" t="s">
        <v>565</v>
      </c>
      <c r="H255" s="102">
        <v>219004</v>
      </c>
      <c r="I255" s="102">
        <v>0</v>
      </c>
      <c r="J255" s="102">
        <v>0</v>
      </c>
      <c r="K255" s="102">
        <v>0</v>
      </c>
      <c r="L255" s="97">
        <v>219004</v>
      </c>
      <c r="M255" s="76" t="s">
        <v>389</v>
      </c>
      <c r="N255" s="77">
        <v>46139</v>
      </c>
      <c r="O255" s="79">
        <v>219004</v>
      </c>
      <c r="P255" s="72" t="s">
        <v>488</v>
      </c>
      <c r="Q255" s="78" t="s">
        <v>566</v>
      </c>
    </row>
    <row r="256" spans="1:17" ht="15" customHeight="1">
      <c r="A256" s="76" t="s">
        <v>62</v>
      </c>
      <c r="B256" s="98" t="s">
        <v>403</v>
      </c>
      <c r="C256" s="98"/>
      <c r="D256" s="100" t="s">
        <v>567</v>
      </c>
      <c r="E256" s="98" t="s">
        <v>184</v>
      </c>
      <c r="F256" s="101">
        <v>46139</v>
      </c>
      <c r="G256" s="98" t="s">
        <v>565</v>
      </c>
      <c r="H256" s="102">
        <v>151312</v>
      </c>
      <c r="I256" s="102">
        <v>0</v>
      </c>
      <c r="J256" s="102">
        <v>0</v>
      </c>
      <c r="K256" s="102">
        <v>0</v>
      </c>
      <c r="L256" s="97">
        <v>151312</v>
      </c>
      <c r="M256" s="76" t="s">
        <v>389</v>
      </c>
      <c r="N256" s="77">
        <v>46139</v>
      </c>
      <c r="O256" s="79">
        <v>151312</v>
      </c>
      <c r="P256" s="72" t="s">
        <v>488</v>
      </c>
      <c r="Q256" s="78" t="s">
        <v>566</v>
      </c>
    </row>
    <row r="257" spans="1:17" ht="15" customHeight="1">
      <c r="A257" s="76" t="s">
        <v>62</v>
      </c>
      <c r="B257" s="98" t="s">
        <v>403</v>
      </c>
      <c r="C257" s="98"/>
      <c r="D257" s="100" t="s">
        <v>569</v>
      </c>
      <c r="E257" s="98" t="s">
        <v>176</v>
      </c>
      <c r="F257" s="101">
        <v>46139</v>
      </c>
      <c r="G257" s="98" t="s">
        <v>565</v>
      </c>
      <c r="H257" s="102">
        <v>21020</v>
      </c>
      <c r="I257" s="102">
        <v>0</v>
      </c>
      <c r="J257" s="102">
        <v>0</v>
      </c>
      <c r="K257" s="102">
        <v>0</v>
      </c>
      <c r="L257" s="97">
        <v>21020</v>
      </c>
      <c r="M257" s="76" t="s">
        <v>389</v>
      </c>
      <c r="N257" s="77">
        <v>46139</v>
      </c>
      <c r="O257" s="79">
        <v>21020</v>
      </c>
      <c r="P257" s="72" t="s">
        <v>488</v>
      </c>
      <c r="Q257" s="78" t="s">
        <v>566</v>
      </c>
    </row>
    <row r="258" spans="1:17" ht="15" customHeight="1">
      <c r="A258" s="76" t="s">
        <v>62</v>
      </c>
      <c r="B258" s="98" t="s">
        <v>403</v>
      </c>
      <c r="C258" s="98"/>
      <c r="D258" s="100" t="s">
        <v>570</v>
      </c>
      <c r="E258" s="98" t="s">
        <v>180</v>
      </c>
      <c r="F258" s="101">
        <v>46139</v>
      </c>
      <c r="G258" s="98" t="s">
        <v>565</v>
      </c>
      <c r="H258" s="102">
        <v>40000</v>
      </c>
      <c r="I258" s="102">
        <v>0</v>
      </c>
      <c r="J258" s="102">
        <v>0</v>
      </c>
      <c r="K258" s="102">
        <v>0</v>
      </c>
      <c r="L258" s="97">
        <v>40000</v>
      </c>
      <c r="M258" s="76" t="s">
        <v>389</v>
      </c>
      <c r="N258" s="77">
        <v>46139</v>
      </c>
      <c r="O258" s="79">
        <v>40000</v>
      </c>
      <c r="P258" s="72" t="s">
        <v>488</v>
      </c>
      <c r="Q258" s="78" t="s">
        <v>566</v>
      </c>
    </row>
    <row r="259" spans="1:17" ht="15" customHeight="1">
      <c r="A259" s="76" t="s">
        <v>62</v>
      </c>
      <c r="B259" s="98" t="s">
        <v>403</v>
      </c>
      <c r="C259" s="98"/>
      <c r="D259" s="100" t="s">
        <v>571</v>
      </c>
      <c r="E259" s="98" t="s">
        <v>179</v>
      </c>
      <c r="F259" s="101">
        <v>46149</v>
      </c>
      <c r="G259" s="98" t="s">
        <v>565</v>
      </c>
      <c r="H259" s="102">
        <v>275841</v>
      </c>
      <c r="I259" s="102">
        <v>0</v>
      </c>
      <c r="J259" s="102">
        <v>0</v>
      </c>
      <c r="K259" s="102">
        <v>0</v>
      </c>
      <c r="L259" s="97">
        <v>275841</v>
      </c>
      <c r="M259" s="76" t="s">
        <v>389</v>
      </c>
      <c r="N259" s="77">
        <v>46149</v>
      </c>
      <c r="O259" s="79">
        <v>275841</v>
      </c>
      <c r="P259" s="72" t="s">
        <v>488</v>
      </c>
      <c r="Q259" s="78" t="s">
        <v>566</v>
      </c>
    </row>
    <row r="260" spans="1:17" ht="15" customHeight="1">
      <c r="A260" s="76" t="s">
        <v>62</v>
      </c>
      <c r="B260" s="98" t="s">
        <v>403</v>
      </c>
      <c r="C260" s="98"/>
      <c r="D260" s="100" t="s">
        <v>572</v>
      </c>
      <c r="E260" s="98" t="s">
        <v>180</v>
      </c>
      <c r="F260" s="101">
        <v>46149</v>
      </c>
      <c r="G260" s="98" t="s">
        <v>565</v>
      </c>
      <c r="H260" s="102">
        <v>19958</v>
      </c>
      <c r="I260" s="102">
        <v>0</v>
      </c>
      <c r="J260" s="102">
        <v>0</v>
      </c>
      <c r="K260" s="102">
        <v>0</v>
      </c>
      <c r="L260" s="97">
        <v>19958</v>
      </c>
      <c r="M260" s="76" t="s">
        <v>389</v>
      </c>
      <c r="N260" s="77">
        <v>46149</v>
      </c>
      <c r="O260" s="79">
        <v>19958</v>
      </c>
      <c r="P260" s="72" t="s">
        <v>488</v>
      </c>
      <c r="Q260" s="78" t="s">
        <v>566</v>
      </c>
    </row>
    <row r="261" spans="1:17" ht="15" customHeight="1">
      <c r="A261" s="76" t="s">
        <v>62</v>
      </c>
      <c r="B261" s="98" t="s">
        <v>403</v>
      </c>
      <c r="C261" s="98"/>
      <c r="D261" s="100" t="s">
        <v>564</v>
      </c>
      <c r="E261" s="98" t="s">
        <v>180</v>
      </c>
      <c r="F261" s="101">
        <v>46153</v>
      </c>
      <c r="G261" s="98" t="s">
        <v>565</v>
      </c>
      <c r="H261" s="102">
        <v>104291</v>
      </c>
      <c r="I261" s="102">
        <v>0</v>
      </c>
      <c r="J261" s="102">
        <v>0</v>
      </c>
      <c r="K261" s="102">
        <v>0</v>
      </c>
      <c r="L261" s="97">
        <v>104291</v>
      </c>
      <c r="M261" s="76" t="s">
        <v>389</v>
      </c>
      <c r="N261" s="77">
        <v>46153</v>
      </c>
      <c r="O261" s="79">
        <v>104291</v>
      </c>
      <c r="P261" s="72" t="s">
        <v>488</v>
      </c>
      <c r="Q261" s="78" t="s">
        <v>566</v>
      </c>
    </row>
    <row r="262" spans="1:17" ht="15" customHeight="1">
      <c r="A262" s="76" t="s">
        <v>62</v>
      </c>
      <c r="B262" s="98" t="s">
        <v>403</v>
      </c>
      <c r="C262" s="98"/>
      <c r="D262" s="100" t="s">
        <v>567</v>
      </c>
      <c r="E262" s="98" t="s">
        <v>184</v>
      </c>
      <c r="F262" s="101">
        <v>46153</v>
      </c>
      <c r="G262" s="98" t="s">
        <v>565</v>
      </c>
      <c r="H262" s="102">
        <v>221419</v>
      </c>
      <c r="I262" s="102">
        <v>0</v>
      </c>
      <c r="J262" s="102">
        <v>0</v>
      </c>
      <c r="K262" s="102">
        <v>0</v>
      </c>
      <c r="L262" s="97">
        <v>221419</v>
      </c>
      <c r="M262" s="76" t="s">
        <v>389</v>
      </c>
      <c r="N262" s="77">
        <v>46153</v>
      </c>
      <c r="O262" s="79">
        <v>221419</v>
      </c>
      <c r="P262" s="72" t="s">
        <v>488</v>
      </c>
      <c r="Q262" s="78" t="s">
        <v>566</v>
      </c>
    </row>
    <row r="263" spans="1:17" ht="15" customHeight="1">
      <c r="A263" s="76" t="s">
        <v>62</v>
      </c>
      <c r="B263" s="98" t="s">
        <v>403</v>
      </c>
      <c r="C263" s="98"/>
      <c r="D263" s="100" t="s">
        <v>567</v>
      </c>
      <c r="E263" s="98" t="s">
        <v>184</v>
      </c>
      <c r="F263" s="101">
        <v>46153</v>
      </c>
      <c r="G263" s="98" t="s">
        <v>565</v>
      </c>
      <c r="H263" s="102">
        <v>366809</v>
      </c>
      <c r="I263" s="102">
        <v>0</v>
      </c>
      <c r="J263" s="102">
        <v>0</v>
      </c>
      <c r="K263" s="102">
        <v>0</v>
      </c>
      <c r="L263" s="97">
        <v>366809</v>
      </c>
      <c r="M263" s="76" t="s">
        <v>389</v>
      </c>
      <c r="N263" s="77">
        <v>46153</v>
      </c>
      <c r="O263" s="79">
        <v>366809</v>
      </c>
      <c r="P263" s="72" t="s">
        <v>488</v>
      </c>
      <c r="Q263" s="78" t="s">
        <v>566</v>
      </c>
    </row>
    <row r="264" spans="1:17" ht="15" customHeight="1">
      <c r="A264" s="76" t="s">
        <v>62</v>
      </c>
      <c r="B264" s="98" t="s">
        <v>403</v>
      </c>
      <c r="C264" s="98"/>
      <c r="D264" s="103" t="s">
        <v>568</v>
      </c>
      <c r="E264" s="98" t="s">
        <v>180</v>
      </c>
      <c r="F264" s="101">
        <v>46153</v>
      </c>
      <c r="G264" s="98" t="s">
        <v>565</v>
      </c>
      <c r="H264" s="102">
        <v>1000000</v>
      </c>
      <c r="I264" s="102">
        <v>0</v>
      </c>
      <c r="J264" s="102">
        <v>0</v>
      </c>
      <c r="K264" s="102">
        <v>0</v>
      </c>
      <c r="L264" s="97">
        <v>1000000</v>
      </c>
      <c r="M264" s="76" t="s">
        <v>389</v>
      </c>
      <c r="N264" s="77">
        <v>46153</v>
      </c>
      <c r="O264" s="79">
        <v>1000000</v>
      </c>
      <c r="P264" s="72" t="s">
        <v>488</v>
      </c>
      <c r="Q264" s="78" t="s">
        <v>566</v>
      </c>
    </row>
    <row r="265" spans="1:17" ht="15" customHeight="1">
      <c r="A265" s="76" t="s">
        <v>62</v>
      </c>
      <c r="B265" s="98" t="s">
        <v>403</v>
      </c>
      <c r="C265" s="98"/>
      <c r="D265" s="100" t="s">
        <v>573</v>
      </c>
      <c r="E265" s="98" t="s">
        <v>179</v>
      </c>
      <c r="F265" s="101">
        <v>46149</v>
      </c>
      <c r="G265" s="98" t="s">
        <v>565</v>
      </c>
      <c r="H265" s="102">
        <v>275841</v>
      </c>
      <c r="I265" s="102">
        <v>0</v>
      </c>
      <c r="J265" s="102">
        <v>0</v>
      </c>
      <c r="K265" s="102">
        <v>0</v>
      </c>
      <c r="L265" s="97">
        <v>275841</v>
      </c>
      <c r="M265" s="76" t="s">
        <v>389</v>
      </c>
      <c r="N265" s="77">
        <v>46149</v>
      </c>
      <c r="O265" s="79">
        <v>275841</v>
      </c>
      <c r="P265" s="72"/>
      <c r="Q265" s="78" t="s">
        <v>535</v>
      </c>
    </row>
    <row r="266" spans="1:17" ht="15" customHeight="1">
      <c r="A266" s="76" t="s">
        <v>62</v>
      </c>
      <c r="B266" s="98" t="s">
        <v>403</v>
      </c>
      <c r="C266" s="98"/>
      <c r="D266" s="100" t="s">
        <v>573</v>
      </c>
      <c r="E266" s="98" t="s">
        <v>179</v>
      </c>
      <c r="F266" s="101">
        <v>46180</v>
      </c>
      <c r="G266" s="98" t="s">
        <v>565</v>
      </c>
      <c r="H266" s="102">
        <v>275841</v>
      </c>
      <c r="I266" s="102">
        <v>0</v>
      </c>
      <c r="J266" s="102">
        <v>0</v>
      </c>
      <c r="K266" s="102">
        <v>0</v>
      </c>
      <c r="L266" s="97">
        <v>275841</v>
      </c>
      <c r="M266" s="76" t="s">
        <v>389</v>
      </c>
      <c r="N266" s="77">
        <v>46180</v>
      </c>
      <c r="O266" s="79">
        <v>275841</v>
      </c>
      <c r="P266" s="72"/>
      <c r="Q266" s="78" t="s">
        <v>535</v>
      </c>
    </row>
    <row r="267" spans="1:17" ht="15" customHeight="1">
      <c r="A267" s="76" t="s">
        <v>62</v>
      </c>
      <c r="B267" s="98" t="s">
        <v>403</v>
      </c>
      <c r="C267" s="98"/>
      <c r="D267" s="100" t="s">
        <v>573</v>
      </c>
      <c r="E267" s="98" t="s">
        <v>179</v>
      </c>
      <c r="F267" s="101">
        <v>46210</v>
      </c>
      <c r="G267" s="98" t="s">
        <v>565</v>
      </c>
      <c r="H267" s="102">
        <v>275841</v>
      </c>
      <c r="I267" s="102">
        <v>0</v>
      </c>
      <c r="J267" s="102">
        <v>0</v>
      </c>
      <c r="K267" s="102">
        <v>0</v>
      </c>
      <c r="L267" s="97">
        <v>275841</v>
      </c>
      <c r="M267" s="76" t="s">
        <v>389</v>
      </c>
      <c r="N267" s="77">
        <v>46210</v>
      </c>
      <c r="O267" s="79">
        <v>275841</v>
      </c>
      <c r="P267" s="72"/>
      <c r="Q267" s="78" t="s">
        <v>535</v>
      </c>
    </row>
    <row r="268" spans="1:17" ht="15" customHeight="1">
      <c r="A268" s="76" t="s">
        <v>62</v>
      </c>
      <c r="B268" s="98" t="s">
        <v>403</v>
      </c>
      <c r="C268" s="98"/>
      <c r="D268" s="100" t="s">
        <v>573</v>
      </c>
      <c r="E268" s="98" t="s">
        <v>179</v>
      </c>
      <c r="F268" s="101">
        <v>46241</v>
      </c>
      <c r="G268" s="98" t="s">
        <v>565</v>
      </c>
      <c r="H268" s="102">
        <v>275841</v>
      </c>
      <c r="I268" s="102">
        <v>0</v>
      </c>
      <c r="J268" s="102">
        <v>0</v>
      </c>
      <c r="K268" s="102">
        <v>0</v>
      </c>
      <c r="L268" s="97">
        <v>275841</v>
      </c>
      <c r="M268" s="76" t="s">
        <v>389</v>
      </c>
      <c r="N268" s="77">
        <v>46241</v>
      </c>
      <c r="O268" s="79">
        <v>275841</v>
      </c>
      <c r="P268" s="72"/>
      <c r="Q268" s="78" t="s">
        <v>535</v>
      </c>
    </row>
    <row r="269" spans="1:17" ht="15" customHeight="1">
      <c r="A269" s="76" t="s">
        <v>62</v>
      </c>
      <c r="B269" s="98" t="s">
        <v>403</v>
      </c>
      <c r="C269" s="98"/>
      <c r="D269" s="100" t="s">
        <v>574</v>
      </c>
      <c r="E269" s="98" t="s">
        <v>180</v>
      </c>
      <c r="F269" s="101">
        <v>46149</v>
      </c>
      <c r="G269" s="98" t="s">
        <v>565</v>
      </c>
      <c r="H269" s="102">
        <v>19958</v>
      </c>
      <c r="I269" s="102">
        <v>0</v>
      </c>
      <c r="J269" s="102">
        <v>0</v>
      </c>
      <c r="K269" s="102">
        <v>0</v>
      </c>
      <c r="L269" s="97">
        <v>19958</v>
      </c>
      <c r="M269" s="76" t="s">
        <v>389</v>
      </c>
      <c r="N269" s="77">
        <v>46149</v>
      </c>
      <c r="O269" s="79">
        <v>19958</v>
      </c>
      <c r="P269" s="72"/>
      <c r="Q269" s="78" t="s">
        <v>535</v>
      </c>
    </row>
    <row r="270" spans="1:17" ht="15" customHeight="1">
      <c r="A270" s="76" t="s">
        <v>62</v>
      </c>
      <c r="B270" s="98" t="s">
        <v>403</v>
      </c>
      <c r="C270" s="98"/>
      <c r="D270" s="100" t="s">
        <v>574</v>
      </c>
      <c r="E270" s="98" t="s">
        <v>180</v>
      </c>
      <c r="F270" s="101">
        <v>46180</v>
      </c>
      <c r="G270" s="98" t="s">
        <v>565</v>
      </c>
      <c r="H270" s="102">
        <v>19958</v>
      </c>
      <c r="I270" s="102">
        <v>0</v>
      </c>
      <c r="J270" s="102">
        <v>0</v>
      </c>
      <c r="K270" s="102">
        <v>0</v>
      </c>
      <c r="L270" s="97">
        <v>19958</v>
      </c>
      <c r="M270" s="76" t="s">
        <v>389</v>
      </c>
      <c r="N270" s="77">
        <v>46180</v>
      </c>
      <c r="O270" s="79">
        <v>19958</v>
      </c>
      <c r="P270" s="72"/>
      <c r="Q270" s="78" t="s">
        <v>535</v>
      </c>
    </row>
    <row r="271" spans="1:17" ht="15" customHeight="1">
      <c r="A271" s="76" t="s">
        <v>62</v>
      </c>
      <c r="B271" s="98" t="s">
        <v>403</v>
      </c>
      <c r="C271" s="98"/>
      <c r="D271" s="100" t="s">
        <v>574</v>
      </c>
      <c r="E271" s="98" t="s">
        <v>180</v>
      </c>
      <c r="F271" s="101">
        <v>46210</v>
      </c>
      <c r="G271" s="98" t="s">
        <v>565</v>
      </c>
      <c r="H271" s="102">
        <v>19958</v>
      </c>
      <c r="I271" s="102">
        <v>0</v>
      </c>
      <c r="J271" s="102">
        <v>0</v>
      </c>
      <c r="K271" s="102">
        <v>0</v>
      </c>
      <c r="L271" s="97">
        <v>19958</v>
      </c>
      <c r="M271" s="76" t="s">
        <v>389</v>
      </c>
      <c r="N271" s="77">
        <v>46210</v>
      </c>
      <c r="O271" s="79">
        <v>19958</v>
      </c>
      <c r="P271" s="72"/>
      <c r="Q271" s="78" t="s">
        <v>535</v>
      </c>
    </row>
    <row r="272" spans="1:17" ht="15" customHeight="1">
      <c r="A272" s="76" t="s">
        <v>62</v>
      </c>
      <c r="B272" s="98" t="s">
        <v>403</v>
      </c>
      <c r="C272" s="98"/>
      <c r="D272" s="100" t="s">
        <v>574</v>
      </c>
      <c r="E272" s="98" t="s">
        <v>180</v>
      </c>
      <c r="F272" s="101">
        <v>46241</v>
      </c>
      <c r="G272" s="98" t="s">
        <v>565</v>
      </c>
      <c r="H272" s="102">
        <v>19958</v>
      </c>
      <c r="I272" s="102">
        <v>0</v>
      </c>
      <c r="J272" s="102">
        <v>0</v>
      </c>
      <c r="K272" s="102">
        <v>0</v>
      </c>
      <c r="L272" s="97">
        <v>19958</v>
      </c>
      <c r="M272" s="76" t="s">
        <v>389</v>
      </c>
      <c r="N272" s="77">
        <v>46241</v>
      </c>
      <c r="O272" s="79">
        <v>19958</v>
      </c>
      <c r="P272" s="72"/>
      <c r="Q272" s="78" t="s">
        <v>535</v>
      </c>
    </row>
    <row r="273" spans="1:17" ht="15" customHeight="1">
      <c r="A273" s="76" t="s">
        <v>62</v>
      </c>
      <c r="B273" s="98" t="s">
        <v>403</v>
      </c>
      <c r="C273" s="98"/>
      <c r="D273" s="100" t="s">
        <v>575</v>
      </c>
      <c r="E273" s="98" t="s">
        <v>180</v>
      </c>
      <c r="F273" s="101">
        <v>46155</v>
      </c>
      <c r="G273" s="98" t="s">
        <v>565</v>
      </c>
      <c r="H273" s="102">
        <v>100000</v>
      </c>
      <c r="I273" s="102">
        <v>0</v>
      </c>
      <c r="J273" s="102">
        <v>0</v>
      </c>
      <c r="K273" s="102">
        <v>0</v>
      </c>
      <c r="L273" s="97">
        <v>100000</v>
      </c>
      <c r="M273" s="76" t="s">
        <v>389</v>
      </c>
      <c r="N273" s="77">
        <v>46155</v>
      </c>
      <c r="O273" s="79">
        <v>100000</v>
      </c>
      <c r="P273" s="72"/>
      <c r="Q273" s="78" t="s">
        <v>535</v>
      </c>
    </row>
    <row r="274" spans="1:17" ht="15" customHeight="1">
      <c r="A274" s="76" t="s">
        <v>62</v>
      </c>
      <c r="B274" s="98" t="s">
        <v>403</v>
      </c>
      <c r="C274" s="98"/>
      <c r="D274" s="100" t="s">
        <v>575</v>
      </c>
      <c r="E274" s="98" t="s">
        <v>180</v>
      </c>
      <c r="F274" s="101">
        <v>46186</v>
      </c>
      <c r="G274" s="98" t="s">
        <v>565</v>
      </c>
      <c r="H274" s="102">
        <v>100000</v>
      </c>
      <c r="I274" s="102">
        <v>0</v>
      </c>
      <c r="J274" s="102">
        <v>0</v>
      </c>
      <c r="K274" s="102">
        <v>0</v>
      </c>
      <c r="L274" s="97">
        <v>100000</v>
      </c>
      <c r="M274" s="76" t="s">
        <v>389</v>
      </c>
      <c r="N274" s="77">
        <v>46186</v>
      </c>
      <c r="O274" s="79">
        <v>100000</v>
      </c>
      <c r="P274" s="72"/>
      <c r="Q274" s="78" t="s">
        <v>535</v>
      </c>
    </row>
    <row r="275" spans="1:17" ht="15" customHeight="1">
      <c r="A275" s="76" t="s">
        <v>62</v>
      </c>
      <c r="B275" s="98" t="s">
        <v>403</v>
      </c>
      <c r="C275" s="98"/>
      <c r="D275" s="100" t="s">
        <v>575</v>
      </c>
      <c r="E275" s="98" t="s">
        <v>180</v>
      </c>
      <c r="F275" s="101">
        <v>46216</v>
      </c>
      <c r="G275" s="98" t="s">
        <v>565</v>
      </c>
      <c r="H275" s="102">
        <v>100000</v>
      </c>
      <c r="I275" s="102">
        <v>0</v>
      </c>
      <c r="J275" s="102">
        <v>0</v>
      </c>
      <c r="K275" s="102">
        <v>0</v>
      </c>
      <c r="L275" s="97">
        <v>100000</v>
      </c>
      <c r="M275" s="76" t="s">
        <v>389</v>
      </c>
      <c r="N275" s="77">
        <v>46216</v>
      </c>
      <c r="O275" s="79">
        <v>100000</v>
      </c>
      <c r="P275" s="72"/>
      <c r="Q275" s="78" t="s">
        <v>535</v>
      </c>
    </row>
    <row r="276" spans="1:17" ht="15" customHeight="1">
      <c r="A276" s="76" t="s">
        <v>62</v>
      </c>
      <c r="B276" s="98" t="s">
        <v>403</v>
      </c>
      <c r="C276" s="98"/>
      <c r="D276" s="100" t="s">
        <v>575</v>
      </c>
      <c r="E276" s="98" t="s">
        <v>180</v>
      </c>
      <c r="F276" s="101">
        <v>46247</v>
      </c>
      <c r="G276" s="98" t="s">
        <v>565</v>
      </c>
      <c r="H276" s="102">
        <v>100000</v>
      </c>
      <c r="I276" s="102">
        <v>0</v>
      </c>
      <c r="J276" s="102">
        <v>0</v>
      </c>
      <c r="K276" s="102">
        <v>0</v>
      </c>
      <c r="L276" s="97">
        <v>100000</v>
      </c>
      <c r="M276" s="76" t="s">
        <v>389</v>
      </c>
      <c r="N276" s="77">
        <v>46247</v>
      </c>
      <c r="O276" s="79">
        <v>100000</v>
      </c>
      <c r="P276" s="72"/>
      <c r="Q276" s="78" t="s">
        <v>535</v>
      </c>
    </row>
    <row r="277" spans="1:17" ht="15" customHeight="1">
      <c r="A277" s="76" t="s">
        <v>62</v>
      </c>
      <c r="B277" s="98" t="s">
        <v>403</v>
      </c>
      <c r="C277" s="98"/>
      <c r="D277" s="100" t="s">
        <v>576</v>
      </c>
      <c r="E277" s="98" t="s">
        <v>184</v>
      </c>
      <c r="F277" s="101">
        <v>46155</v>
      </c>
      <c r="G277" s="98" t="s">
        <v>565</v>
      </c>
      <c r="H277" s="102">
        <v>220000</v>
      </c>
      <c r="I277" s="102">
        <v>0</v>
      </c>
      <c r="J277" s="102">
        <v>0</v>
      </c>
      <c r="K277" s="102">
        <v>0</v>
      </c>
      <c r="L277" s="97">
        <v>220000</v>
      </c>
      <c r="M277" s="76" t="s">
        <v>389</v>
      </c>
      <c r="N277" s="77">
        <v>46155</v>
      </c>
      <c r="O277" s="79">
        <v>220000</v>
      </c>
      <c r="P277" s="72"/>
      <c r="Q277" s="78" t="s">
        <v>535</v>
      </c>
    </row>
    <row r="278" spans="1:17" ht="15" customHeight="1">
      <c r="A278" s="76" t="s">
        <v>62</v>
      </c>
      <c r="B278" s="98" t="s">
        <v>403</v>
      </c>
      <c r="C278" s="98"/>
      <c r="D278" s="100" t="s">
        <v>576</v>
      </c>
      <c r="E278" s="98" t="s">
        <v>184</v>
      </c>
      <c r="F278" s="101">
        <v>46186</v>
      </c>
      <c r="G278" s="98" t="s">
        <v>565</v>
      </c>
      <c r="H278" s="102">
        <v>220000</v>
      </c>
      <c r="I278" s="102">
        <v>0</v>
      </c>
      <c r="J278" s="102">
        <v>0</v>
      </c>
      <c r="K278" s="102">
        <v>0</v>
      </c>
      <c r="L278" s="97">
        <v>220000</v>
      </c>
      <c r="M278" s="76" t="s">
        <v>389</v>
      </c>
      <c r="N278" s="77">
        <v>46186</v>
      </c>
      <c r="O278" s="79">
        <v>220000</v>
      </c>
      <c r="P278" s="72"/>
      <c r="Q278" s="78" t="s">
        <v>535</v>
      </c>
    </row>
    <row r="279" spans="1:17" ht="15" customHeight="1">
      <c r="A279" s="76" t="s">
        <v>62</v>
      </c>
      <c r="B279" s="98" t="s">
        <v>403</v>
      </c>
      <c r="C279" s="98"/>
      <c r="D279" s="100" t="s">
        <v>576</v>
      </c>
      <c r="E279" s="98" t="s">
        <v>184</v>
      </c>
      <c r="F279" s="101">
        <v>46216</v>
      </c>
      <c r="G279" s="98" t="s">
        <v>565</v>
      </c>
      <c r="H279" s="102">
        <v>220000</v>
      </c>
      <c r="I279" s="102">
        <v>0</v>
      </c>
      <c r="J279" s="102">
        <v>0</v>
      </c>
      <c r="K279" s="102">
        <v>0</v>
      </c>
      <c r="L279" s="97">
        <v>220000</v>
      </c>
      <c r="M279" s="76" t="s">
        <v>389</v>
      </c>
      <c r="N279" s="77">
        <v>46216</v>
      </c>
      <c r="O279" s="79">
        <v>220000</v>
      </c>
      <c r="P279" s="72"/>
      <c r="Q279" s="78" t="s">
        <v>535</v>
      </c>
    </row>
    <row r="280" spans="1:17" ht="15" customHeight="1">
      <c r="A280" s="76" t="s">
        <v>62</v>
      </c>
      <c r="B280" s="98" t="s">
        <v>403</v>
      </c>
      <c r="C280" s="98"/>
      <c r="D280" s="100" t="s">
        <v>576</v>
      </c>
      <c r="E280" s="98" t="s">
        <v>184</v>
      </c>
      <c r="F280" s="101">
        <v>46247</v>
      </c>
      <c r="G280" s="98" t="s">
        <v>565</v>
      </c>
      <c r="H280" s="102">
        <v>220000</v>
      </c>
      <c r="I280" s="102">
        <v>0</v>
      </c>
      <c r="J280" s="102">
        <v>0</v>
      </c>
      <c r="K280" s="102">
        <v>0</v>
      </c>
      <c r="L280" s="97">
        <v>220000</v>
      </c>
      <c r="M280" s="76" t="s">
        <v>389</v>
      </c>
      <c r="N280" s="77">
        <v>46247</v>
      </c>
      <c r="O280" s="79">
        <v>220000</v>
      </c>
      <c r="P280" s="72"/>
      <c r="Q280" s="78" t="s">
        <v>535</v>
      </c>
    </row>
    <row r="281" spans="1:17" ht="15" customHeight="1">
      <c r="A281" s="76" t="s">
        <v>62</v>
      </c>
      <c r="B281" s="98" t="s">
        <v>403</v>
      </c>
      <c r="C281" s="98"/>
      <c r="D281" s="100" t="s">
        <v>577</v>
      </c>
      <c r="E281" s="98" t="s">
        <v>176</v>
      </c>
      <c r="F281" s="101">
        <v>46169</v>
      </c>
      <c r="G281" s="98" t="s">
        <v>565</v>
      </c>
      <c r="H281" s="102">
        <v>21020</v>
      </c>
      <c r="I281" s="102">
        <v>0</v>
      </c>
      <c r="J281" s="102">
        <v>0</v>
      </c>
      <c r="K281" s="102">
        <v>0</v>
      </c>
      <c r="L281" s="97">
        <v>21020</v>
      </c>
      <c r="M281" s="76" t="s">
        <v>389</v>
      </c>
      <c r="N281" s="77">
        <v>46169</v>
      </c>
      <c r="O281" s="79">
        <v>21020</v>
      </c>
      <c r="P281" s="72"/>
      <c r="Q281" s="78" t="s">
        <v>535</v>
      </c>
    </row>
    <row r="282" spans="1:17" ht="15" customHeight="1">
      <c r="A282" s="76" t="s">
        <v>62</v>
      </c>
      <c r="B282" s="98" t="s">
        <v>403</v>
      </c>
      <c r="C282" s="98"/>
      <c r="D282" s="100" t="s">
        <v>577</v>
      </c>
      <c r="E282" s="98" t="s">
        <v>176</v>
      </c>
      <c r="F282" s="101">
        <v>46200</v>
      </c>
      <c r="G282" s="98" t="s">
        <v>565</v>
      </c>
      <c r="H282" s="102">
        <v>21020</v>
      </c>
      <c r="I282" s="102">
        <v>0</v>
      </c>
      <c r="J282" s="102">
        <v>0</v>
      </c>
      <c r="K282" s="102">
        <v>0</v>
      </c>
      <c r="L282" s="97">
        <v>21020</v>
      </c>
      <c r="M282" s="76" t="s">
        <v>389</v>
      </c>
      <c r="N282" s="77">
        <v>46200</v>
      </c>
      <c r="O282" s="79">
        <v>21020</v>
      </c>
      <c r="P282" s="72"/>
      <c r="Q282" s="78" t="s">
        <v>535</v>
      </c>
    </row>
    <row r="283" spans="1:17" ht="15" customHeight="1">
      <c r="A283" s="76" t="s">
        <v>62</v>
      </c>
      <c r="B283" s="98" t="s">
        <v>403</v>
      </c>
      <c r="C283" s="98"/>
      <c r="D283" s="100" t="s">
        <v>577</v>
      </c>
      <c r="E283" s="98" t="s">
        <v>176</v>
      </c>
      <c r="F283" s="101">
        <v>46230</v>
      </c>
      <c r="G283" s="98" t="s">
        <v>565</v>
      </c>
      <c r="H283" s="102">
        <v>21020</v>
      </c>
      <c r="I283" s="102">
        <v>0</v>
      </c>
      <c r="J283" s="102">
        <v>0</v>
      </c>
      <c r="K283" s="102">
        <v>0</v>
      </c>
      <c r="L283" s="97">
        <v>21020</v>
      </c>
      <c r="M283" s="76" t="s">
        <v>389</v>
      </c>
      <c r="N283" s="77">
        <v>46230</v>
      </c>
      <c r="O283" s="79">
        <v>21020</v>
      </c>
      <c r="P283" s="72"/>
      <c r="Q283" s="78" t="s">
        <v>535</v>
      </c>
    </row>
    <row r="284" spans="1:17" ht="15" customHeight="1">
      <c r="A284" s="76" t="s">
        <v>62</v>
      </c>
      <c r="B284" s="98" t="s">
        <v>403</v>
      </c>
      <c r="C284" s="98"/>
      <c r="D284" s="100" t="s">
        <v>577</v>
      </c>
      <c r="E284" s="98" t="s">
        <v>176</v>
      </c>
      <c r="F284" s="101">
        <v>46261</v>
      </c>
      <c r="G284" s="98" t="s">
        <v>565</v>
      </c>
      <c r="H284" s="102">
        <v>21020</v>
      </c>
      <c r="I284" s="102">
        <v>0</v>
      </c>
      <c r="J284" s="102">
        <v>0</v>
      </c>
      <c r="K284" s="102">
        <v>0</v>
      </c>
      <c r="L284" s="97">
        <v>21020</v>
      </c>
      <c r="M284" s="76" t="s">
        <v>389</v>
      </c>
      <c r="N284" s="77">
        <v>46261</v>
      </c>
      <c r="O284" s="79">
        <v>21020</v>
      </c>
      <c r="P284" s="72"/>
      <c r="Q284" s="78" t="s">
        <v>535</v>
      </c>
    </row>
    <row r="285" spans="1:17" ht="15" customHeight="1">
      <c r="A285" s="76" t="s">
        <v>62</v>
      </c>
      <c r="B285" s="98" t="s">
        <v>403</v>
      </c>
      <c r="C285" s="98"/>
      <c r="D285" s="100" t="s">
        <v>578</v>
      </c>
      <c r="E285" s="98" t="s">
        <v>180</v>
      </c>
      <c r="F285" s="101">
        <v>46169</v>
      </c>
      <c r="G285" s="98" t="s">
        <v>565</v>
      </c>
      <c r="H285" s="102">
        <v>40000</v>
      </c>
      <c r="I285" s="102">
        <v>0</v>
      </c>
      <c r="J285" s="102">
        <v>0</v>
      </c>
      <c r="K285" s="102">
        <v>0</v>
      </c>
      <c r="L285" s="97">
        <v>40000</v>
      </c>
      <c r="M285" s="76" t="s">
        <v>389</v>
      </c>
      <c r="N285" s="77">
        <v>46169</v>
      </c>
      <c r="O285" s="79">
        <v>40000</v>
      </c>
      <c r="P285" s="72"/>
      <c r="Q285" s="78" t="s">
        <v>535</v>
      </c>
    </row>
    <row r="286" spans="1:17" ht="15" customHeight="1">
      <c r="A286" s="76" t="s">
        <v>62</v>
      </c>
      <c r="B286" s="98" t="s">
        <v>403</v>
      </c>
      <c r="C286" s="98"/>
      <c r="D286" s="100" t="s">
        <v>578</v>
      </c>
      <c r="E286" s="98" t="s">
        <v>180</v>
      </c>
      <c r="F286" s="101">
        <v>46200</v>
      </c>
      <c r="G286" s="98" t="s">
        <v>565</v>
      </c>
      <c r="H286" s="102">
        <v>40000</v>
      </c>
      <c r="I286" s="102">
        <v>0</v>
      </c>
      <c r="J286" s="102">
        <v>0</v>
      </c>
      <c r="K286" s="102">
        <v>0</v>
      </c>
      <c r="L286" s="97">
        <v>40000</v>
      </c>
      <c r="M286" s="76" t="s">
        <v>389</v>
      </c>
      <c r="N286" s="77">
        <v>46200</v>
      </c>
      <c r="O286" s="79">
        <v>40000</v>
      </c>
      <c r="P286" s="72"/>
      <c r="Q286" s="78" t="s">
        <v>535</v>
      </c>
    </row>
    <row r="287" spans="1:17" ht="15" customHeight="1">
      <c r="A287" s="76" t="s">
        <v>62</v>
      </c>
      <c r="B287" s="98" t="s">
        <v>403</v>
      </c>
      <c r="C287" s="98"/>
      <c r="D287" s="100" t="s">
        <v>578</v>
      </c>
      <c r="E287" s="98" t="s">
        <v>180</v>
      </c>
      <c r="F287" s="101">
        <v>46230</v>
      </c>
      <c r="G287" s="98" t="s">
        <v>565</v>
      </c>
      <c r="H287" s="102">
        <v>40000</v>
      </c>
      <c r="I287" s="102">
        <v>0</v>
      </c>
      <c r="J287" s="102">
        <v>0</v>
      </c>
      <c r="K287" s="102">
        <v>0</v>
      </c>
      <c r="L287" s="97">
        <v>40000</v>
      </c>
      <c r="M287" s="76" t="s">
        <v>389</v>
      </c>
      <c r="N287" s="77">
        <v>46230</v>
      </c>
      <c r="O287" s="79">
        <v>40000</v>
      </c>
      <c r="P287" s="72"/>
      <c r="Q287" s="78" t="s">
        <v>535</v>
      </c>
    </row>
    <row r="288" spans="1:17" ht="15" customHeight="1">
      <c r="A288" s="76" t="s">
        <v>62</v>
      </c>
      <c r="B288" s="98" t="s">
        <v>403</v>
      </c>
      <c r="C288" s="98"/>
      <c r="D288" s="100" t="s">
        <v>578</v>
      </c>
      <c r="E288" s="98" t="s">
        <v>180</v>
      </c>
      <c r="F288" s="101">
        <v>46261</v>
      </c>
      <c r="G288" s="98" t="s">
        <v>565</v>
      </c>
      <c r="H288" s="102">
        <v>40000</v>
      </c>
      <c r="I288" s="102">
        <v>0</v>
      </c>
      <c r="J288" s="102">
        <v>0</v>
      </c>
      <c r="K288" s="102">
        <v>0</v>
      </c>
      <c r="L288" s="97">
        <v>40000</v>
      </c>
      <c r="M288" s="76" t="s">
        <v>389</v>
      </c>
      <c r="N288" s="77">
        <v>46261</v>
      </c>
      <c r="O288" s="79">
        <v>40000</v>
      </c>
      <c r="P288" s="72"/>
      <c r="Q288" s="78" t="s">
        <v>535</v>
      </c>
    </row>
    <row r="289" spans="1:17" ht="15" customHeight="1">
      <c r="A289" s="76" t="s">
        <v>62</v>
      </c>
      <c r="B289" s="98" t="s">
        <v>403</v>
      </c>
      <c r="C289" s="98"/>
      <c r="D289" s="100" t="s">
        <v>579</v>
      </c>
      <c r="E289" s="98" t="s">
        <v>180</v>
      </c>
      <c r="F289" s="101">
        <v>46169</v>
      </c>
      <c r="G289" s="98" t="s">
        <v>565</v>
      </c>
      <c r="H289" s="102">
        <v>220000</v>
      </c>
      <c r="I289" s="102">
        <v>0</v>
      </c>
      <c r="J289" s="102">
        <v>0</v>
      </c>
      <c r="K289" s="102">
        <v>0</v>
      </c>
      <c r="L289" s="97">
        <v>220000</v>
      </c>
      <c r="M289" s="76" t="s">
        <v>389</v>
      </c>
      <c r="N289" s="77">
        <v>46169</v>
      </c>
      <c r="O289" s="79">
        <v>220000</v>
      </c>
      <c r="P289" s="72"/>
      <c r="Q289" s="78" t="s">
        <v>535</v>
      </c>
    </row>
    <row r="290" spans="1:17" ht="15" customHeight="1">
      <c r="A290" s="76" t="s">
        <v>62</v>
      </c>
      <c r="B290" s="98" t="s">
        <v>403</v>
      </c>
      <c r="C290" s="98"/>
      <c r="D290" s="100" t="s">
        <v>579</v>
      </c>
      <c r="E290" s="98" t="s">
        <v>180</v>
      </c>
      <c r="F290" s="101">
        <v>46200</v>
      </c>
      <c r="G290" s="98" t="s">
        <v>565</v>
      </c>
      <c r="H290" s="102">
        <v>220000</v>
      </c>
      <c r="I290" s="102">
        <v>0</v>
      </c>
      <c r="J290" s="102">
        <v>0</v>
      </c>
      <c r="K290" s="102">
        <v>0</v>
      </c>
      <c r="L290" s="97">
        <v>220000</v>
      </c>
      <c r="M290" s="76" t="s">
        <v>389</v>
      </c>
      <c r="N290" s="77">
        <v>46200</v>
      </c>
      <c r="O290" s="79">
        <v>220000</v>
      </c>
      <c r="P290" s="72"/>
      <c r="Q290" s="78" t="s">
        <v>535</v>
      </c>
    </row>
    <row r="291" spans="1:17" ht="15" customHeight="1">
      <c r="A291" s="76" t="s">
        <v>62</v>
      </c>
      <c r="B291" s="98" t="s">
        <v>403</v>
      </c>
      <c r="C291" s="98"/>
      <c r="D291" s="100" t="s">
        <v>579</v>
      </c>
      <c r="E291" s="98" t="s">
        <v>180</v>
      </c>
      <c r="F291" s="101">
        <v>46230</v>
      </c>
      <c r="G291" s="98" t="s">
        <v>565</v>
      </c>
      <c r="H291" s="102">
        <v>220000</v>
      </c>
      <c r="I291" s="102">
        <v>0</v>
      </c>
      <c r="J291" s="102">
        <v>0</v>
      </c>
      <c r="K291" s="102">
        <v>0</v>
      </c>
      <c r="L291" s="97">
        <v>220000</v>
      </c>
      <c r="M291" s="76" t="s">
        <v>389</v>
      </c>
      <c r="N291" s="77">
        <v>46230</v>
      </c>
      <c r="O291" s="79">
        <v>220000</v>
      </c>
      <c r="P291" s="72"/>
      <c r="Q291" s="78" t="s">
        <v>535</v>
      </c>
    </row>
    <row r="292" spans="1:17" ht="15" customHeight="1">
      <c r="A292" s="76" t="s">
        <v>62</v>
      </c>
      <c r="B292" s="98" t="s">
        <v>403</v>
      </c>
      <c r="C292" s="98"/>
      <c r="D292" s="100" t="s">
        <v>579</v>
      </c>
      <c r="E292" s="98" t="s">
        <v>180</v>
      </c>
      <c r="F292" s="101">
        <v>46261</v>
      </c>
      <c r="G292" s="98" t="s">
        <v>565</v>
      </c>
      <c r="H292" s="102">
        <v>220000</v>
      </c>
      <c r="I292" s="102">
        <v>0</v>
      </c>
      <c r="J292" s="102">
        <v>0</v>
      </c>
      <c r="K292" s="102">
        <v>0</v>
      </c>
      <c r="L292" s="97">
        <v>220000</v>
      </c>
      <c r="M292" s="76" t="s">
        <v>389</v>
      </c>
      <c r="N292" s="77">
        <v>46261</v>
      </c>
      <c r="O292" s="79">
        <v>220000</v>
      </c>
      <c r="P292" s="72"/>
      <c r="Q292" s="78" t="s">
        <v>535</v>
      </c>
    </row>
    <row r="293" spans="1:17" ht="15" customHeight="1">
      <c r="A293" s="76" t="s">
        <v>62</v>
      </c>
      <c r="B293" s="98" t="s">
        <v>403</v>
      </c>
      <c r="C293" s="98"/>
      <c r="D293" s="100" t="s">
        <v>580</v>
      </c>
      <c r="E293" s="98" t="s">
        <v>184</v>
      </c>
      <c r="F293" s="101">
        <v>46169</v>
      </c>
      <c r="G293" s="98" t="s">
        <v>565</v>
      </c>
      <c r="H293" s="102">
        <v>150000</v>
      </c>
      <c r="I293" s="102">
        <v>0</v>
      </c>
      <c r="J293" s="102">
        <v>0</v>
      </c>
      <c r="K293" s="102">
        <v>0</v>
      </c>
      <c r="L293" s="97">
        <v>150000</v>
      </c>
      <c r="M293" s="76" t="s">
        <v>389</v>
      </c>
      <c r="N293" s="77">
        <v>46169</v>
      </c>
      <c r="O293" s="79">
        <v>150000</v>
      </c>
      <c r="P293" s="72"/>
      <c r="Q293" s="78" t="s">
        <v>535</v>
      </c>
    </row>
    <row r="294" spans="1:17" ht="15" customHeight="1">
      <c r="A294" s="76" t="s">
        <v>62</v>
      </c>
      <c r="B294" s="98" t="s">
        <v>403</v>
      </c>
      <c r="C294" s="98"/>
      <c r="D294" s="100" t="s">
        <v>580</v>
      </c>
      <c r="E294" s="98" t="s">
        <v>184</v>
      </c>
      <c r="F294" s="101">
        <v>46200</v>
      </c>
      <c r="G294" s="98" t="s">
        <v>565</v>
      </c>
      <c r="H294" s="102">
        <v>150000</v>
      </c>
      <c r="I294" s="102">
        <v>0</v>
      </c>
      <c r="J294" s="102">
        <v>0</v>
      </c>
      <c r="K294" s="102">
        <v>0</v>
      </c>
      <c r="L294" s="97">
        <v>150000</v>
      </c>
      <c r="M294" s="76" t="s">
        <v>389</v>
      </c>
      <c r="N294" s="77">
        <v>46200</v>
      </c>
      <c r="O294" s="79">
        <v>150000</v>
      </c>
      <c r="P294" s="72"/>
      <c r="Q294" s="78" t="s">
        <v>535</v>
      </c>
    </row>
    <row r="295" spans="1:17" ht="15" customHeight="1">
      <c r="A295" s="76" t="s">
        <v>62</v>
      </c>
      <c r="B295" s="98" t="s">
        <v>403</v>
      </c>
      <c r="C295" s="98"/>
      <c r="D295" s="100" t="s">
        <v>580</v>
      </c>
      <c r="E295" s="98" t="s">
        <v>184</v>
      </c>
      <c r="F295" s="101">
        <v>46230</v>
      </c>
      <c r="G295" s="98" t="s">
        <v>565</v>
      </c>
      <c r="H295" s="102">
        <v>150000</v>
      </c>
      <c r="I295" s="102">
        <v>0</v>
      </c>
      <c r="J295" s="102">
        <v>0</v>
      </c>
      <c r="K295" s="102">
        <v>0</v>
      </c>
      <c r="L295" s="97">
        <v>150000</v>
      </c>
      <c r="M295" s="76" t="s">
        <v>389</v>
      </c>
      <c r="N295" s="77">
        <v>46230</v>
      </c>
      <c r="O295" s="79">
        <v>150000</v>
      </c>
      <c r="P295" s="72"/>
      <c r="Q295" s="78" t="s">
        <v>535</v>
      </c>
    </row>
    <row r="296" spans="1:17" ht="15" customHeight="1">
      <c r="A296" s="76" t="s">
        <v>62</v>
      </c>
      <c r="B296" s="98" t="s">
        <v>403</v>
      </c>
      <c r="C296" s="98"/>
      <c r="D296" s="100" t="s">
        <v>580</v>
      </c>
      <c r="E296" s="98" t="s">
        <v>184</v>
      </c>
      <c r="F296" s="101">
        <v>46261</v>
      </c>
      <c r="G296" s="98" t="s">
        <v>565</v>
      </c>
      <c r="H296" s="102">
        <v>150000</v>
      </c>
      <c r="I296" s="102">
        <v>0</v>
      </c>
      <c r="J296" s="102">
        <v>0</v>
      </c>
      <c r="K296" s="102">
        <v>0</v>
      </c>
      <c r="L296" s="97">
        <v>150000</v>
      </c>
      <c r="M296" s="76" t="s">
        <v>389</v>
      </c>
      <c r="N296" s="77">
        <v>46261</v>
      </c>
      <c r="O296" s="79">
        <v>150000</v>
      </c>
      <c r="P296" s="72"/>
      <c r="Q296" s="78" t="s">
        <v>535</v>
      </c>
    </row>
    <row r="297" spans="1:17" ht="15" customHeight="1">
      <c r="A297" s="81" t="s">
        <v>58</v>
      </c>
      <c r="B297" s="104" t="s">
        <v>403</v>
      </c>
      <c r="C297" s="105"/>
      <c r="D297" s="106" t="s">
        <v>581</v>
      </c>
      <c r="E297" s="104" t="s">
        <v>180</v>
      </c>
      <c r="F297" s="107">
        <v>46153</v>
      </c>
      <c r="G297" s="104" t="s">
        <v>220</v>
      </c>
      <c r="H297" s="102">
        <v>1950000</v>
      </c>
      <c r="I297" s="102">
        <v>0</v>
      </c>
      <c r="J297" s="102">
        <v>0</v>
      </c>
      <c r="K297" s="102">
        <v>0</v>
      </c>
      <c r="L297" s="97">
        <v>1950000</v>
      </c>
      <c r="M297" s="81" t="s">
        <v>83</v>
      </c>
      <c r="N297" s="82">
        <v>46153</v>
      </c>
      <c r="O297" s="79">
        <v>1950000</v>
      </c>
      <c r="P297" s="75"/>
      <c r="Q297" s="83" t="s">
        <v>582</v>
      </c>
    </row>
    <row r="298" spans="1:17" ht="15" customHeight="1">
      <c r="A298" s="81" t="s">
        <v>58</v>
      </c>
      <c r="B298" s="104" t="s">
        <v>403</v>
      </c>
      <c r="C298" s="104"/>
      <c r="D298" s="106" t="s">
        <v>583</v>
      </c>
      <c r="E298" s="104" t="s">
        <v>180</v>
      </c>
      <c r="F298" s="107">
        <v>46167</v>
      </c>
      <c r="G298" s="104" t="s">
        <v>220</v>
      </c>
      <c r="H298" s="102">
        <v>450000</v>
      </c>
      <c r="I298" s="102">
        <v>0</v>
      </c>
      <c r="J298" s="102">
        <v>0</v>
      </c>
      <c r="K298" s="102">
        <v>0</v>
      </c>
      <c r="L298" s="97">
        <v>450000</v>
      </c>
      <c r="M298" s="81" t="s">
        <v>83</v>
      </c>
      <c r="N298" s="82">
        <v>46167</v>
      </c>
      <c r="O298" s="79">
        <v>450000</v>
      </c>
      <c r="P298" s="75"/>
      <c r="Q298" s="83" t="s">
        <v>582</v>
      </c>
    </row>
    <row r="299" spans="1:17" ht="15" customHeight="1">
      <c r="A299" s="81" t="s">
        <v>58</v>
      </c>
      <c r="B299" s="104" t="s">
        <v>403</v>
      </c>
      <c r="C299" s="104"/>
      <c r="D299" s="106" t="s">
        <v>584</v>
      </c>
      <c r="E299" s="104" t="s">
        <v>180</v>
      </c>
      <c r="F299" s="107">
        <v>46171</v>
      </c>
      <c r="G299" s="104" t="s">
        <v>220</v>
      </c>
      <c r="H299" s="102">
        <v>3200000</v>
      </c>
      <c r="I299" s="102">
        <v>0</v>
      </c>
      <c r="J299" s="102">
        <v>0</v>
      </c>
      <c r="K299" s="102">
        <v>0</v>
      </c>
      <c r="L299" s="97">
        <v>3200000</v>
      </c>
      <c r="M299" s="81" t="s">
        <v>83</v>
      </c>
      <c r="N299" s="82">
        <v>46171</v>
      </c>
      <c r="O299" s="79">
        <v>3200000</v>
      </c>
      <c r="P299" s="75"/>
      <c r="Q299" s="83" t="s">
        <v>582</v>
      </c>
    </row>
    <row r="300" spans="1:17" ht="15" customHeight="1">
      <c r="A300" s="81" t="s">
        <v>62</v>
      </c>
      <c r="B300" s="104" t="s">
        <v>403</v>
      </c>
      <c r="C300" s="104"/>
      <c r="D300" s="108" t="s">
        <v>585</v>
      </c>
      <c r="E300" s="104" t="s">
        <v>180</v>
      </c>
      <c r="F300" s="107">
        <v>46049</v>
      </c>
      <c r="G300" s="104" t="s">
        <v>586</v>
      </c>
      <c r="H300" s="102">
        <v>54229</v>
      </c>
      <c r="I300" s="102">
        <v>0</v>
      </c>
      <c r="J300" s="102">
        <v>0</v>
      </c>
      <c r="K300" s="102">
        <v>0</v>
      </c>
      <c r="L300" s="97">
        <v>54229</v>
      </c>
      <c r="M300" s="81" t="s">
        <v>389</v>
      </c>
      <c r="N300" s="82">
        <v>46049</v>
      </c>
      <c r="O300" s="79">
        <v>54229</v>
      </c>
      <c r="P300" s="84" t="s">
        <v>488</v>
      </c>
      <c r="Q300" s="83" t="s">
        <v>303</v>
      </c>
    </row>
    <row r="301" spans="1:17" ht="15" customHeight="1">
      <c r="A301" s="81" t="s">
        <v>62</v>
      </c>
      <c r="B301" s="104" t="s">
        <v>403</v>
      </c>
      <c r="C301" s="104"/>
      <c r="D301" s="108" t="s">
        <v>587</v>
      </c>
      <c r="E301" s="104" t="s">
        <v>180</v>
      </c>
      <c r="F301" s="107">
        <v>46126</v>
      </c>
      <c r="G301" s="104" t="s">
        <v>586</v>
      </c>
      <c r="H301" s="102">
        <v>68429</v>
      </c>
      <c r="I301" s="102">
        <v>0</v>
      </c>
      <c r="J301" s="102">
        <v>0</v>
      </c>
      <c r="K301" s="102">
        <v>0</v>
      </c>
      <c r="L301" s="97">
        <v>68429</v>
      </c>
      <c r="M301" s="81" t="s">
        <v>389</v>
      </c>
      <c r="N301" s="82">
        <v>46126</v>
      </c>
      <c r="O301" s="79">
        <v>68429</v>
      </c>
      <c r="P301" s="84" t="s">
        <v>488</v>
      </c>
      <c r="Q301" s="83" t="s">
        <v>303</v>
      </c>
    </row>
    <row r="302" spans="1:17" ht="15" customHeight="1">
      <c r="A302" s="81" t="s">
        <v>62</v>
      </c>
      <c r="B302" s="104" t="s">
        <v>403</v>
      </c>
      <c r="C302" s="104"/>
      <c r="D302" s="108" t="s">
        <v>588</v>
      </c>
      <c r="E302" s="104" t="s">
        <v>180</v>
      </c>
      <c r="F302" s="107">
        <v>46156</v>
      </c>
      <c r="G302" s="104" t="s">
        <v>586</v>
      </c>
      <c r="H302" s="102">
        <v>68429</v>
      </c>
      <c r="I302" s="102">
        <v>0</v>
      </c>
      <c r="J302" s="102">
        <v>0</v>
      </c>
      <c r="K302" s="102">
        <v>0</v>
      </c>
      <c r="L302" s="97">
        <v>68429</v>
      </c>
      <c r="M302" s="81" t="s">
        <v>389</v>
      </c>
      <c r="N302" s="82">
        <v>46156</v>
      </c>
      <c r="O302" s="79">
        <v>68429</v>
      </c>
      <c r="P302" s="84"/>
      <c r="Q302" s="85" t="s">
        <v>589</v>
      </c>
    </row>
    <row r="303" spans="1:17" ht="15" customHeight="1">
      <c r="A303" s="81" t="s">
        <v>62</v>
      </c>
      <c r="B303" s="104" t="s">
        <v>403</v>
      </c>
      <c r="C303" s="104"/>
      <c r="D303" s="108" t="s">
        <v>588</v>
      </c>
      <c r="E303" s="104" t="s">
        <v>180</v>
      </c>
      <c r="F303" s="107">
        <v>46187</v>
      </c>
      <c r="G303" s="104" t="s">
        <v>586</v>
      </c>
      <c r="H303" s="102">
        <v>68429</v>
      </c>
      <c r="I303" s="102">
        <v>0</v>
      </c>
      <c r="J303" s="102">
        <v>0</v>
      </c>
      <c r="K303" s="102">
        <v>0</v>
      </c>
      <c r="L303" s="97">
        <v>68429</v>
      </c>
      <c r="M303" s="81" t="s">
        <v>389</v>
      </c>
      <c r="N303" s="82">
        <v>46187</v>
      </c>
      <c r="O303" s="79">
        <v>68429</v>
      </c>
      <c r="P303" s="84"/>
      <c r="Q303" s="85" t="s">
        <v>589</v>
      </c>
    </row>
    <row r="304" spans="1:17" ht="15" customHeight="1">
      <c r="A304" s="81" t="s">
        <v>62</v>
      </c>
      <c r="B304" s="104" t="s">
        <v>403</v>
      </c>
      <c r="C304" s="104"/>
      <c r="D304" s="108" t="s">
        <v>588</v>
      </c>
      <c r="E304" s="104" t="s">
        <v>180</v>
      </c>
      <c r="F304" s="107">
        <v>46217</v>
      </c>
      <c r="G304" s="104" t="s">
        <v>586</v>
      </c>
      <c r="H304" s="102">
        <v>68429</v>
      </c>
      <c r="I304" s="102">
        <v>0</v>
      </c>
      <c r="J304" s="102">
        <v>0</v>
      </c>
      <c r="K304" s="102">
        <v>0</v>
      </c>
      <c r="L304" s="97">
        <v>68429</v>
      </c>
      <c r="M304" s="81" t="s">
        <v>389</v>
      </c>
      <c r="N304" s="82">
        <v>46217</v>
      </c>
      <c r="O304" s="79">
        <v>68429</v>
      </c>
      <c r="P304" s="84"/>
      <c r="Q304" s="85" t="s">
        <v>589</v>
      </c>
    </row>
    <row r="305" spans="1:17" ht="15" customHeight="1">
      <c r="A305" s="81" t="s">
        <v>62</v>
      </c>
      <c r="B305" s="104" t="s">
        <v>403</v>
      </c>
      <c r="C305" s="104"/>
      <c r="D305" s="108" t="s">
        <v>588</v>
      </c>
      <c r="E305" s="104" t="s">
        <v>180</v>
      </c>
      <c r="F305" s="107">
        <v>46248</v>
      </c>
      <c r="G305" s="104" t="s">
        <v>586</v>
      </c>
      <c r="H305" s="102">
        <v>68429</v>
      </c>
      <c r="I305" s="102">
        <v>0</v>
      </c>
      <c r="J305" s="102">
        <v>0</v>
      </c>
      <c r="K305" s="102">
        <v>0</v>
      </c>
      <c r="L305" s="97">
        <v>68429</v>
      </c>
      <c r="M305" s="81" t="s">
        <v>389</v>
      </c>
      <c r="N305" s="82">
        <v>46248</v>
      </c>
      <c r="O305" s="79">
        <v>68429</v>
      </c>
      <c r="P305" s="84"/>
      <c r="Q305" s="85" t="s">
        <v>589</v>
      </c>
    </row>
    <row r="306" spans="1:17" ht="15" customHeight="1">
      <c r="A306" s="76" t="s">
        <v>58</v>
      </c>
      <c r="B306" s="98" t="s">
        <v>403</v>
      </c>
      <c r="C306" s="99"/>
      <c r="D306" s="100" t="s">
        <v>590</v>
      </c>
      <c r="E306" s="98" t="s">
        <v>174</v>
      </c>
      <c r="F306" s="101">
        <v>46172</v>
      </c>
      <c r="G306" s="98" t="s">
        <v>591</v>
      </c>
      <c r="H306" s="102">
        <v>2300000</v>
      </c>
      <c r="I306" s="102">
        <v>0</v>
      </c>
      <c r="J306" s="102">
        <v>0</v>
      </c>
      <c r="K306" s="102">
        <v>0</v>
      </c>
      <c r="L306" s="97">
        <v>2300000</v>
      </c>
      <c r="M306" s="76" t="s">
        <v>83</v>
      </c>
      <c r="N306" s="77">
        <v>46172</v>
      </c>
      <c r="O306" s="79">
        <v>2300000</v>
      </c>
      <c r="P306" s="73"/>
      <c r="Q306" s="78" t="s">
        <v>592</v>
      </c>
    </row>
    <row r="307" spans="1:17" ht="15" customHeight="1">
      <c r="A307" s="76" t="s">
        <v>58</v>
      </c>
      <c r="B307" s="98" t="s">
        <v>403</v>
      </c>
      <c r="C307" s="98"/>
      <c r="D307" s="100" t="s">
        <v>590</v>
      </c>
      <c r="E307" s="98" t="s">
        <v>174</v>
      </c>
      <c r="F307" s="101">
        <v>46203</v>
      </c>
      <c r="G307" s="98" t="s">
        <v>591</v>
      </c>
      <c r="H307" s="102">
        <v>2300000</v>
      </c>
      <c r="I307" s="102">
        <v>0</v>
      </c>
      <c r="J307" s="102">
        <v>0</v>
      </c>
      <c r="K307" s="102">
        <v>0</v>
      </c>
      <c r="L307" s="97">
        <v>2300000</v>
      </c>
      <c r="M307" s="76" t="s">
        <v>83</v>
      </c>
      <c r="N307" s="77">
        <v>46203</v>
      </c>
      <c r="O307" s="79">
        <v>2300000</v>
      </c>
      <c r="P307" s="73"/>
      <c r="Q307" s="78" t="s">
        <v>592</v>
      </c>
    </row>
    <row r="308" spans="1:17" ht="15" customHeight="1">
      <c r="A308" s="76" t="s">
        <v>58</v>
      </c>
      <c r="B308" s="98" t="s">
        <v>403</v>
      </c>
      <c r="C308" s="98"/>
      <c r="D308" s="100" t="s">
        <v>590</v>
      </c>
      <c r="E308" s="98" t="s">
        <v>174</v>
      </c>
      <c r="F308" s="101">
        <v>46233</v>
      </c>
      <c r="G308" s="98" t="s">
        <v>591</v>
      </c>
      <c r="H308" s="102">
        <v>2300000</v>
      </c>
      <c r="I308" s="102">
        <v>0</v>
      </c>
      <c r="J308" s="102">
        <v>0</v>
      </c>
      <c r="K308" s="102">
        <v>0</v>
      </c>
      <c r="L308" s="97">
        <v>2300000</v>
      </c>
      <c r="M308" s="76" t="s">
        <v>83</v>
      </c>
      <c r="N308" s="77">
        <v>46233</v>
      </c>
      <c r="O308" s="79">
        <v>2300000</v>
      </c>
      <c r="P308" s="73"/>
      <c r="Q308" s="78" t="s">
        <v>592</v>
      </c>
    </row>
    <row r="309" spans="1:17" ht="15" customHeight="1">
      <c r="A309" s="76" t="s">
        <v>58</v>
      </c>
      <c r="B309" s="98" t="s">
        <v>403</v>
      </c>
      <c r="C309" s="98"/>
      <c r="D309" s="100" t="s">
        <v>590</v>
      </c>
      <c r="E309" s="98" t="s">
        <v>174</v>
      </c>
      <c r="F309" s="101">
        <v>46264</v>
      </c>
      <c r="G309" s="98" t="s">
        <v>591</v>
      </c>
      <c r="H309" s="102">
        <v>2300000</v>
      </c>
      <c r="I309" s="102">
        <v>0</v>
      </c>
      <c r="J309" s="102">
        <v>0</v>
      </c>
      <c r="K309" s="102">
        <v>0</v>
      </c>
      <c r="L309" s="97">
        <v>2300000</v>
      </c>
      <c r="M309" s="76" t="s">
        <v>83</v>
      </c>
      <c r="N309" s="77">
        <v>46264</v>
      </c>
      <c r="O309" s="79">
        <v>2300000</v>
      </c>
      <c r="P309" s="73"/>
      <c r="Q309" s="78" t="s">
        <v>592</v>
      </c>
    </row>
    <row r="310" spans="1:17" ht="15" customHeight="1">
      <c r="A310" s="76" t="s">
        <v>58</v>
      </c>
      <c r="B310" s="98" t="s">
        <v>403</v>
      </c>
      <c r="C310" s="98"/>
      <c r="D310" s="103" t="s">
        <v>593</v>
      </c>
      <c r="E310" s="98" t="s">
        <v>164</v>
      </c>
      <c r="F310" s="101">
        <v>46170</v>
      </c>
      <c r="G310" s="98" t="s">
        <v>591</v>
      </c>
      <c r="H310" s="102">
        <v>1121818</v>
      </c>
      <c r="I310" s="102">
        <v>0</v>
      </c>
      <c r="J310" s="102">
        <v>0</v>
      </c>
      <c r="K310" s="102">
        <v>0</v>
      </c>
      <c r="L310" s="97">
        <v>1121818</v>
      </c>
      <c r="M310" s="76" t="s">
        <v>83</v>
      </c>
      <c r="N310" s="77">
        <v>46170</v>
      </c>
      <c r="O310" s="79">
        <v>1121818</v>
      </c>
      <c r="P310" s="73"/>
      <c r="Q310" s="78" t="s">
        <v>592</v>
      </c>
    </row>
    <row r="311" spans="1:17" ht="15" customHeight="1">
      <c r="A311" s="76" t="s">
        <v>58</v>
      </c>
      <c r="B311" s="98" t="s">
        <v>403</v>
      </c>
      <c r="C311" s="98"/>
      <c r="D311" s="103" t="s">
        <v>593</v>
      </c>
      <c r="E311" s="98" t="s">
        <v>164</v>
      </c>
      <c r="F311" s="101">
        <v>46201</v>
      </c>
      <c r="G311" s="98" t="s">
        <v>591</v>
      </c>
      <c r="H311" s="102">
        <v>1121818</v>
      </c>
      <c r="I311" s="102">
        <v>0</v>
      </c>
      <c r="J311" s="102">
        <v>0</v>
      </c>
      <c r="K311" s="102">
        <v>0</v>
      </c>
      <c r="L311" s="97">
        <v>1121818</v>
      </c>
      <c r="M311" s="76" t="s">
        <v>83</v>
      </c>
      <c r="N311" s="77">
        <v>46201</v>
      </c>
      <c r="O311" s="79">
        <v>1121818</v>
      </c>
      <c r="P311" s="73"/>
      <c r="Q311" s="78" t="s">
        <v>592</v>
      </c>
    </row>
    <row r="312" spans="1:17" ht="15" customHeight="1">
      <c r="A312" s="76" t="s">
        <v>58</v>
      </c>
      <c r="B312" s="98" t="s">
        <v>403</v>
      </c>
      <c r="C312" s="98"/>
      <c r="D312" s="103" t="s">
        <v>593</v>
      </c>
      <c r="E312" s="98" t="s">
        <v>164</v>
      </c>
      <c r="F312" s="101">
        <v>46231</v>
      </c>
      <c r="G312" s="98" t="s">
        <v>591</v>
      </c>
      <c r="H312" s="102">
        <v>1121818</v>
      </c>
      <c r="I312" s="102">
        <v>0</v>
      </c>
      <c r="J312" s="102">
        <v>0</v>
      </c>
      <c r="K312" s="102">
        <v>0</v>
      </c>
      <c r="L312" s="97">
        <v>1121818</v>
      </c>
      <c r="M312" s="76" t="s">
        <v>83</v>
      </c>
      <c r="N312" s="77">
        <v>46231</v>
      </c>
      <c r="O312" s="79">
        <v>1121818</v>
      </c>
      <c r="P312" s="73"/>
      <c r="Q312" s="78" t="s">
        <v>592</v>
      </c>
    </row>
    <row r="313" spans="1:17" ht="15" customHeight="1">
      <c r="A313" s="76" t="s">
        <v>58</v>
      </c>
      <c r="B313" s="98" t="s">
        <v>403</v>
      </c>
      <c r="C313" s="98"/>
      <c r="D313" s="103" t="s">
        <v>593</v>
      </c>
      <c r="E313" s="98" t="s">
        <v>164</v>
      </c>
      <c r="F313" s="101">
        <v>46262</v>
      </c>
      <c r="G313" s="98" t="s">
        <v>591</v>
      </c>
      <c r="H313" s="102">
        <v>1121818</v>
      </c>
      <c r="I313" s="102">
        <v>0</v>
      </c>
      <c r="J313" s="102">
        <v>0</v>
      </c>
      <c r="K313" s="102">
        <v>0</v>
      </c>
      <c r="L313" s="97">
        <v>1121818</v>
      </c>
      <c r="M313" s="76" t="s">
        <v>83</v>
      </c>
      <c r="N313" s="77">
        <v>46262</v>
      </c>
      <c r="O313" s="79">
        <v>1121818</v>
      </c>
      <c r="P313" s="73"/>
      <c r="Q313" s="78" t="s">
        <v>592</v>
      </c>
    </row>
    <row r="314" spans="1:17" ht="15" customHeight="1">
      <c r="A314" s="76" t="s">
        <v>58</v>
      </c>
      <c r="B314" s="98" t="s">
        <v>403</v>
      </c>
      <c r="C314" s="98"/>
      <c r="D314" s="100" t="s">
        <v>594</v>
      </c>
      <c r="E314" s="98" t="s">
        <v>184</v>
      </c>
      <c r="F314" s="101">
        <v>46169</v>
      </c>
      <c r="G314" s="98" t="s">
        <v>591</v>
      </c>
      <c r="H314" s="102">
        <v>54305</v>
      </c>
      <c r="I314" s="102">
        <v>0</v>
      </c>
      <c r="J314" s="102">
        <v>0</v>
      </c>
      <c r="K314" s="102">
        <v>0</v>
      </c>
      <c r="L314" s="97">
        <v>54305</v>
      </c>
      <c r="M314" s="76" t="s">
        <v>83</v>
      </c>
      <c r="N314" s="77">
        <v>46169</v>
      </c>
      <c r="O314" s="79">
        <v>54305</v>
      </c>
      <c r="P314" s="73"/>
      <c r="Q314" s="78" t="s">
        <v>592</v>
      </c>
    </row>
    <row r="315" spans="1:17" ht="15" customHeight="1">
      <c r="A315" s="76" t="s">
        <v>58</v>
      </c>
      <c r="B315" s="98" t="s">
        <v>403</v>
      </c>
      <c r="C315" s="98"/>
      <c r="D315" s="100" t="s">
        <v>594</v>
      </c>
      <c r="E315" s="98" t="s">
        <v>184</v>
      </c>
      <c r="F315" s="101">
        <v>46200</v>
      </c>
      <c r="G315" s="98" t="s">
        <v>591</v>
      </c>
      <c r="H315" s="102">
        <v>54305</v>
      </c>
      <c r="I315" s="102">
        <v>0</v>
      </c>
      <c r="J315" s="102">
        <v>0</v>
      </c>
      <c r="K315" s="102">
        <v>0</v>
      </c>
      <c r="L315" s="97">
        <v>54305</v>
      </c>
      <c r="M315" s="76" t="s">
        <v>83</v>
      </c>
      <c r="N315" s="77">
        <v>46200</v>
      </c>
      <c r="O315" s="79">
        <v>54305</v>
      </c>
      <c r="P315" s="73"/>
      <c r="Q315" s="78" t="s">
        <v>592</v>
      </c>
    </row>
    <row r="316" spans="1:17" ht="15" customHeight="1">
      <c r="A316" s="76" t="s">
        <v>58</v>
      </c>
      <c r="B316" s="98" t="s">
        <v>403</v>
      </c>
      <c r="C316" s="98"/>
      <c r="D316" s="100" t="s">
        <v>594</v>
      </c>
      <c r="E316" s="98" t="s">
        <v>184</v>
      </c>
      <c r="F316" s="101">
        <v>46230</v>
      </c>
      <c r="G316" s="98" t="s">
        <v>591</v>
      </c>
      <c r="H316" s="102">
        <v>54305</v>
      </c>
      <c r="I316" s="102">
        <v>0</v>
      </c>
      <c r="J316" s="102">
        <v>0</v>
      </c>
      <c r="K316" s="102">
        <v>0</v>
      </c>
      <c r="L316" s="97">
        <v>54305</v>
      </c>
      <c r="M316" s="76" t="s">
        <v>83</v>
      </c>
      <c r="N316" s="77">
        <v>46230</v>
      </c>
      <c r="O316" s="79">
        <v>54305</v>
      </c>
      <c r="P316" s="73"/>
      <c r="Q316" s="78" t="s">
        <v>592</v>
      </c>
    </row>
    <row r="317" spans="1:17" ht="15" customHeight="1">
      <c r="A317" s="76" t="s">
        <v>58</v>
      </c>
      <c r="B317" s="98" t="s">
        <v>403</v>
      </c>
      <c r="C317" s="98"/>
      <c r="D317" s="100" t="s">
        <v>594</v>
      </c>
      <c r="E317" s="98" t="s">
        <v>184</v>
      </c>
      <c r="F317" s="101">
        <v>46261</v>
      </c>
      <c r="G317" s="98" t="s">
        <v>591</v>
      </c>
      <c r="H317" s="102">
        <v>54305</v>
      </c>
      <c r="I317" s="102">
        <v>0</v>
      </c>
      <c r="J317" s="102">
        <v>0</v>
      </c>
      <c r="K317" s="102">
        <v>0</v>
      </c>
      <c r="L317" s="97">
        <v>54305</v>
      </c>
      <c r="M317" s="76" t="s">
        <v>83</v>
      </c>
      <c r="N317" s="77">
        <v>46261</v>
      </c>
      <c r="O317" s="79">
        <v>54305</v>
      </c>
      <c r="P317" s="73"/>
      <c r="Q317" s="78" t="s">
        <v>592</v>
      </c>
    </row>
    <row r="318" spans="1:17" ht="15" customHeight="1">
      <c r="A318" s="76" t="s">
        <v>58</v>
      </c>
      <c r="B318" s="98" t="s">
        <v>403</v>
      </c>
      <c r="C318" s="98"/>
      <c r="D318" s="100" t="s">
        <v>595</v>
      </c>
      <c r="E318" s="98" t="s">
        <v>184</v>
      </c>
      <c r="F318" s="101">
        <v>46169</v>
      </c>
      <c r="G318" s="98" t="s">
        <v>591</v>
      </c>
      <c r="H318" s="102">
        <v>86597</v>
      </c>
      <c r="I318" s="102">
        <v>0</v>
      </c>
      <c r="J318" s="102">
        <v>0</v>
      </c>
      <c r="K318" s="102">
        <v>0</v>
      </c>
      <c r="L318" s="97">
        <v>86597</v>
      </c>
      <c r="M318" s="76" t="s">
        <v>83</v>
      </c>
      <c r="N318" s="77">
        <v>46169</v>
      </c>
      <c r="O318" s="79">
        <v>86597</v>
      </c>
      <c r="P318" s="73"/>
      <c r="Q318" s="78" t="s">
        <v>592</v>
      </c>
    </row>
    <row r="319" spans="1:17" ht="15" customHeight="1">
      <c r="A319" s="76" t="s">
        <v>58</v>
      </c>
      <c r="B319" s="98" t="s">
        <v>403</v>
      </c>
      <c r="C319" s="98"/>
      <c r="D319" s="100" t="s">
        <v>595</v>
      </c>
      <c r="E319" s="98" t="s">
        <v>184</v>
      </c>
      <c r="F319" s="101">
        <v>46200</v>
      </c>
      <c r="G319" s="98" t="s">
        <v>591</v>
      </c>
      <c r="H319" s="102">
        <v>86597</v>
      </c>
      <c r="I319" s="102">
        <v>0</v>
      </c>
      <c r="J319" s="102">
        <v>0</v>
      </c>
      <c r="K319" s="102">
        <v>0</v>
      </c>
      <c r="L319" s="97">
        <v>86597</v>
      </c>
      <c r="M319" s="76" t="s">
        <v>83</v>
      </c>
      <c r="N319" s="77">
        <v>46200</v>
      </c>
      <c r="O319" s="79">
        <v>86597</v>
      </c>
      <c r="P319" s="73"/>
      <c r="Q319" s="78" t="s">
        <v>592</v>
      </c>
    </row>
    <row r="320" spans="1:17" ht="15" customHeight="1">
      <c r="A320" s="76" t="s">
        <v>58</v>
      </c>
      <c r="B320" s="98" t="s">
        <v>403</v>
      </c>
      <c r="C320" s="98"/>
      <c r="D320" s="100" t="s">
        <v>595</v>
      </c>
      <c r="E320" s="98" t="s">
        <v>184</v>
      </c>
      <c r="F320" s="101">
        <v>46230</v>
      </c>
      <c r="G320" s="98" t="s">
        <v>591</v>
      </c>
      <c r="H320" s="102">
        <v>86597</v>
      </c>
      <c r="I320" s="102">
        <v>0</v>
      </c>
      <c r="J320" s="102">
        <v>0</v>
      </c>
      <c r="K320" s="102">
        <v>0</v>
      </c>
      <c r="L320" s="97">
        <v>86597</v>
      </c>
      <c r="M320" s="76" t="s">
        <v>83</v>
      </c>
      <c r="N320" s="77">
        <v>46230</v>
      </c>
      <c r="O320" s="79">
        <v>86597</v>
      </c>
      <c r="P320" s="73"/>
      <c r="Q320" s="78" t="s">
        <v>592</v>
      </c>
    </row>
    <row r="321" spans="1:17" ht="15" customHeight="1">
      <c r="A321" s="76" t="s">
        <v>58</v>
      </c>
      <c r="B321" s="98" t="s">
        <v>403</v>
      </c>
      <c r="C321" s="98"/>
      <c r="D321" s="100" t="s">
        <v>595</v>
      </c>
      <c r="E321" s="98" t="s">
        <v>184</v>
      </c>
      <c r="F321" s="101">
        <v>46261</v>
      </c>
      <c r="G321" s="98" t="s">
        <v>591</v>
      </c>
      <c r="H321" s="102">
        <v>86597</v>
      </c>
      <c r="I321" s="102">
        <v>0</v>
      </c>
      <c r="J321" s="102">
        <v>0</v>
      </c>
      <c r="K321" s="102">
        <v>0</v>
      </c>
      <c r="L321" s="97">
        <v>86597</v>
      </c>
      <c r="M321" s="76" t="s">
        <v>83</v>
      </c>
      <c r="N321" s="77">
        <v>46261</v>
      </c>
      <c r="O321" s="79">
        <v>86597</v>
      </c>
      <c r="P321" s="73"/>
      <c r="Q321" s="78" t="s">
        <v>592</v>
      </c>
    </row>
    <row r="322" spans="1:17" ht="15" customHeight="1">
      <c r="A322" s="76" t="s">
        <v>58</v>
      </c>
      <c r="B322" s="98" t="s">
        <v>403</v>
      </c>
      <c r="C322" s="98"/>
      <c r="D322" s="100" t="s">
        <v>596</v>
      </c>
      <c r="E322" s="98" t="s">
        <v>180</v>
      </c>
      <c r="F322" s="101">
        <v>46173</v>
      </c>
      <c r="G322" s="98" t="s">
        <v>591</v>
      </c>
      <c r="H322" s="102">
        <v>170000</v>
      </c>
      <c r="I322" s="102">
        <v>0</v>
      </c>
      <c r="J322" s="102">
        <v>0</v>
      </c>
      <c r="K322" s="102">
        <v>0</v>
      </c>
      <c r="L322" s="97">
        <v>170000</v>
      </c>
      <c r="M322" s="76" t="s">
        <v>389</v>
      </c>
      <c r="N322" s="77">
        <v>46173</v>
      </c>
      <c r="O322" s="79">
        <v>170000</v>
      </c>
      <c r="P322" s="73"/>
      <c r="Q322" s="78" t="s">
        <v>592</v>
      </c>
    </row>
    <row r="323" spans="1:17" ht="15" customHeight="1">
      <c r="A323" s="76" t="s">
        <v>58</v>
      </c>
      <c r="B323" s="98" t="s">
        <v>403</v>
      </c>
      <c r="C323" s="98"/>
      <c r="D323" s="100" t="s">
        <v>596</v>
      </c>
      <c r="E323" s="98" t="s">
        <v>180</v>
      </c>
      <c r="F323" s="101">
        <v>46203</v>
      </c>
      <c r="G323" s="98" t="s">
        <v>591</v>
      </c>
      <c r="H323" s="102">
        <v>170000</v>
      </c>
      <c r="I323" s="102">
        <v>0</v>
      </c>
      <c r="J323" s="102">
        <v>0</v>
      </c>
      <c r="K323" s="102">
        <v>0</v>
      </c>
      <c r="L323" s="97">
        <v>170000</v>
      </c>
      <c r="M323" s="76" t="s">
        <v>389</v>
      </c>
      <c r="N323" s="77">
        <v>46203</v>
      </c>
      <c r="O323" s="79">
        <v>170000</v>
      </c>
      <c r="P323" s="73"/>
      <c r="Q323" s="78" t="s">
        <v>592</v>
      </c>
    </row>
    <row r="324" spans="1:17" ht="15" customHeight="1">
      <c r="A324" s="76" t="s">
        <v>58</v>
      </c>
      <c r="B324" s="98" t="s">
        <v>403</v>
      </c>
      <c r="C324" s="98"/>
      <c r="D324" s="100" t="s">
        <v>596</v>
      </c>
      <c r="E324" s="98" t="s">
        <v>180</v>
      </c>
      <c r="F324" s="101">
        <v>46234</v>
      </c>
      <c r="G324" s="98" t="s">
        <v>591</v>
      </c>
      <c r="H324" s="102">
        <v>170000</v>
      </c>
      <c r="I324" s="102">
        <v>0</v>
      </c>
      <c r="J324" s="102">
        <v>0</v>
      </c>
      <c r="K324" s="102">
        <v>0</v>
      </c>
      <c r="L324" s="97">
        <v>170000</v>
      </c>
      <c r="M324" s="76" t="s">
        <v>389</v>
      </c>
      <c r="N324" s="77">
        <v>46234</v>
      </c>
      <c r="O324" s="79">
        <v>170000</v>
      </c>
      <c r="P324" s="73"/>
      <c r="Q324" s="78" t="s">
        <v>592</v>
      </c>
    </row>
    <row r="325" spans="1:17" ht="15" customHeight="1">
      <c r="A325" s="76" t="s">
        <v>58</v>
      </c>
      <c r="B325" s="98" t="s">
        <v>403</v>
      </c>
      <c r="C325" s="98"/>
      <c r="D325" s="100" t="s">
        <v>596</v>
      </c>
      <c r="E325" s="98" t="s">
        <v>180</v>
      </c>
      <c r="F325" s="101">
        <v>46265</v>
      </c>
      <c r="G325" s="98" t="s">
        <v>591</v>
      </c>
      <c r="H325" s="102">
        <v>170000</v>
      </c>
      <c r="I325" s="102">
        <v>0</v>
      </c>
      <c r="J325" s="102">
        <v>0</v>
      </c>
      <c r="K325" s="102">
        <v>0</v>
      </c>
      <c r="L325" s="97">
        <v>170000</v>
      </c>
      <c r="M325" s="76" t="s">
        <v>389</v>
      </c>
      <c r="N325" s="77">
        <v>46265</v>
      </c>
      <c r="O325" s="79">
        <v>170000</v>
      </c>
      <c r="P325" s="73"/>
      <c r="Q325" s="78" t="s">
        <v>592</v>
      </c>
    </row>
    <row r="326" spans="1:17" ht="15" customHeight="1">
      <c r="A326" s="76" t="s">
        <v>58</v>
      </c>
      <c r="B326" s="98" t="s">
        <v>403</v>
      </c>
      <c r="C326" s="98"/>
      <c r="D326" s="100" t="s">
        <v>597</v>
      </c>
      <c r="E326" s="98" t="s">
        <v>179</v>
      </c>
      <c r="F326" s="101">
        <v>46148</v>
      </c>
      <c r="G326" s="98" t="s">
        <v>591</v>
      </c>
      <c r="H326" s="102">
        <v>114510</v>
      </c>
      <c r="I326" s="102">
        <v>0</v>
      </c>
      <c r="J326" s="102">
        <v>0</v>
      </c>
      <c r="K326" s="102">
        <v>0</v>
      </c>
      <c r="L326" s="97">
        <v>114510</v>
      </c>
      <c r="M326" s="76" t="s">
        <v>389</v>
      </c>
      <c r="N326" s="77">
        <v>46148</v>
      </c>
      <c r="O326" s="79">
        <v>114510</v>
      </c>
      <c r="P326" s="73"/>
      <c r="Q326" s="78" t="s">
        <v>592</v>
      </c>
    </row>
    <row r="327" spans="1:17" ht="15" customHeight="1">
      <c r="A327" s="76" t="s">
        <v>58</v>
      </c>
      <c r="B327" s="98" t="s">
        <v>403</v>
      </c>
      <c r="C327" s="98"/>
      <c r="D327" s="100" t="s">
        <v>597</v>
      </c>
      <c r="E327" s="98" t="s">
        <v>179</v>
      </c>
      <c r="F327" s="101">
        <v>46179</v>
      </c>
      <c r="G327" s="98" t="s">
        <v>591</v>
      </c>
      <c r="H327" s="102">
        <v>114510</v>
      </c>
      <c r="I327" s="102">
        <v>0</v>
      </c>
      <c r="J327" s="102">
        <v>0</v>
      </c>
      <c r="K327" s="102">
        <v>0</v>
      </c>
      <c r="L327" s="97">
        <v>114510</v>
      </c>
      <c r="M327" s="76" t="s">
        <v>389</v>
      </c>
      <c r="N327" s="77">
        <v>46179</v>
      </c>
      <c r="O327" s="79">
        <v>114510</v>
      </c>
      <c r="P327" s="73"/>
      <c r="Q327" s="78" t="s">
        <v>592</v>
      </c>
    </row>
    <row r="328" spans="1:17" ht="15" customHeight="1">
      <c r="A328" s="76" t="s">
        <v>58</v>
      </c>
      <c r="B328" s="98" t="s">
        <v>403</v>
      </c>
      <c r="C328" s="98"/>
      <c r="D328" s="100" t="s">
        <v>597</v>
      </c>
      <c r="E328" s="98" t="s">
        <v>179</v>
      </c>
      <c r="F328" s="101">
        <v>46209</v>
      </c>
      <c r="G328" s="98" t="s">
        <v>591</v>
      </c>
      <c r="H328" s="102">
        <v>114510</v>
      </c>
      <c r="I328" s="102">
        <v>0</v>
      </c>
      <c r="J328" s="102">
        <v>0</v>
      </c>
      <c r="K328" s="102">
        <v>0</v>
      </c>
      <c r="L328" s="97">
        <v>114510</v>
      </c>
      <c r="M328" s="76" t="s">
        <v>389</v>
      </c>
      <c r="N328" s="77">
        <v>46209</v>
      </c>
      <c r="O328" s="79">
        <v>114510</v>
      </c>
      <c r="P328" s="73"/>
      <c r="Q328" s="78" t="s">
        <v>592</v>
      </c>
    </row>
    <row r="329" spans="1:17" ht="15" customHeight="1">
      <c r="A329" s="76" t="s">
        <v>58</v>
      </c>
      <c r="B329" s="98" t="s">
        <v>403</v>
      </c>
      <c r="C329" s="98"/>
      <c r="D329" s="100" t="s">
        <v>597</v>
      </c>
      <c r="E329" s="98" t="s">
        <v>179</v>
      </c>
      <c r="F329" s="101">
        <v>46240</v>
      </c>
      <c r="G329" s="98" t="s">
        <v>591</v>
      </c>
      <c r="H329" s="102">
        <v>114510</v>
      </c>
      <c r="I329" s="102">
        <v>0</v>
      </c>
      <c r="J329" s="102">
        <v>0</v>
      </c>
      <c r="K329" s="102">
        <v>0</v>
      </c>
      <c r="L329" s="97">
        <v>114510</v>
      </c>
      <c r="M329" s="76" t="s">
        <v>389</v>
      </c>
      <c r="N329" s="77">
        <v>46240</v>
      </c>
      <c r="O329" s="79">
        <v>114510</v>
      </c>
      <c r="P329" s="73"/>
      <c r="Q329" s="78" t="s">
        <v>592</v>
      </c>
    </row>
    <row r="330" spans="1:17" ht="15" customHeight="1">
      <c r="A330" s="76" t="s">
        <v>58</v>
      </c>
      <c r="B330" s="98" t="s">
        <v>403</v>
      </c>
      <c r="C330" s="98"/>
      <c r="D330" s="100" t="s">
        <v>598</v>
      </c>
      <c r="E330" s="98" t="s">
        <v>179</v>
      </c>
      <c r="F330" s="101">
        <v>46148</v>
      </c>
      <c r="G330" s="98" t="s">
        <v>591</v>
      </c>
      <c r="H330" s="102">
        <v>114510</v>
      </c>
      <c r="I330" s="102">
        <v>0</v>
      </c>
      <c r="J330" s="102">
        <v>0</v>
      </c>
      <c r="K330" s="102">
        <v>0</v>
      </c>
      <c r="L330" s="97">
        <v>114510</v>
      </c>
      <c r="M330" s="76" t="s">
        <v>389</v>
      </c>
      <c r="N330" s="77">
        <v>46148</v>
      </c>
      <c r="O330" s="79">
        <v>114510</v>
      </c>
      <c r="P330" s="73"/>
      <c r="Q330" s="78" t="s">
        <v>592</v>
      </c>
    </row>
    <row r="331" spans="1:17" ht="15" customHeight="1">
      <c r="A331" s="76" t="s">
        <v>58</v>
      </c>
      <c r="B331" s="98" t="s">
        <v>403</v>
      </c>
      <c r="C331" s="98"/>
      <c r="D331" s="100" t="s">
        <v>598</v>
      </c>
      <c r="E331" s="98" t="s">
        <v>179</v>
      </c>
      <c r="F331" s="101">
        <v>46179</v>
      </c>
      <c r="G331" s="98" t="s">
        <v>591</v>
      </c>
      <c r="H331" s="102">
        <v>114510</v>
      </c>
      <c r="I331" s="102">
        <v>0</v>
      </c>
      <c r="J331" s="102">
        <v>0</v>
      </c>
      <c r="K331" s="102">
        <v>0</v>
      </c>
      <c r="L331" s="97">
        <v>114510</v>
      </c>
      <c r="M331" s="76" t="s">
        <v>389</v>
      </c>
      <c r="N331" s="77">
        <v>46179</v>
      </c>
      <c r="O331" s="79">
        <v>114510</v>
      </c>
      <c r="P331" s="73"/>
      <c r="Q331" s="78" t="s">
        <v>592</v>
      </c>
    </row>
    <row r="332" spans="1:17" ht="15" customHeight="1">
      <c r="A332" s="76" t="s">
        <v>58</v>
      </c>
      <c r="B332" s="98" t="s">
        <v>403</v>
      </c>
      <c r="C332" s="98"/>
      <c r="D332" s="100" t="s">
        <v>598</v>
      </c>
      <c r="E332" s="98" t="s">
        <v>179</v>
      </c>
      <c r="F332" s="101">
        <v>46209</v>
      </c>
      <c r="G332" s="98" t="s">
        <v>591</v>
      </c>
      <c r="H332" s="102">
        <v>114510</v>
      </c>
      <c r="I332" s="102">
        <v>0</v>
      </c>
      <c r="J332" s="102">
        <v>0</v>
      </c>
      <c r="K332" s="102">
        <v>0</v>
      </c>
      <c r="L332" s="97">
        <v>114510</v>
      </c>
      <c r="M332" s="76" t="s">
        <v>389</v>
      </c>
      <c r="N332" s="77">
        <v>46209</v>
      </c>
      <c r="O332" s="79">
        <v>114510</v>
      </c>
      <c r="P332" s="73"/>
      <c r="Q332" s="78" t="s">
        <v>592</v>
      </c>
    </row>
    <row r="333" spans="1:17" ht="15" customHeight="1">
      <c r="A333" s="76" t="s">
        <v>58</v>
      </c>
      <c r="B333" s="98" t="s">
        <v>403</v>
      </c>
      <c r="C333" s="98"/>
      <c r="D333" s="100" t="s">
        <v>598</v>
      </c>
      <c r="E333" s="98" t="s">
        <v>179</v>
      </c>
      <c r="F333" s="101">
        <v>46240</v>
      </c>
      <c r="G333" s="98" t="s">
        <v>591</v>
      </c>
      <c r="H333" s="102">
        <v>114510</v>
      </c>
      <c r="I333" s="102">
        <v>0</v>
      </c>
      <c r="J333" s="102">
        <v>0</v>
      </c>
      <c r="K333" s="102">
        <v>0</v>
      </c>
      <c r="L333" s="97">
        <v>114510</v>
      </c>
      <c r="M333" s="76" t="s">
        <v>389</v>
      </c>
      <c r="N333" s="77">
        <v>46240</v>
      </c>
      <c r="O333" s="79">
        <v>114510</v>
      </c>
      <c r="P333" s="73"/>
      <c r="Q333" s="78" t="s">
        <v>592</v>
      </c>
    </row>
    <row r="334" spans="1:17" ht="15" customHeight="1">
      <c r="A334" s="76" t="s">
        <v>58</v>
      </c>
      <c r="B334" s="98" t="s">
        <v>403</v>
      </c>
      <c r="C334" s="98"/>
      <c r="D334" s="100" t="s">
        <v>599</v>
      </c>
      <c r="E334" s="98" t="s">
        <v>180</v>
      </c>
      <c r="F334" s="101">
        <v>46145</v>
      </c>
      <c r="G334" s="98" t="s">
        <v>591</v>
      </c>
      <c r="H334" s="102">
        <v>800000</v>
      </c>
      <c r="I334" s="102">
        <v>0</v>
      </c>
      <c r="J334" s="102">
        <v>0</v>
      </c>
      <c r="K334" s="102">
        <v>0</v>
      </c>
      <c r="L334" s="97">
        <v>800000</v>
      </c>
      <c r="M334" s="76" t="s">
        <v>389</v>
      </c>
      <c r="N334" s="77">
        <v>46145</v>
      </c>
      <c r="O334" s="79">
        <v>800000</v>
      </c>
      <c r="P334" s="73"/>
      <c r="Q334" s="78" t="s">
        <v>592</v>
      </c>
    </row>
    <row r="335" spans="1:17" ht="15" customHeight="1">
      <c r="A335" s="76" t="s">
        <v>58</v>
      </c>
      <c r="B335" s="98" t="s">
        <v>403</v>
      </c>
      <c r="C335" s="98"/>
      <c r="D335" s="100" t="s">
        <v>599</v>
      </c>
      <c r="E335" s="98" t="s">
        <v>180</v>
      </c>
      <c r="F335" s="101">
        <v>46176</v>
      </c>
      <c r="G335" s="98" t="s">
        <v>591</v>
      </c>
      <c r="H335" s="102">
        <v>800000</v>
      </c>
      <c r="I335" s="102">
        <v>0</v>
      </c>
      <c r="J335" s="102">
        <v>0</v>
      </c>
      <c r="K335" s="102">
        <v>0</v>
      </c>
      <c r="L335" s="97">
        <v>800000</v>
      </c>
      <c r="M335" s="76" t="s">
        <v>389</v>
      </c>
      <c r="N335" s="77">
        <v>46176</v>
      </c>
      <c r="O335" s="79">
        <v>800000</v>
      </c>
      <c r="P335" s="73"/>
      <c r="Q335" s="78" t="s">
        <v>592</v>
      </c>
    </row>
    <row r="336" spans="1:17" ht="15" customHeight="1">
      <c r="A336" s="76" t="s">
        <v>58</v>
      </c>
      <c r="B336" s="98" t="s">
        <v>403</v>
      </c>
      <c r="C336" s="98"/>
      <c r="D336" s="100" t="s">
        <v>599</v>
      </c>
      <c r="E336" s="98" t="s">
        <v>180</v>
      </c>
      <c r="F336" s="101">
        <v>46206</v>
      </c>
      <c r="G336" s="98" t="s">
        <v>591</v>
      </c>
      <c r="H336" s="102">
        <v>800000</v>
      </c>
      <c r="I336" s="102">
        <v>0</v>
      </c>
      <c r="J336" s="102">
        <v>0</v>
      </c>
      <c r="K336" s="102">
        <v>0</v>
      </c>
      <c r="L336" s="97">
        <v>800000</v>
      </c>
      <c r="M336" s="76" t="s">
        <v>389</v>
      </c>
      <c r="N336" s="77">
        <v>46206</v>
      </c>
      <c r="O336" s="79">
        <v>800000</v>
      </c>
      <c r="P336" s="73"/>
      <c r="Q336" s="78" t="s">
        <v>592</v>
      </c>
    </row>
    <row r="337" spans="1:17" ht="15" customHeight="1">
      <c r="A337" s="76" t="s">
        <v>58</v>
      </c>
      <c r="B337" s="98" t="s">
        <v>403</v>
      </c>
      <c r="C337" s="98"/>
      <c r="D337" s="100" t="s">
        <v>599</v>
      </c>
      <c r="E337" s="98" t="s">
        <v>180</v>
      </c>
      <c r="F337" s="101">
        <v>46237</v>
      </c>
      <c r="G337" s="98" t="s">
        <v>591</v>
      </c>
      <c r="H337" s="102">
        <v>800000</v>
      </c>
      <c r="I337" s="102">
        <v>0</v>
      </c>
      <c r="J337" s="102">
        <v>0</v>
      </c>
      <c r="K337" s="102">
        <v>0</v>
      </c>
      <c r="L337" s="97">
        <v>800000</v>
      </c>
      <c r="M337" s="76" t="s">
        <v>389</v>
      </c>
      <c r="N337" s="77">
        <v>46237</v>
      </c>
      <c r="O337" s="79">
        <v>800000</v>
      </c>
      <c r="P337" s="73"/>
      <c r="Q337" s="78" t="s">
        <v>592</v>
      </c>
    </row>
    <row r="338" spans="1:17" ht="15" customHeight="1">
      <c r="A338" s="76" t="s">
        <v>58</v>
      </c>
      <c r="B338" s="98" t="s">
        <v>403</v>
      </c>
      <c r="C338" s="98"/>
      <c r="D338" s="100" t="s">
        <v>600</v>
      </c>
      <c r="E338" s="98" t="s">
        <v>180</v>
      </c>
      <c r="F338" s="101">
        <v>46169</v>
      </c>
      <c r="G338" s="98" t="s">
        <v>591</v>
      </c>
      <c r="H338" s="102">
        <v>300000</v>
      </c>
      <c r="I338" s="102">
        <v>0</v>
      </c>
      <c r="J338" s="102">
        <v>0</v>
      </c>
      <c r="K338" s="102">
        <v>0</v>
      </c>
      <c r="L338" s="97">
        <v>300000</v>
      </c>
      <c r="M338" s="76" t="s">
        <v>389</v>
      </c>
      <c r="N338" s="77">
        <v>46169</v>
      </c>
      <c r="O338" s="79">
        <v>300000</v>
      </c>
      <c r="P338" s="73"/>
      <c r="Q338" s="78" t="s">
        <v>592</v>
      </c>
    </row>
    <row r="339" spans="1:17" ht="15" customHeight="1">
      <c r="A339" s="76" t="s">
        <v>58</v>
      </c>
      <c r="B339" s="98" t="s">
        <v>403</v>
      </c>
      <c r="C339" s="98"/>
      <c r="D339" s="100" t="s">
        <v>600</v>
      </c>
      <c r="E339" s="98" t="s">
        <v>180</v>
      </c>
      <c r="F339" s="101">
        <v>46200</v>
      </c>
      <c r="G339" s="98" t="s">
        <v>591</v>
      </c>
      <c r="H339" s="102">
        <v>300000</v>
      </c>
      <c r="I339" s="102">
        <v>0</v>
      </c>
      <c r="J339" s="102">
        <v>0</v>
      </c>
      <c r="K339" s="102">
        <v>0</v>
      </c>
      <c r="L339" s="97">
        <v>300000</v>
      </c>
      <c r="M339" s="76" t="s">
        <v>389</v>
      </c>
      <c r="N339" s="77">
        <v>46200</v>
      </c>
      <c r="O339" s="79">
        <v>300000</v>
      </c>
      <c r="P339" s="73"/>
      <c r="Q339" s="78" t="s">
        <v>592</v>
      </c>
    </row>
    <row r="340" spans="1:17" ht="15" customHeight="1">
      <c r="A340" s="76" t="s">
        <v>58</v>
      </c>
      <c r="B340" s="98" t="s">
        <v>403</v>
      </c>
      <c r="C340" s="98"/>
      <c r="D340" s="100" t="s">
        <v>600</v>
      </c>
      <c r="E340" s="98" t="s">
        <v>180</v>
      </c>
      <c r="F340" s="101">
        <v>46230</v>
      </c>
      <c r="G340" s="98" t="s">
        <v>591</v>
      </c>
      <c r="H340" s="102">
        <v>300000</v>
      </c>
      <c r="I340" s="102">
        <v>0</v>
      </c>
      <c r="J340" s="102">
        <v>0</v>
      </c>
      <c r="K340" s="102">
        <v>0</v>
      </c>
      <c r="L340" s="97">
        <v>300000</v>
      </c>
      <c r="M340" s="76" t="s">
        <v>389</v>
      </c>
      <c r="N340" s="77">
        <v>46230</v>
      </c>
      <c r="O340" s="79">
        <v>300000</v>
      </c>
      <c r="P340" s="73"/>
      <c r="Q340" s="78" t="s">
        <v>592</v>
      </c>
    </row>
    <row r="341" spans="1:17" ht="15" customHeight="1">
      <c r="A341" s="76" t="s">
        <v>58</v>
      </c>
      <c r="B341" s="98" t="s">
        <v>403</v>
      </c>
      <c r="C341" s="98"/>
      <c r="D341" s="100" t="s">
        <v>600</v>
      </c>
      <c r="E341" s="98" t="s">
        <v>180</v>
      </c>
      <c r="F341" s="101">
        <v>46261</v>
      </c>
      <c r="G341" s="98" t="s">
        <v>591</v>
      </c>
      <c r="H341" s="102">
        <v>300000</v>
      </c>
      <c r="I341" s="102">
        <v>0</v>
      </c>
      <c r="J341" s="102">
        <v>0</v>
      </c>
      <c r="K341" s="102">
        <v>0</v>
      </c>
      <c r="L341" s="97">
        <v>300000</v>
      </c>
      <c r="M341" s="76" t="s">
        <v>389</v>
      </c>
      <c r="N341" s="77">
        <v>46261</v>
      </c>
      <c r="O341" s="79">
        <v>300000</v>
      </c>
      <c r="P341" s="73"/>
      <c r="Q341" s="78" t="s">
        <v>592</v>
      </c>
    </row>
    <row r="342" spans="1:17" ht="15" customHeight="1">
      <c r="A342" s="76" t="s">
        <v>58</v>
      </c>
      <c r="B342" s="98" t="s">
        <v>403</v>
      </c>
      <c r="C342" s="98"/>
      <c r="D342" s="100" t="s">
        <v>601</v>
      </c>
      <c r="E342" s="98" t="s">
        <v>171</v>
      </c>
      <c r="F342" s="101">
        <v>46169</v>
      </c>
      <c r="G342" s="98" t="s">
        <v>591</v>
      </c>
      <c r="H342" s="102">
        <v>33000</v>
      </c>
      <c r="I342" s="102">
        <v>0</v>
      </c>
      <c r="J342" s="102">
        <v>0</v>
      </c>
      <c r="K342" s="102">
        <v>0</v>
      </c>
      <c r="L342" s="97">
        <v>33000</v>
      </c>
      <c r="M342" s="76" t="s">
        <v>389</v>
      </c>
      <c r="N342" s="77">
        <v>46169</v>
      </c>
      <c r="O342" s="79">
        <v>33000</v>
      </c>
      <c r="P342" s="73"/>
      <c r="Q342" s="78" t="s">
        <v>592</v>
      </c>
    </row>
    <row r="343" spans="1:17" ht="15" customHeight="1">
      <c r="A343" s="76" t="s">
        <v>58</v>
      </c>
      <c r="B343" s="98" t="s">
        <v>403</v>
      </c>
      <c r="C343" s="98"/>
      <c r="D343" s="100" t="s">
        <v>601</v>
      </c>
      <c r="E343" s="98" t="s">
        <v>171</v>
      </c>
      <c r="F343" s="101">
        <v>46200</v>
      </c>
      <c r="G343" s="98" t="s">
        <v>591</v>
      </c>
      <c r="H343" s="102">
        <v>33000</v>
      </c>
      <c r="I343" s="102">
        <v>0</v>
      </c>
      <c r="J343" s="102">
        <v>0</v>
      </c>
      <c r="K343" s="102">
        <v>0</v>
      </c>
      <c r="L343" s="97">
        <v>33000</v>
      </c>
      <c r="M343" s="76" t="s">
        <v>389</v>
      </c>
      <c r="N343" s="77">
        <v>46200</v>
      </c>
      <c r="O343" s="79">
        <v>33000</v>
      </c>
      <c r="P343" s="73"/>
      <c r="Q343" s="78" t="s">
        <v>592</v>
      </c>
    </row>
    <row r="344" spans="1:17" ht="15" customHeight="1">
      <c r="A344" s="76" t="s">
        <v>58</v>
      </c>
      <c r="B344" s="98" t="s">
        <v>403</v>
      </c>
      <c r="C344" s="98"/>
      <c r="D344" s="100" t="s">
        <v>601</v>
      </c>
      <c r="E344" s="98" t="s">
        <v>171</v>
      </c>
      <c r="F344" s="101">
        <v>46230</v>
      </c>
      <c r="G344" s="98" t="s">
        <v>591</v>
      </c>
      <c r="H344" s="102">
        <v>33000</v>
      </c>
      <c r="I344" s="102">
        <v>0</v>
      </c>
      <c r="J344" s="102">
        <v>0</v>
      </c>
      <c r="K344" s="102">
        <v>0</v>
      </c>
      <c r="L344" s="97">
        <v>33000</v>
      </c>
      <c r="M344" s="76" t="s">
        <v>389</v>
      </c>
      <c r="N344" s="77">
        <v>46230</v>
      </c>
      <c r="O344" s="79">
        <v>33000</v>
      </c>
      <c r="P344" s="73"/>
      <c r="Q344" s="78" t="s">
        <v>592</v>
      </c>
    </row>
    <row r="345" spans="1:17" ht="15" customHeight="1">
      <c r="A345" s="76" t="s">
        <v>58</v>
      </c>
      <c r="B345" s="98" t="s">
        <v>403</v>
      </c>
      <c r="C345" s="98"/>
      <c r="D345" s="100" t="s">
        <v>601</v>
      </c>
      <c r="E345" s="98" t="s">
        <v>171</v>
      </c>
      <c r="F345" s="101">
        <v>46261</v>
      </c>
      <c r="G345" s="98" t="s">
        <v>591</v>
      </c>
      <c r="H345" s="102">
        <v>33000</v>
      </c>
      <c r="I345" s="102">
        <v>0</v>
      </c>
      <c r="J345" s="102">
        <v>0</v>
      </c>
      <c r="K345" s="102">
        <v>0</v>
      </c>
      <c r="L345" s="97">
        <v>33000</v>
      </c>
      <c r="M345" s="76" t="s">
        <v>389</v>
      </c>
      <c r="N345" s="77">
        <v>46261</v>
      </c>
      <c r="O345" s="79">
        <v>33000</v>
      </c>
      <c r="P345" s="73"/>
      <c r="Q345" s="78" t="s">
        <v>592</v>
      </c>
    </row>
    <row r="346" spans="1:17" ht="15" customHeight="1">
      <c r="A346" s="76" t="s">
        <v>58</v>
      </c>
      <c r="B346" s="98" t="s">
        <v>403</v>
      </c>
      <c r="C346" s="98"/>
      <c r="D346" s="103" t="s">
        <v>602</v>
      </c>
      <c r="E346" s="98" t="s">
        <v>180</v>
      </c>
      <c r="F346" s="101">
        <v>46157</v>
      </c>
      <c r="G346" s="98" t="s">
        <v>591</v>
      </c>
      <c r="H346" s="102">
        <v>1000000</v>
      </c>
      <c r="I346" s="102">
        <v>0</v>
      </c>
      <c r="J346" s="102">
        <v>0</v>
      </c>
      <c r="K346" s="102">
        <v>0</v>
      </c>
      <c r="L346" s="97">
        <v>1000000</v>
      </c>
      <c r="M346" s="76" t="s">
        <v>389</v>
      </c>
      <c r="N346" s="77">
        <v>46157</v>
      </c>
      <c r="O346" s="79">
        <v>1000000</v>
      </c>
      <c r="P346" s="73"/>
      <c r="Q346" s="78" t="s">
        <v>592</v>
      </c>
    </row>
    <row r="347" spans="1:17" ht="15" customHeight="1">
      <c r="A347" s="76" t="s">
        <v>58</v>
      </c>
      <c r="B347" s="98" t="s">
        <v>403</v>
      </c>
      <c r="C347" s="98"/>
      <c r="D347" s="103" t="s">
        <v>602</v>
      </c>
      <c r="E347" s="98" t="s">
        <v>180</v>
      </c>
      <c r="F347" s="101">
        <v>46188</v>
      </c>
      <c r="G347" s="98" t="s">
        <v>591</v>
      </c>
      <c r="H347" s="102">
        <v>1000000</v>
      </c>
      <c r="I347" s="102">
        <v>0</v>
      </c>
      <c r="J347" s="102">
        <v>0</v>
      </c>
      <c r="K347" s="102">
        <v>0</v>
      </c>
      <c r="L347" s="97">
        <v>1000000</v>
      </c>
      <c r="M347" s="76" t="s">
        <v>389</v>
      </c>
      <c r="N347" s="77">
        <v>46188</v>
      </c>
      <c r="O347" s="79">
        <v>1000000</v>
      </c>
      <c r="P347" s="73"/>
      <c r="Q347" s="78" t="s">
        <v>592</v>
      </c>
    </row>
    <row r="348" spans="1:17" ht="15" customHeight="1">
      <c r="A348" s="76" t="s">
        <v>58</v>
      </c>
      <c r="B348" s="98" t="s">
        <v>403</v>
      </c>
      <c r="C348" s="98"/>
      <c r="D348" s="103" t="s">
        <v>602</v>
      </c>
      <c r="E348" s="98" t="s">
        <v>180</v>
      </c>
      <c r="F348" s="101">
        <v>46218</v>
      </c>
      <c r="G348" s="98" t="s">
        <v>591</v>
      </c>
      <c r="H348" s="102">
        <v>1000000</v>
      </c>
      <c r="I348" s="102">
        <v>0</v>
      </c>
      <c r="J348" s="102">
        <v>0</v>
      </c>
      <c r="K348" s="102">
        <v>0</v>
      </c>
      <c r="L348" s="97">
        <v>1000000</v>
      </c>
      <c r="M348" s="76" t="s">
        <v>389</v>
      </c>
      <c r="N348" s="77">
        <v>46218</v>
      </c>
      <c r="O348" s="79">
        <v>1000000</v>
      </c>
      <c r="P348" s="73"/>
      <c r="Q348" s="78" t="s">
        <v>592</v>
      </c>
    </row>
    <row r="349" spans="1:17" ht="15" customHeight="1">
      <c r="A349" s="76" t="s">
        <v>58</v>
      </c>
      <c r="B349" s="98" t="s">
        <v>403</v>
      </c>
      <c r="C349" s="98"/>
      <c r="D349" s="103" t="s">
        <v>602</v>
      </c>
      <c r="E349" s="98" t="s">
        <v>180</v>
      </c>
      <c r="F349" s="101">
        <v>46249</v>
      </c>
      <c r="G349" s="98" t="s">
        <v>591</v>
      </c>
      <c r="H349" s="102">
        <v>1000000</v>
      </c>
      <c r="I349" s="102">
        <v>0</v>
      </c>
      <c r="J349" s="102">
        <v>0</v>
      </c>
      <c r="K349" s="102">
        <v>0</v>
      </c>
      <c r="L349" s="97">
        <v>1000000</v>
      </c>
      <c r="M349" s="76" t="s">
        <v>389</v>
      </c>
      <c r="N349" s="77">
        <v>46249</v>
      </c>
      <c r="O349" s="79">
        <v>1000000</v>
      </c>
      <c r="P349" s="73"/>
      <c r="Q349" s="78" t="s">
        <v>592</v>
      </c>
    </row>
    <row r="350" spans="1:17" ht="15" customHeight="1">
      <c r="A350" s="76" t="s">
        <v>58</v>
      </c>
      <c r="B350" s="98" t="s">
        <v>403</v>
      </c>
      <c r="C350" s="98"/>
      <c r="D350" s="100" t="s">
        <v>603</v>
      </c>
      <c r="E350" s="98" t="s">
        <v>168</v>
      </c>
      <c r="F350" s="101">
        <v>46172</v>
      </c>
      <c r="G350" s="98" t="s">
        <v>591</v>
      </c>
      <c r="H350" s="102">
        <v>16610</v>
      </c>
      <c r="I350" s="102">
        <v>0</v>
      </c>
      <c r="J350" s="102">
        <v>0</v>
      </c>
      <c r="K350" s="102">
        <v>0</v>
      </c>
      <c r="L350" s="97">
        <v>16610</v>
      </c>
      <c r="M350" s="76" t="s">
        <v>389</v>
      </c>
      <c r="N350" s="77">
        <v>46172</v>
      </c>
      <c r="O350" s="79">
        <v>16610</v>
      </c>
      <c r="P350" s="73"/>
      <c r="Q350" s="78" t="s">
        <v>592</v>
      </c>
    </row>
    <row r="351" spans="1:17" ht="15" customHeight="1">
      <c r="A351" s="76" t="s">
        <v>58</v>
      </c>
      <c r="B351" s="98" t="s">
        <v>403</v>
      </c>
      <c r="C351" s="98"/>
      <c r="D351" s="100" t="s">
        <v>603</v>
      </c>
      <c r="E351" s="98" t="s">
        <v>168</v>
      </c>
      <c r="F351" s="101">
        <v>46203</v>
      </c>
      <c r="G351" s="98" t="s">
        <v>591</v>
      </c>
      <c r="H351" s="102">
        <v>16610</v>
      </c>
      <c r="I351" s="102">
        <v>0</v>
      </c>
      <c r="J351" s="102">
        <v>0</v>
      </c>
      <c r="K351" s="102">
        <v>0</v>
      </c>
      <c r="L351" s="97">
        <v>16610</v>
      </c>
      <c r="M351" s="76" t="s">
        <v>389</v>
      </c>
      <c r="N351" s="77">
        <v>46203</v>
      </c>
      <c r="O351" s="79">
        <v>16610</v>
      </c>
      <c r="P351" s="73"/>
      <c r="Q351" s="78" t="s">
        <v>592</v>
      </c>
    </row>
    <row r="352" spans="1:17" ht="15" customHeight="1">
      <c r="A352" s="76" t="s">
        <v>58</v>
      </c>
      <c r="B352" s="98" t="s">
        <v>403</v>
      </c>
      <c r="C352" s="98"/>
      <c r="D352" s="100" t="s">
        <v>603</v>
      </c>
      <c r="E352" s="98" t="s">
        <v>168</v>
      </c>
      <c r="F352" s="101">
        <v>46233</v>
      </c>
      <c r="G352" s="98" t="s">
        <v>591</v>
      </c>
      <c r="H352" s="102">
        <v>16610</v>
      </c>
      <c r="I352" s="102">
        <v>0</v>
      </c>
      <c r="J352" s="102">
        <v>0</v>
      </c>
      <c r="K352" s="102">
        <v>0</v>
      </c>
      <c r="L352" s="97">
        <v>16610</v>
      </c>
      <c r="M352" s="76" t="s">
        <v>389</v>
      </c>
      <c r="N352" s="77">
        <v>46233</v>
      </c>
      <c r="O352" s="79">
        <v>16610</v>
      </c>
      <c r="P352" s="73"/>
      <c r="Q352" s="78" t="s">
        <v>592</v>
      </c>
    </row>
    <row r="353" spans="1:17" ht="15" customHeight="1">
      <c r="A353" s="76" t="s">
        <v>58</v>
      </c>
      <c r="B353" s="98" t="s">
        <v>403</v>
      </c>
      <c r="C353" s="98"/>
      <c r="D353" s="100" t="s">
        <v>603</v>
      </c>
      <c r="E353" s="98" t="s">
        <v>168</v>
      </c>
      <c r="F353" s="101">
        <v>46264</v>
      </c>
      <c r="G353" s="98" t="s">
        <v>591</v>
      </c>
      <c r="H353" s="102">
        <v>16610</v>
      </c>
      <c r="I353" s="102">
        <v>0</v>
      </c>
      <c r="J353" s="102">
        <v>0</v>
      </c>
      <c r="K353" s="102">
        <v>0</v>
      </c>
      <c r="L353" s="97">
        <v>16610</v>
      </c>
      <c r="M353" s="76" t="s">
        <v>389</v>
      </c>
      <c r="N353" s="77">
        <v>46264</v>
      </c>
      <c r="O353" s="79">
        <v>16610</v>
      </c>
      <c r="P353" s="73"/>
      <c r="Q353" s="78" t="s">
        <v>592</v>
      </c>
    </row>
    <row r="354" spans="1:17" ht="15" customHeight="1">
      <c r="A354" s="76" t="s">
        <v>58</v>
      </c>
      <c r="B354" s="98" t="s">
        <v>403</v>
      </c>
      <c r="C354" s="98"/>
      <c r="D354" s="100" t="s">
        <v>604</v>
      </c>
      <c r="E354" s="98" t="s">
        <v>164</v>
      </c>
      <c r="F354" s="101">
        <v>46152</v>
      </c>
      <c r="G354" s="98" t="s">
        <v>591</v>
      </c>
      <c r="H354" s="102">
        <v>4327</v>
      </c>
      <c r="I354" s="102">
        <v>0</v>
      </c>
      <c r="J354" s="102">
        <v>0</v>
      </c>
      <c r="K354" s="102">
        <v>0</v>
      </c>
      <c r="L354" s="97">
        <v>4327</v>
      </c>
      <c r="M354" s="76" t="s">
        <v>389</v>
      </c>
      <c r="N354" s="77">
        <v>46152</v>
      </c>
      <c r="O354" s="79">
        <v>4327</v>
      </c>
      <c r="P354" s="73"/>
      <c r="Q354" s="78" t="s">
        <v>592</v>
      </c>
    </row>
    <row r="355" spans="1:17" ht="15" customHeight="1">
      <c r="A355" s="76" t="s">
        <v>58</v>
      </c>
      <c r="B355" s="98" t="s">
        <v>403</v>
      </c>
      <c r="C355" s="98"/>
      <c r="D355" s="100" t="s">
        <v>604</v>
      </c>
      <c r="E355" s="98" t="s">
        <v>164</v>
      </c>
      <c r="F355" s="101">
        <v>46183</v>
      </c>
      <c r="G355" s="98" t="s">
        <v>591</v>
      </c>
      <c r="H355" s="102">
        <v>4327</v>
      </c>
      <c r="I355" s="102">
        <v>0</v>
      </c>
      <c r="J355" s="102">
        <v>0</v>
      </c>
      <c r="K355" s="102">
        <v>0</v>
      </c>
      <c r="L355" s="97">
        <v>4327</v>
      </c>
      <c r="M355" s="76" t="s">
        <v>389</v>
      </c>
      <c r="N355" s="77">
        <v>46183</v>
      </c>
      <c r="O355" s="79">
        <v>4327</v>
      </c>
      <c r="P355" s="73"/>
      <c r="Q355" s="78" t="s">
        <v>592</v>
      </c>
    </row>
    <row r="356" spans="1:17" ht="15" customHeight="1">
      <c r="A356" s="76" t="s">
        <v>58</v>
      </c>
      <c r="B356" s="98" t="s">
        <v>403</v>
      </c>
      <c r="C356" s="98"/>
      <c r="D356" s="100" t="s">
        <v>604</v>
      </c>
      <c r="E356" s="98" t="s">
        <v>164</v>
      </c>
      <c r="F356" s="101">
        <v>46213</v>
      </c>
      <c r="G356" s="98" t="s">
        <v>591</v>
      </c>
      <c r="H356" s="102">
        <v>4327</v>
      </c>
      <c r="I356" s="102">
        <v>0</v>
      </c>
      <c r="J356" s="102">
        <v>0</v>
      </c>
      <c r="K356" s="102">
        <v>0</v>
      </c>
      <c r="L356" s="97">
        <v>4327</v>
      </c>
      <c r="M356" s="76" t="s">
        <v>389</v>
      </c>
      <c r="N356" s="77">
        <v>46213</v>
      </c>
      <c r="O356" s="79">
        <v>4327</v>
      </c>
      <c r="P356" s="73"/>
      <c r="Q356" s="78" t="s">
        <v>592</v>
      </c>
    </row>
    <row r="357" spans="1:17" ht="15" customHeight="1">
      <c r="A357" s="76" t="s">
        <v>58</v>
      </c>
      <c r="B357" s="98" t="s">
        <v>403</v>
      </c>
      <c r="C357" s="98"/>
      <c r="D357" s="100" t="s">
        <v>604</v>
      </c>
      <c r="E357" s="98" t="s">
        <v>164</v>
      </c>
      <c r="F357" s="101">
        <v>46244</v>
      </c>
      <c r="G357" s="98" t="s">
        <v>591</v>
      </c>
      <c r="H357" s="102">
        <v>4327</v>
      </c>
      <c r="I357" s="102">
        <v>0</v>
      </c>
      <c r="J357" s="102">
        <v>0</v>
      </c>
      <c r="K357" s="102">
        <v>0</v>
      </c>
      <c r="L357" s="97">
        <v>4327</v>
      </c>
      <c r="M357" s="76" t="s">
        <v>389</v>
      </c>
      <c r="N357" s="77">
        <v>46244</v>
      </c>
      <c r="O357" s="79">
        <v>4327</v>
      </c>
      <c r="P357" s="73"/>
      <c r="Q357" s="78" t="s">
        <v>592</v>
      </c>
    </row>
    <row r="358" spans="1:17" ht="15" customHeight="1">
      <c r="A358" s="76" t="s">
        <v>58</v>
      </c>
      <c r="B358" s="98" t="s">
        <v>403</v>
      </c>
      <c r="C358" s="98"/>
      <c r="D358" s="100" t="s">
        <v>605</v>
      </c>
      <c r="E358" s="98" t="s">
        <v>164</v>
      </c>
      <c r="F358" s="101">
        <v>46152</v>
      </c>
      <c r="G358" s="98" t="s">
        <v>591</v>
      </c>
      <c r="H358" s="102">
        <v>23870</v>
      </c>
      <c r="I358" s="102">
        <v>0</v>
      </c>
      <c r="J358" s="102">
        <v>0</v>
      </c>
      <c r="K358" s="102">
        <v>0</v>
      </c>
      <c r="L358" s="97">
        <v>23870</v>
      </c>
      <c r="M358" s="76" t="s">
        <v>389</v>
      </c>
      <c r="N358" s="77">
        <v>46152</v>
      </c>
      <c r="O358" s="79">
        <v>23870</v>
      </c>
      <c r="P358" s="73"/>
      <c r="Q358" s="78" t="s">
        <v>592</v>
      </c>
    </row>
    <row r="359" spans="1:17" ht="15" customHeight="1">
      <c r="A359" s="76" t="s">
        <v>58</v>
      </c>
      <c r="B359" s="98" t="s">
        <v>403</v>
      </c>
      <c r="C359" s="98"/>
      <c r="D359" s="100" t="s">
        <v>605</v>
      </c>
      <c r="E359" s="98" t="s">
        <v>164</v>
      </c>
      <c r="F359" s="101">
        <v>46183</v>
      </c>
      <c r="G359" s="98" t="s">
        <v>591</v>
      </c>
      <c r="H359" s="102">
        <v>23870</v>
      </c>
      <c r="I359" s="102">
        <v>0</v>
      </c>
      <c r="J359" s="102">
        <v>0</v>
      </c>
      <c r="K359" s="102">
        <v>0</v>
      </c>
      <c r="L359" s="97">
        <v>23870</v>
      </c>
      <c r="M359" s="76" t="s">
        <v>389</v>
      </c>
      <c r="N359" s="77">
        <v>46183</v>
      </c>
      <c r="O359" s="79">
        <v>23870</v>
      </c>
      <c r="P359" s="73"/>
      <c r="Q359" s="78" t="s">
        <v>592</v>
      </c>
    </row>
    <row r="360" spans="1:17" ht="15" customHeight="1">
      <c r="A360" s="76" t="s">
        <v>58</v>
      </c>
      <c r="B360" s="98" t="s">
        <v>403</v>
      </c>
      <c r="C360" s="98"/>
      <c r="D360" s="100" t="s">
        <v>605</v>
      </c>
      <c r="E360" s="98" t="s">
        <v>164</v>
      </c>
      <c r="F360" s="101">
        <v>46213</v>
      </c>
      <c r="G360" s="98" t="s">
        <v>591</v>
      </c>
      <c r="H360" s="102">
        <v>23870</v>
      </c>
      <c r="I360" s="102">
        <v>0</v>
      </c>
      <c r="J360" s="102">
        <v>0</v>
      </c>
      <c r="K360" s="102">
        <v>0</v>
      </c>
      <c r="L360" s="97">
        <v>23870</v>
      </c>
      <c r="M360" s="76" t="s">
        <v>389</v>
      </c>
      <c r="N360" s="77">
        <v>46213</v>
      </c>
      <c r="O360" s="79">
        <v>23870</v>
      </c>
      <c r="P360" s="73"/>
      <c r="Q360" s="78" t="s">
        <v>592</v>
      </c>
    </row>
    <row r="361" spans="1:17" ht="15" customHeight="1">
      <c r="A361" s="76" t="s">
        <v>58</v>
      </c>
      <c r="B361" s="98" t="s">
        <v>403</v>
      </c>
      <c r="C361" s="98"/>
      <c r="D361" s="100" t="s">
        <v>605</v>
      </c>
      <c r="E361" s="98" t="s">
        <v>164</v>
      </c>
      <c r="F361" s="101">
        <v>46244</v>
      </c>
      <c r="G361" s="98" t="s">
        <v>591</v>
      </c>
      <c r="H361" s="102">
        <v>23870</v>
      </c>
      <c r="I361" s="102">
        <v>0</v>
      </c>
      <c r="J361" s="102">
        <v>0</v>
      </c>
      <c r="K361" s="102">
        <v>0</v>
      </c>
      <c r="L361" s="97">
        <v>23870</v>
      </c>
      <c r="M361" s="76" t="s">
        <v>389</v>
      </c>
      <c r="N361" s="77">
        <v>46244</v>
      </c>
      <c r="O361" s="79">
        <v>23870</v>
      </c>
      <c r="P361" s="73"/>
      <c r="Q361" s="78" t="s">
        <v>592</v>
      </c>
    </row>
    <row r="362" spans="1:17" ht="15" customHeight="1">
      <c r="A362" s="76" t="s">
        <v>58</v>
      </c>
      <c r="B362" s="98" t="s">
        <v>403</v>
      </c>
      <c r="C362" s="98"/>
      <c r="D362" s="100" t="s">
        <v>606</v>
      </c>
      <c r="E362" s="98" t="s">
        <v>164</v>
      </c>
      <c r="F362" s="101">
        <v>46169</v>
      </c>
      <c r="G362" s="98" t="s">
        <v>591</v>
      </c>
      <c r="H362" s="102">
        <v>34336</v>
      </c>
      <c r="I362" s="102">
        <v>0</v>
      </c>
      <c r="J362" s="102">
        <v>0</v>
      </c>
      <c r="K362" s="102">
        <v>0</v>
      </c>
      <c r="L362" s="97">
        <v>34336</v>
      </c>
      <c r="M362" s="76" t="s">
        <v>389</v>
      </c>
      <c r="N362" s="77">
        <v>46169</v>
      </c>
      <c r="O362" s="79">
        <v>34336</v>
      </c>
      <c r="P362" s="73"/>
      <c r="Q362" s="78" t="s">
        <v>592</v>
      </c>
    </row>
    <row r="363" spans="1:17" ht="15" customHeight="1">
      <c r="A363" s="76" t="s">
        <v>58</v>
      </c>
      <c r="B363" s="98" t="s">
        <v>403</v>
      </c>
      <c r="C363" s="98"/>
      <c r="D363" s="100" t="s">
        <v>606</v>
      </c>
      <c r="E363" s="98" t="s">
        <v>164</v>
      </c>
      <c r="F363" s="101">
        <v>46200</v>
      </c>
      <c r="G363" s="98" t="s">
        <v>591</v>
      </c>
      <c r="H363" s="102">
        <v>34336</v>
      </c>
      <c r="I363" s="102">
        <v>0</v>
      </c>
      <c r="J363" s="102">
        <v>0</v>
      </c>
      <c r="K363" s="102">
        <v>0</v>
      </c>
      <c r="L363" s="97">
        <v>34336</v>
      </c>
      <c r="M363" s="76" t="s">
        <v>389</v>
      </c>
      <c r="N363" s="77">
        <v>46200</v>
      </c>
      <c r="O363" s="79">
        <v>34336</v>
      </c>
      <c r="P363" s="73"/>
      <c r="Q363" s="78" t="s">
        <v>592</v>
      </c>
    </row>
    <row r="364" spans="1:17" ht="15" customHeight="1">
      <c r="A364" s="76" t="s">
        <v>58</v>
      </c>
      <c r="B364" s="98" t="s">
        <v>403</v>
      </c>
      <c r="C364" s="98"/>
      <c r="D364" s="100" t="s">
        <v>606</v>
      </c>
      <c r="E364" s="98" t="s">
        <v>164</v>
      </c>
      <c r="F364" s="101">
        <v>46230</v>
      </c>
      <c r="G364" s="98" t="s">
        <v>591</v>
      </c>
      <c r="H364" s="102">
        <v>34336</v>
      </c>
      <c r="I364" s="102">
        <v>0</v>
      </c>
      <c r="J364" s="102">
        <v>0</v>
      </c>
      <c r="K364" s="102">
        <v>0</v>
      </c>
      <c r="L364" s="97">
        <v>34336</v>
      </c>
      <c r="M364" s="76" t="s">
        <v>389</v>
      </c>
      <c r="N364" s="77">
        <v>46230</v>
      </c>
      <c r="O364" s="79">
        <v>34336</v>
      </c>
      <c r="P364" s="73"/>
      <c r="Q364" s="78" t="s">
        <v>592</v>
      </c>
    </row>
    <row r="365" spans="1:17" ht="15" customHeight="1">
      <c r="A365" s="76" t="s">
        <v>58</v>
      </c>
      <c r="B365" s="98" t="s">
        <v>403</v>
      </c>
      <c r="C365" s="98"/>
      <c r="D365" s="100" t="s">
        <v>606</v>
      </c>
      <c r="E365" s="98" t="s">
        <v>164</v>
      </c>
      <c r="F365" s="101">
        <v>46261</v>
      </c>
      <c r="G365" s="98" t="s">
        <v>591</v>
      </c>
      <c r="H365" s="102">
        <v>34336</v>
      </c>
      <c r="I365" s="102">
        <v>0</v>
      </c>
      <c r="J365" s="102">
        <v>0</v>
      </c>
      <c r="K365" s="102">
        <v>0</v>
      </c>
      <c r="L365" s="97">
        <v>34336</v>
      </c>
      <c r="M365" s="76" t="s">
        <v>389</v>
      </c>
      <c r="N365" s="77">
        <v>46261</v>
      </c>
      <c r="O365" s="79">
        <v>34336</v>
      </c>
      <c r="P365" s="73"/>
      <c r="Q365" s="78" t="s">
        <v>592</v>
      </c>
    </row>
    <row r="366" spans="1:17" ht="15" customHeight="1">
      <c r="A366" s="76" t="s">
        <v>58</v>
      </c>
      <c r="B366" s="98" t="s">
        <v>403</v>
      </c>
      <c r="C366" s="98"/>
      <c r="D366" s="100" t="s">
        <v>607</v>
      </c>
      <c r="E366" s="98" t="s">
        <v>164</v>
      </c>
      <c r="F366" s="101">
        <v>46169</v>
      </c>
      <c r="G366" s="98" t="s">
        <v>591</v>
      </c>
      <c r="H366" s="102">
        <v>48270</v>
      </c>
      <c r="I366" s="102">
        <v>0</v>
      </c>
      <c r="J366" s="102">
        <v>0</v>
      </c>
      <c r="K366" s="102">
        <v>0</v>
      </c>
      <c r="L366" s="97">
        <v>48270</v>
      </c>
      <c r="M366" s="76" t="s">
        <v>389</v>
      </c>
      <c r="N366" s="77">
        <v>46169</v>
      </c>
      <c r="O366" s="79">
        <v>48270</v>
      </c>
      <c r="P366" s="73"/>
      <c r="Q366" s="78" t="s">
        <v>592</v>
      </c>
    </row>
    <row r="367" spans="1:17" ht="15" customHeight="1">
      <c r="A367" s="76" t="s">
        <v>58</v>
      </c>
      <c r="B367" s="98" t="s">
        <v>403</v>
      </c>
      <c r="C367" s="98"/>
      <c r="D367" s="100" t="s">
        <v>607</v>
      </c>
      <c r="E367" s="98" t="s">
        <v>164</v>
      </c>
      <c r="F367" s="101">
        <v>46200</v>
      </c>
      <c r="G367" s="98" t="s">
        <v>591</v>
      </c>
      <c r="H367" s="102">
        <v>48270</v>
      </c>
      <c r="I367" s="102">
        <v>0</v>
      </c>
      <c r="J367" s="102">
        <v>0</v>
      </c>
      <c r="K367" s="102">
        <v>0</v>
      </c>
      <c r="L367" s="97">
        <v>48270</v>
      </c>
      <c r="M367" s="76" t="s">
        <v>389</v>
      </c>
      <c r="N367" s="77">
        <v>46200</v>
      </c>
      <c r="O367" s="79">
        <v>48270</v>
      </c>
      <c r="P367" s="73"/>
      <c r="Q367" s="78" t="s">
        <v>592</v>
      </c>
    </row>
    <row r="368" spans="1:17" ht="15" customHeight="1">
      <c r="A368" s="76" t="s">
        <v>58</v>
      </c>
      <c r="B368" s="98" t="s">
        <v>403</v>
      </c>
      <c r="C368" s="98"/>
      <c r="D368" s="100" t="s">
        <v>607</v>
      </c>
      <c r="E368" s="98" t="s">
        <v>164</v>
      </c>
      <c r="F368" s="101">
        <v>46230</v>
      </c>
      <c r="G368" s="98" t="s">
        <v>591</v>
      </c>
      <c r="H368" s="102">
        <v>48270</v>
      </c>
      <c r="I368" s="102">
        <v>0</v>
      </c>
      <c r="J368" s="102">
        <v>0</v>
      </c>
      <c r="K368" s="102">
        <v>0</v>
      </c>
      <c r="L368" s="97">
        <v>48270</v>
      </c>
      <c r="M368" s="76" t="s">
        <v>389</v>
      </c>
      <c r="N368" s="77">
        <v>46230</v>
      </c>
      <c r="O368" s="79">
        <v>48270</v>
      </c>
      <c r="P368" s="73"/>
      <c r="Q368" s="78" t="s">
        <v>592</v>
      </c>
    </row>
    <row r="369" spans="1:17" ht="15" customHeight="1">
      <c r="A369" s="76" t="s">
        <v>58</v>
      </c>
      <c r="B369" s="98" t="s">
        <v>403</v>
      </c>
      <c r="C369" s="98"/>
      <c r="D369" s="100" t="s">
        <v>607</v>
      </c>
      <c r="E369" s="98" t="s">
        <v>164</v>
      </c>
      <c r="F369" s="101">
        <v>46261</v>
      </c>
      <c r="G369" s="98" t="s">
        <v>591</v>
      </c>
      <c r="H369" s="102">
        <v>48270</v>
      </c>
      <c r="I369" s="102">
        <v>0</v>
      </c>
      <c r="J369" s="102">
        <v>0</v>
      </c>
      <c r="K369" s="102">
        <v>0</v>
      </c>
      <c r="L369" s="97">
        <v>48270</v>
      </c>
      <c r="M369" s="76" t="s">
        <v>389</v>
      </c>
      <c r="N369" s="77">
        <v>46261</v>
      </c>
      <c r="O369" s="79">
        <v>48270</v>
      </c>
      <c r="P369" s="73"/>
      <c r="Q369" s="78" t="s">
        <v>592</v>
      </c>
    </row>
    <row r="370" spans="1:17" ht="15" customHeight="1">
      <c r="A370" s="76" t="s">
        <v>58</v>
      </c>
      <c r="B370" s="98" t="s">
        <v>403</v>
      </c>
      <c r="C370" s="98"/>
      <c r="D370" s="100" t="s">
        <v>608</v>
      </c>
      <c r="E370" s="98" t="s">
        <v>164</v>
      </c>
      <c r="F370" s="101">
        <v>46148</v>
      </c>
      <c r="G370" s="98" t="s">
        <v>591</v>
      </c>
      <c r="H370" s="102">
        <v>46241</v>
      </c>
      <c r="I370" s="102">
        <v>0</v>
      </c>
      <c r="J370" s="102">
        <v>0</v>
      </c>
      <c r="K370" s="102">
        <v>0</v>
      </c>
      <c r="L370" s="97">
        <v>46241</v>
      </c>
      <c r="M370" s="76" t="s">
        <v>389</v>
      </c>
      <c r="N370" s="77">
        <v>46148</v>
      </c>
      <c r="O370" s="79">
        <v>46241</v>
      </c>
      <c r="P370" s="73"/>
      <c r="Q370" s="78" t="s">
        <v>592</v>
      </c>
    </row>
    <row r="371" spans="1:17" ht="15" customHeight="1">
      <c r="A371" s="76" t="s">
        <v>58</v>
      </c>
      <c r="B371" s="98" t="s">
        <v>403</v>
      </c>
      <c r="C371" s="98"/>
      <c r="D371" s="100" t="s">
        <v>608</v>
      </c>
      <c r="E371" s="98" t="s">
        <v>164</v>
      </c>
      <c r="F371" s="101">
        <v>46179</v>
      </c>
      <c r="G371" s="98" t="s">
        <v>591</v>
      </c>
      <c r="H371" s="102">
        <v>46241</v>
      </c>
      <c r="I371" s="102">
        <v>0</v>
      </c>
      <c r="J371" s="102">
        <v>0</v>
      </c>
      <c r="K371" s="102">
        <v>0</v>
      </c>
      <c r="L371" s="97">
        <v>46241</v>
      </c>
      <c r="M371" s="76" t="s">
        <v>389</v>
      </c>
      <c r="N371" s="77">
        <v>46179</v>
      </c>
      <c r="O371" s="79">
        <v>46241</v>
      </c>
      <c r="P371" s="73"/>
      <c r="Q371" s="78" t="s">
        <v>592</v>
      </c>
    </row>
    <row r="372" spans="1:17" ht="15" customHeight="1">
      <c r="A372" s="76" t="s">
        <v>58</v>
      </c>
      <c r="B372" s="98" t="s">
        <v>403</v>
      </c>
      <c r="C372" s="98"/>
      <c r="D372" s="100" t="s">
        <v>608</v>
      </c>
      <c r="E372" s="98" t="s">
        <v>164</v>
      </c>
      <c r="F372" s="101">
        <v>46209</v>
      </c>
      <c r="G372" s="98" t="s">
        <v>591</v>
      </c>
      <c r="H372" s="102">
        <v>46241</v>
      </c>
      <c r="I372" s="102">
        <v>0</v>
      </c>
      <c r="J372" s="102">
        <v>0</v>
      </c>
      <c r="K372" s="102">
        <v>0</v>
      </c>
      <c r="L372" s="97">
        <v>46241</v>
      </c>
      <c r="M372" s="76" t="s">
        <v>389</v>
      </c>
      <c r="N372" s="77">
        <v>46209</v>
      </c>
      <c r="O372" s="79">
        <v>46241</v>
      </c>
      <c r="P372" s="73"/>
      <c r="Q372" s="78" t="s">
        <v>592</v>
      </c>
    </row>
    <row r="373" spans="1:17" ht="15" customHeight="1">
      <c r="A373" s="76" t="s">
        <v>58</v>
      </c>
      <c r="B373" s="98" t="s">
        <v>403</v>
      </c>
      <c r="C373" s="98"/>
      <c r="D373" s="100" t="s">
        <v>608</v>
      </c>
      <c r="E373" s="98" t="s">
        <v>164</v>
      </c>
      <c r="F373" s="101">
        <v>46240</v>
      </c>
      <c r="G373" s="98" t="s">
        <v>591</v>
      </c>
      <c r="H373" s="102">
        <v>46241</v>
      </c>
      <c r="I373" s="102">
        <v>0</v>
      </c>
      <c r="J373" s="102">
        <v>0</v>
      </c>
      <c r="K373" s="102">
        <v>0</v>
      </c>
      <c r="L373" s="97">
        <v>46241</v>
      </c>
      <c r="M373" s="76" t="s">
        <v>389</v>
      </c>
      <c r="N373" s="77">
        <v>46240</v>
      </c>
      <c r="O373" s="79">
        <v>46241</v>
      </c>
      <c r="P373" s="73"/>
      <c r="Q373" s="78" t="s">
        <v>592</v>
      </c>
    </row>
    <row r="374" spans="1:17" ht="15" customHeight="1">
      <c r="A374" s="76" t="s">
        <v>58</v>
      </c>
      <c r="B374" s="98" t="s">
        <v>403</v>
      </c>
      <c r="C374" s="98"/>
      <c r="D374" s="100" t="s">
        <v>609</v>
      </c>
      <c r="E374" s="98" t="s">
        <v>168</v>
      </c>
      <c r="F374" s="101">
        <v>46172</v>
      </c>
      <c r="G374" s="98" t="s">
        <v>591</v>
      </c>
      <c r="H374" s="102">
        <v>267085</v>
      </c>
      <c r="I374" s="102">
        <v>0</v>
      </c>
      <c r="J374" s="102">
        <v>0</v>
      </c>
      <c r="K374" s="102">
        <v>0</v>
      </c>
      <c r="L374" s="97">
        <v>267085</v>
      </c>
      <c r="M374" s="76" t="s">
        <v>389</v>
      </c>
      <c r="N374" s="77">
        <v>46172</v>
      </c>
      <c r="O374" s="79">
        <v>267085</v>
      </c>
      <c r="P374" s="73"/>
      <c r="Q374" s="78" t="s">
        <v>592</v>
      </c>
    </row>
    <row r="375" spans="1:17" ht="15" customHeight="1">
      <c r="A375" s="76" t="s">
        <v>58</v>
      </c>
      <c r="B375" s="98" t="s">
        <v>403</v>
      </c>
      <c r="C375" s="98"/>
      <c r="D375" s="100" t="s">
        <v>609</v>
      </c>
      <c r="E375" s="98" t="s">
        <v>168</v>
      </c>
      <c r="F375" s="101">
        <v>46203</v>
      </c>
      <c r="G375" s="98" t="s">
        <v>591</v>
      </c>
      <c r="H375" s="102">
        <v>267085</v>
      </c>
      <c r="I375" s="102">
        <v>0</v>
      </c>
      <c r="J375" s="102">
        <v>0</v>
      </c>
      <c r="K375" s="102">
        <v>0</v>
      </c>
      <c r="L375" s="97">
        <v>267085</v>
      </c>
      <c r="M375" s="76" t="s">
        <v>389</v>
      </c>
      <c r="N375" s="77">
        <v>46203</v>
      </c>
      <c r="O375" s="79">
        <v>267085</v>
      </c>
      <c r="P375" s="73"/>
      <c r="Q375" s="78" t="s">
        <v>592</v>
      </c>
    </row>
    <row r="376" spans="1:17" ht="15" customHeight="1">
      <c r="A376" s="76" t="s">
        <v>58</v>
      </c>
      <c r="B376" s="98" t="s">
        <v>403</v>
      </c>
      <c r="C376" s="98"/>
      <c r="D376" s="100" t="s">
        <v>609</v>
      </c>
      <c r="E376" s="98" t="s">
        <v>168</v>
      </c>
      <c r="F376" s="101">
        <v>46233</v>
      </c>
      <c r="G376" s="98" t="s">
        <v>591</v>
      </c>
      <c r="H376" s="102">
        <v>267085</v>
      </c>
      <c r="I376" s="102">
        <v>0</v>
      </c>
      <c r="J376" s="102">
        <v>0</v>
      </c>
      <c r="K376" s="102">
        <v>0</v>
      </c>
      <c r="L376" s="97">
        <v>267085</v>
      </c>
      <c r="M376" s="76" t="s">
        <v>389</v>
      </c>
      <c r="N376" s="77">
        <v>46233</v>
      </c>
      <c r="O376" s="79">
        <v>267085</v>
      </c>
      <c r="P376" s="73"/>
      <c r="Q376" s="78" t="s">
        <v>592</v>
      </c>
    </row>
    <row r="377" spans="1:17" ht="15" customHeight="1">
      <c r="A377" s="76" t="s">
        <v>58</v>
      </c>
      <c r="B377" s="98" t="s">
        <v>403</v>
      </c>
      <c r="C377" s="98"/>
      <c r="D377" s="100" t="s">
        <v>609</v>
      </c>
      <c r="E377" s="98" t="s">
        <v>168</v>
      </c>
      <c r="F377" s="101">
        <v>46264</v>
      </c>
      <c r="G377" s="98" t="s">
        <v>591</v>
      </c>
      <c r="H377" s="102">
        <v>267085</v>
      </c>
      <c r="I377" s="102">
        <v>0</v>
      </c>
      <c r="J377" s="102">
        <v>0</v>
      </c>
      <c r="K377" s="102">
        <v>0</v>
      </c>
      <c r="L377" s="97">
        <v>267085</v>
      </c>
      <c r="M377" s="76" t="s">
        <v>389</v>
      </c>
      <c r="N377" s="77">
        <v>46264</v>
      </c>
      <c r="O377" s="79">
        <v>267085</v>
      </c>
      <c r="P377" s="73"/>
      <c r="Q377" s="78" t="s">
        <v>592</v>
      </c>
    </row>
    <row r="378" spans="1:17" ht="15" customHeight="1">
      <c r="A378" s="76" t="s">
        <v>58</v>
      </c>
      <c r="B378" s="98" t="s">
        <v>403</v>
      </c>
      <c r="C378" s="98"/>
      <c r="D378" s="100" t="s">
        <v>610</v>
      </c>
      <c r="E378" s="98" t="s">
        <v>176</v>
      </c>
      <c r="F378" s="101">
        <v>46169</v>
      </c>
      <c r="G378" s="98" t="s">
        <v>591</v>
      </c>
      <c r="H378" s="102">
        <v>16550</v>
      </c>
      <c r="I378" s="102">
        <v>0</v>
      </c>
      <c r="J378" s="102">
        <v>0</v>
      </c>
      <c r="K378" s="102">
        <v>0</v>
      </c>
      <c r="L378" s="97">
        <v>16550</v>
      </c>
      <c r="M378" s="76" t="s">
        <v>389</v>
      </c>
      <c r="N378" s="77">
        <v>46169</v>
      </c>
      <c r="O378" s="79">
        <v>16550</v>
      </c>
      <c r="P378" s="73"/>
      <c r="Q378" s="78" t="s">
        <v>592</v>
      </c>
    </row>
    <row r="379" spans="1:17" ht="15" customHeight="1">
      <c r="A379" s="76" t="s">
        <v>58</v>
      </c>
      <c r="B379" s="98" t="s">
        <v>403</v>
      </c>
      <c r="C379" s="98"/>
      <c r="D379" s="100" t="s">
        <v>610</v>
      </c>
      <c r="E379" s="98" t="s">
        <v>176</v>
      </c>
      <c r="F379" s="101">
        <v>46200</v>
      </c>
      <c r="G379" s="98" t="s">
        <v>591</v>
      </c>
      <c r="H379" s="102">
        <v>16550</v>
      </c>
      <c r="I379" s="102">
        <v>0</v>
      </c>
      <c r="J379" s="102">
        <v>0</v>
      </c>
      <c r="K379" s="102">
        <v>0</v>
      </c>
      <c r="L379" s="97">
        <v>16550</v>
      </c>
      <c r="M379" s="76" t="s">
        <v>389</v>
      </c>
      <c r="N379" s="77">
        <v>46200</v>
      </c>
      <c r="O379" s="79">
        <v>16550</v>
      </c>
      <c r="P379" s="73"/>
      <c r="Q379" s="78" t="s">
        <v>592</v>
      </c>
    </row>
    <row r="380" spans="1:17" ht="15" customHeight="1">
      <c r="A380" s="76" t="s">
        <v>58</v>
      </c>
      <c r="B380" s="98" t="s">
        <v>403</v>
      </c>
      <c r="C380" s="98"/>
      <c r="D380" s="100" t="s">
        <v>610</v>
      </c>
      <c r="E380" s="98" t="s">
        <v>176</v>
      </c>
      <c r="F380" s="101">
        <v>46230</v>
      </c>
      <c r="G380" s="98" t="s">
        <v>591</v>
      </c>
      <c r="H380" s="102">
        <v>16550</v>
      </c>
      <c r="I380" s="102">
        <v>0</v>
      </c>
      <c r="J380" s="102">
        <v>0</v>
      </c>
      <c r="K380" s="102">
        <v>0</v>
      </c>
      <c r="L380" s="97">
        <v>16550</v>
      </c>
      <c r="M380" s="76" t="s">
        <v>389</v>
      </c>
      <c r="N380" s="77">
        <v>46230</v>
      </c>
      <c r="O380" s="79">
        <v>16550</v>
      </c>
      <c r="P380" s="73"/>
      <c r="Q380" s="78" t="s">
        <v>592</v>
      </c>
    </row>
    <row r="381" spans="1:17" ht="15" customHeight="1">
      <c r="A381" s="76" t="s">
        <v>58</v>
      </c>
      <c r="B381" s="98" t="s">
        <v>403</v>
      </c>
      <c r="C381" s="98"/>
      <c r="D381" s="100" t="s">
        <v>610</v>
      </c>
      <c r="E381" s="98" t="s">
        <v>176</v>
      </c>
      <c r="F381" s="101">
        <v>46261</v>
      </c>
      <c r="G381" s="98" t="s">
        <v>591</v>
      </c>
      <c r="H381" s="102">
        <v>16550</v>
      </c>
      <c r="I381" s="102">
        <v>0</v>
      </c>
      <c r="J381" s="102">
        <v>0</v>
      </c>
      <c r="K381" s="102">
        <v>0</v>
      </c>
      <c r="L381" s="97">
        <v>16550</v>
      </c>
      <c r="M381" s="76" t="s">
        <v>389</v>
      </c>
      <c r="N381" s="77">
        <v>46261</v>
      </c>
      <c r="O381" s="79">
        <v>16550</v>
      </c>
      <c r="P381" s="73"/>
      <c r="Q381" s="78" t="s">
        <v>592</v>
      </c>
    </row>
    <row r="382" spans="1:17" ht="15" customHeight="1">
      <c r="A382" s="76" t="s">
        <v>58</v>
      </c>
      <c r="B382" s="98" t="s">
        <v>403</v>
      </c>
      <c r="C382" s="98"/>
      <c r="D382" s="100" t="s">
        <v>611</v>
      </c>
      <c r="E382" s="98" t="s">
        <v>167</v>
      </c>
      <c r="F382" s="101">
        <v>46169</v>
      </c>
      <c r="G382" s="98" t="s">
        <v>591</v>
      </c>
      <c r="H382" s="102">
        <v>4640</v>
      </c>
      <c r="I382" s="102">
        <v>0</v>
      </c>
      <c r="J382" s="102">
        <v>0</v>
      </c>
      <c r="K382" s="102">
        <v>0</v>
      </c>
      <c r="L382" s="97">
        <v>4640</v>
      </c>
      <c r="M382" s="76" t="s">
        <v>389</v>
      </c>
      <c r="N382" s="77">
        <v>46169</v>
      </c>
      <c r="O382" s="79">
        <v>4640</v>
      </c>
      <c r="P382" s="73"/>
      <c r="Q382" s="78" t="s">
        <v>592</v>
      </c>
    </row>
    <row r="383" spans="1:17" ht="15" customHeight="1">
      <c r="A383" s="76" t="s">
        <v>58</v>
      </c>
      <c r="B383" s="98" t="s">
        <v>403</v>
      </c>
      <c r="C383" s="98"/>
      <c r="D383" s="100" t="s">
        <v>611</v>
      </c>
      <c r="E383" s="98" t="s">
        <v>167</v>
      </c>
      <c r="F383" s="101">
        <v>46200</v>
      </c>
      <c r="G383" s="98" t="s">
        <v>591</v>
      </c>
      <c r="H383" s="102">
        <v>4640</v>
      </c>
      <c r="I383" s="102">
        <v>0</v>
      </c>
      <c r="J383" s="102">
        <v>0</v>
      </c>
      <c r="K383" s="102">
        <v>0</v>
      </c>
      <c r="L383" s="97">
        <v>4640</v>
      </c>
      <c r="M383" s="76" t="s">
        <v>389</v>
      </c>
      <c r="N383" s="77">
        <v>46200</v>
      </c>
      <c r="O383" s="79">
        <v>4640</v>
      </c>
      <c r="P383" s="73"/>
      <c r="Q383" s="78" t="s">
        <v>592</v>
      </c>
    </row>
    <row r="384" spans="1:17" ht="15" customHeight="1">
      <c r="A384" s="76" t="s">
        <v>58</v>
      </c>
      <c r="B384" s="98" t="s">
        <v>403</v>
      </c>
      <c r="C384" s="98"/>
      <c r="D384" s="100" t="s">
        <v>611</v>
      </c>
      <c r="E384" s="98" t="s">
        <v>167</v>
      </c>
      <c r="F384" s="101">
        <v>46230</v>
      </c>
      <c r="G384" s="98" t="s">
        <v>591</v>
      </c>
      <c r="H384" s="102">
        <v>4640</v>
      </c>
      <c r="I384" s="102">
        <v>0</v>
      </c>
      <c r="J384" s="102">
        <v>0</v>
      </c>
      <c r="K384" s="102">
        <v>0</v>
      </c>
      <c r="L384" s="97">
        <v>4640</v>
      </c>
      <c r="M384" s="76" t="s">
        <v>389</v>
      </c>
      <c r="N384" s="77">
        <v>46230</v>
      </c>
      <c r="O384" s="79">
        <v>4640</v>
      </c>
      <c r="P384" s="73"/>
      <c r="Q384" s="78" t="s">
        <v>592</v>
      </c>
    </row>
    <row r="385" spans="1:17" ht="15" customHeight="1">
      <c r="A385" s="76" t="s">
        <v>58</v>
      </c>
      <c r="B385" s="98" t="s">
        <v>403</v>
      </c>
      <c r="C385" s="98"/>
      <c r="D385" s="100" t="s">
        <v>611</v>
      </c>
      <c r="E385" s="98" t="s">
        <v>167</v>
      </c>
      <c r="F385" s="101">
        <v>46261</v>
      </c>
      <c r="G385" s="98" t="s">
        <v>591</v>
      </c>
      <c r="H385" s="102">
        <v>4640</v>
      </c>
      <c r="I385" s="102">
        <v>0</v>
      </c>
      <c r="J385" s="102">
        <v>0</v>
      </c>
      <c r="K385" s="102">
        <v>0</v>
      </c>
      <c r="L385" s="97">
        <v>4640</v>
      </c>
      <c r="M385" s="76" t="s">
        <v>389</v>
      </c>
      <c r="N385" s="77">
        <v>46261</v>
      </c>
      <c r="O385" s="79">
        <v>4640</v>
      </c>
      <c r="P385" s="73"/>
      <c r="Q385" s="78" t="s">
        <v>592</v>
      </c>
    </row>
    <row r="386" spans="1:17" ht="15" customHeight="1">
      <c r="A386" s="76" t="s">
        <v>58</v>
      </c>
      <c r="B386" s="98" t="s">
        <v>403</v>
      </c>
      <c r="C386" s="98"/>
      <c r="D386" s="103" t="s">
        <v>612</v>
      </c>
      <c r="E386" s="98" t="s">
        <v>167</v>
      </c>
      <c r="F386" s="101">
        <v>46169</v>
      </c>
      <c r="G386" s="98" t="s">
        <v>591</v>
      </c>
      <c r="H386" s="102">
        <v>10230</v>
      </c>
      <c r="I386" s="102">
        <v>0</v>
      </c>
      <c r="J386" s="102">
        <v>0</v>
      </c>
      <c r="K386" s="102">
        <v>0</v>
      </c>
      <c r="L386" s="97">
        <v>10230</v>
      </c>
      <c r="M386" s="76" t="s">
        <v>389</v>
      </c>
      <c r="N386" s="77">
        <v>46169</v>
      </c>
      <c r="O386" s="79">
        <v>10230</v>
      </c>
      <c r="P386" s="73"/>
      <c r="Q386" s="78" t="s">
        <v>592</v>
      </c>
    </row>
    <row r="387" spans="1:17" ht="15" customHeight="1">
      <c r="A387" s="76" t="s">
        <v>58</v>
      </c>
      <c r="B387" s="98" t="s">
        <v>403</v>
      </c>
      <c r="C387" s="98"/>
      <c r="D387" s="103" t="s">
        <v>612</v>
      </c>
      <c r="E387" s="98" t="s">
        <v>167</v>
      </c>
      <c r="F387" s="101">
        <v>46200</v>
      </c>
      <c r="G387" s="98" t="s">
        <v>591</v>
      </c>
      <c r="H387" s="102">
        <v>10230</v>
      </c>
      <c r="I387" s="102">
        <v>0</v>
      </c>
      <c r="J387" s="102">
        <v>0</v>
      </c>
      <c r="K387" s="102">
        <v>0</v>
      </c>
      <c r="L387" s="97">
        <v>10230</v>
      </c>
      <c r="M387" s="76" t="s">
        <v>389</v>
      </c>
      <c r="N387" s="77">
        <v>46200</v>
      </c>
      <c r="O387" s="79">
        <v>10230</v>
      </c>
      <c r="P387" s="73"/>
      <c r="Q387" s="78" t="s">
        <v>592</v>
      </c>
    </row>
    <row r="388" spans="1:17" ht="15" customHeight="1">
      <c r="A388" s="76" t="s">
        <v>58</v>
      </c>
      <c r="B388" s="98" t="s">
        <v>403</v>
      </c>
      <c r="C388" s="98"/>
      <c r="D388" s="103" t="s">
        <v>612</v>
      </c>
      <c r="E388" s="98" t="s">
        <v>167</v>
      </c>
      <c r="F388" s="101">
        <v>46230</v>
      </c>
      <c r="G388" s="98" t="s">
        <v>591</v>
      </c>
      <c r="H388" s="102">
        <v>10230</v>
      </c>
      <c r="I388" s="102">
        <v>0</v>
      </c>
      <c r="J388" s="102">
        <v>0</v>
      </c>
      <c r="K388" s="102">
        <v>0</v>
      </c>
      <c r="L388" s="97">
        <v>10230</v>
      </c>
      <c r="M388" s="76" t="s">
        <v>389</v>
      </c>
      <c r="N388" s="77">
        <v>46230</v>
      </c>
      <c r="O388" s="79">
        <v>10230</v>
      </c>
      <c r="P388" s="73"/>
      <c r="Q388" s="78" t="s">
        <v>592</v>
      </c>
    </row>
    <row r="389" spans="1:17" ht="15" customHeight="1">
      <c r="A389" s="76" t="s">
        <v>58</v>
      </c>
      <c r="B389" s="98" t="s">
        <v>403</v>
      </c>
      <c r="C389" s="98"/>
      <c r="D389" s="103" t="s">
        <v>612</v>
      </c>
      <c r="E389" s="98" t="s">
        <v>167</v>
      </c>
      <c r="F389" s="101">
        <v>46261</v>
      </c>
      <c r="G389" s="98" t="s">
        <v>591</v>
      </c>
      <c r="H389" s="102">
        <v>10230</v>
      </c>
      <c r="I389" s="102">
        <v>0</v>
      </c>
      <c r="J389" s="102">
        <v>0</v>
      </c>
      <c r="K389" s="102">
        <v>0</v>
      </c>
      <c r="L389" s="97">
        <v>10230</v>
      </c>
      <c r="M389" s="76" t="s">
        <v>389</v>
      </c>
      <c r="N389" s="77">
        <v>46261</v>
      </c>
      <c r="O389" s="79">
        <v>10230</v>
      </c>
      <c r="P389" s="73"/>
      <c r="Q389" s="78" t="s">
        <v>592</v>
      </c>
    </row>
    <row r="390" spans="1:17" ht="15" customHeight="1">
      <c r="A390" s="76" t="s">
        <v>58</v>
      </c>
      <c r="B390" s="98" t="s">
        <v>403</v>
      </c>
      <c r="C390" s="98"/>
      <c r="D390" s="100" t="s">
        <v>613</v>
      </c>
      <c r="E390" s="98" t="s">
        <v>167</v>
      </c>
      <c r="F390" s="101">
        <v>46151</v>
      </c>
      <c r="G390" s="98" t="s">
        <v>591</v>
      </c>
      <c r="H390" s="102">
        <v>880</v>
      </c>
      <c r="I390" s="102">
        <v>0</v>
      </c>
      <c r="J390" s="102">
        <v>0</v>
      </c>
      <c r="K390" s="102">
        <v>0</v>
      </c>
      <c r="L390" s="97">
        <v>880</v>
      </c>
      <c r="M390" s="76" t="s">
        <v>389</v>
      </c>
      <c r="N390" s="77">
        <v>46151</v>
      </c>
      <c r="O390" s="79">
        <v>880</v>
      </c>
      <c r="P390" s="73"/>
      <c r="Q390" s="78" t="s">
        <v>592</v>
      </c>
    </row>
    <row r="391" spans="1:17" ht="15" customHeight="1">
      <c r="A391" s="76" t="s">
        <v>58</v>
      </c>
      <c r="B391" s="98" t="s">
        <v>403</v>
      </c>
      <c r="C391" s="98"/>
      <c r="D391" s="100" t="s">
        <v>613</v>
      </c>
      <c r="E391" s="98" t="s">
        <v>167</v>
      </c>
      <c r="F391" s="101">
        <v>46182</v>
      </c>
      <c r="G391" s="98" t="s">
        <v>591</v>
      </c>
      <c r="H391" s="102">
        <v>880</v>
      </c>
      <c r="I391" s="102">
        <v>0</v>
      </c>
      <c r="J391" s="102">
        <v>0</v>
      </c>
      <c r="K391" s="102">
        <v>0</v>
      </c>
      <c r="L391" s="97">
        <v>880</v>
      </c>
      <c r="M391" s="76" t="s">
        <v>389</v>
      </c>
      <c r="N391" s="77">
        <v>46182</v>
      </c>
      <c r="O391" s="79">
        <v>880</v>
      </c>
      <c r="P391" s="73"/>
      <c r="Q391" s="78" t="s">
        <v>592</v>
      </c>
    </row>
    <row r="392" spans="1:17" ht="15" customHeight="1">
      <c r="A392" s="76" t="s">
        <v>58</v>
      </c>
      <c r="B392" s="98" t="s">
        <v>403</v>
      </c>
      <c r="C392" s="98"/>
      <c r="D392" s="100" t="s">
        <v>613</v>
      </c>
      <c r="E392" s="98" t="s">
        <v>167</v>
      </c>
      <c r="F392" s="101">
        <v>46212</v>
      </c>
      <c r="G392" s="98" t="s">
        <v>591</v>
      </c>
      <c r="H392" s="102">
        <v>880</v>
      </c>
      <c r="I392" s="102">
        <v>0</v>
      </c>
      <c r="J392" s="102">
        <v>0</v>
      </c>
      <c r="K392" s="102">
        <v>0</v>
      </c>
      <c r="L392" s="97">
        <v>880</v>
      </c>
      <c r="M392" s="76" t="s">
        <v>389</v>
      </c>
      <c r="N392" s="77">
        <v>46212</v>
      </c>
      <c r="O392" s="79">
        <v>880</v>
      </c>
      <c r="P392" s="73"/>
      <c r="Q392" s="78" t="s">
        <v>592</v>
      </c>
    </row>
    <row r="393" spans="1:17" ht="15" customHeight="1">
      <c r="A393" s="76" t="s">
        <v>58</v>
      </c>
      <c r="B393" s="98" t="s">
        <v>403</v>
      </c>
      <c r="C393" s="98"/>
      <c r="D393" s="100" t="s">
        <v>613</v>
      </c>
      <c r="E393" s="98" t="s">
        <v>167</v>
      </c>
      <c r="F393" s="101">
        <v>46243</v>
      </c>
      <c r="G393" s="98" t="s">
        <v>591</v>
      </c>
      <c r="H393" s="102">
        <v>880</v>
      </c>
      <c r="I393" s="102">
        <v>0</v>
      </c>
      <c r="J393" s="102">
        <v>0</v>
      </c>
      <c r="K393" s="102">
        <v>0</v>
      </c>
      <c r="L393" s="97">
        <v>880</v>
      </c>
      <c r="M393" s="76" t="s">
        <v>389</v>
      </c>
      <c r="N393" s="77">
        <v>46243</v>
      </c>
      <c r="O393" s="79">
        <v>880</v>
      </c>
      <c r="P393" s="73"/>
      <c r="Q393" s="78" t="s">
        <v>592</v>
      </c>
    </row>
    <row r="394" spans="1:17" ht="15" customHeight="1">
      <c r="A394" s="76" t="s">
        <v>58</v>
      </c>
      <c r="B394" s="98" t="s">
        <v>403</v>
      </c>
      <c r="C394" s="98"/>
      <c r="D394" s="103" t="s">
        <v>614</v>
      </c>
      <c r="E394" s="98" t="s">
        <v>170</v>
      </c>
      <c r="F394" s="101">
        <v>46148</v>
      </c>
      <c r="G394" s="98" t="s">
        <v>591</v>
      </c>
      <c r="H394" s="102">
        <v>629</v>
      </c>
      <c r="I394" s="102">
        <v>0</v>
      </c>
      <c r="J394" s="102">
        <v>0</v>
      </c>
      <c r="K394" s="102">
        <v>0</v>
      </c>
      <c r="L394" s="97">
        <v>629</v>
      </c>
      <c r="M394" s="76" t="s">
        <v>389</v>
      </c>
      <c r="N394" s="77">
        <v>46148</v>
      </c>
      <c r="O394" s="79">
        <v>629</v>
      </c>
      <c r="P394" s="73"/>
      <c r="Q394" s="78" t="s">
        <v>592</v>
      </c>
    </row>
    <row r="395" spans="1:17" ht="15" customHeight="1">
      <c r="A395" s="76" t="s">
        <v>58</v>
      </c>
      <c r="B395" s="98" t="s">
        <v>403</v>
      </c>
      <c r="C395" s="98"/>
      <c r="D395" s="103" t="s">
        <v>614</v>
      </c>
      <c r="E395" s="98" t="s">
        <v>170</v>
      </c>
      <c r="F395" s="101">
        <v>46179</v>
      </c>
      <c r="G395" s="98" t="s">
        <v>591</v>
      </c>
      <c r="H395" s="102">
        <v>629</v>
      </c>
      <c r="I395" s="102">
        <v>0</v>
      </c>
      <c r="J395" s="102">
        <v>0</v>
      </c>
      <c r="K395" s="102">
        <v>0</v>
      </c>
      <c r="L395" s="97">
        <v>629</v>
      </c>
      <c r="M395" s="76" t="s">
        <v>389</v>
      </c>
      <c r="N395" s="77">
        <v>46179</v>
      </c>
      <c r="O395" s="79">
        <v>629</v>
      </c>
      <c r="P395" s="73"/>
      <c r="Q395" s="78" t="s">
        <v>592</v>
      </c>
    </row>
    <row r="396" spans="1:17" ht="15" customHeight="1">
      <c r="A396" s="76" t="s">
        <v>58</v>
      </c>
      <c r="B396" s="98" t="s">
        <v>403</v>
      </c>
      <c r="C396" s="98"/>
      <c r="D396" s="103" t="s">
        <v>614</v>
      </c>
      <c r="E396" s="98" t="s">
        <v>170</v>
      </c>
      <c r="F396" s="101">
        <v>46209</v>
      </c>
      <c r="G396" s="98" t="s">
        <v>591</v>
      </c>
      <c r="H396" s="102">
        <v>629</v>
      </c>
      <c r="I396" s="102">
        <v>0</v>
      </c>
      <c r="J396" s="102">
        <v>0</v>
      </c>
      <c r="K396" s="102">
        <v>0</v>
      </c>
      <c r="L396" s="97">
        <v>629</v>
      </c>
      <c r="M396" s="76" t="s">
        <v>389</v>
      </c>
      <c r="N396" s="77">
        <v>46209</v>
      </c>
      <c r="O396" s="79">
        <v>629</v>
      </c>
      <c r="P396" s="73"/>
      <c r="Q396" s="78" t="s">
        <v>592</v>
      </c>
    </row>
    <row r="397" spans="1:17" ht="15" customHeight="1">
      <c r="A397" s="76" t="s">
        <v>58</v>
      </c>
      <c r="B397" s="98" t="s">
        <v>403</v>
      </c>
      <c r="C397" s="98"/>
      <c r="D397" s="103" t="s">
        <v>614</v>
      </c>
      <c r="E397" s="98" t="s">
        <v>170</v>
      </c>
      <c r="F397" s="101">
        <v>46240</v>
      </c>
      <c r="G397" s="98" t="s">
        <v>591</v>
      </c>
      <c r="H397" s="102">
        <v>629</v>
      </c>
      <c r="I397" s="102">
        <v>0</v>
      </c>
      <c r="J397" s="102">
        <v>0</v>
      </c>
      <c r="K397" s="102">
        <v>0</v>
      </c>
      <c r="L397" s="97">
        <v>629</v>
      </c>
      <c r="M397" s="76" t="s">
        <v>389</v>
      </c>
      <c r="N397" s="77">
        <v>46240</v>
      </c>
      <c r="O397" s="79">
        <v>629</v>
      </c>
      <c r="P397" s="73"/>
      <c r="Q397" s="78" t="s">
        <v>592</v>
      </c>
    </row>
    <row r="398" spans="1:17" ht="15" customHeight="1">
      <c r="A398" s="76" t="s">
        <v>58</v>
      </c>
      <c r="B398" s="98" t="s">
        <v>403</v>
      </c>
      <c r="C398" s="98"/>
      <c r="D398" s="103" t="s">
        <v>615</v>
      </c>
      <c r="E398" s="98" t="s">
        <v>170</v>
      </c>
      <c r="F398" s="101">
        <v>46148</v>
      </c>
      <c r="G398" s="98" t="s">
        <v>591</v>
      </c>
      <c r="H398" s="102">
        <v>9884</v>
      </c>
      <c r="I398" s="102">
        <v>0</v>
      </c>
      <c r="J398" s="102">
        <v>0</v>
      </c>
      <c r="K398" s="102">
        <v>0</v>
      </c>
      <c r="L398" s="97">
        <v>9884</v>
      </c>
      <c r="M398" s="76" t="s">
        <v>389</v>
      </c>
      <c r="N398" s="77">
        <v>46148</v>
      </c>
      <c r="O398" s="79">
        <v>9884</v>
      </c>
      <c r="P398" s="73"/>
      <c r="Q398" s="78" t="s">
        <v>592</v>
      </c>
    </row>
    <row r="399" spans="1:17" ht="15" customHeight="1">
      <c r="A399" s="76" t="s">
        <v>58</v>
      </c>
      <c r="B399" s="98" t="s">
        <v>403</v>
      </c>
      <c r="C399" s="98"/>
      <c r="D399" s="103" t="s">
        <v>615</v>
      </c>
      <c r="E399" s="98" t="s">
        <v>170</v>
      </c>
      <c r="F399" s="101">
        <v>46179</v>
      </c>
      <c r="G399" s="98" t="s">
        <v>591</v>
      </c>
      <c r="H399" s="102">
        <v>9884</v>
      </c>
      <c r="I399" s="102">
        <v>0</v>
      </c>
      <c r="J399" s="102">
        <v>0</v>
      </c>
      <c r="K399" s="102">
        <v>0</v>
      </c>
      <c r="L399" s="97">
        <v>9884</v>
      </c>
      <c r="M399" s="76" t="s">
        <v>389</v>
      </c>
      <c r="N399" s="77">
        <v>46179</v>
      </c>
      <c r="O399" s="79">
        <v>9884</v>
      </c>
      <c r="P399" s="73"/>
      <c r="Q399" s="78" t="s">
        <v>592</v>
      </c>
    </row>
    <row r="400" spans="1:17" ht="15" customHeight="1">
      <c r="A400" s="76" t="s">
        <v>58</v>
      </c>
      <c r="B400" s="98" t="s">
        <v>403</v>
      </c>
      <c r="C400" s="98"/>
      <c r="D400" s="103" t="s">
        <v>615</v>
      </c>
      <c r="E400" s="98" t="s">
        <v>170</v>
      </c>
      <c r="F400" s="101">
        <v>46209</v>
      </c>
      <c r="G400" s="98" t="s">
        <v>591</v>
      </c>
      <c r="H400" s="102">
        <v>9884</v>
      </c>
      <c r="I400" s="102">
        <v>0</v>
      </c>
      <c r="J400" s="102">
        <v>0</v>
      </c>
      <c r="K400" s="102">
        <v>0</v>
      </c>
      <c r="L400" s="97">
        <v>9884</v>
      </c>
      <c r="M400" s="76" t="s">
        <v>389</v>
      </c>
      <c r="N400" s="77">
        <v>46209</v>
      </c>
      <c r="O400" s="79">
        <v>9884</v>
      </c>
      <c r="P400" s="73"/>
      <c r="Q400" s="78" t="s">
        <v>592</v>
      </c>
    </row>
    <row r="401" spans="1:17" ht="15" customHeight="1">
      <c r="A401" s="76" t="s">
        <v>58</v>
      </c>
      <c r="B401" s="98" t="s">
        <v>403</v>
      </c>
      <c r="C401" s="98"/>
      <c r="D401" s="103" t="s">
        <v>615</v>
      </c>
      <c r="E401" s="98" t="s">
        <v>170</v>
      </c>
      <c r="F401" s="101">
        <v>46240</v>
      </c>
      <c r="G401" s="98" t="s">
        <v>591</v>
      </c>
      <c r="H401" s="102">
        <v>9884</v>
      </c>
      <c r="I401" s="102">
        <v>0</v>
      </c>
      <c r="J401" s="102">
        <v>0</v>
      </c>
      <c r="K401" s="102">
        <v>0</v>
      </c>
      <c r="L401" s="97">
        <v>9884</v>
      </c>
      <c r="M401" s="76" t="s">
        <v>389</v>
      </c>
      <c r="N401" s="77">
        <v>46240</v>
      </c>
      <c r="O401" s="79">
        <v>9884</v>
      </c>
      <c r="P401" s="73"/>
      <c r="Q401" s="78" t="s">
        <v>592</v>
      </c>
    </row>
    <row r="402" spans="1:17" ht="15" customHeight="1">
      <c r="A402" s="76" t="s">
        <v>58</v>
      </c>
      <c r="B402" s="98" t="s">
        <v>403</v>
      </c>
      <c r="C402" s="98"/>
      <c r="D402" s="100" t="s">
        <v>616</v>
      </c>
      <c r="E402" s="98" t="s">
        <v>180</v>
      </c>
      <c r="F402" s="101">
        <v>46169</v>
      </c>
      <c r="G402" s="98" t="s">
        <v>591</v>
      </c>
      <c r="H402" s="102">
        <v>3300</v>
      </c>
      <c r="I402" s="102">
        <v>0</v>
      </c>
      <c r="J402" s="102">
        <v>0</v>
      </c>
      <c r="K402" s="102">
        <v>0</v>
      </c>
      <c r="L402" s="97">
        <v>3300</v>
      </c>
      <c r="M402" s="76" t="s">
        <v>389</v>
      </c>
      <c r="N402" s="77">
        <v>46169</v>
      </c>
      <c r="O402" s="79">
        <v>3300</v>
      </c>
      <c r="P402" s="73"/>
      <c r="Q402" s="78" t="s">
        <v>592</v>
      </c>
    </row>
    <row r="403" spans="1:17" ht="15" customHeight="1">
      <c r="A403" s="76" t="s">
        <v>58</v>
      </c>
      <c r="B403" s="98" t="s">
        <v>403</v>
      </c>
      <c r="C403" s="98"/>
      <c r="D403" s="100" t="s">
        <v>616</v>
      </c>
      <c r="E403" s="98" t="s">
        <v>180</v>
      </c>
      <c r="F403" s="101">
        <v>46200</v>
      </c>
      <c r="G403" s="98" t="s">
        <v>591</v>
      </c>
      <c r="H403" s="102">
        <v>3300</v>
      </c>
      <c r="I403" s="102">
        <v>0</v>
      </c>
      <c r="J403" s="102">
        <v>0</v>
      </c>
      <c r="K403" s="102">
        <v>0</v>
      </c>
      <c r="L403" s="97">
        <v>3300</v>
      </c>
      <c r="M403" s="76" t="s">
        <v>389</v>
      </c>
      <c r="N403" s="77">
        <v>46200</v>
      </c>
      <c r="O403" s="79">
        <v>3300</v>
      </c>
      <c r="P403" s="73"/>
      <c r="Q403" s="78" t="s">
        <v>592</v>
      </c>
    </row>
    <row r="404" spans="1:17" ht="15" customHeight="1">
      <c r="A404" s="76" t="s">
        <v>58</v>
      </c>
      <c r="B404" s="98" t="s">
        <v>403</v>
      </c>
      <c r="C404" s="98"/>
      <c r="D404" s="100" t="s">
        <v>616</v>
      </c>
      <c r="E404" s="98" t="s">
        <v>180</v>
      </c>
      <c r="F404" s="101">
        <v>46230</v>
      </c>
      <c r="G404" s="98" t="s">
        <v>591</v>
      </c>
      <c r="H404" s="102">
        <v>3300</v>
      </c>
      <c r="I404" s="102">
        <v>0</v>
      </c>
      <c r="J404" s="102">
        <v>0</v>
      </c>
      <c r="K404" s="102">
        <v>0</v>
      </c>
      <c r="L404" s="97">
        <v>3300</v>
      </c>
      <c r="M404" s="76" t="s">
        <v>389</v>
      </c>
      <c r="N404" s="77">
        <v>46230</v>
      </c>
      <c r="O404" s="79">
        <v>3300</v>
      </c>
      <c r="P404" s="73"/>
      <c r="Q404" s="78" t="s">
        <v>592</v>
      </c>
    </row>
    <row r="405" spans="1:17" ht="15" customHeight="1">
      <c r="A405" s="76" t="s">
        <v>58</v>
      </c>
      <c r="B405" s="98" t="s">
        <v>403</v>
      </c>
      <c r="C405" s="98"/>
      <c r="D405" s="100" t="s">
        <v>616</v>
      </c>
      <c r="E405" s="98" t="s">
        <v>180</v>
      </c>
      <c r="F405" s="101">
        <v>46261</v>
      </c>
      <c r="G405" s="98" t="s">
        <v>591</v>
      </c>
      <c r="H405" s="102">
        <v>3300</v>
      </c>
      <c r="I405" s="102">
        <v>0</v>
      </c>
      <c r="J405" s="102">
        <v>0</v>
      </c>
      <c r="K405" s="102">
        <v>0</v>
      </c>
      <c r="L405" s="97">
        <v>3300</v>
      </c>
      <c r="M405" s="76" t="s">
        <v>389</v>
      </c>
      <c r="N405" s="77">
        <v>46261</v>
      </c>
      <c r="O405" s="79">
        <v>3300</v>
      </c>
      <c r="P405" s="73"/>
      <c r="Q405" s="78" t="s">
        <v>592</v>
      </c>
    </row>
    <row r="406" spans="1:17" ht="15" customHeight="1">
      <c r="A406" s="76" t="s">
        <v>58</v>
      </c>
      <c r="B406" s="98" t="s">
        <v>403</v>
      </c>
      <c r="C406" s="98"/>
      <c r="D406" s="103" t="s">
        <v>617</v>
      </c>
      <c r="E406" s="98" t="s">
        <v>179</v>
      </c>
      <c r="F406" s="101">
        <v>46169</v>
      </c>
      <c r="G406" s="98" t="s">
        <v>591</v>
      </c>
      <c r="H406" s="102">
        <v>88060</v>
      </c>
      <c r="I406" s="102">
        <v>0</v>
      </c>
      <c r="J406" s="102">
        <v>0</v>
      </c>
      <c r="K406" s="102">
        <v>0</v>
      </c>
      <c r="L406" s="97">
        <v>88060</v>
      </c>
      <c r="M406" s="76" t="s">
        <v>389</v>
      </c>
      <c r="N406" s="77">
        <v>46169</v>
      </c>
      <c r="O406" s="79">
        <v>88060</v>
      </c>
      <c r="P406" s="73"/>
      <c r="Q406" s="78" t="s">
        <v>592</v>
      </c>
    </row>
    <row r="407" spans="1:17" ht="15" customHeight="1">
      <c r="A407" s="76" t="s">
        <v>58</v>
      </c>
      <c r="B407" s="98" t="s">
        <v>403</v>
      </c>
      <c r="C407" s="98"/>
      <c r="D407" s="103" t="s">
        <v>617</v>
      </c>
      <c r="E407" s="98" t="s">
        <v>179</v>
      </c>
      <c r="F407" s="101">
        <v>46200</v>
      </c>
      <c r="G407" s="98" t="s">
        <v>591</v>
      </c>
      <c r="H407" s="102">
        <v>88060</v>
      </c>
      <c r="I407" s="102">
        <v>0</v>
      </c>
      <c r="J407" s="102">
        <v>0</v>
      </c>
      <c r="K407" s="102">
        <v>0</v>
      </c>
      <c r="L407" s="97">
        <v>88060</v>
      </c>
      <c r="M407" s="76" t="s">
        <v>389</v>
      </c>
      <c r="N407" s="77">
        <v>46200</v>
      </c>
      <c r="O407" s="79">
        <v>88060</v>
      </c>
      <c r="P407" s="73"/>
      <c r="Q407" s="78" t="s">
        <v>592</v>
      </c>
    </row>
    <row r="408" spans="1:17" ht="15" customHeight="1">
      <c r="A408" s="76" t="s">
        <v>58</v>
      </c>
      <c r="B408" s="98" t="s">
        <v>403</v>
      </c>
      <c r="C408" s="98"/>
      <c r="D408" s="103" t="s">
        <v>617</v>
      </c>
      <c r="E408" s="98" t="s">
        <v>179</v>
      </c>
      <c r="F408" s="101">
        <v>46230</v>
      </c>
      <c r="G408" s="98" t="s">
        <v>591</v>
      </c>
      <c r="H408" s="102">
        <v>88060</v>
      </c>
      <c r="I408" s="102">
        <v>0</v>
      </c>
      <c r="J408" s="102">
        <v>0</v>
      </c>
      <c r="K408" s="102">
        <v>0</v>
      </c>
      <c r="L408" s="97">
        <v>88060</v>
      </c>
      <c r="M408" s="76" t="s">
        <v>389</v>
      </c>
      <c r="N408" s="77">
        <v>46230</v>
      </c>
      <c r="O408" s="79">
        <v>88060</v>
      </c>
      <c r="P408" s="73"/>
      <c r="Q408" s="78" t="s">
        <v>592</v>
      </c>
    </row>
    <row r="409" spans="1:17" ht="15" customHeight="1">
      <c r="A409" s="76" t="s">
        <v>58</v>
      </c>
      <c r="B409" s="98" t="s">
        <v>403</v>
      </c>
      <c r="C409" s="98"/>
      <c r="D409" s="103" t="s">
        <v>617</v>
      </c>
      <c r="E409" s="98" t="s">
        <v>179</v>
      </c>
      <c r="F409" s="101">
        <v>46261</v>
      </c>
      <c r="G409" s="98" t="s">
        <v>591</v>
      </c>
      <c r="H409" s="102">
        <v>88060</v>
      </c>
      <c r="I409" s="102">
        <v>0</v>
      </c>
      <c r="J409" s="102">
        <v>0</v>
      </c>
      <c r="K409" s="102">
        <v>0</v>
      </c>
      <c r="L409" s="97">
        <v>88060</v>
      </c>
      <c r="M409" s="76" t="s">
        <v>389</v>
      </c>
      <c r="N409" s="77">
        <v>46261</v>
      </c>
      <c r="O409" s="79">
        <v>88060</v>
      </c>
      <c r="P409" s="73"/>
      <c r="Q409" s="78" t="s">
        <v>592</v>
      </c>
    </row>
    <row r="410" spans="1:17" ht="15" customHeight="1">
      <c r="A410" s="76" t="s">
        <v>58</v>
      </c>
      <c r="B410" s="98" t="s">
        <v>403</v>
      </c>
      <c r="C410" s="98"/>
      <c r="D410" s="100" t="s">
        <v>618</v>
      </c>
      <c r="E410" s="98" t="s">
        <v>180</v>
      </c>
      <c r="F410" s="101">
        <v>46155</v>
      </c>
      <c r="G410" s="98" t="s">
        <v>591</v>
      </c>
      <c r="H410" s="102">
        <v>80153</v>
      </c>
      <c r="I410" s="102">
        <v>0</v>
      </c>
      <c r="J410" s="102">
        <v>0</v>
      </c>
      <c r="K410" s="102">
        <v>0</v>
      </c>
      <c r="L410" s="97">
        <v>80153</v>
      </c>
      <c r="M410" s="76" t="s">
        <v>389</v>
      </c>
      <c r="N410" s="77">
        <v>46155</v>
      </c>
      <c r="O410" s="79">
        <v>80153</v>
      </c>
      <c r="P410" s="73"/>
      <c r="Q410" s="78" t="s">
        <v>592</v>
      </c>
    </row>
    <row r="411" spans="1:17" ht="15" customHeight="1">
      <c r="A411" s="76" t="s">
        <v>58</v>
      </c>
      <c r="B411" s="98" t="s">
        <v>403</v>
      </c>
      <c r="C411" s="98"/>
      <c r="D411" s="100" t="s">
        <v>618</v>
      </c>
      <c r="E411" s="98" t="s">
        <v>180</v>
      </c>
      <c r="F411" s="101">
        <v>46186</v>
      </c>
      <c r="G411" s="98" t="s">
        <v>591</v>
      </c>
      <c r="H411" s="102">
        <v>80153</v>
      </c>
      <c r="I411" s="102">
        <v>0</v>
      </c>
      <c r="J411" s="102">
        <v>0</v>
      </c>
      <c r="K411" s="102">
        <v>0</v>
      </c>
      <c r="L411" s="97">
        <v>80153</v>
      </c>
      <c r="M411" s="76" t="s">
        <v>389</v>
      </c>
      <c r="N411" s="77">
        <v>46186</v>
      </c>
      <c r="O411" s="79">
        <v>80153</v>
      </c>
      <c r="P411" s="73"/>
      <c r="Q411" s="78" t="s">
        <v>592</v>
      </c>
    </row>
    <row r="412" spans="1:17" ht="15" customHeight="1">
      <c r="A412" s="76" t="s">
        <v>58</v>
      </c>
      <c r="B412" s="98" t="s">
        <v>403</v>
      </c>
      <c r="C412" s="98"/>
      <c r="D412" s="100" t="s">
        <v>618</v>
      </c>
      <c r="E412" s="98" t="s">
        <v>180</v>
      </c>
      <c r="F412" s="101">
        <v>46216</v>
      </c>
      <c r="G412" s="98" t="s">
        <v>591</v>
      </c>
      <c r="H412" s="102">
        <v>80153</v>
      </c>
      <c r="I412" s="102">
        <v>0</v>
      </c>
      <c r="J412" s="102">
        <v>0</v>
      </c>
      <c r="K412" s="102">
        <v>0</v>
      </c>
      <c r="L412" s="97">
        <v>80153</v>
      </c>
      <c r="M412" s="76" t="s">
        <v>389</v>
      </c>
      <c r="N412" s="77">
        <v>46216</v>
      </c>
      <c r="O412" s="79">
        <v>80153</v>
      </c>
      <c r="P412" s="73"/>
      <c r="Q412" s="78" t="s">
        <v>592</v>
      </c>
    </row>
    <row r="413" spans="1:17" ht="15" customHeight="1">
      <c r="A413" s="76" t="s">
        <v>58</v>
      </c>
      <c r="B413" s="98" t="s">
        <v>403</v>
      </c>
      <c r="C413" s="98"/>
      <c r="D413" s="100" t="s">
        <v>618</v>
      </c>
      <c r="E413" s="98" t="s">
        <v>180</v>
      </c>
      <c r="F413" s="101">
        <v>46247</v>
      </c>
      <c r="G413" s="98" t="s">
        <v>591</v>
      </c>
      <c r="H413" s="102">
        <v>80153</v>
      </c>
      <c r="I413" s="102">
        <v>0</v>
      </c>
      <c r="J413" s="102">
        <v>0</v>
      </c>
      <c r="K413" s="102">
        <v>0</v>
      </c>
      <c r="L413" s="97">
        <v>80153</v>
      </c>
      <c r="M413" s="76" t="s">
        <v>389</v>
      </c>
      <c r="N413" s="77">
        <v>46247</v>
      </c>
      <c r="O413" s="79">
        <v>80153</v>
      </c>
      <c r="P413" s="73"/>
      <c r="Q413" s="78" t="s">
        <v>592</v>
      </c>
    </row>
    <row r="414" spans="1:17" ht="15" customHeight="1">
      <c r="A414" s="76" t="s">
        <v>58</v>
      </c>
      <c r="B414" s="98" t="s">
        <v>403</v>
      </c>
      <c r="C414" s="98"/>
      <c r="D414" s="100" t="s">
        <v>619</v>
      </c>
      <c r="E414" s="98" t="s">
        <v>180</v>
      </c>
      <c r="F414" s="101">
        <v>46169</v>
      </c>
      <c r="G414" s="98" t="s">
        <v>591</v>
      </c>
      <c r="H414" s="102">
        <v>79200</v>
      </c>
      <c r="I414" s="102">
        <v>0</v>
      </c>
      <c r="J414" s="102">
        <v>0</v>
      </c>
      <c r="K414" s="102">
        <v>0</v>
      </c>
      <c r="L414" s="97">
        <v>79200</v>
      </c>
      <c r="M414" s="76" t="s">
        <v>389</v>
      </c>
      <c r="N414" s="77">
        <v>46169</v>
      </c>
      <c r="O414" s="79">
        <v>79200</v>
      </c>
      <c r="P414" s="73"/>
      <c r="Q414" s="78" t="s">
        <v>592</v>
      </c>
    </row>
    <row r="415" spans="1:17" ht="15" customHeight="1">
      <c r="A415" s="76" t="s">
        <v>58</v>
      </c>
      <c r="B415" s="98" t="s">
        <v>403</v>
      </c>
      <c r="C415" s="98"/>
      <c r="D415" s="100" t="s">
        <v>619</v>
      </c>
      <c r="E415" s="98" t="s">
        <v>180</v>
      </c>
      <c r="F415" s="101">
        <v>46200</v>
      </c>
      <c r="G415" s="98" t="s">
        <v>591</v>
      </c>
      <c r="H415" s="102">
        <v>79200</v>
      </c>
      <c r="I415" s="102">
        <v>0</v>
      </c>
      <c r="J415" s="102">
        <v>0</v>
      </c>
      <c r="K415" s="102">
        <v>0</v>
      </c>
      <c r="L415" s="97">
        <v>79200</v>
      </c>
      <c r="M415" s="76" t="s">
        <v>389</v>
      </c>
      <c r="N415" s="77">
        <v>46200</v>
      </c>
      <c r="O415" s="79">
        <v>79200</v>
      </c>
      <c r="P415" s="73"/>
      <c r="Q415" s="78" t="s">
        <v>592</v>
      </c>
    </row>
    <row r="416" spans="1:17" ht="15" customHeight="1">
      <c r="A416" s="76" t="s">
        <v>58</v>
      </c>
      <c r="B416" s="98" t="s">
        <v>403</v>
      </c>
      <c r="C416" s="98"/>
      <c r="D416" s="100" t="s">
        <v>619</v>
      </c>
      <c r="E416" s="98" t="s">
        <v>180</v>
      </c>
      <c r="F416" s="101">
        <v>46230</v>
      </c>
      <c r="G416" s="98" t="s">
        <v>591</v>
      </c>
      <c r="H416" s="102">
        <v>79200</v>
      </c>
      <c r="I416" s="102">
        <v>0</v>
      </c>
      <c r="J416" s="102">
        <v>0</v>
      </c>
      <c r="K416" s="102">
        <v>0</v>
      </c>
      <c r="L416" s="97">
        <v>79200</v>
      </c>
      <c r="M416" s="76" t="s">
        <v>389</v>
      </c>
      <c r="N416" s="77">
        <v>46230</v>
      </c>
      <c r="O416" s="79">
        <v>79200</v>
      </c>
      <c r="P416" s="73"/>
      <c r="Q416" s="78" t="s">
        <v>592</v>
      </c>
    </row>
    <row r="417" spans="1:17" ht="15" customHeight="1">
      <c r="A417" s="76" t="s">
        <v>58</v>
      </c>
      <c r="B417" s="98" t="s">
        <v>403</v>
      </c>
      <c r="C417" s="98"/>
      <c r="D417" s="100" t="s">
        <v>619</v>
      </c>
      <c r="E417" s="98" t="s">
        <v>180</v>
      </c>
      <c r="F417" s="101">
        <v>46261</v>
      </c>
      <c r="G417" s="98" t="s">
        <v>591</v>
      </c>
      <c r="H417" s="102">
        <v>79200</v>
      </c>
      <c r="I417" s="102">
        <v>0</v>
      </c>
      <c r="J417" s="102">
        <v>0</v>
      </c>
      <c r="K417" s="102">
        <v>0</v>
      </c>
      <c r="L417" s="97">
        <v>79200</v>
      </c>
      <c r="M417" s="76" t="s">
        <v>389</v>
      </c>
      <c r="N417" s="77">
        <v>46261</v>
      </c>
      <c r="O417" s="79">
        <v>79200</v>
      </c>
      <c r="P417" s="73"/>
      <c r="Q417" s="78" t="s">
        <v>592</v>
      </c>
    </row>
    <row r="418" spans="1:17" ht="15" customHeight="1">
      <c r="A418" s="76" t="s">
        <v>58</v>
      </c>
      <c r="B418" s="98" t="s">
        <v>403</v>
      </c>
      <c r="C418" s="98"/>
      <c r="D418" s="100" t="s">
        <v>620</v>
      </c>
      <c r="E418" s="98" t="s">
        <v>178</v>
      </c>
      <c r="F418" s="101">
        <v>46150</v>
      </c>
      <c r="G418" s="98" t="s">
        <v>591</v>
      </c>
      <c r="H418" s="102">
        <v>550</v>
      </c>
      <c r="I418" s="102">
        <v>0</v>
      </c>
      <c r="J418" s="102">
        <v>0</v>
      </c>
      <c r="K418" s="102">
        <v>0</v>
      </c>
      <c r="L418" s="97">
        <v>550</v>
      </c>
      <c r="M418" s="76" t="s">
        <v>389</v>
      </c>
      <c r="N418" s="77">
        <v>46150</v>
      </c>
      <c r="O418" s="79">
        <v>550</v>
      </c>
      <c r="P418" s="73"/>
      <c r="Q418" s="78" t="s">
        <v>592</v>
      </c>
    </row>
    <row r="419" spans="1:17" ht="15" customHeight="1">
      <c r="A419" s="76" t="s">
        <v>58</v>
      </c>
      <c r="B419" s="98" t="s">
        <v>403</v>
      </c>
      <c r="C419" s="98"/>
      <c r="D419" s="100" t="s">
        <v>620</v>
      </c>
      <c r="E419" s="98" t="s">
        <v>178</v>
      </c>
      <c r="F419" s="101">
        <v>46181</v>
      </c>
      <c r="G419" s="98" t="s">
        <v>591</v>
      </c>
      <c r="H419" s="102">
        <v>550</v>
      </c>
      <c r="I419" s="102">
        <v>0</v>
      </c>
      <c r="J419" s="102">
        <v>0</v>
      </c>
      <c r="K419" s="102">
        <v>0</v>
      </c>
      <c r="L419" s="97">
        <v>550</v>
      </c>
      <c r="M419" s="76" t="s">
        <v>389</v>
      </c>
      <c r="N419" s="77">
        <v>46181</v>
      </c>
      <c r="O419" s="79">
        <v>550</v>
      </c>
      <c r="P419" s="73"/>
      <c r="Q419" s="78" t="s">
        <v>592</v>
      </c>
    </row>
    <row r="420" spans="1:17" ht="15" customHeight="1">
      <c r="A420" s="76" t="s">
        <v>58</v>
      </c>
      <c r="B420" s="98" t="s">
        <v>403</v>
      </c>
      <c r="C420" s="98"/>
      <c r="D420" s="100" t="s">
        <v>620</v>
      </c>
      <c r="E420" s="98" t="s">
        <v>178</v>
      </c>
      <c r="F420" s="101">
        <v>46211</v>
      </c>
      <c r="G420" s="98" t="s">
        <v>591</v>
      </c>
      <c r="H420" s="102">
        <v>550</v>
      </c>
      <c r="I420" s="102">
        <v>0</v>
      </c>
      <c r="J420" s="102">
        <v>0</v>
      </c>
      <c r="K420" s="102">
        <v>0</v>
      </c>
      <c r="L420" s="97">
        <v>550</v>
      </c>
      <c r="M420" s="76" t="s">
        <v>389</v>
      </c>
      <c r="N420" s="77">
        <v>46211</v>
      </c>
      <c r="O420" s="79">
        <v>550</v>
      </c>
      <c r="P420" s="73"/>
      <c r="Q420" s="78" t="s">
        <v>592</v>
      </c>
    </row>
    <row r="421" spans="1:17" ht="15" customHeight="1">
      <c r="A421" s="76" t="s">
        <v>58</v>
      </c>
      <c r="B421" s="98" t="s">
        <v>403</v>
      </c>
      <c r="C421" s="98"/>
      <c r="D421" s="100" t="s">
        <v>620</v>
      </c>
      <c r="E421" s="98" t="s">
        <v>178</v>
      </c>
      <c r="F421" s="101">
        <v>46242</v>
      </c>
      <c r="G421" s="98" t="s">
        <v>591</v>
      </c>
      <c r="H421" s="102">
        <v>550</v>
      </c>
      <c r="I421" s="102">
        <v>0</v>
      </c>
      <c r="J421" s="102">
        <v>0</v>
      </c>
      <c r="K421" s="102">
        <v>0</v>
      </c>
      <c r="L421" s="97">
        <v>550</v>
      </c>
      <c r="M421" s="76" t="s">
        <v>389</v>
      </c>
      <c r="N421" s="77">
        <v>46242</v>
      </c>
      <c r="O421" s="79">
        <v>550</v>
      </c>
      <c r="P421" s="73"/>
      <c r="Q421" s="78" t="s">
        <v>592</v>
      </c>
    </row>
    <row r="422" spans="1:17" ht="15" customHeight="1">
      <c r="A422" s="76" t="s">
        <v>58</v>
      </c>
      <c r="B422" s="98" t="s">
        <v>403</v>
      </c>
      <c r="C422" s="98"/>
      <c r="D422" s="103" t="s">
        <v>621</v>
      </c>
      <c r="E422" s="98" t="s">
        <v>180</v>
      </c>
      <c r="F422" s="101">
        <v>46150</v>
      </c>
      <c r="G422" s="98" t="s">
        <v>591</v>
      </c>
      <c r="H422" s="102">
        <v>22000</v>
      </c>
      <c r="I422" s="102">
        <v>0</v>
      </c>
      <c r="J422" s="102">
        <v>0</v>
      </c>
      <c r="K422" s="102">
        <v>0</v>
      </c>
      <c r="L422" s="97">
        <v>22000</v>
      </c>
      <c r="M422" s="76" t="s">
        <v>389</v>
      </c>
      <c r="N422" s="77">
        <v>46150</v>
      </c>
      <c r="O422" s="79">
        <v>22000</v>
      </c>
      <c r="P422" s="73"/>
      <c r="Q422" s="78" t="s">
        <v>592</v>
      </c>
    </row>
    <row r="423" spans="1:17" ht="15" customHeight="1">
      <c r="A423" s="76" t="s">
        <v>58</v>
      </c>
      <c r="B423" s="98" t="s">
        <v>403</v>
      </c>
      <c r="C423" s="98"/>
      <c r="D423" s="103" t="s">
        <v>621</v>
      </c>
      <c r="E423" s="98" t="s">
        <v>180</v>
      </c>
      <c r="F423" s="101">
        <v>46181</v>
      </c>
      <c r="G423" s="98" t="s">
        <v>591</v>
      </c>
      <c r="H423" s="102">
        <v>22000</v>
      </c>
      <c r="I423" s="102">
        <v>0</v>
      </c>
      <c r="J423" s="102">
        <v>0</v>
      </c>
      <c r="K423" s="102">
        <v>0</v>
      </c>
      <c r="L423" s="97">
        <v>22000</v>
      </c>
      <c r="M423" s="76" t="s">
        <v>389</v>
      </c>
      <c r="N423" s="77">
        <v>46181</v>
      </c>
      <c r="O423" s="79">
        <v>22000</v>
      </c>
      <c r="P423" s="73"/>
      <c r="Q423" s="78" t="s">
        <v>592</v>
      </c>
    </row>
    <row r="424" spans="1:17" ht="15" customHeight="1">
      <c r="A424" s="76" t="s">
        <v>58</v>
      </c>
      <c r="B424" s="98" t="s">
        <v>403</v>
      </c>
      <c r="C424" s="98"/>
      <c r="D424" s="103" t="s">
        <v>621</v>
      </c>
      <c r="E424" s="98" t="s">
        <v>180</v>
      </c>
      <c r="F424" s="101">
        <v>46211</v>
      </c>
      <c r="G424" s="98" t="s">
        <v>591</v>
      </c>
      <c r="H424" s="102">
        <v>22000</v>
      </c>
      <c r="I424" s="102">
        <v>0</v>
      </c>
      <c r="J424" s="102">
        <v>0</v>
      </c>
      <c r="K424" s="102">
        <v>0</v>
      </c>
      <c r="L424" s="97">
        <v>22000</v>
      </c>
      <c r="M424" s="76" t="s">
        <v>389</v>
      </c>
      <c r="N424" s="77">
        <v>46211</v>
      </c>
      <c r="O424" s="79">
        <v>22000</v>
      </c>
      <c r="P424" s="73"/>
      <c r="Q424" s="78" t="s">
        <v>592</v>
      </c>
    </row>
    <row r="425" spans="1:17" ht="15" customHeight="1">
      <c r="A425" s="76" t="s">
        <v>58</v>
      </c>
      <c r="B425" s="98" t="s">
        <v>403</v>
      </c>
      <c r="C425" s="98"/>
      <c r="D425" s="103" t="s">
        <v>621</v>
      </c>
      <c r="E425" s="98" t="s">
        <v>180</v>
      </c>
      <c r="F425" s="101">
        <v>46242</v>
      </c>
      <c r="G425" s="98" t="s">
        <v>591</v>
      </c>
      <c r="H425" s="102">
        <v>22000</v>
      </c>
      <c r="I425" s="102">
        <v>0</v>
      </c>
      <c r="J425" s="102">
        <v>0</v>
      </c>
      <c r="K425" s="102">
        <v>0</v>
      </c>
      <c r="L425" s="97">
        <v>22000</v>
      </c>
      <c r="M425" s="76" t="s">
        <v>389</v>
      </c>
      <c r="N425" s="77">
        <v>46242</v>
      </c>
      <c r="O425" s="79">
        <v>22000</v>
      </c>
      <c r="P425" s="73"/>
      <c r="Q425" s="78" t="s">
        <v>592</v>
      </c>
    </row>
    <row r="426" spans="1:17" ht="15" customHeight="1">
      <c r="A426" s="76" t="s">
        <v>58</v>
      </c>
      <c r="B426" s="98" t="s">
        <v>403</v>
      </c>
      <c r="C426" s="98"/>
      <c r="D426" s="103" t="s">
        <v>622</v>
      </c>
      <c r="E426" s="98" t="s">
        <v>179</v>
      </c>
      <c r="F426" s="101">
        <v>46169</v>
      </c>
      <c r="G426" s="98" t="s">
        <v>591</v>
      </c>
      <c r="H426" s="102">
        <v>14630</v>
      </c>
      <c r="I426" s="102">
        <v>0</v>
      </c>
      <c r="J426" s="102">
        <v>0</v>
      </c>
      <c r="K426" s="102">
        <v>0</v>
      </c>
      <c r="L426" s="97">
        <v>14630</v>
      </c>
      <c r="M426" s="76" t="s">
        <v>389</v>
      </c>
      <c r="N426" s="77">
        <v>46169</v>
      </c>
      <c r="O426" s="79">
        <v>14630</v>
      </c>
      <c r="P426" s="73"/>
      <c r="Q426" s="78" t="s">
        <v>592</v>
      </c>
    </row>
    <row r="427" spans="1:17" ht="15" customHeight="1">
      <c r="A427" s="76" t="s">
        <v>58</v>
      </c>
      <c r="B427" s="98" t="s">
        <v>403</v>
      </c>
      <c r="C427" s="98"/>
      <c r="D427" s="103" t="s">
        <v>622</v>
      </c>
      <c r="E427" s="98" t="s">
        <v>179</v>
      </c>
      <c r="F427" s="101">
        <v>46200</v>
      </c>
      <c r="G427" s="98" t="s">
        <v>591</v>
      </c>
      <c r="H427" s="102">
        <v>14630</v>
      </c>
      <c r="I427" s="102">
        <v>0</v>
      </c>
      <c r="J427" s="102">
        <v>0</v>
      </c>
      <c r="K427" s="102">
        <v>0</v>
      </c>
      <c r="L427" s="97">
        <v>14630</v>
      </c>
      <c r="M427" s="76" t="s">
        <v>389</v>
      </c>
      <c r="N427" s="77">
        <v>46200</v>
      </c>
      <c r="O427" s="79">
        <v>14630</v>
      </c>
      <c r="P427" s="73"/>
      <c r="Q427" s="78" t="s">
        <v>592</v>
      </c>
    </row>
    <row r="428" spans="1:17" ht="15" customHeight="1">
      <c r="A428" s="76" t="s">
        <v>58</v>
      </c>
      <c r="B428" s="98" t="s">
        <v>403</v>
      </c>
      <c r="C428" s="98"/>
      <c r="D428" s="103" t="s">
        <v>622</v>
      </c>
      <c r="E428" s="98" t="s">
        <v>179</v>
      </c>
      <c r="F428" s="101">
        <v>46230</v>
      </c>
      <c r="G428" s="98" t="s">
        <v>591</v>
      </c>
      <c r="H428" s="102">
        <v>14630</v>
      </c>
      <c r="I428" s="102">
        <v>0</v>
      </c>
      <c r="J428" s="102">
        <v>0</v>
      </c>
      <c r="K428" s="102">
        <v>0</v>
      </c>
      <c r="L428" s="97">
        <v>14630</v>
      </c>
      <c r="M428" s="76" t="s">
        <v>389</v>
      </c>
      <c r="N428" s="77">
        <v>46230</v>
      </c>
      <c r="O428" s="79">
        <v>14630</v>
      </c>
      <c r="P428" s="73"/>
      <c r="Q428" s="78" t="s">
        <v>592</v>
      </c>
    </row>
    <row r="429" spans="1:17" ht="15" customHeight="1">
      <c r="A429" s="76" t="s">
        <v>58</v>
      </c>
      <c r="B429" s="98" t="s">
        <v>403</v>
      </c>
      <c r="C429" s="98"/>
      <c r="D429" s="103" t="s">
        <v>622</v>
      </c>
      <c r="E429" s="98" t="s">
        <v>179</v>
      </c>
      <c r="F429" s="101">
        <v>46261</v>
      </c>
      <c r="G429" s="98" t="s">
        <v>591</v>
      </c>
      <c r="H429" s="102">
        <v>14630</v>
      </c>
      <c r="I429" s="102">
        <v>0</v>
      </c>
      <c r="J429" s="102">
        <v>0</v>
      </c>
      <c r="K429" s="102">
        <v>0</v>
      </c>
      <c r="L429" s="97">
        <v>14630</v>
      </c>
      <c r="M429" s="76" t="s">
        <v>389</v>
      </c>
      <c r="N429" s="77">
        <v>46261</v>
      </c>
      <c r="O429" s="79">
        <v>14630</v>
      </c>
      <c r="P429" s="73"/>
      <c r="Q429" s="78" t="s">
        <v>592</v>
      </c>
    </row>
    <row r="430" spans="1:17" ht="15" customHeight="1">
      <c r="A430" s="76" t="s">
        <v>58</v>
      </c>
      <c r="B430" s="98" t="s">
        <v>403</v>
      </c>
      <c r="C430" s="98"/>
      <c r="D430" s="100" t="s">
        <v>623</v>
      </c>
      <c r="E430" s="98" t="s">
        <v>180</v>
      </c>
      <c r="F430" s="101">
        <v>46169</v>
      </c>
      <c r="G430" s="98" t="s">
        <v>591</v>
      </c>
      <c r="H430" s="102">
        <v>110730</v>
      </c>
      <c r="I430" s="102">
        <v>0</v>
      </c>
      <c r="J430" s="102">
        <v>0</v>
      </c>
      <c r="K430" s="102">
        <v>0</v>
      </c>
      <c r="L430" s="97">
        <v>110730</v>
      </c>
      <c r="M430" s="76" t="s">
        <v>389</v>
      </c>
      <c r="N430" s="77">
        <v>46169</v>
      </c>
      <c r="O430" s="79">
        <v>110730</v>
      </c>
      <c r="P430" s="73"/>
      <c r="Q430" s="78" t="s">
        <v>592</v>
      </c>
    </row>
    <row r="431" spans="1:17" ht="15" customHeight="1">
      <c r="A431" s="76" t="s">
        <v>58</v>
      </c>
      <c r="B431" s="98" t="s">
        <v>403</v>
      </c>
      <c r="C431" s="98"/>
      <c r="D431" s="100" t="s">
        <v>623</v>
      </c>
      <c r="E431" s="98" t="s">
        <v>180</v>
      </c>
      <c r="F431" s="101">
        <v>46200</v>
      </c>
      <c r="G431" s="98" t="s">
        <v>591</v>
      </c>
      <c r="H431" s="102">
        <v>110730</v>
      </c>
      <c r="I431" s="102">
        <v>0</v>
      </c>
      <c r="J431" s="102">
        <v>0</v>
      </c>
      <c r="K431" s="102">
        <v>0</v>
      </c>
      <c r="L431" s="97">
        <v>110730</v>
      </c>
      <c r="M431" s="76" t="s">
        <v>389</v>
      </c>
      <c r="N431" s="77">
        <v>46200</v>
      </c>
      <c r="O431" s="79">
        <v>110730</v>
      </c>
      <c r="P431" s="73"/>
      <c r="Q431" s="78" t="s">
        <v>592</v>
      </c>
    </row>
    <row r="432" spans="1:17" ht="15" customHeight="1">
      <c r="A432" s="76" t="s">
        <v>58</v>
      </c>
      <c r="B432" s="98" t="s">
        <v>403</v>
      </c>
      <c r="C432" s="98"/>
      <c r="D432" s="100" t="s">
        <v>623</v>
      </c>
      <c r="E432" s="98" t="s">
        <v>180</v>
      </c>
      <c r="F432" s="101">
        <v>46230</v>
      </c>
      <c r="G432" s="98" t="s">
        <v>591</v>
      </c>
      <c r="H432" s="102">
        <v>110730</v>
      </c>
      <c r="I432" s="102">
        <v>0</v>
      </c>
      <c r="J432" s="102">
        <v>0</v>
      </c>
      <c r="K432" s="102">
        <v>0</v>
      </c>
      <c r="L432" s="97">
        <v>110730</v>
      </c>
      <c r="M432" s="76" t="s">
        <v>389</v>
      </c>
      <c r="N432" s="77">
        <v>46230</v>
      </c>
      <c r="O432" s="79">
        <v>110730</v>
      </c>
      <c r="P432" s="73"/>
      <c r="Q432" s="78" t="s">
        <v>592</v>
      </c>
    </row>
    <row r="433" spans="1:17" ht="15" customHeight="1">
      <c r="A433" s="76" t="s">
        <v>58</v>
      </c>
      <c r="B433" s="98" t="s">
        <v>403</v>
      </c>
      <c r="C433" s="98"/>
      <c r="D433" s="100" t="s">
        <v>623</v>
      </c>
      <c r="E433" s="98" t="s">
        <v>180</v>
      </c>
      <c r="F433" s="101">
        <v>46261</v>
      </c>
      <c r="G433" s="98" t="s">
        <v>591</v>
      </c>
      <c r="H433" s="102">
        <v>110730</v>
      </c>
      <c r="I433" s="102">
        <v>0</v>
      </c>
      <c r="J433" s="102">
        <v>0</v>
      </c>
      <c r="K433" s="102">
        <v>0</v>
      </c>
      <c r="L433" s="97">
        <v>110730</v>
      </c>
      <c r="M433" s="76" t="s">
        <v>389</v>
      </c>
      <c r="N433" s="77">
        <v>46261</v>
      </c>
      <c r="O433" s="79">
        <v>110730</v>
      </c>
      <c r="P433" s="73"/>
      <c r="Q433" s="78" t="s">
        <v>592</v>
      </c>
    </row>
    <row r="434" spans="1:17" ht="15" customHeight="1">
      <c r="A434" s="76" t="s">
        <v>58</v>
      </c>
      <c r="B434" s="98" t="s">
        <v>403</v>
      </c>
      <c r="C434" s="98"/>
      <c r="D434" s="100" t="s">
        <v>624</v>
      </c>
      <c r="E434" s="98" t="s">
        <v>180</v>
      </c>
      <c r="F434" s="101">
        <v>46166</v>
      </c>
      <c r="G434" s="98" t="s">
        <v>591</v>
      </c>
      <c r="H434" s="102">
        <v>608628</v>
      </c>
      <c r="I434" s="102">
        <v>0</v>
      </c>
      <c r="J434" s="102">
        <v>0</v>
      </c>
      <c r="K434" s="102">
        <v>0</v>
      </c>
      <c r="L434" s="97">
        <v>608628</v>
      </c>
      <c r="M434" s="76" t="s">
        <v>389</v>
      </c>
      <c r="N434" s="77">
        <v>46166</v>
      </c>
      <c r="O434" s="79">
        <v>608628</v>
      </c>
      <c r="P434" s="73"/>
      <c r="Q434" s="78" t="s">
        <v>592</v>
      </c>
    </row>
    <row r="435" spans="1:17" ht="15" customHeight="1">
      <c r="A435" s="76" t="s">
        <v>58</v>
      </c>
      <c r="B435" s="98" t="s">
        <v>403</v>
      </c>
      <c r="C435" s="98"/>
      <c r="D435" s="100" t="s">
        <v>624</v>
      </c>
      <c r="E435" s="98" t="s">
        <v>180</v>
      </c>
      <c r="F435" s="101">
        <v>46197</v>
      </c>
      <c r="G435" s="98" t="s">
        <v>591</v>
      </c>
      <c r="H435" s="102">
        <v>608628</v>
      </c>
      <c r="I435" s="102">
        <v>0</v>
      </c>
      <c r="J435" s="102">
        <v>0</v>
      </c>
      <c r="K435" s="102">
        <v>0</v>
      </c>
      <c r="L435" s="97">
        <v>608628</v>
      </c>
      <c r="M435" s="76" t="s">
        <v>389</v>
      </c>
      <c r="N435" s="77">
        <v>46197</v>
      </c>
      <c r="O435" s="79">
        <v>608628</v>
      </c>
      <c r="P435" s="73"/>
      <c r="Q435" s="78" t="s">
        <v>592</v>
      </c>
    </row>
    <row r="436" spans="1:17" ht="15" customHeight="1">
      <c r="A436" s="76" t="s">
        <v>58</v>
      </c>
      <c r="B436" s="98" t="s">
        <v>403</v>
      </c>
      <c r="C436" s="98"/>
      <c r="D436" s="100" t="s">
        <v>624</v>
      </c>
      <c r="E436" s="98" t="s">
        <v>180</v>
      </c>
      <c r="F436" s="101">
        <v>46227</v>
      </c>
      <c r="G436" s="98" t="s">
        <v>591</v>
      </c>
      <c r="H436" s="102">
        <v>608628</v>
      </c>
      <c r="I436" s="102">
        <v>0</v>
      </c>
      <c r="J436" s="102">
        <v>0</v>
      </c>
      <c r="K436" s="102">
        <v>0</v>
      </c>
      <c r="L436" s="97">
        <v>608628</v>
      </c>
      <c r="M436" s="76" t="s">
        <v>389</v>
      </c>
      <c r="N436" s="77">
        <v>46227</v>
      </c>
      <c r="O436" s="79">
        <v>608628</v>
      </c>
      <c r="P436" s="73"/>
      <c r="Q436" s="78" t="s">
        <v>592</v>
      </c>
    </row>
    <row r="437" spans="1:17" ht="15" customHeight="1">
      <c r="A437" s="76" t="s">
        <v>58</v>
      </c>
      <c r="B437" s="98" t="s">
        <v>403</v>
      </c>
      <c r="C437" s="98"/>
      <c r="D437" s="100" t="s">
        <v>624</v>
      </c>
      <c r="E437" s="98" t="s">
        <v>180</v>
      </c>
      <c r="F437" s="101">
        <v>46258</v>
      </c>
      <c r="G437" s="98" t="s">
        <v>591</v>
      </c>
      <c r="H437" s="102">
        <v>608628</v>
      </c>
      <c r="I437" s="102">
        <v>0</v>
      </c>
      <c r="J437" s="102">
        <v>0</v>
      </c>
      <c r="K437" s="102">
        <v>0</v>
      </c>
      <c r="L437" s="97">
        <v>608628</v>
      </c>
      <c r="M437" s="76" t="s">
        <v>389</v>
      </c>
      <c r="N437" s="77">
        <v>46258</v>
      </c>
      <c r="O437" s="79">
        <v>608628</v>
      </c>
      <c r="P437" s="73"/>
      <c r="Q437" s="78" t="s">
        <v>592</v>
      </c>
    </row>
    <row r="438" spans="1:17" ht="15" customHeight="1">
      <c r="A438" s="76" t="s">
        <v>58</v>
      </c>
      <c r="B438" s="98" t="s">
        <v>403</v>
      </c>
      <c r="C438" s="98"/>
      <c r="D438" s="103" t="s">
        <v>625</v>
      </c>
      <c r="E438" s="98" t="s">
        <v>180</v>
      </c>
      <c r="F438" s="101">
        <v>46169</v>
      </c>
      <c r="G438" s="98" t="s">
        <v>591</v>
      </c>
      <c r="H438" s="102">
        <v>60377</v>
      </c>
      <c r="I438" s="102">
        <v>0</v>
      </c>
      <c r="J438" s="102">
        <v>0</v>
      </c>
      <c r="K438" s="102">
        <v>0</v>
      </c>
      <c r="L438" s="97">
        <v>60377</v>
      </c>
      <c r="M438" s="76" t="s">
        <v>389</v>
      </c>
      <c r="N438" s="77">
        <v>46169</v>
      </c>
      <c r="O438" s="79">
        <v>60377</v>
      </c>
      <c r="P438" s="73"/>
      <c r="Q438" s="78" t="s">
        <v>592</v>
      </c>
    </row>
    <row r="439" spans="1:17" ht="15" customHeight="1">
      <c r="A439" s="76" t="s">
        <v>58</v>
      </c>
      <c r="B439" s="98" t="s">
        <v>403</v>
      </c>
      <c r="C439" s="98"/>
      <c r="D439" s="103" t="s">
        <v>625</v>
      </c>
      <c r="E439" s="98" t="s">
        <v>180</v>
      </c>
      <c r="F439" s="101">
        <v>46200</v>
      </c>
      <c r="G439" s="98" t="s">
        <v>591</v>
      </c>
      <c r="H439" s="102">
        <v>60377</v>
      </c>
      <c r="I439" s="102">
        <v>0</v>
      </c>
      <c r="J439" s="102">
        <v>0</v>
      </c>
      <c r="K439" s="102">
        <v>0</v>
      </c>
      <c r="L439" s="97">
        <v>60377</v>
      </c>
      <c r="M439" s="76" t="s">
        <v>389</v>
      </c>
      <c r="N439" s="77">
        <v>46200</v>
      </c>
      <c r="O439" s="79">
        <v>60377</v>
      </c>
      <c r="P439" s="73"/>
      <c r="Q439" s="78" t="s">
        <v>592</v>
      </c>
    </row>
    <row r="440" spans="1:17" ht="15" customHeight="1">
      <c r="A440" s="76" t="s">
        <v>58</v>
      </c>
      <c r="B440" s="98" t="s">
        <v>403</v>
      </c>
      <c r="C440" s="98"/>
      <c r="D440" s="103" t="s">
        <v>625</v>
      </c>
      <c r="E440" s="98" t="s">
        <v>180</v>
      </c>
      <c r="F440" s="101">
        <v>46230</v>
      </c>
      <c r="G440" s="98" t="s">
        <v>591</v>
      </c>
      <c r="H440" s="102">
        <v>60377</v>
      </c>
      <c r="I440" s="102">
        <v>0</v>
      </c>
      <c r="J440" s="102">
        <v>0</v>
      </c>
      <c r="K440" s="102">
        <v>0</v>
      </c>
      <c r="L440" s="97">
        <v>60377</v>
      </c>
      <c r="M440" s="76" t="s">
        <v>389</v>
      </c>
      <c r="N440" s="77">
        <v>46230</v>
      </c>
      <c r="O440" s="79">
        <v>60377</v>
      </c>
      <c r="P440" s="73"/>
      <c r="Q440" s="78" t="s">
        <v>592</v>
      </c>
    </row>
    <row r="441" spans="1:17" ht="15" customHeight="1">
      <c r="A441" s="76" t="s">
        <v>58</v>
      </c>
      <c r="B441" s="98" t="s">
        <v>403</v>
      </c>
      <c r="C441" s="98"/>
      <c r="D441" s="103" t="s">
        <v>625</v>
      </c>
      <c r="E441" s="98" t="s">
        <v>180</v>
      </c>
      <c r="F441" s="101">
        <v>46261</v>
      </c>
      <c r="G441" s="98" t="s">
        <v>591</v>
      </c>
      <c r="H441" s="102">
        <v>60377</v>
      </c>
      <c r="I441" s="102">
        <v>0</v>
      </c>
      <c r="J441" s="102">
        <v>0</v>
      </c>
      <c r="K441" s="102">
        <v>0</v>
      </c>
      <c r="L441" s="97">
        <v>60377</v>
      </c>
      <c r="M441" s="76" t="s">
        <v>389</v>
      </c>
      <c r="N441" s="77">
        <v>46261</v>
      </c>
      <c r="O441" s="79">
        <v>60377</v>
      </c>
      <c r="P441" s="73"/>
      <c r="Q441" s="78" t="s">
        <v>592</v>
      </c>
    </row>
    <row r="442" spans="1:17" ht="15" customHeight="1">
      <c r="A442" s="76" t="s">
        <v>58</v>
      </c>
      <c r="B442" s="98" t="s">
        <v>403</v>
      </c>
      <c r="C442" s="98"/>
      <c r="D442" s="103" t="s">
        <v>626</v>
      </c>
      <c r="E442" s="98" t="s">
        <v>180</v>
      </c>
      <c r="F442" s="101">
        <v>46148</v>
      </c>
      <c r="G442" s="98" t="s">
        <v>591</v>
      </c>
      <c r="H442" s="102">
        <v>65060</v>
      </c>
      <c r="I442" s="102">
        <v>0</v>
      </c>
      <c r="J442" s="102">
        <v>0</v>
      </c>
      <c r="K442" s="102">
        <v>0</v>
      </c>
      <c r="L442" s="97">
        <v>65060</v>
      </c>
      <c r="M442" s="76" t="s">
        <v>389</v>
      </c>
      <c r="N442" s="77">
        <v>46148</v>
      </c>
      <c r="O442" s="79">
        <v>65060</v>
      </c>
      <c r="P442" s="73"/>
      <c r="Q442" s="78" t="s">
        <v>592</v>
      </c>
    </row>
    <row r="443" spans="1:17" ht="15" customHeight="1">
      <c r="A443" s="76" t="s">
        <v>58</v>
      </c>
      <c r="B443" s="98" t="s">
        <v>403</v>
      </c>
      <c r="C443" s="98"/>
      <c r="D443" s="103" t="s">
        <v>626</v>
      </c>
      <c r="E443" s="98" t="s">
        <v>180</v>
      </c>
      <c r="F443" s="101">
        <v>46179</v>
      </c>
      <c r="G443" s="98" t="s">
        <v>591</v>
      </c>
      <c r="H443" s="102">
        <v>65060</v>
      </c>
      <c r="I443" s="102">
        <v>0</v>
      </c>
      <c r="J443" s="102">
        <v>0</v>
      </c>
      <c r="K443" s="102">
        <v>0</v>
      </c>
      <c r="L443" s="97">
        <v>65060</v>
      </c>
      <c r="M443" s="76" t="s">
        <v>389</v>
      </c>
      <c r="N443" s="77">
        <v>46179</v>
      </c>
      <c r="O443" s="79">
        <v>65060</v>
      </c>
      <c r="P443" s="73"/>
      <c r="Q443" s="78" t="s">
        <v>592</v>
      </c>
    </row>
    <row r="444" spans="1:17" ht="15" customHeight="1">
      <c r="A444" s="76" t="s">
        <v>58</v>
      </c>
      <c r="B444" s="98" t="s">
        <v>403</v>
      </c>
      <c r="C444" s="98"/>
      <c r="D444" s="103" t="s">
        <v>626</v>
      </c>
      <c r="E444" s="98" t="s">
        <v>180</v>
      </c>
      <c r="F444" s="101">
        <v>46209</v>
      </c>
      <c r="G444" s="98" t="s">
        <v>591</v>
      </c>
      <c r="H444" s="102">
        <v>65060</v>
      </c>
      <c r="I444" s="102">
        <v>0</v>
      </c>
      <c r="J444" s="102">
        <v>0</v>
      </c>
      <c r="K444" s="102">
        <v>0</v>
      </c>
      <c r="L444" s="97">
        <v>65060</v>
      </c>
      <c r="M444" s="76" t="s">
        <v>389</v>
      </c>
      <c r="N444" s="77">
        <v>46209</v>
      </c>
      <c r="O444" s="79">
        <v>65060</v>
      </c>
      <c r="P444" s="73"/>
      <c r="Q444" s="78" t="s">
        <v>592</v>
      </c>
    </row>
    <row r="445" spans="1:17" ht="15" customHeight="1">
      <c r="A445" s="76" t="s">
        <v>58</v>
      </c>
      <c r="B445" s="98" t="s">
        <v>403</v>
      </c>
      <c r="C445" s="98"/>
      <c r="D445" s="103" t="s">
        <v>626</v>
      </c>
      <c r="E445" s="98" t="s">
        <v>180</v>
      </c>
      <c r="F445" s="101">
        <v>46240</v>
      </c>
      <c r="G445" s="98" t="s">
        <v>591</v>
      </c>
      <c r="H445" s="102">
        <v>65060</v>
      </c>
      <c r="I445" s="102">
        <v>0</v>
      </c>
      <c r="J445" s="102">
        <v>0</v>
      </c>
      <c r="K445" s="102">
        <v>0</v>
      </c>
      <c r="L445" s="97">
        <v>65060</v>
      </c>
      <c r="M445" s="76" t="s">
        <v>389</v>
      </c>
      <c r="N445" s="77">
        <v>46240</v>
      </c>
      <c r="O445" s="79">
        <v>65060</v>
      </c>
      <c r="P445" s="73"/>
      <c r="Q445" s="78" t="s">
        <v>592</v>
      </c>
    </row>
    <row r="446" spans="1:17" ht="15" customHeight="1">
      <c r="A446" s="76" t="s">
        <v>58</v>
      </c>
      <c r="B446" s="98" t="s">
        <v>403</v>
      </c>
      <c r="C446" s="98"/>
      <c r="D446" s="103" t="s">
        <v>627</v>
      </c>
      <c r="E446" s="98" t="s">
        <v>178</v>
      </c>
      <c r="F446" s="101">
        <v>46157</v>
      </c>
      <c r="G446" s="98" t="s">
        <v>591</v>
      </c>
      <c r="H446" s="102">
        <v>8975</v>
      </c>
      <c r="I446" s="102">
        <v>0</v>
      </c>
      <c r="J446" s="102">
        <v>0</v>
      </c>
      <c r="K446" s="102">
        <v>0</v>
      </c>
      <c r="L446" s="97">
        <v>8975</v>
      </c>
      <c r="M446" s="76" t="s">
        <v>389</v>
      </c>
      <c r="N446" s="77">
        <v>46157</v>
      </c>
      <c r="O446" s="79">
        <v>8975</v>
      </c>
      <c r="P446" s="73"/>
      <c r="Q446" s="78" t="s">
        <v>592</v>
      </c>
    </row>
    <row r="447" spans="1:17" ht="15" customHeight="1">
      <c r="A447" s="76" t="s">
        <v>58</v>
      </c>
      <c r="B447" s="98" t="s">
        <v>403</v>
      </c>
      <c r="C447" s="98"/>
      <c r="D447" s="103" t="s">
        <v>627</v>
      </c>
      <c r="E447" s="98" t="s">
        <v>178</v>
      </c>
      <c r="F447" s="101">
        <v>46188</v>
      </c>
      <c r="G447" s="98" t="s">
        <v>591</v>
      </c>
      <c r="H447" s="102">
        <v>8975</v>
      </c>
      <c r="I447" s="102">
        <v>0</v>
      </c>
      <c r="J447" s="102">
        <v>0</v>
      </c>
      <c r="K447" s="102">
        <v>0</v>
      </c>
      <c r="L447" s="97">
        <v>8975</v>
      </c>
      <c r="M447" s="76" t="s">
        <v>389</v>
      </c>
      <c r="N447" s="77">
        <v>46188</v>
      </c>
      <c r="O447" s="79">
        <v>8975</v>
      </c>
      <c r="P447" s="73"/>
      <c r="Q447" s="78" t="s">
        <v>592</v>
      </c>
    </row>
    <row r="448" spans="1:17" ht="15" customHeight="1">
      <c r="A448" s="76" t="s">
        <v>58</v>
      </c>
      <c r="B448" s="98" t="s">
        <v>403</v>
      </c>
      <c r="C448" s="98"/>
      <c r="D448" s="103" t="s">
        <v>627</v>
      </c>
      <c r="E448" s="98" t="s">
        <v>178</v>
      </c>
      <c r="F448" s="101">
        <v>46218</v>
      </c>
      <c r="G448" s="98" t="s">
        <v>591</v>
      </c>
      <c r="H448" s="102">
        <v>8975</v>
      </c>
      <c r="I448" s="102">
        <v>0</v>
      </c>
      <c r="J448" s="102">
        <v>0</v>
      </c>
      <c r="K448" s="102">
        <v>0</v>
      </c>
      <c r="L448" s="97">
        <v>8975</v>
      </c>
      <c r="M448" s="76" t="s">
        <v>389</v>
      </c>
      <c r="N448" s="77">
        <v>46218</v>
      </c>
      <c r="O448" s="79">
        <v>8975</v>
      </c>
      <c r="P448" s="73"/>
      <c r="Q448" s="78" t="s">
        <v>592</v>
      </c>
    </row>
    <row r="449" spans="1:17" ht="15" customHeight="1">
      <c r="A449" s="76" t="s">
        <v>58</v>
      </c>
      <c r="B449" s="98" t="s">
        <v>403</v>
      </c>
      <c r="C449" s="98"/>
      <c r="D449" s="103" t="s">
        <v>627</v>
      </c>
      <c r="E449" s="98" t="s">
        <v>178</v>
      </c>
      <c r="F449" s="101">
        <v>46249</v>
      </c>
      <c r="G449" s="98" t="s">
        <v>591</v>
      </c>
      <c r="H449" s="102">
        <v>8975</v>
      </c>
      <c r="I449" s="102">
        <v>0</v>
      </c>
      <c r="J449" s="102">
        <v>0</v>
      </c>
      <c r="K449" s="102">
        <v>0</v>
      </c>
      <c r="L449" s="97">
        <v>8975</v>
      </c>
      <c r="M449" s="76" t="s">
        <v>389</v>
      </c>
      <c r="N449" s="77">
        <v>46249</v>
      </c>
      <c r="O449" s="79">
        <v>8975</v>
      </c>
      <c r="P449" s="73"/>
      <c r="Q449" s="78" t="s">
        <v>592</v>
      </c>
    </row>
    <row r="450" spans="1:17" ht="15" customHeight="1">
      <c r="A450" s="76" t="s">
        <v>58</v>
      </c>
      <c r="B450" s="98" t="s">
        <v>403</v>
      </c>
      <c r="C450" s="98"/>
      <c r="D450" s="100" t="s">
        <v>628</v>
      </c>
      <c r="E450" s="98" t="s">
        <v>171</v>
      </c>
      <c r="F450" s="101">
        <v>46148</v>
      </c>
      <c r="G450" s="98" t="s">
        <v>591</v>
      </c>
      <c r="H450" s="102">
        <v>29937</v>
      </c>
      <c r="I450" s="102">
        <v>0</v>
      </c>
      <c r="J450" s="102">
        <v>0</v>
      </c>
      <c r="K450" s="102">
        <v>0</v>
      </c>
      <c r="L450" s="97">
        <v>29937</v>
      </c>
      <c r="M450" s="76" t="s">
        <v>389</v>
      </c>
      <c r="N450" s="77">
        <v>46148</v>
      </c>
      <c r="O450" s="79">
        <v>29937</v>
      </c>
      <c r="P450" s="73"/>
      <c r="Q450" s="78" t="s">
        <v>592</v>
      </c>
    </row>
    <row r="451" spans="1:17" ht="15" customHeight="1">
      <c r="A451" s="76" t="s">
        <v>58</v>
      </c>
      <c r="B451" s="98" t="s">
        <v>403</v>
      </c>
      <c r="C451" s="98"/>
      <c r="D451" s="100" t="s">
        <v>628</v>
      </c>
      <c r="E451" s="98" t="s">
        <v>171</v>
      </c>
      <c r="F451" s="101">
        <v>46179</v>
      </c>
      <c r="G451" s="98" t="s">
        <v>591</v>
      </c>
      <c r="H451" s="102">
        <v>29937</v>
      </c>
      <c r="I451" s="102">
        <v>0</v>
      </c>
      <c r="J451" s="102">
        <v>0</v>
      </c>
      <c r="K451" s="102">
        <v>0</v>
      </c>
      <c r="L451" s="97">
        <v>29937</v>
      </c>
      <c r="M451" s="76" t="s">
        <v>389</v>
      </c>
      <c r="N451" s="77">
        <v>46179</v>
      </c>
      <c r="O451" s="79">
        <v>29937</v>
      </c>
      <c r="P451" s="73"/>
      <c r="Q451" s="78" t="s">
        <v>592</v>
      </c>
    </row>
    <row r="452" spans="1:17" ht="15" customHeight="1">
      <c r="A452" s="76" t="s">
        <v>58</v>
      </c>
      <c r="B452" s="98" t="s">
        <v>403</v>
      </c>
      <c r="C452" s="98"/>
      <c r="D452" s="100" t="s">
        <v>628</v>
      </c>
      <c r="E452" s="98" t="s">
        <v>171</v>
      </c>
      <c r="F452" s="101">
        <v>46209</v>
      </c>
      <c r="G452" s="98" t="s">
        <v>591</v>
      </c>
      <c r="H452" s="102">
        <v>29937</v>
      </c>
      <c r="I452" s="102">
        <v>0</v>
      </c>
      <c r="J452" s="102">
        <v>0</v>
      </c>
      <c r="K452" s="102">
        <v>0</v>
      </c>
      <c r="L452" s="97">
        <v>29937</v>
      </c>
      <c r="M452" s="76" t="s">
        <v>389</v>
      </c>
      <c r="N452" s="77">
        <v>46209</v>
      </c>
      <c r="O452" s="79">
        <v>29937</v>
      </c>
      <c r="P452" s="73"/>
      <c r="Q452" s="78" t="s">
        <v>592</v>
      </c>
    </row>
    <row r="453" spans="1:17" ht="15" customHeight="1">
      <c r="A453" s="76" t="s">
        <v>58</v>
      </c>
      <c r="B453" s="98" t="s">
        <v>403</v>
      </c>
      <c r="C453" s="98"/>
      <c r="D453" s="100" t="s">
        <v>628</v>
      </c>
      <c r="E453" s="98" t="s">
        <v>171</v>
      </c>
      <c r="F453" s="101">
        <v>46240</v>
      </c>
      <c r="G453" s="98" t="s">
        <v>591</v>
      </c>
      <c r="H453" s="102">
        <v>29937</v>
      </c>
      <c r="I453" s="102">
        <v>0</v>
      </c>
      <c r="J453" s="102">
        <v>0</v>
      </c>
      <c r="K453" s="102">
        <v>0</v>
      </c>
      <c r="L453" s="97">
        <v>29937</v>
      </c>
      <c r="M453" s="76" t="s">
        <v>389</v>
      </c>
      <c r="N453" s="77">
        <v>46240</v>
      </c>
      <c r="O453" s="79">
        <v>29937</v>
      </c>
      <c r="P453" s="73"/>
      <c r="Q453" s="78" t="s">
        <v>592</v>
      </c>
    </row>
    <row r="454" spans="1:17" ht="15" customHeight="1">
      <c r="A454" s="76" t="s">
        <v>58</v>
      </c>
      <c r="B454" s="98" t="s">
        <v>403</v>
      </c>
      <c r="C454" s="98"/>
      <c r="D454" s="103" t="s">
        <v>629</v>
      </c>
      <c r="E454" s="98" t="s">
        <v>180</v>
      </c>
      <c r="F454" s="101">
        <v>46155</v>
      </c>
      <c r="G454" s="98" t="s">
        <v>591</v>
      </c>
      <c r="H454" s="102">
        <v>34624</v>
      </c>
      <c r="I454" s="102">
        <v>0</v>
      </c>
      <c r="J454" s="102">
        <v>0</v>
      </c>
      <c r="K454" s="102">
        <v>0</v>
      </c>
      <c r="L454" s="97">
        <v>34624</v>
      </c>
      <c r="M454" s="76" t="s">
        <v>389</v>
      </c>
      <c r="N454" s="77">
        <v>46155</v>
      </c>
      <c r="O454" s="79">
        <v>34624</v>
      </c>
      <c r="P454" s="73"/>
      <c r="Q454" s="78" t="s">
        <v>592</v>
      </c>
    </row>
    <row r="455" spans="1:17" ht="15" customHeight="1">
      <c r="A455" s="76" t="s">
        <v>58</v>
      </c>
      <c r="B455" s="98" t="s">
        <v>403</v>
      </c>
      <c r="C455" s="98"/>
      <c r="D455" s="103" t="s">
        <v>629</v>
      </c>
      <c r="E455" s="98" t="s">
        <v>180</v>
      </c>
      <c r="F455" s="101">
        <v>46186</v>
      </c>
      <c r="G455" s="98" t="s">
        <v>591</v>
      </c>
      <c r="H455" s="102">
        <v>34624</v>
      </c>
      <c r="I455" s="102">
        <v>0</v>
      </c>
      <c r="J455" s="102">
        <v>0</v>
      </c>
      <c r="K455" s="102">
        <v>0</v>
      </c>
      <c r="L455" s="97">
        <v>34624</v>
      </c>
      <c r="M455" s="76" t="s">
        <v>389</v>
      </c>
      <c r="N455" s="77">
        <v>46186</v>
      </c>
      <c r="O455" s="79">
        <v>34624</v>
      </c>
      <c r="P455" s="73"/>
      <c r="Q455" s="78" t="s">
        <v>592</v>
      </c>
    </row>
    <row r="456" spans="1:17" ht="15" customHeight="1">
      <c r="A456" s="76" t="s">
        <v>58</v>
      </c>
      <c r="B456" s="98" t="s">
        <v>403</v>
      </c>
      <c r="C456" s="98"/>
      <c r="D456" s="103" t="s">
        <v>629</v>
      </c>
      <c r="E456" s="98" t="s">
        <v>180</v>
      </c>
      <c r="F456" s="101">
        <v>46216</v>
      </c>
      <c r="G456" s="98" t="s">
        <v>591</v>
      </c>
      <c r="H456" s="102">
        <v>34624</v>
      </c>
      <c r="I456" s="102">
        <v>0</v>
      </c>
      <c r="J456" s="102">
        <v>0</v>
      </c>
      <c r="K456" s="102">
        <v>0</v>
      </c>
      <c r="L456" s="97">
        <v>34624</v>
      </c>
      <c r="M456" s="76" t="s">
        <v>389</v>
      </c>
      <c r="N456" s="77">
        <v>46216</v>
      </c>
      <c r="O456" s="79">
        <v>34624</v>
      </c>
      <c r="P456" s="73"/>
      <c r="Q456" s="78" t="s">
        <v>592</v>
      </c>
    </row>
    <row r="457" spans="1:17" ht="15" customHeight="1">
      <c r="A457" s="76" t="s">
        <v>58</v>
      </c>
      <c r="B457" s="98" t="s">
        <v>403</v>
      </c>
      <c r="C457" s="98"/>
      <c r="D457" s="103" t="s">
        <v>629</v>
      </c>
      <c r="E457" s="98" t="s">
        <v>180</v>
      </c>
      <c r="F457" s="101">
        <v>46247</v>
      </c>
      <c r="G457" s="98" t="s">
        <v>591</v>
      </c>
      <c r="H457" s="102">
        <v>34624</v>
      </c>
      <c r="I457" s="102">
        <v>0</v>
      </c>
      <c r="J457" s="102">
        <v>0</v>
      </c>
      <c r="K457" s="102">
        <v>0</v>
      </c>
      <c r="L457" s="97">
        <v>34624</v>
      </c>
      <c r="M457" s="76" t="s">
        <v>389</v>
      </c>
      <c r="N457" s="77">
        <v>46247</v>
      </c>
      <c r="O457" s="79">
        <v>34624</v>
      </c>
      <c r="P457" s="73"/>
      <c r="Q457" s="78" t="s">
        <v>592</v>
      </c>
    </row>
    <row r="458" spans="1:17" ht="15" customHeight="1">
      <c r="A458" s="76" t="s">
        <v>61</v>
      </c>
      <c r="B458" s="98" t="s">
        <v>403</v>
      </c>
      <c r="C458" s="99"/>
      <c r="D458" s="100" t="s">
        <v>630</v>
      </c>
      <c r="E458" s="98" t="s">
        <v>179</v>
      </c>
      <c r="F458" s="101">
        <v>46117</v>
      </c>
      <c r="G458" s="98" t="s">
        <v>631</v>
      </c>
      <c r="H458" s="102">
        <v>533000</v>
      </c>
      <c r="I458" s="102">
        <v>0</v>
      </c>
      <c r="J458" s="102">
        <v>0</v>
      </c>
      <c r="K458" s="102">
        <v>0</v>
      </c>
      <c r="L458" s="97">
        <v>533000</v>
      </c>
      <c r="M458" s="76" t="s">
        <v>389</v>
      </c>
      <c r="N458" s="77">
        <v>46117</v>
      </c>
      <c r="O458" s="79">
        <v>533000</v>
      </c>
      <c r="P458" s="72" t="s">
        <v>488</v>
      </c>
      <c r="Q458" s="78" t="s">
        <v>566</v>
      </c>
    </row>
    <row r="459" spans="1:17" ht="15" customHeight="1">
      <c r="A459" s="76" t="s">
        <v>61</v>
      </c>
      <c r="B459" s="98" t="s">
        <v>403</v>
      </c>
      <c r="C459" s="98"/>
      <c r="D459" s="100" t="s">
        <v>572</v>
      </c>
      <c r="E459" s="98" t="s">
        <v>180</v>
      </c>
      <c r="F459" s="101">
        <v>46118</v>
      </c>
      <c r="G459" s="98" t="s">
        <v>631</v>
      </c>
      <c r="H459" s="102">
        <v>29937</v>
      </c>
      <c r="I459" s="102">
        <v>0</v>
      </c>
      <c r="J459" s="102">
        <v>0</v>
      </c>
      <c r="K459" s="102">
        <v>0</v>
      </c>
      <c r="L459" s="97">
        <v>29937</v>
      </c>
      <c r="M459" s="76" t="s">
        <v>389</v>
      </c>
      <c r="N459" s="77">
        <v>46118</v>
      </c>
      <c r="O459" s="79">
        <v>29937</v>
      </c>
      <c r="P459" s="72" t="s">
        <v>488</v>
      </c>
      <c r="Q459" s="78" t="s">
        <v>566</v>
      </c>
    </row>
    <row r="460" spans="1:17" ht="15" customHeight="1">
      <c r="A460" s="76" t="s">
        <v>61</v>
      </c>
      <c r="B460" s="98" t="s">
        <v>403</v>
      </c>
      <c r="C460" s="98"/>
      <c r="D460" s="103" t="s">
        <v>568</v>
      </c>
      <c r="E460" s="98" t="s">
        <v>180</v>
      </c>
      <c r="F460" s="101">
        <v>46127</v>
      </c>
      <c r="G460" s="98" t="s">
        <v>631</v>
      </c>
      <c r="H460" s="102">
        <v>250000</v>
      </c>
      <c r="I460" s="102">
        <v>0</v>
      </c>
      <c r="J460" s="102">
        <v>0</v>
      </c>
      <c r="K460" s="102">
        <v>0</v>
      </c>
      <c r="L460" s="97">
        <v>250000</v>
      </c>
      <c r="M460" s="76" t="s">
        <v>389</v>
      </c>
      <c r="N460" s="77">
        <v>46127</v>
      </c>
      <c r="O460" s="79">
        <v>250000</v>
      </c>
      <c r="P460" s="72" t="s">
        <v>488</v>
      </c>
      <c r="Q460" s="78" t="s">
        <v>566</v>
      </c>
    </row>
    <row r="461" spans="1:17" ht="15" customHeight="1">
      <c r="A461" s="76" t="s">
        <v>61</v>
      </c>
      <c r="B461" s="98" t="s">
        <v>403</v>
      </c>
      <c r="C461" s="98"/>
      <c r="D461" s="103" t="s">
        <v>632</v>
      </c>
      <c r="E461" s="98" t="s">
        <v>180</v>
      </c>
      <c r="F461" s="101">
        <v>46127</v>
      </c>
      <c r="G461" s="98" t="s">
        <v>631</v>
      </c>
      <c r="H461" s="102">
        <v>150000</v>
      </c>
      <c r="I461" s="102">
        <v>0</v>
      </c>
      <c r="J461" s="102">
        <v>0</v>
      </c>
      <c r="K461" s="102">
        <v>0</v>
      </c>
      <c r="L461" s="97">
        <v>150000</v>
      </c>
      <c r="M461" s="76" t="s">
        <v>389</v>
      </c>
      <c r="N461" s="77">
        <v>46127</v>
      </c>
      <c r="O461" s="79">
        <v>150000</v>
      </c>
      <c r="P461" s="72" t="s">
        <v>488</v>
      </c>
      <c r="Q461" s="78" t="s">
        <v>566</v>
      </c>
    </row>
    <row r="462" spans="1:17" ht="15" customHeight="1">
      <c r="A462" s="76" t="s">
        <v>61</v>
      </c>
      <c r="B462" s="98" t="s">
        <v>403</v>
      </c>
      <c r="C462" s="98"/>
      <c r="D462" s="100" t="s">
        <v>564</v>
      </c>
      <c r="E462" s="98" t="s">
        <v>184</v>
      </c>
      <c r="F462" s="101">
        <v>46137</v>
      </c>
      <c r="G462" s="98" t="s">
        <v>631</v>
      </c>
      <c r="H462" s="102">
        <v>116603</v>
      </c>
      <c r="I462" s="102">
        <v>0</v>
      </c>
      <c r="J462" s="102">
        <v>0</v>
      </c>
      <c r="K462" s="102">
        <v>0</v>
      </c>
      <c r="L462" s="97">
        <v>116603</v>
      </c>
      <c r="M462" s="76" t="s">
        <v>389</v>
      </c>
      <c r="N462" s="77">
        <v>46137</v>
      </c>
      <c r="O462" s="79">
        <v>116603</v>
      </c>
      <c r="P462" s="72" t="s">
        <v>488</v>
      </c>
      <c r="Q462" s="78" t="s">
        <v>566</v>
      </c>
    </row>
    <row r="463" spans="1:17" ht="15" customHeight="1">
      <c r="A463" s="76" t="s">
        <v>61</v>
      </c>
      <c r="B463" s="98" t="s">
        <v>403</v>
      </c>
      <c r="C463" s="98"/>
      <c r="D463" s="100" t="s">
        <v>567</v>
      </c>
      <c r="E463" s="98" t="s">
        <v>184</v>
      </c>
      <c r="F463" s="101">
        <v>46137</v>
      </c>
      <c r="G463" s="98" t="s">
        <v>631</v>
      </c>
      <c r="H463" s="102">
        <v>69571</v>
      </c>
      <c r="I463" s="102">
        <v>0</v>
      </c>
      <c r="J463" s="102">
        <v>0</v>
      </c>
      <c r="K463" s="102">
        <v>0</v>
      </c>
      <c r="L463" s="97">
        <v>69571</v>
      </c>
      <c r="M463" s="76" t="s">
        <v>389</v>
      </c>
      <c r="N463" s="77">
        <v>46137</v>
      </c>
      <c r="O463" s="79">
        <v>69571</v>
      </c>
      <c r="P463" s="72" t="s">
        <v>488</v>
      </c>
      <c r="Q463" s="78" t="s">
        <v>566</v>
      </c>
    </row>
    <row r="464" spans="1:17" ht="15" customHeight="1">
      <c r="A464" s="76" t="s">
        <v>61</v>
      </c>
      <c r="B464" s="98" t="s">
        <v>403</v>
      </c>
      <c r="C464" s="98"/>
      <c r="D464" s="100" t="s">
        <v>633</v>
      </c>
      <c r="E464" s="98" t="s">
        <v>184</v>
      </c>
      <c r="F464" s="101">
        <v>46139</v>
      </c>
      <c r="G464" s="98" t="s">
        <v>631</v>
      </c>
      <c r="H464" s="102">
        <v>868000</v>
      </c>
      <c r="I464" s="102">
        <v>0</v>
      </c>
      <c r="J464" s="102">
        <v>0</v>
      </c>
      <c r="K464" s="102">
        <v>0</v>
      </c>
      <c r="L464" s="97">
        <v>868000</v>
      </c>
      <c r="M464" s="76" t="s">
        <v>389</v>
      </c>
      <c r="N464" s="77">
        <v>46139</v>
      </c>
      <c r="O464" s="79">
        <v>868000</v>
      </c>
      <c r="P464" s="72" t="s">
        <v>488</v>
      </c>
      <c r="Q464" s="78" t="s">
        <v>566</v>
      </c>
    </row>
    <row r="465" spans="1:17" ht="15" customHeight="1">
      <c r="A465" s="76" t="s">
        <v>61</v>
      </c>
      <c r="B465" s="98" t="s">
        <v>403</v>
      </c>
      <c r="C465" s="98"/>
      <c r="D465" s="100" t="s">
        <v>634</v>
      </c>
      <c r="E465" s="98" t="s">
        <v>164</v>
      </c>
      <c r="F465" s="101">
        <v>46140</v>
      </c>
      <c r="G465" s="98" t="s">
        <v>631</v>
      </c>
      <c r="H465" s="102">
        <v>11694</v>
      </c>
      <c r="I465" s="102">
        <v>0</v>
      </c>
      <c r="J465" s="102">
        <v>0</v>
      </c>
      <c r="K465" s="102">
        <v>0</v>
      </c>
      <c r="L465" s="97">
        <v>11694</v>
      </c>
      <c r="M465" s="76" t="s">
        <v>389</v>
      </c>
      <c r="N465" s="77">
        <v>46140</v>
      </c>
      <c r="O465" s="79">
        <v>11694</v>
      </c>
      <c r="P465" s="72" t="s">
        <v>488</v>
      </c>
      <c r="Q465" s="78" t="s">
        <v>566</v>
      </c>
    </row>
    <row r="466" spans="1:17" ht="15" customHeight="1">
      <c r="A466" s="76" t="s">
        <v>61</v>
      </c>
      <c r="B466" s="98" t="s">
        <v>403</v>
      </c>
      <c r="C466" s="98"/>
      <c r="D466" s="103" t="s">
        <v>568</v>
      </c>
      <c r="E466" s="98" t="s">
        <v>180</v>
      </c>
      <c r="F466" s="101">
        <v>46140</v>
      </c>
      <c r="G466" s="98" t="s">
        <v>631</v>
      </c>
      <c r="H466" s="102">
        <v>1000000</v>
      </c>
      <c r="I466" s="102">
        <v>0</v>
      </c>
      <c r="J466" s="102">
        <v>0</v>
      </c>
      <c r="K466" s="102">
        <v>0</v>
      </c>
      <c r="L466" s="97">
        <v>1000000</v>
      </c>
      <c r="M466" s="76" t="s">
        <v>389</v>
      </c>
      <c r="N466" s="77">
        <v>46140</v>
      </c>
      <c r="O466" s="79">
        <v>1000000</v>
      </c>
      <c r="P466" s="72" t="s">
        <v>488</v>
      </c>
      <c r="Q466" s="78" t="s">
        <v>566</v>
      </c>
    </row>
    <row r="467" spans="1:17" ht="15" customHeight="1">
      <c r="A467" s="76" t="s">
        <v>61</v>
      </c>
      <c r="B467" s="98" t="s">
        <v>403</v>
      </c>
      <c r="C467" s="98"/>
      <c r="D467" s="103" t="s">
        <v>568</v>
      </c>
      <c r="E467" s="98" t="s">
        <v>180</v>
      </c>
      <c r="F467" s="101">
        <v>46140</v>
      </c>
      <c r="G467" s="98" t="s">
        <v>631</v>
      </c>
      <c r="H467" s="102">
        <v>400000</v>
      </c>
      <c r="I467" s="102">
        <v>0</v>
      </c>
      <c r="J467" s="102">
        <v>0</v>
      </c>
      <c r="K467" s="102">
        <v>0</v>
      </c>
      <c r="L467" s="97">
        <v>400000</v>
      </c>
      <c r="M467" s="76" t="s">
        <v>389</v>
      </c>
      <c r="N467" s="77">
        <v>46140</v>
      </c>
      <c r="O467" s="79">
        <v>400000</v>
      </c>
      <c r="P467" s="72" t="s">
        <v>488</v>
      </c>
      <c r="Q467" s="78" t="s">
        <v>566</v>
      </c>
    </row>
    <row r="468" spans="1:17" ht="15" customHeight="1">
      <c r="A468" s="76" t="s">
        <v>61</v>
      </c>
      <c r="B468" s="98" t="s">
        <v>403</v>
      </c>
      <c r="C468" s="98"/>
      <c r="D468" s="100" t="s">
        <v>564</v>
      </c>
      <c r="E468" s="98" t="s">
        <v>184</v>
      </c>
      <c r="F468" s="101">
        <v>46142</v>
      </c>
      <c r="G468" s="98" t="s">
        <v>635</v>
      </c>
      <c r="H468" s="102">
        <v>191900</v>
      </c>
      <c r="I468" s="102">
        <v>0</v>
      </c>
      <c r="J468" s="102">
        <v>0</v>
      </c>
      <c r="K468" s="102">
        <v>0</v>
      </c>
      <c r="L468" s="97">
        <v>191900</v>
      </c>
      <c r="M468" s="76" t="s">
        <v>389</v>
      </c>
      <c r="N468" s="77">
        <v>46142</v>
      </c>
      <c r="O468" s="79">
        <v>191900</v>
      </c>
      <c r="P468" s="72" t="s">
        <v>488</v>
      </c>
      <c r="Q468" s="78" t="s">
        <v>566</v>
      </c>
    </row>
    <row r="469" spans="1:17" ht="15" customHeight="1">
      <c r="A469" s="76" t="s">
        <v>61</v>
      </c>
      <c r="B469" s="98" t="s">
        <v>403</v>
      </c>
      <c r="C469" s="98"/>
      <c r="D469" s="100" t="s">
        <v>630</v>
      </c>
      <c r="E469" s="98" t="s">
        <v>179</v>
      </c>
      <c r="F469" s="101">
        <v>46149</v>
      </c>
      <c r="G469" s="98" t="s">
        <v>631</v>
      </c>
      <c r="H469" s="102">
        <v>500000</v>
      </c>
      <c r="I469" s="102">
        <v>0</v>
      </c>
      <c r="J469" s="102">
        <v>0</v>
      </c>
      <c r="K469" s="102">
        <v>0</v>
      </c>
      <c r="L469" s="97">
        <v>500000</v>
      </c>
      <c r="M469" s="76" t="s">
        <v>389</v>
      </c>
      <c r="N469" s="77">
        <v>46149</v>
      </c>
      <c r="O469" s="79">
        <v>500000</v>
      </c>
      <c r="P469" s="72" t="s">
        <v>488</v>
      </c>
      <c r="Q469" s="78" t="s">
        <v>566</v>
      </c>
    </row>
    <row r="470" spans="1:17" ht="15" customHeight="1">
      <c r="A470" s="76" t="s">
        <v>61</v>
      </c>
      <c r="B470" s="98" t="s">
        <v>403</v>
      </c>
      <c r="C470" s="98"/>
      <c r="D470" s="100" t="s">
        <v>572</v>
      </c>
      <c r="E470" s="98" t="s">
        <v>180</v>
      </c>
      <c r="F470" s="101">
        <v>46149</v>
      </c>
      <c r="G470" s="98" t="s">
        <v>631</v>
      </c>
      <c r="H470" s="102">
        <v>29937</v>
      </c>
      <c r="I470" s="102">
        <v>0</v>
      </c>
      <c r="J470" s="102">
        <v>0</v>
      </c>
      <c r="K470" s="102">
        <v>0</v>
      </c>
      <c r="L470" s="97">
        <v>29937</v>
      </c>
      <c r="M470" s="76" t="s">
        <v>389</v>
      </c>
      <c r="N470" s="77">
        <v>46149</v>
      </c>
      <c r="O470" s="79">
        <v>29937</v>
      </c>
      <c r="P470" s="72" t="s">
        <v>488</v>
      </c>
      <c r="Q470" s="78" t="s">
        <v>566</v>
      </c>
    </row>
    <row r="471" spans="1:17" ht="15" customHeight="1">
      <c r="A471" s="76" t="s">
        <v>61</v>
      </c>
      <c r="B471" s="98" t="s">
        <v>403</v>
      </c>
      <c r="C471" s="98"/>
      <c r="D471" s="100" t="s">
        <v>636</v>
      </c>
      <c r="E471" s="98" t="s">
        <v>179</v>
      </c>
      <c r="F471" s="101">
        <v>46149</v>
      </c>
      <c r="G471" s="98" t="s">
        <v>637</v>
      </c>
      <c r="H471" s="102">
        <v>500000</v>
      </c>
      <c r="I471" s="102">
        <v>0</v>
      </c>
      <c r="J471" s="102">
        <v>0</v>
      </c>
      <c r="K471" s="102">
        <v>0</v>
      </c>
      <c r="L471" s="97">
        <v>500000</v>
      </c>
      <c r="M471" s="76" t="s">
        <v>83</v>
      </c>
      <c r="N471" s="77">
        <v>46149</v>
      </c>
      <c r="O471" s="79">
        <v>500000</v>
      </c>
      <c r="P471" s="72"/>
      <c r="Q471" s="78" t="s">
        <v>638</v>
      </c>
    </row>
    <row r="472" spans="1:17" ht="15" customHeight="1">
      <c r="A472" s="76" t="s">
        <v>61</v>
      </c>
      <c r="B472" s="98" t="s">
        <v>403</v>
      </c>
      <c r="C472" s="98"/>
      <c r="D472" s="100" t="s">
        <v>636</v>
      </c>
      <c r="E472" s="98" t="s">
        <v>179</v>
      </c>
      <c r="F472" s="101">
        <v>46180</v>
      </c>
      <c r="G472" s="98" t="s">
        <v>637</v>
      </c>
      <c r="H472" s="102">
        <v>500000</v>
      </c>
      <c r="I472" s="102">
        <v>0</v>
      </c>
      <c r="J472" s="102">
        <v>0</v>
      </c>
      <c r="K472" s="102">
        <v>0</v>
      </c>
      <c r="L472" s="97">
        <v>500000</v>
      </c>
      <c r="M472" s="76" t="s">
        <v>83</v>
      </c>
      <c r="N472" s="77">
        <v>46180</v>
      </c>
      <c r="O472" s="79">
        <v>500000</v>
      </c>
      <c r="P472" s="72"/>
      <c r="Q472" s="78" t="s">
        <v>638</v>
      </c>
    </row>
    <row r="473" spans="1:17" ht="15" customHeight="1">
      <c r="A473" s="76" t="s">
        <v>61</v>
      </c>
      <c r="B473" s="98" t="s">
        <v>403</v>
      </c>
      <c r="C473" s="98"/>
      <c r="D473" s="100" t="s">
        <v>636</v>
      </c>
      <c r="E473" s="98" t="s">
        <v>179</v>
      </c>
      <c r="F473" s="101">
        <v>46210</v>
      </c>
      <c r="G473" s="98" t="s">
        <v>637</v>
      </c>
      <c r="H473" s="102">
        <v>500000</v>
      </c>
      <c r="I473" s="102">
        <v>0</v>
      </c>
      <c r="J473" s="102">
        <v>0</v>
      </c>
      <c r="K473" s="102">
        <v>0</v>
      </c>
      <c r="L473" s="97">
        <v>500000</v>
      </c>
      <c r="M473" s="76" t="s">
        <v>83</v>
      </c>
      <c r="N473" s="77">
        <v>46210</v>
      </c>
      <c r="O473" s="79">
        <v>500000</v>
      </c>
      <c r="P473" s="72"/>
      <c r="Q473" s="78" t="s">
        <v>638</v>
      </c>
    </row>
    <row r="474" spans="1:17" ht="15" customHeight="1">
      <c r="A474" s="76" t="s">
        <v>61</v>
      </c>
      <c r="B474" s="98" t="s">
        <v>403</v>
      </c>
      <c r="C474" s="98"/>
      <c r="D474" s="100" t="s">
        <v>636</v>
      </c>
      <c r="E474" s="98" t="s">
        <v>179</v>
      </c>
      <c r="F474" s="101">
        <v>46241</v>
      </c>
      <c r="G474" s="98" t="s">
        <v>637</v>
      </c>
      <c r="H474" s="102">
        <v>500000</v>
      </c>
      <c r="I474" s="102">
        <v>0</v>
      </c>
      <c r="J474" s="102">
        <v>0</v>
      </c>
      <c r="K474" s="102">
        <v>0</v>
      </c>
      <c r="L474" s="97">
        <v>500000</v>
      </c>
      <c r="M474" s="76" t="s">
        <v>83</v>
      </c>
      <c r="N474" s="77">
        <v>46241</v>
      </c>
      <c r="O474" s="79">
        <v>500000</v>
      </c>
      <c r="P474" s="72"/>
      <c r="Q474" s="78" t="s">
        <v>638</v>
      </c>
    </row>
    <row r="475" spans="1:17" ht="15" customHeight="1">
      <c r="A475" s="76" t="s">
        <v>61</v>
      </c>
      <c r="B475" s="98" t="s">
        <v>403</v>
      </c>
      <c r="C475" s="98"/>
      <c r="D475" s="100" t="s">
        <v>639</v>
      </c>
      <c r="E475" s="98" t="s">
        <v>180</v>
      </c>
      <c r="F475" s="101">
        <v>46149</v>
      </c>
      <c r="G475" s="98" t="s">
        <v>637</v>
      </c>
      <c r="H475" s="102">
        <v>29937</v>
      </c>
      <c r="I475" s="102">
        <v>0</v>
      </c>
      <c r="J475" s="102">
        <v>0</v>
      </c>
      <c r="K475" s="102">
        <v>0</v>
      </c>
      <c r="L475" s="97">
        <v>29937</v>
      </c>
      <c r="M475" s="76" t="s">
        <v>389</v>
      </c>
      <c r="N475" s="77">
        <v>46149</v>
      </c>
      <c r="O475" s="79">
        <v>29937</v>
      </c>
      <c r="P475" s="72"/>
      <c r="Q475" s="78" t="s">
        <v>638</v>
      </c>
    </row>
    <row r="476" spans="1:17" ht="15" customHeight="1">
      <c r="A476" s="76" t="s">
        <v>61</v>
      </c>
      <c r="B476" s="98" t="s">
        <v>403</v>
      </c>
      <c r="C476" s="98"/>
      <c r="D476" s="100" t="s">
        <v>639</v>
      </c>
      <c r="E476" s="98" t="s">
        <v>180</v>
      </c>
      <c r="F476" s="101">
        <v>46180</v>
      </c>
      <c r="G476" s="98" t="s">
        <v>637</v>
      </c>
      <c r="H476" s="102">
        <v>29937</v>
      </c>
      <c r="I476" s="102">
        <v>0</v>
      </c>
      <c r="J476" s="102">
        <v>0</v>
      </c>
      <c r="K476" s="102">
        <v>0</v>
      </c>
      <c r="L476" s="97">
        <v>29937</v>
      </c>
      <c r="M476" s="76" t="s">
        <v>389</v>
      </c>
      <c r="N476" s="77">
        <v>46180</v>
      </c>
      <c r="O476" s="79">
        <v>29937</v>
      </c>
      <c r="P476" s="72"/>
      <c r="Q476" s="78" t="s">
        <v>638</v>
      </c>
    </row>
    <row r="477" spans="1:17" ht="15" customHeight="1">
      <c r="A477" s="76" t="s">
        <v>61</v>
      </c>
      <c r="B477" s="98" t="s">
        <v>403</v>
      </c>
      <c r="C477" s="98"/>
      <c r="D477" s="100" t="s">
        <v>639</v>
      </c>
      <c r="E477" s="98" t="s">
        <v>180</v>
      </c>
      <c r="F477" s="101">
        <v>46210</v>
      </c>
      <c r="G477" s="98" t="s">
        <v>637</v>
      </c>
      <c r="H477" s="102">
        <v>29937</v>
      </c>
      <c r="I477" s="102">
        <v>0</v>
      </c>
      <c r="J477" s="102">
        <v>0</v>
      </c>
      <c r="K477" s="102">
        <v>0</v>
      </c>
      <c r="L477" s="97">
        <v>29937</v>
      </c>
      <c r="M477" s="76" t="s">
        <v>389</v>
      </c>
      <c r="N477" s="77">
        <v>46210</v>
      </c>
      <c r="O477" s="79">
        <v>29937</v>
      </c>
      <c r="P477" s="72"/>
      <c r="Q477" s="78" t="s">
        <v>638</v>
      </c>
    </row>
    <row r="478" spans="1:17" ht="15" customHeight="1">
      <c r="A478" s="76" t="s">
        <v>61</v>
      </c>
      <c r="B478" s="98" t="s">
        <v>403</v>
      </c>
      <c r="C478" s="98"/>
      <c r="D478" s="100" t="s">
        <v>639</v>
      </c>
      <c r="E478" s="98" t="s">
        <v>180</v>
      </c>
      <c r="F478" s="101">
        <v>46241</v>
      </c>
      <c r="G478" s="98" t="s">
        <v>637</v>
      </c>
      <c r="H478" s="102">
        <v>29937</v>
      </c>
      <c r="I478" s="102">
        <v>0</v>
      </c>
      <c r="J478" s="102">
        <v>0</v>
      </c>
      <c r="K478" s="102">
        <v>0</v>
      </c>
      <c r="L478" s="97">
        <v>29937</v>
      </c>
      <c r="M478" s="76" t="s">
        <v>389</v>
      </c>
      <c r="N478" s="77">
        <v>46241</v>
      </c>
      <c r="O478" s="79">
        <v>29937</v>
      </c>
      <c r="P478" s="72"/>
      <c r="Q478" s="78" t="s">
        <v>638</v>
      </c>
    </row>
    <row r="479" spans="1:17" ht="15" customHeight="1">
      <c r="A479" s="76" t="s">
        <v>61</v>
      </c>
      <c r="B479" s="98" t="s">
        <v>403</v>
      </c>
      <c r="C479" s="98"/>
      <c r="D479" s="100" t="s">
        <v>640</v>
      </c>
      <c r="E479" s="98" t="s">
        <v>184</v>
      </c>
      <c r="F479" s="101">
        <v>46169</v>
      </c>
      <c r="G479" s="98" t="s">
        <v>637</v>
      </c>
      <c r="H479" s="102">
        <v>200000</v>
      </c>
      <c r="I479" s="102">
        <v>0</v>
      </c>
      <c r="J479" s="102">
        <v>0</v>
      </c>
      <c r="K479" s="102">
        <v>0</v>
      </c>
      <c r="L479" s="97">
        <v>200000</v>
      </c>
      <c r="M479" s="76" t="s">
        <v>83</v>
      </c>
      <c r="N479" s="77">
        <v>46169</v>
      </c>
      <c r="O479" s="79">
        <v>200000</v>
      </c>
      <c r="P479" s="72"/>
      <c r="Q479" s="78" t="s">
        <v>638</v>
      </c>
    </row>
    <row r="480" spans="1:17" ht="15" customHeight="1">
      <c r="A480" s="76" t="s">
        <v>61</v>
      </c>
      <c r="B480" s="98" t="s">
        <v>403</v>
      </c>
      <c r="C480" s="98"/>
      <c r="D480" s="100" t="s">
        <v>640</v>
      </c>
      <c r="E480" s="98" t="s">
        <v>184</v>
      </c>
      <c r="F480" s="101">
        <v>46200</v>
      </c>
      <c r="G480" s="98" t="s">
        <v>637</v>
      </c>
      <c r="H480" s="102">
        <v>200000</v>
      </c>
      <c r="I480" s="102">
        <v>0</v>
      </c>
      <c r="J480" s="102">
        <v>0</v>
      </c>
      <c r="K480" s="102">
        <v>0</v>
      </c>
      <c r="L480" s="97">
        <v>200000</v>
      </c>
      <c r="M480" s="76" t="s">
        <v>83</v>
      </c>
      <c r="N480" s="77">
        <v>46200</v>
      </c>
      <c r="O480" s="79">
        <v>200000</v>
      </c>
      <c r="P480" s="72"/>
      <c r="Q480" s="78" t="s">
        <v>638</v>
      </c>
    </row>
    <row r="481" spans="1:17" ht="15" customHeight="1">
      <c r="A481" s="76" t="s">
        <v>61</v>
      </c>
      <c r="B481" s="98" t="s">
        <v>403</v>
      </c>
      <c r="C481" s="98"/>
      <c r="D481" s="100" t="s">
        <v>640</v>
      </c>
      <c r="E481" s="98" t="s">
        <v>184</v>
      </c>
      <c r="F481" s="101">
        <v>46230</v>
      </c>
      <c r="G481" s="98" t="s">
        <v>637</v>
      </c>
      <c r="H481" s="102">
        <v>200000</v>
      </c>
      <c r="I481" s="102">
        <v>0</v>
      </c>
      <c r="J481" s="102">
        <v>0</v>
      </c>
      <c r="K481" s="102">
        <v>0</v>
      </c>
      <c r="L481" s="97">
        <v>200000</v>
      </c>
      <c r="M481" s="76" t="s">
        <v>83</v>
      </c>
      <c r="N481" s="77">
        <v>46230</v>
      </c>
      <c r="O481" s="79">
        <v>200000</v>
      </c>
      <c r="P481" s="72"/>
      <c r="Q481" s="78" t="s">
        <v>638</v>
      </c>
    </row>
    <row r="482" spans="1:17" ht="15" customHeight="1">
      <c r="A482" s="76" t="s">
        <v>61</v>
      </c>
      <c r="B482" s="98" t="s">
        <v>403</v>
      </c>
      <c r="C482" s="98"/>
      <c r="D482" s="100" t="s">
        <v>640</v>
      </c>
      <c r="E482" s="98" t="s">
        <v>184</v>
      </c>
      <c r="F482" s="101">
        <v>46261</v>
      </c>
      <c r="G482" s="98" t="s">
        <v>637</v>
      </c>
      <c r="H482" s="102">
        <v>200000</v>
      </c>
      <c r="I482" s="102">
        <v>0</v>
      </c>
      <c r="J482" s="102">
        <v>0</v>
      </c>
      <c r="K482" s="102">
        <v>0</v>
      </c>
      <c r="L482" s="97">
        <v>200000</v>
      </c>
      <c r="M482" s="76" t="s">
        <v>83</v>
      </c>
      <c r="N482" s="77">
        <v>46261</v>
      </c>
      <c r="O482" s="79">
        <v>200000</v>
      </c>
      <c r="P482" s="72"/>
      <c r="Q482" s="78" t="s">
        <v>638</v>
      </c>
    </row>
    <row r="483" spans="1:17" ht="15" customHeight="1">
      <c r="A483" s="76" t="s">
        <v>61</v>
      </c>
      <c r="B483" s="98" t="s">
        <v>403</v>
      </c>
      <c r="C483" s="98"/>
      <c r="D483" s="100" t="s">
        <v>641</v>
      </c>
      <c r="E483" s="98" t="s">
        <v>164</v>
      </c>
      <c r="F483" s="101">
        <v>46170</v>
      </c>
      <c r="G483" s="98" t="s">
        <v>637</v>
      </c>
      <c r="H483" s="102">
        <v>12000</v>
      </c>
      <c r="I483" s="102">
        <v>0</v>
      </c>
      <c r="J483" s="102">
        <v>0</v>
      </c>
      <c r="K483" s="102">
        <v>0</v>
      </c>
      <c r="L483" s="97">
        <v>12000</v>
      </c>
      <c r="M483" s="76" t="s">
        <v>389</v>
      </c>
      <c r="N483" s="77">
        <v>46170</v>
      </c>
      <c r="O483" s="79">
        <v>12000</v>
      </c>
      <c r="P483" s="72"/>
      <c r="Q483" s="78" t="s">
        <v>638</v>
      </c>
    </row>
    <row r="484" spans="1:17" ht="15" customHeight="1">
      <c r="A484" s="76" t="s">
        <v>61</v>
      </c>
      <c r="B484" s="98" t="s">
        <v>403</v>
      </c>
      <c r="C484" s="98"/>
      <c r="D484" s="100" t="s">
        <v>641</v>
      </c>
      <c r="E484" s="98" t="s">
        <v>164</v>
      </c>
      <c r="F484" s="101">
        <v>46201</v>
      </c>
      <c r="G484" s="98" t="s">
        <v>637</v>
      </c>
      <c r="H484" s="102">
        <v>12000</v>
      </c>
      <c r="I484" s="102">
        <v>0</v>
      </c>
      <c r="J484" s="102">
        <v>0</v>
      </c>
      <c r="K484" s="102">
        <v>0</v>
      </c>
      <c r="L484" s="97">
        <v>12000</v>
      </c>
      <c r="M484" s="76" t="s">
        <v>389</v>
      </c>
      <c r="N484" s="77">
        <v>46201</v>
      </c>
      <c r="O484" s="79">
        <v>12000</v>
      </c>
      <c r="P484" s="72"/>
      <c r="Q484" s="78" t="s">
        <v>638</v>
      </c>
    </row>
    <row r="485" spans="1:17" ht="15" customHeight="1">
      <c r="A485" s="76" t="s">
        <v>61</v>
      </c>
      <c r="B485" s="98" t="s">
        <v>403</v>
      </c>
      <c r="C485" s="98"/>
      <c r="D485" s="100" t="s">
        <v>641</v>
      </c>
      <c r="E485" s="98" t="s">
        <v>164</v>
      </c>
      <c r="F485" s="101">
        <v>46231</v>
      </c>
      <c r="G485" s="98" t="s">
        <v>637</v>
      </c>
      <c r="H485" s="102">
        <v>12000</v>
      </c>
      <c r="I485" s="102">
        <v>0</v>
      </c>
      <c r="J485" s="102">
        <v>0</v>
      </c>
      <c r="K485" s="102">
        <v>0</v>
      </c>
      <c r="L485" s="97">
        <v>12000</v>
      </c>
      <c r="M485" s="76" t="s">
        <v>389</v>
      </c>
      <c r="N485" s="77">
        <v>46231</v>
      </c>
      <c r="O485" s="79">
        <v>12000</v>
      </c>
      <c r="P485" s="72"/>
      <c r="Q485" s="78" t="s">
        <v>638</v>
      </c>
    </row>
    <row r="486" spans="1:17" ht="15" customHeight="1">
      <c r="A486" s="76" t="s">
        <v>61</v>
      </c>
      <c r="B486" s="98" t="s">
        <v>403</v>
      </c>
      <c r="C486" s="98"/>
      <c r="D486" s="100" t="s">
        <v>641</v>
      </c>
      <c r="E486" s="98" t="s">
        <v>164</v>
      </c>
      <c r="F486" s="101">
        <v>46262</v>
      </c>
      <c r="G486" s="98" t="s">
        <v>637</v>
      </c>
      <c r="H486" s="102">
        <v>12000</v>
      </c>
      <c r="I486" s="102">
        <v>0</v>
      </c>
      <c r="J486" s="102">
        <v>0</v>
      </c>
      <c r="K486" s="102">
        <v>0</v>
      </c>
      <c r="L486" s="97">
        <v>12000</v>
      </c>
      <c r="M486" s="76" t="s">
        <v>389</v>
      </c>
      <c r="N486" s="77">
        <v>46262</v>
      </c>
      <c r="O486" s="79">
        <v>12000</v>
      </c>
      <c r="P486" s="72"/>
      <c r="Q486" s="78" t="s">
        <v>638</v>
      </c>
    </row>
    <row r="487" spans="1:17" ht="15" customHeight="1">
      <c r="A487" s="76" t="s">
        <v>61</v>
      </c>
      <c r="B487" s="98" t="s">
        <v>403</v>
      </c>
      <c r="C487" s="98"/>
      <c r="D487" s="103" t="s">
        <v>642</v>
      </c>
      <c r="E487" s="98" t="s">
        <v>180</v>
      </c>
      <c r="F487" s="101">
        <v>46170</v>
      </c>
      <c r="G487" s="98" t="s">
        <v>637</v>
      </c>
      <c r="H487" s="102">
        <v>700000</v>
      </c>
      <c r="I487" s="102">
        <v>0</v>
      </c>
      <c r="J487" s="102">
        <v>0</v>
      </c>
      <c r="K487" s="102">
        <v>0</v>
      </c>
      <c r="L487" s="97">
        <v>700000</v>
      </c>
      <c r="M487" s="76" t="s">
        <v>389</v>
      </c>
      <c r="N487" s="77">
        <v>46170</v>
      </c>
      <c r="O487" s="79">
        <v>700000</v>
      </c>
      <c r="P487" s="72"/>
      <c r="Q487" s="78" t="s">
        <v>638</v>
      </c>
    </row>
    <row r="488" spans="1:17" ht="15" customHeight="1">
      <c r="A488" s="76" t="s">
        <v>61</v>
      </c>
      <c r="B488" s="98" t="s">
        <v>403</v>
      </c>
      <c r="C488" s="98"/>
      <c r="D488" s="103" t="s">
        <v>642</v>
      </c>
      <c r="E488" s="98" t="s">
        <v>180</v>
      </c>
      <c r="F488" s="101">
        <v>46201</v>
      </c>
      <c r="G488" s="98" t="s">
        <v>637</v>
      </c>
      <c r="H488" s="102">
        <v>700000</v>
      </c>
      <c r="I488" s="102">
        <v>0</v>
      </c>
      <c r="J488" s="102">
        <v>0</v>
      </c>
      <c r="K488" s="102">
        <v>0</v>
      </c>
      <c r="L488" s="97">
        <v>700000</v>
      </c>
      <c r="M488" s="76" t="s">
        <v>389</v>
      </c>
      <c r="N488" s="77">
        <v>46201</v>
      </c>
      <c r="O488" s="79">
        <v>700000</v>
      </c>
      <c r="P488" s="72"/>
      <c r="Q488" s="78" t="s">
        <v>638</v>
      </c>
    </row>
    <row r="489" spans="1:17" ht="15" customHeight="1">
      <c r="A489" s="76" t="s">
        <v>61</v>
      </c>
      <c r="B489" s="98" t="s">
        <v>403</v>
      </c>
      <c r="C489" s="98"/>
      <c r="D489" s="103" t="s">
        <v>642</v>
      </c>
      <c r="E489" s="98" t="s">
        <v>180</v>
      </c>
      <c r="F489" s="101">
        <v>46231</v>
      </c>
      <c r="G489" s="98" t="s">
        <v>637</v>
      </c>
      <c r="H489" s="102">
        <v>700000</v>
      </c>
      <c r="I489" s="102">
        <v>0</v>
      </c>
      <c r="J489" s="102">
        <v>0</v>
      </c>
      <c r="K489" s="102">
        <v>0</v>
      </c>
      <c r="L489" s="97">
        <v>700000</v>
      </c>
      <c r="M489" s="76" t="s">
        <v>389</v>
      </c>
      <c r="N489" s="77">
        <v>46231</v>
      </c>
      <c r="O489" s="79">
        <v>700000</v>
      </c>
      <c r="P489" s="72"/>
      <c r="Q489" s="78" t="s">
        <v>638</v>
      </c>
    </row>
    <row r="490" spans="1:17" ht="15" customHeight="1">
      <c r="A490" s="76" t="s">
        <v>61</v>
      </c>
      <c r="B490" s="98" t="s">
        <v>403</v>
      </c>
      <c r="C490" s="98"/>
      <c r="D490" s="103" t="s">
        <v>642</v>
      </c>
      <c r="E490" s="98" t="s">
        <v>180</v>
      </c>
      <c r="F490" s="101">
        <v>46262</v>
      </c>
      <c r="G490" s="98" t="s">
        <v>637</v>
      </c>
      <c r="H490" s="102">
        <v>700000</v>
      </c>
      <c r="I490" s="102">
        <v>0</v>
      </c>
      <c r="J490" s="102">
        <v>0</v>
      </c>
      <c r="K490" s="102">
        <v>0</v>
      </c>
      <c r="L490" s="97">
        <v>700000</v>
      </c>
      <c r="M490" s="76" t="s">
        <v>389</v>
      </c>
      <c r="N490" s="77">
        <v>46262</v>
      </c>
      <c r="O490" s="79">
        <v>700000</v>
      </c>
      <c r="P490" s="72"/>
      <c r="Q490" s="78" t="s">
        <v>638</v>
      </c>
    </row>
    <row r="491" spans="1:17" ht="15" customHeight="1">
      <c r="A491" s="76" t="s">
        <v>58</v>
      </c>
      <c r="B491" s="98" t="s">
        <v>403</v>
      </c>
      <c r="C491" s="99"/>
      <c r="D491" s="100" t="s">
        <v>643</v>
      </c>
      <c r="E491" s="98" t="s">
        <v>183</v>
      </c>
      <c r="F491" s="101">
        <v>46170</v>
      </c>
      <c r="G491" s="98" t="s">
        <v>644</v>
      </c>
      <c r="H491" s="102">
        <v>9820961</v>
      </c>
      <c r="I491" s="102">
        <v>0</v>
      </c>
      <c r="J491" s="102">
        <v>0</v>
      </c>
      <c r="K491" s="102">
        <v>0</v>
      </c>
      <c r="L491" s="97">
        <v>9820961</v>
      </c>
      <c r="M491" s="76" t="s">
        <v>83</v>
      </c>
      <c r="N491" s="77">
        <v>46170</v>
      </c>
      <c r="O491" s="79">
        <v>9820961</v>
      </c>
      <c r="P491" s="73"/>
      <c r="Q491" s="78" t="s">
        <v>645</v>
      </c>
    </row>
    <row r="492" spans="1:17" ht="15" customHeight="1">
      <c r="A492" s="76" t="s">
        <v>58</v>
      </c>
      <c r="B492" s="98" t="s">
        <v>403</v>
      </c>
      <c r="C492" s="98"/>
      <c r="D492" s="100" t="s">
        <v>643</v>
      </c>
      <c r="E492" s="98" t="s">
        <v>183</v>
      </c>
      <c r="F492" s="101">
        <v>46201</v>
      </c>
      <c r="G492" s="98" t="s">
        <v>644</v>
      </c>
      <c r="H492" s="102">
        <v>8826072</v>
      </c>
      <c r="I492" s="102">
        <v>0</v>
      </c>
      <c r="J492" s="102">
        <v>0</v>
      </c>
      <c r="K492" s="102">
        <v>0</v>
      </c>
      <c r="L492" s="97">
        <v>8826072</v>
      </c>
      <c r="M492" s="76" t="s">
        <v>83</v>
      </c>
      <c r="N492" s="77">
        <v>46201</v>
      </c>
      <c r="O492" s="79">
        <v>8826072</v>
      </c>
      <c r="P492" s="73"/>
      <c r="Q492" s="78" t="s">
        <v>645</v>
      </c>
    </row>
    <row r="493" spans="1:17" ht="15" customHeight="1">
      <c r="A493" s="76" t="s">
        <v>58</v>
      </c>
      <c r="B493" s="98" t="s">
        <v>403</v>
      </c>
      <c r="C493" s="98"/>
      <c r="D493" s="100" t="s">
        <v>643</v>
      </c>
      <c r="E493" s="98" t="s">
        <v>183</v>
      </c>
      <c r="F493" s="101">
        <v>46231</v>
      </c>
      <c r="G493" s="98" t="s">
        <v>644</v>
      </c>
      <c r="H493" s="102">
        <v>9129943</v>
      </c>
      <c r="I493" s="102">
        <v>0</v>
      </c>
      <c r="J493" s="102">
        <v>0</v>
      </c>
      <c r="K493" s="102">
        <v>0</v>
      </c>
      <c r="L493" s="97">
        <v>9129943</v>
      </c>
      <c r="M493" s="76" t="s">
        <v>83</v>
      </c>
      <c r="N493" s="77">
        <v>46231</v>
      </c>
      <c r="O493" s="79">
        <v>9129943</v>
      </c>
      <c r="P493" s="73"/>
      <c r="Q493" s="78" t="s">
        <v>645</v>
      </c>
    </row>
    <row r="494" spans="1:17" ht="15" customHeight="1">
      <c r="A494" s="76" t="s">
        <v>58</v>
      </c>
      <c r="B494" s="98" t="s">
        <v>403</v>
      </c>
      <c r="C494" s="98"/>
      <c r="D494" s="100" t="s">
        <v>643</v>
      </c>
      <c r="E494" s="98" t="s">
        <v>183</v>
      </c>
      <c r="F494" s="101">
        <v>46262</v>
      </c>
      <c r="G494" s="98" t="s">
        <v>644</v>
      </c>
      <c r="H494" s="102">
        <v>10053337</v>
      </c>
      <c r="I494" s="102">
        <v>0</v>
      </c>
      <c r="J494" s="102">
        <v>0</v>
      </c>
      <c r="K494" s="102">
        <v>0</v>
      </c>
      <c r="L494" s="97">
        <v>10053337</v>
      </c>
      <c r="M494" s="76" t="s">
        <v>83</v>
      </c>
      <c r="N494" s="77">
        <v>46262</v>
      </c>
      <c r="O494" s="79">
        <v>10053337</v>
      </c>
      <c r="P494" s="73"/>
      <c r="Q494" s="78" t="s">
        <v>645</v>
      </c>
    </row>
    <row r="495" spans="1:17" ht="15" customHeight="1">
      <c r="A495" s="76" t="s">
        <v>58</v>
      </c>
      <c r="B495" s="98" t="s">
        <v>403</v>
      </c>
      <c r="C495" s="98"/>
      <c r="D495" s="100" t="s">
        <v>646</v>
      </c>
      <c r="E495" s="98" t="s">
        <v>174</v>
      </c>
      <c r="F495" s="101">
        <v>46201</v>
      </c>
      <c r="G495" s="98" t="s">
        <v>644</v>
      </c>
      <c r="H495" s="102">
        <v>3335000</v>
      </c>
      <c r="I495" s="102">
        <v>0</v>
      </c>
      <c r="J495" s="102">
        <v>0</v>
      </c>
      <c r="K495" s="102">
        <v>0</v>
      </c>
      <c r="L495" s="97">
        <v>3335000</v>
      </c>
      <c r="M495" s="76" t="s">
        <v>83</v>
      </c>
      <c r="N495" s="77">
        <v>46201</v>
      </c>
      <c r="O495" s="79">
        <v>3335000</v>
      </c>
      <c r="P495" s="73"/>
      <c r="Q495" s="78" t="s">
        <v>645</v>
      </c>
    </row>
    <row r="496" spans="1:17" ht="15" customHeight="1">
      <c r="A496" s="76" t="s">
        <v>60</v>
      </c>
      <c r="B496" s="98" t="s">
        <v>403</v>
      </c>
      <c r="C496" s="98"/>
      <c r="D496" s="100" t="s">
        <v>647</v>
      </c>
      <c r="E496" s="98" t="s">
        <v>182</v>
      </c>
      <c r="F496" s="101">
        <v>46167</v>
      </c>
      <c r="G496" s="98" t="s">
        <v>644</v>
      </c>
      <c r="H496" s="102">
        <v>272000</v>
      </c>
      <c r="I496" s="102">
        <v>0</v>
      </c>
      <c r="J496" s="102">
        <v>0</v>
      </c>
      <c r="K496" s="102">
        <v>0</v>
      </c>
      <c r="L496" s="97">
        <v>272000</v>
      </c>
      <c r="M496" s="76" t="s">
        <v>389</v>
      </c>
      <c r="N496" s="77">
        <v>46167</v>
      </c>
      <c r="O496" s="79">
        <v>272000</v>
      </c>
      <c r="P496" s="73"/>
      <c r="Q496" s="78" t="s">
        <v>645</v>
      </c>
    </row>
    <row r="497" spans="1:17" ht="15" customHeight="1">
      <c r="A497" s="76" t="s">
        <v>60</v>
      </c>
      <c r="B497" s="98" t="s">
        <v>403</v>
      </c>
      <c r="C497" s="98"/>
      <c r="D497" s="100" t="s">
        <v>647</v>
      </c>
      <c r="E497" s="98" t="s">
        <v>182</v>
      </c>
      <c r="F497" s="101">
        <v>46198</v>
      </c>
      <c r="G497" s="98" t="s">
        <v>644</v>
      </c>
      <c r="H497" s="102">
        <v>272000</v>
      </c>
      <c r="I497" s="102">
        <v>0</v>
      </c>
      <c r="J497" s="102">
        <v>0</v>
      </c>
      <c r="K497" s="102">
        <v>0</v>
      </c>
      <c r="L497" s="97">
        <v>272000</v>
      </c>
      <c r="M497" s="76" t="s">
        <v>389</v>
      </c>
      <c r="N497" s="77">
        <v>46198</v>
      </c>
      <c r="O497" s="79">
        <v>272000</v>
      </c>
      <c r="P497" s="73"/>
      <c r="Q497" s="78" t="s">
        <v>645</v>
      </c>
    </row>
    <row r="498" spans="1:17" ht="15" customHeight="1">
      <c r="A498" s="76" t="s">
        <v>60</v>
      </c>
      <c r="B498" s="98" t="s">
        <v>403</v>
      </c>
      <c r="C498" s="98"/>
      <c r="D498" s="100" t="s">
        <v>647</v>
      </c>
      <c r="E498" s="98" t="s">
        <v>182</v>
      </c>
      <c r="F498" s="101">
        <v>46228</v>
      </c>
      <c r="G498" s="98" t="s">
        <v>644</v>
      </c>
      <c r="H498" s="102">
        <v>272000</v>
      </c>
      <c r="I498" s="102">
        <v>0</v>
      </c>
      <c r="J498" s="102">
        <v>0</v>
      </c>
      <c r="K498" s="102">
        <v>0</v>
      </c>
      <c r="L498" s="97">
        <v>272000</v>
      </c>
      <c r="M498" s="76" t="s">
        <v>389</v>
      </c>
      <c r="N498" s="77">
        <v>46228</v>
      </c>
      <c r="O498" s="79">
        <v>272000</v>
      </c>
      <c r="P498" s="73"/>
      <c r="Q498" s="78" t="s">
        <v>645</v>
      </c>
    </row>
    <row r="499" spans="1:17" ht="15" customHeight="1">
      <c r="A499" s="76" t="s">
        <v>58</v>
      </c>
      <c r="B499" s="98" t="s">
        <v>403</v>
      </c>
      <c r="C499" s="98"/>
      <c r="D499" s="100" t="s">
        <v>648</v>
      </c>
      <c r="E499" s="98" t="s">
        <v>182</v>
      </c>
      <c r="F499" s="101">
        <v>46167</v>
      </c>
      <c r="G499" s="98" t="s">
        <v>644</v>
      </c>
      <c r="H499" s="102">
        <v>109264</v>
      </c>
      <c r="I499" s="102">
        <v>0</v>
      </c>
      <c r="J499" s="102">
        <v>0</v>
      </c>
      <c r="K499" s="102">
        <v>0</v>
      </c>
      <c r="L499" s="97">
        <v>109264</v>
      </c>
      <c r="M499" s="76" t="s">
        <v>389</v>
      </c>
      <c r="N499" s="77">
        <v>46167</v>
      </c>
      <c r="O499" s="79">
        <v>109264</v>
      </c>
      <c r="P499" s="73"/>
      <c r="Q499" s="78" t="s">
        <v>645</v>
      </c>
    </row>
    <row r="500" spans="1:17" ht="15" customHeight="1">
      <c r="A500" s="76" t="s">
        <v>58</v>
      </c>
      <c r="B500" s="98" t="s">
        <v>403</v>
      </c>
      <c r="C500" s="98"/>
      <c r="D500" s="100" t="s">
        <v>648</v>
      </c>
      <c r="E500" s="98" t="s">
        <v>182</v>
      </c>
      <c r="F500" s="101">
        <v>46198</v>
      </c>
      <c r="G500" s="98" t="s">
        <v>644</v>
      </c>
      <c r="H500" s="102">
        <v>929532</v>
      </c>
      <c r="I500" s="102">
        <v>0</v>
      </c>
      <c r="J500" s="102">
        <v>0</v>
      </c>
      <c r="K500" s="102">
        <v>0</v>
      </c>
      <c r="L500" s="97">
        <v>929532</v>
      </c>
      <c r="M500" s="76" t="s">
        <v>389</v>
      </c>
      <c r="N500" s="77">
        <v>46198</v>
      </c>
      <c r="O500" s="79">
        <v>929532</v>
      </c>
      <c r="P500" s="73"/>
      <c r="Q500" s="78" t="s">
        <v>645</v>
      </c>
    </row>
    <row r="501" spans="1:17" ht="15" customHeight="1">
      <c r="A501" s="76" t="s">
        <v>58</v>
      </c>
      <c r="B501" s="98" t="s">
        <v>403</v>
      </c>
      <c r="C501" s="98"/>
      <c r="D501" s="100" t="s">
        <v>648</v>
      </c>
      <c r="E501" s="98" t="s">
        <v>182</v>
      </c>
      <c r="F501" s="101">
        <v>46228</v>
      </c>
      <c r="G501" s="98" t="s">
        <v>644</v>
      </c>
      <c r="H501" s="102">
        <v>1252118</v>
      </c>
      <c r="I501" s="102">
        <v>0</v>
      </c>
      <c r="J501" s="102">
        <v>0</v>
      </c>
      <c r="K501" s="102">
        <v>0</v>
      </c>
      <c r="L501" s="97">
        <v>1252118</v>
      </c>
      <c r="M501" s="76" t="s">
        <v>389</v>
      </c>
      <c r="N501" s="77">
        <v>46228</v>
      </c>
      <c r="O501" s="79">
        <v>1252118</v>
      </c>
      <c r="P501" s="73"/>
      <c r="Q501" s="78" t="s">
        <v>645</v>
      </c>
    </row>
    <row r="502" spans="1:17" ht="15" customHeight="1">
      <c r="A502" s="76" t="s">
        <v>58</v>
      </c>
      <c r="B502" s="98" t="s">
        <v>403</v>
      </c>
      <c r="C502" s="98"/>
      <c r="D502" s="100" t="s">
        <v>648</v>
      </c>
      <c r="E502" s="98" t="s">
        <v>182</v>
      </c>
      <c r="F502" s="101">
        <v>46259</v>
      </c>
      <c r="G502" s="98" t="s">
        <v>644</v>
      </c>
      <c r="H502" s="102">
        <v>1463962</v>
      </c>
      <c r="I502" s="102">
        <v>0</v>
      </c>
      <c r="J502" s="102">
        <v>0</v>
      </c>
      <c r="K502" s="102">
        <v>0</v>
      </c>
      <c r="L502" s="97">
        <v>1463962</v>
      </c>
      <c r="M502" s="76" t="s">
        <v>389</v>
      </c>
      <c r="N502" s="77">
        <v>46259</v>
      </c>
      <c r="O502" s="79">
        <v>1463962</v>
      </c>
      <c r="P502" s="73"/>
      <c r="Q502" s="78" t="s">
        <v>645</v>
      </c>
    </row>
    <row r="503" spans="1:17" ht="15" customHeight="1">
      <c r="A503" s="49" t="s">
        <v>57</v>
      </c>
      <c r="B503" s="49" t="s">
        <v>406</v>
      </c>
      <c r="C503" s="49" t="s">
        <v>649</v>
      </c>
      <c r="D503" s="49" t="s">
        <v>650</v>
      </c>
      <c r="E503" s="49" t="s">
        <v>651</v>
      </c>
      <c r="F503" s="109">
        <v>46171</v>
      </c>
      <c r="G503" s="49" t="s">
        <v>649</v>
      </c>
      <c r="H503" s="49">
        <v>33000</v>
      </c>
      <c r="I503" s="49">
        <v>0</v>
      </c>
      <c r="J503" s="49">
        <v>0</v>
      </c>
      <c r="K503" s="49">
        <v>0</v>
      </c>
      <c r="L503" s="49">
        <v>33000</v>
      </c>
      <c r="M503" s="49" t="s">
        <v>96</v>
      </c>
      <c r="O503" s="49">
        <v>33000</v>
      </c>
      <c r="P503">
        <f ca="1">SUMIF(P4:P803,"取消",O4:O803)</f>
        <v>0</v>
      </c>
      <c r="Q503" s="49"/>
    </row>
    <row r="504" spans="1:17" ht="15" customHeight="1">
      <c r="A504" s="49" t="s">
        <v>57</v>
      </c>
      <c r="B504" s="49" t="s">
        <v>406</v>
      </c>
      <c r="C504" s="49" t="s">
        <v>649</v>
      </c>
      <c r="D504" s="49" t="s">
        <v>652</v>
      </c>
      <c r="E504" s="49" t="s">
        <v>651</v>
      </c>
      <c r="F504" s="109">
        <v>46171</v>
      </c>
      <c r="G504" s="49" t="s">
        <v>649</v>
      </c>
      <c r="H504" s="49">
        <v>165000</v>
      </c>
      <c r="I504" s="49">
        <v>0</v>
      </c>
      <c r="J504" s="49">
        <v>0</v>
      </c>
      <c r="K504" s="49">
        <v>0</v>
      </c>
      <c r="L504" s="49">
        <v>165000</v>
      </c>
      <c r="M504" s="49" t="s">
        <v>96</v>
      </c>
      <c r="O504" s="49">
        <v>165000</v>
      </c>
      <c r="Q504" s="49"/>
    </row>
    <row r="505" spans="1:17" ht="15" customHeight="1">
      <c r="A505" s="49" t="s">
        <v>57</v>
      </c>
      <c r="B505" s="49" t="s">
        <v>403</v>
      </c>
      <c r="C505" s="49" t="s">
        <v>649</v>
      </c>
      <c r="D505" s="49" t="s">
        <v>653</v>
      </c>
      <c r="E505" s="49" t="s">
        <v>651</v>
      </c>
      <c r="F505" s="109">
        <v>46173</v>
      </c>
      <c r="G505" s="49" t="s">
        <v>649</v>
      </c>
      <c r="H505" s="49">
        <v>18700</v>
      </c>
      <c r="I505" s="49">
        <v>0</v>
      </c>
      <c r="J505" s="49">
        <v>0</v>
      </c>
      <c r="K505" s="49">
        <v>0</v>
      </c>
      <c r="L505" s="49">
        <v>18700</v>
      </c>
      <c r="M505" s="49" t="s">
        <v>96</v>
      </c>
      <c r="O505" s="49">
        <v>18700</v>
      </c>
      <c r="Q505" s="49"/>
    </row>
    <row r="506" spans="1:17" ht="15" customHeight="1">
      <c r="A506" s="49" t="s">
        <v>57</v>
      </c>
      <c r="B506" s="49" t="s">
        <v>406</v>
      </c>
      <c r="C506" s="49" t="s">
        <v>654</v>
      </c>
      <c r="D506" s="49" t="s">
        <v>655</v>
      </c>
      <c r="E506" s="49" t="s">
        <v>651</v>
      </c>
      <c r="F506" s="109">
        <v>46171</v>
      </c>
      <c r="G506" s="49" t="s">
        <v>654</v>
      </c>
      <c r="H506" s="49">
        <v>97900</v>
      </c>
      <c r="I506" s="49">
        <v>0</v>
      </c>
      <c r="J506" s="49">
        <v>0</v>
      </c>
      <c r="K506" s="49">
        <v>0</v>
      </c>
      <c r="L506" s="49">
        <v>97900</v>
      </c>
      <c r="M506" s="49" t="s">
        <v>96</v>
      </c>
      <c r="O506" s="49">
        <v>97900</v>
      </c>
      <c r="Q506" s="49"/>
    </row>
    <row r="507" spans="1:17" ht="15" customHeight="1">
      <c r="A507" s="49" t="s">
        <v>57</v>
      </c>
      <c r="B507" s="49" t="s">
        <v>406</v>
      </c>
      <c r="C507" s="49" t="s">
        <v>656</v>
      </c>
      <c r="D507" t="s">
        <v>657</v>
      </c>
      <c r="E507" s="49" t="s">
        <v>651</v>
      </c>
      <c r="F507" s="109">
        <v>46171</v>
      </c>
      <c r="G507" s="49" t="s">
        <v>656</v>
      </c>
      <c r="H507">
        <v>33000</v>
      </c>
      <c r="I507">
        <v>0</v>
      </c>
      <c r="J507">
        <v>0</v>
      </c>
      <c r="K507">
        <v>0</v>
      </c>
      <c r="L507">
        <v>33000</v>
      </c>
      <c r="M507" s="49" t="s">
        <v>96</v>
      </c>
      <c r="O507">
        <v>33000</v>
      </c>
    </row>
    <row r="508" spans="1:17" ht="15" customHeight="1">
      <c r="A508" s="49" t="s">
        <v>57</v>
      </c>
      <c r="B508" s="49" t="s">
        <v>406</v>
      </c>
      <c r="C508" s="49" t="s">
        <v>658</v>
      </c>
      <c r="D508" s="49" t="s">
        <v>659</v>
      </c>
      <c r="E508" s="49" t="s">
        <v>651</v>
      </c>
      <c r="F508" s="109">
        <v>46171</v>
      </c>
      <c r="G508" s="49" t="s">
        <v>57</v>
      </c>
      <c r="H508">
        <v>151800</v>
      </c>
      <c r="I508">
        <v>0</v>
      </c>
      <c r="J508">
        <v>0</v>
      </c>
      <c r="K508">
        <v>0</v>
      </c>
      <c r="L508">
        <v>151800</v>
      </c>
      <c r="M508" s="49" t="s">
        <v>83</v>
      </c>
      <c r="O508">
        <v>151800</v>
      </c>
    </row>
    <row r="509" spans="1:17" ht="15" customHeight="1">
      <c r="A509" s="49" t="s">
        <v>57</v>
      </c>
      <c r="B509" s="49" t="s">
        <v>403</v>
      </c>
      <c r="C509" s="49" t="s">
        <v>57</v>
      </c>
      <c r="D509" s="49" t="s">
        <v>660</v>
      </c>
      <c r="E509" s="49" t="s">
        <v>661</v>
      </c>
      <c r="F509" s="109">
        <v>46142</v>
      </c>
      <c r="G509" s="49" t="s">
        <v>57</v>
      </c>
      <c r="H509">
        <v>35000</v>
      </c>
      <c r="I509">
        <v>0</v>
      </c>
      <c r="J509">
        <v>0</v>
      </c>
      <c r="K509">
        <v>0</v>
      </c>
      <c r="L509">
        <v>35000</v>
      </c>
      <c r="M509" s="49" t="s">
        <v>96</v>
      </c>
      <c r="N509" s="109">
        <v>46142</v>
      </c>
      <c r="O509">
        <v>35000</v>
      </c>
      <c r="P509" s="49" t="s">
        <v>488</v>
      </c>
    </row>
    <row r="510" spans="1:17" ht="15" customHeight="1">
      <c r="A510" s="49" t="s">
        <v>57</v>
      </c>
      <c r="B510" s="49" t="s">
        <v>403</v>
      </c>
      <c r="C510" s="49" t="s">
        <v>57</v>
      </c>
      <c r="D510" s="49" t="s">
        <v>662</v>
      </c>
      <c r="E510" s="49" t="s">
        <v>167</v>
      </c>
      <c r="F510" s="109">
        <v>46142</v>
      </c>
      <c r="G510" s="49" t="s">
        <v>57</v>
      </c>
      <c r="H510">
        <v>13936</v>
      </c>
      <c r="I510">
        <v>0</v>
      </c>
      <c r="J510">
        <v>0</v>
      </c>
      <c r="K510">
        <v>0</v>
      </c>
      <c r="L510">
        <v>13936</v>
      </c>
      <c r="M510" s="49" t="s">
        <v>96</v>
      </c>
      <c r="N510" s="109">
        <v>46142</v>
      </c>
      <c r="O510">
        <v>13936</v>
      </c>
      <c r="P510" s="49" t="s">
        <v>488</v>
      </c>
    </row>
    <row r="511" spans="1:17" ht="15" customHeight="1">
      <c r="A511" s="49" t="s">
        <v>57</v>
      </c>
      <c r="B511" s="49" t="s">
        <v>403</v>
      </c>
      <c r="C511" s="49" t="s">
        <v>57</v>
      </c>
      <c r="D511" s="49" t="s">
        <v>663</v>
      </c>
      <c r="E511" s="49" t="s">
        <v>664</v>
      </c>
      <c r="F511" s="109">
        <v>46142</v>
      </c>
      <c r="G511" s="49" t="s">
        <v>57</v>
      </c>
      <c r="H511">
        <v>370000</v>
      </c>
      <c r="I511">
        <v>0</v>
      </c>
      <c r="J511">
        <v>0</v>
      </c>
      <c r="K511">
        <v>0</v>
      </c>
      <c r="L511">
        <v>370000</v>
      </c>
      <c r="M511" s="49" t="s">
        <v>96</v>
      </c>
      <c r="N511" s="109">
        <v>46142</v>
      </c>
      <c r="O511">
        <v>370000</v>
      </c>
      <c r="P511" s="49" t="s">
        <v>488</v>
      </c>
    </row>
    <row r="512" spans="1:17" ht="15" customHeight="1">
      <c r="A512" s="49" t="s">
        <v>57</v>
      </c>
      <c r="B512" s="49" t="s">
        <v>403</v>
      </c>
      <c r="C512" s="49" t="s">
        <v>57</v>
      </c>
      <c r="D512" s="49" t="s">
        <v>665</v>
      </c>
      <c r="E512" s="49" t="s">
        <v>179</v>
      </c>
      <c r="F512" s="109">
        <v>46149</v>
      </c>
      <c r="G512" s="49" t="s">
        <v>57</v>
      </c>
      <c r="H512">
        <v>18150</v>
      </c>
      <c r="I512">
        <v>0</v>
      </c>
      <c r="J512">
        <v>0</v>
      </c>
      <c r="K512">
        <v>0</v>
      </c>
      <c r="L512">
        <v>18150</v>
      </c>
      <c r="M512" s="49" t="s">
        <v>96</v>
      </c>
      <c r="N512" s="109">
        <v>46149</v>
      </c>
      <c r="O512">
        <v>18150</v>
      </c>
      <c r="P512" s="49" t="s">
        <v>488</v>
      </c>
    </row>
    <row r="513" spans="1:17" ht="15" customHeight="1">
      <c r="A513" s="49" t="s">
        <v>57</v>
      </c>
      <c r="B513" s="49" t="s">
        <v>403</v>
      </c>
      <c r="C513" s="49" t="s">
        <v>57</v>
      </c>
      <c r="D513" s="49" t="s">
        <v>666</v>
      </c>
      <c r="E513" s="49" t="s">
        <v>164</v>
      </c>
      <c r="F513" s="109">
        <v>46150</v>
      </c>
      <c r="G513" s="49" t="s">
        <v>57</v>
      </c>
      <c r="H513">
        <v>2246</v>
      </c>
      <c r="I513">
        <v>0</v>
      </c>
      <c r="J513">
        <v>0</v>
      </c>
      <c r="K513">
        <v>0</v>
      </c>
      <c r="L513">
        <v>2246</v>
      </c>
      <c r="M513" s="49" t="s">
        <v>96</v>
      </c>
      <c r="N513" s="109">
        <v>46150</v>
      </c>
      <c r="O513">
        <v>2246</v>
      </c>
      <c r="P513" s="49" t="s">
        <v>488</v>
      </c>
    </row>
    <row r="514" spans="1:17" ht="15" customHeight="1">
      <c r="A514" s="49" t="s">
        <v>57</v>
      </c>
      <c r="B514" s="49" t="s">
        <v>403</v>
      </c>
      <c r="C514" s="49" t="s">
        <v>57</v>
      </c>
      <c r="D514" s="49" t="s">
        <v>667</v>
      </c>
      <c r="E514" s="49" t="s">
        <v>164</v>
      </c>
      <c r="F514" s="109">
        <v>46150</v>
      </c>
      <c r="G514" s="49" t="s">
        <v>57</v>
      </c>
      <c r="H514">
        <v>4520</v>
      </c>
      <c r="I514">
        <v>0</v>
      </c>
      <c r="J514">
        <v>0</v>
      </c>
      <c r="K514">
        <v>0</v>
      </c>
      <c r="L514">
        <v>4520</v>
      </c>
      <c r="M514" s="49" t="s">
        <v>96</v>
      </c>
      <c r="N514" s="109">
        <v>46150</v>
      </c>
      <c r="O514">
        <v>4520</v>
      </c>
      <c r="P514" s="49" t="s">
        <v>488</v>
      </c>
    </row>
    <row r="515" spans="1:17" ht="15" customHeight="1">
      <c r="A515" s="49" t="s">
        <v>57</v>
      </c>
      <c r="B515" s="49" t="s">
        <v>403</v>
      </c>
      <c r="C515" s="49" t="s">
        <v>57</v>
      </c>
      <c r="D515" t="s">
        <v>668</v>
      </c>
      <c r="E515" s="49" t="s">
        <v>661</v>
      </c>
      <c r="F515" s="109">
        <v>46153</v>
      </c>
      <c r="G515" s="49" t="s">
        <v>57</v>
      </c>
      <c r="H515">
        <v>7810</v>
      </c>
      <c r="I515">
        <v>0</v>
      </c>
      <c r="J515">
        <v>0</v>
      </c>
      <c r="K515">
        <v>0</v>
      </c>
      <c r="L515">
        <v>7810</v>
      </c>
      <c r="M515" s="49" t="s">
        <v>96</v>
      </c>
      <c r="N515" s="109">
        <v>46153</v>
      </c>
      <c r="O515">
        <v>7810</v>
      </c>
      <c r="P515" s="49" t="s">
        <v>488</v>
      </c>
    </row>
    <row r="516" spans="1:17" ht="15" customHeight="1">
      <c r="A516" s="49" t="s">
        <v>57</v>
      </c>
      <c r="B516" s="49" t="s">
        <v>403</v>
      </c>
      <c r="C516" s="49" t="s">
        <v>57</v>
      </c>
      <c r="D516" s="49" t="s">
        <v>669</v>
      </c>
      <c r="E516" s="49" t="s">
        <v>664</v>
      </c>
      <c r="F516" s="109">
        <v>46153</v>
      </c>
      <c r="G516" s="49" t="s">
        <v>57</v>
      </c>
      <c r="H516">
        <v>45000</v>
      </c>
      <c r="I516">
        <v>0</v>
      </c>
      <c r="J516">
        <v>0</v>
      </c>
      <c r="K516">
        <v>0</v>
      </c>
      <c r="L516">
        <v>45000</v>
      </c>
      <c r="M516" s="49" t="s">
        <v>96</v>
      </c>
      <c r="N516" s="109">
        <v>46153</v>
      </c>
      <c r="O516">
        <v>45000</v>
      </c>
      <c r="P516" s="49" t="s">
        <v>488</v>
      </c>
    </row>
    <row r="517" spans="1:17" ht="15" customHeight="1">
      <c r="A517" s="49" t="s">
        <v>57</v>
      </c>
      <c r="B517" s="49" t="s">
        <v>403</v>
      </c>
      <c r="C517" s="49" t="s">
        <v>57</v>
      </c>
      <c r="D517" s="49" t="s">
        <v>670</v>
      </c>
      <c r="E517" s="49" t="s">
        <v>164</v>
      </c>
      <c r="F517" s="109">
        <v>46154</v>
      </c>
      <c r="G517" s="49" t="s">
        <v>57</v>
      </c>
      <c r="H517">
        <v>125842</v>
      </c>
      <c r="I517">
        <v>0</v>
      </c>
      <c r="J517">
        <v>0</v>
      </c>
      <c r="K517">
        <v>0</v>
      </c>
      <c r="L517">
        <v>125842</v>
      </c>
      <c r="M517" s="49" t="s">
        <v>96</v>
      </c>
      <c r="N517" s="109">
        <v>46154</v>
      </c>
      <c r="O517">
        <v>125842</v>
      </c>
      <c r="P517" s="49" t="s">
        <v>488</v>
      </c>
    </row>
    <row r="518" spans="1:17" ht="15" customHeight="1">
      <c r="A518" s="49" t="s">
        <v>57</v>
      </c>
      <c r="B518" s="49" t="s">
        <v>403</v>
      </c>
      <c r="C518" s="49" t="s">
        <v>57</v>
      </c>
      <c r="D518" s="49" t="s">
        <v>671</v>
      </c>
      <c r="E518" s="49" t="s">
        <v>181</v>
      </c>
      <c r="F518" s="109">
        <v>46154</v>
      </c>
      <c r="G518" s="49" t="s">
        <v>57</v>
      </c>
      <c r="H518">
        <v>130000</v>
      </c>
      <c r="I518">
        <v>0</v>
      </c>
      <c r="J518">
        <v>0</v>
      </c>
      <c r="K518">
        <v>0</v>
      </c>
      <c r="L518">
        <v>130000</v>
      </c>
      <c r="M518" s="49" t="s">
        <v>96</v>
      </c>
      <c r="N518" s="109">
        <v>46154</v>
      </c>
      <c r="O518">
        <v>130000</v>
      </c>
      <c r="P518" s="49" t="s">
        <v>488</v>
      </c>
    </row>
    <row r="519" spans="1:17" ht="15" customHeight="1">
      <c r="A519" s="49" t="s">
        <v>57</v>
      </c>
      <c r="B519" s="49" t="s">
        <v>403</v>
      </c>
      <c r="C519" s="49" t="s">
        <v>57</v>
      </c>
      <c r="D519" s="49" t="s">
        <v>672</v>
      </c>
      <c r="E519" s="49" t="s">
        <v>664</v>
      </c>
      <c r="F519" s="109">
        <v>46154</v>
      </c>
      <c r="G519" s="49" t="s">
        <v>57</v>
      </c>
      <c r="H519">
        <v>130000</v>
      </c>
      <c r="I519">
        <v>0</v>
      </c>
      <c r="J519">
        <v>0</v>
      </c>
      <c r="K519">
        <v>0</v>
      </c>
      <c r="L519">
        <v>130000</v>
      </c>
      <c r="M519" s="49" t="s">
        <v>96</v>
      </c>
      <c r="N519" s="109">
        <v>46154</v>
      </c>
      <c r="O519">
        <v>130000</v>
      </c>
      <c r="P519" s="49" t="s">
        <v>488</v>
      </c>
    </row>
    <row r="520" spans="1:17" ht="15" customHeight="1">
      <c r="A520" s="49" t="s">
        <v>57</v>
      </c>
      <c r="B520" s="49" t="s">
        <v>403</v>
      </c>
      <c r="C520" s="49" t="s">
        <v>57</v>
      </c>
      <c r="D520" s="49" t="s">
        <v>673</v>
      </c>
      <c r="E520" s="49" t="s">
        <v>181</v>
      </c>
      <c r="F520" s="109">
        <v>46154</v>
      </c>
      <c r="G520" s="49" t="s">
        <v>57</v>
      </c>
      <c r="H520">
        <v>2900000</v>
      </c>
      <c r="I520">
        <v>0</v>
      </c>
      <c r="J520">
        <v>0</v>
      </c>
      <c r="K520">
        <v>0</v>
      </c>
      <c r="L520">
        <v>2900000</v>
      </c>
      <c r="M520" s="49" t="s">
        <v>96</v>
      </c>
      <c r="N520" s="109">
        <v>46154</v>
      </c>
      <c r="O520">
        <v>2900000</v>
      </c>
      <c r="P520" s="49" t="s">
        <v>488</v>
      </c>
    </row>
    <row r="521" spans="1:17" ht="15" customHeight="1">
      <c r="A521" s="49" t="s">
        <v>57</v>
      </c>
      <c r="B521" s="49" t="s">
        <v>403</v>
      </c>
      <c r="C521" s="49" t="s">
        <v>57</v>
      </c>
      <c r="D521" s="49" t="s">
        <v>674</v>
      </c>
      <c r="E521" s="49" t="s">
        <v>664</v>
      </c>
      <c r="F521" s="109">
        <v>46154</v>
      </c>
      <c r="G521" s="49" t="s">
        <v>57</v>
      </c>
      <c r="H521">
        <v>1800000</v>
      </c>
      <c r="I521">
        <v>0</v>
      </c>
      <c r="J521">
        <v>0</v>
      </c>
      <c r="K521">
        <v>0</v>
      </c>
      <c r="L521">
        <v>1800000</v>
      </c>
      <c r="M521" s="49" t="s">
        <v>96</v>
      </c>
      <c r="N521" s="109">
        <v>46154</v>
      </c>
      <c r="O521">
        <v>1800000</v>
      </c>
      <c r="P521" s="49" t="s">
        <v>488</v>
      </c>
    </row>
    <row r="522" spans="1:17" ht="15" customHeight="1">
      <c r="A522" s="49" t="s">
        <v>57</v>
      </c>
      <c r="B522" s="49" t="s">
        <v>403</v>
      </c>
      <c r="C522" s="49" t="s">
        <v>57</v>
      </c>
      <c r="D522" t="s">
        <v>675</v>
      </c>
      <c r="E522" s="49" t="s">
        <v>180</v>
      </c>
      <c r="F522" s="109">
        <v>46154</v>
      </c>
      <c r="G522" s="49" t="s">
        <v>57</v>
      </c>
      <c r="H522">
        <v>1000000</v>
      </c>
      <c r="I522">
        <v>0</v>
      </c>
      <c r="J522">
        <v>0</v>
      </c>
      <c r="K522">
        <v>0</v>
      </c>
      <c r="L522">
        <v>1000000</v>
      </c>
      <c r="M522" s="49" t="s">
        <v>96</v>
      </c>
      <c r="N522" s="109">
        <v>46154</v>
      </c>
      <c r="O522">
        <v>1000000</v>
      </c>
      <c r="P522" s="49" t="s">
        <v>488</v>
      </c>
    </row>
    <row r="523" spans="1:17" ht="15" customHeight="1">
      <c r="A523" s="49" t="s">
        <v>57</v>
      </c>
      <c r="B523" s="49" t="s">
        <v>403</v>
      </c>
      <c r="C523" s="49" t="s">
        <v>57</v>
      </c>
      <c r="D523" t="s">
        <v>676</v>
      </c>
      <c r="E523" s="49" t="s">
        <v>180</v>
      </c>
      <c r="F523" s="109">
        <v>46154</v>
      </c>
      <c r="G523" s="49" t="s">
        <v>57</v>
      </c>
      <c r="H523">
        <v>1000000</v>
      </c>
      <c r="I523">
        <v>0</v>
      </c>
      <c r="J523">
        <v>0</v>
      </c>
      <c r="K523">
        <v>0</v>
      </c>
      <c r="L523">
        <v>1000000</v>
      </c>
      <c r="M523" s="49" t="s">
        <v>96</v>
      </c>
      <c r="N523" s="109">
        <v>46154</v>
      </c>
      <c r="O523">
        <v>1000000</v>
      </c>
      <c r="P523" s="49" t="s">
        <v>488</v>
      </c>
    </row>
    <row r="524" spans="1:17" ht="15" customHeight="1">
      <c r="A524" s="49" t="s">
        <v>57</v>
      </c>
      <c r="B524" s="49" t="s">
        <v>403</v>
      </c>
      <c r="C524" s="49" t="s">
        <v>57</v>
      </c>
      <c r="D524" s="49" t="s">
        <v>677</v>
      </c>
      <c r="E524" s="49" t="s">
        <v>164</v>
      </c>
      <c r="F524" s="109">
        <v>46155</v>
      </c>
      <c r="G524" s="49" t="s">
        <v>57</v>
      </c>
      <c r="H524">
        <v>24691</v>
      </c>
      <c r="I524">
        <v>0</v>
      </c>
      <c r="J524">
        <v>0</v>
      </c>
      <c r="K524">
        <v>0</v>
      </c>
      <c r="L524">
        <v>24691</v>
      </c>
      <c r="M524" s="49" t="s">
        <v>96</v>
      </c>
      <c r="N524" s="109">
        <v>46155</v>
      </c>
      <c r="O524">
        <v>24691</v>
      </c>
      <c r="P524" s="49" t="s">
        <v>488</v>
      </c>
    </row>
    <row r="525" spans="1:17" ht="15" customHeight="1">
      <c r="A525" s="49" t="s">
        <v>57</v>
      </c>
      <c r="B525" s="49" t="s">
        <v>403</v>
      </c>
      <c r="C525" s="49" t="s">
        <v>57</v>
      </c>
      <c r="D525" s="49" t="s">
        <v>678</v>
      </c>
      <c r="E525" s="49" t="s">
        <v>664</v>
      </c>
      <c r="F525" s="109">
        <v>46155</v>
      </c>
      <c r="G525" s="49" t="s">
        <v>57</v>
      </c>
      <c r="H525">
        <v>1800000</v>
      </c>
      <c r="I525">
        <v>0</v>
      </c>
      <c r="J525">
        <v>0</v>
      </c>
      <c r="K525">
        <v>0</v>
      </c>
      <c r="L525">
        <v>1800000</v>
      </c>
      <c r="M525" s="49" t="s">
        <v>96</v>
      </c>
      <c r="N525" s="109">
        <v>46155</v>
      </c>
      <c r="O525">
        <v>1800000</v>
      </c>
      <c r="P525" s="49" t="s">
        <v>488</v>
      </c>
    </row>
    <row r="526" spans="1:17" ht="15" customHeight="1">
      <c r="A526" s="49" t="s">
        <v>57</v>
      </c>
      <c r="B526" s="49" t="s">
        <v>403</v>
      </c>
      <c r="C526" s="49" t="s">
        <v>57</v>
      </c>
      <c r="D526" t="s">
        <v>679</v>
      </c>
      <c r="E526" s="49" t="s">
        <v>180</v>
      </c>
      <c r="F526" s="109">
        <v>46157</v>
      </c>
      <c r="G526" s="49" t="s">
        <v>57</v>
      </c>
      <c r="H526">
        <v>600000</v>
      </c>
      <c r="I526">
        <v>0</v>
      </c>
      <c r="J526">
        <v>0</v>
      </c>
      <c r="K526">
        <v>0</v>
      </c>
      <c r="L526">
        <v>600000</v>
      </c>
      <c r="M526" s="49" t="s">
        <v>96</v>
      </c>
      <c r="N526" s="109">
        <v>46157</v>
      </c>
      <c r="O526">
        <v>600000</v>
      </c>
      <c r="P526" s="49" t="s">
        <v>488</v>
      </c>
    </row>
    <row r="527" spans="1:17" ht="15" customHeight="1">
      <c r="A527" s="76"/>
      <c r="B527" s="80"/>
      <c r="C527" s="78"/>
      <c r="D527" s="78"/>
      <c r="E527" s="78"/>
      <c r="F527" s="77"/>
      <c r="G527" s="78"/>
      <c r="H527" s="79"/>
      <c r="I527" s="79"/>
      <c r="J527" s="79"/>
      <c r="K527" s="79"/>
      <c r="L527" s="79"/>
      <c r="M527" s="76"/>
      <c r="N527" s="77"/>
      <c r="O527" s="79"/>
      <c r="P527" s="80"/>
      <c r="Q527" s="78"/>
    </row>
    <row r="528" spans="1:17" ht="15" customHeight="1">
      <c r="A528" s="76"/>
      <c r="B528" s="80"/>
      <c r="C528" s="78"/>
      <c r="D528" s="78"/>
      <c r="E528" s="78"/>
      <c r="F528" s="77"/>
      <c r="G528" s="78"/>
      <c r="H528" s="79"/>
      <c r="I528" s="79"/>
      <c r="J528" s="79"/>
      <c r="K528" s="79"/>
      <c r="L528" s="79"/>
      <c r="M528" s="76"/>
      <c r="N528" s="77"/>
      <c r="O528" s="79"/>
      <c r="P528" s="80"/>
      <c r="Q528" s="78"/>
    </row>
    <row r="529" spans="1:17" ht="15" customHeight="1">
      <c r="A529" s="76"/>
      <c r="B529" s="80"/>
      <c r="C529" s="78"/>
      <c r="D529" s="78"/>
      <c r="E529" s="78"/>
      <c r="F529" s="77"/>
      <c r="G529" s="78"/>
      <c r="H529" s="79"/>
      <c r="I529" s="79"/>
      <c r="J529" s="79"/>
      <c r="K529" s="79"/>
      <c r="L529" s="79"/>
      <c r="M529" s="76"/>
      <c r="N529" s="77"/>
      <c r="O529" s="79"/>
      <c r="P529" s="80"/>
      <c r="Q529" s="78"/>
    </row>
    <row r="530" spans="1:17" ht="15" customHeight="1">
      <c r="A530" s="76"/>
      <c r="B530" s="80"/>
      <c r="C530" s="78"/>
      <c r="D530" s="78"/>
      <c r="E530" s="78"/>
      <c r="F530" s="77"/>
      <c r="G530" s="78"/>
      <c r="H530" s="79"/>
      <c r="I530" s="79"/>
      <c r="J530" s="79"/>
      <c r="K530" s="79"/>
      <c r="L530" s="79"/>
      <c r="M530" s="76"/>
      <c r="N530" s="77"/>
      <c r="O530" s="79"/>
      <c r="P530" s="80"/>
      <c r="Q530" s="78"/>
    </row>
    <row r="531" spans="1:17" ht="15" customHeight="1">
      <c r="A531" s="76"/>
      <c r="B531" s="80"/>
      <c r="C531" s="78"/>
      <c r="D531" s="78"/>
      <c r="E531" s="78"/>
      <c r="F531" s="77"/>
      <c r="G531" s="78"/>
      <c r="H531" s="79"/>
      <c r="I531" s="79"/>
      <c r="J531" s="79"/>
      <c r="K531" s="79"/>
      <c r="L531" s="79"/>
      <c r="M531" s="76"/>
      <c r="N531" s="77"/>
      <c r="O531" s="79"/>
      <c r="P531" s="80"/>
      <c r="Q531" s="78"/>
    </row>
    <row r="532" spans="1:17" ht="15" customHeight="1">
      <c r="A532" s="76"/>
      <c r="B532" s="80"/>
      <c r="C532" s="78"/>
      <c r="D532" s="78"/>
      <c r="E532" s="78"/>
      <c r="F532" s="77"/>
      <c r="G532" s="78"/>
      <c r="H532" s="79"/>
      <c r="I532" s="79"/>
      <c r="J532" s="79"/>
      <c r="K532" s="79"/>
      <c r="L532" s="79"/>
      <c r="M532" s="76"/>
      <c r="N532" s="77"/>
      <c r="O532" s="79"/>
      <c r="P532" s="80"/>
      <c r="Q532" s="78"/>
    </row>
    <row r="533" spans="1:17" ht="15" customHeight="1">
      <c r="A533" s="76"/>
      <c r="B533" s="80"/>
      <c r="C533" s="78"/>
      <c r="D533" s="78"/>
      <c r="E533" s="78"/>
      <c r="F533" s="77"/>
      <c r="G533" s="78"/>
      <c r="H533" s="79"/>
      <c r="I533" s="79"/>
      <c r="J533" s="79"/>
      <c r="K533" s="79"/>
      <c r="L533" s="79"/>
      <c r="M533" s="76"/>
      <c r="N533" s="77"/>
      <c r="O533" s="79"/>
      <c r="P533" s="80"/>
      <c r="Q533" s="78"/>
    </row>
    <row r="534" spans="1:17" ht="15" customHeight="1">
      <c r="A534" s="76"/>
      <c r="B534" s="80"/>
      <c r="C534" s="78"/>
      <c r="D534" s="78"/>
      <c r="E534" s="78"/>
      <c r="F534" s="77"/>
      <c r="G534" s="78"/>
      <c r="H534" s="79"/>
      <c r="I534" s="79"/>
      <c r="J534" s="79"/>
      <c r="K534" s="79"/>
      <c r="L534" s="79"/>
      <c r="M534" s="76"/>
      <c r="N534" s="77"/>
      <c r="O534" s="79"/>
      <c r="P534" s="80"/>
      <c r="Q534" s="78"/>
    </row>
    <row r="535" spans="1:17" ht="15" customHeight="1">
      <c r="A535" s="76"/>
      <c r="B535" s="80"/>
      <c r="C535" s="78"/>
      <c r="D535" s="78"/>
      <c r="E535" s="78"/>
      <c r="F535" s="77"/>
      <c r="G535" s="78"/>
      <c r="H535" s="79"/>
      <c r="I535" s="79"/>
      <c r="J535" s="79"/>
      <c r="K535" s="79"/>
      <c r="L535" s="79"/>
      <c r="M535" s="76"/>
      <c r="N535" s="77"/>
      <c r="O535" s="79"/>
      <c r="P535" s="80"/>
      <c r="Q535" s="78"/>
    </row>
    <row r="536" spans="1:17" ht="15" customHeight="1">
      <c r="A536" s="76"/>
      <c r="B536" s="80"/>
      <c r="C536" s="78"/>
      <c r="D536" s="78"/>
      <c r="E536" s="78"/>
      <c r="F536" s="77"/>
      <c r="G536" s="78"/>
      <c r="H536" s="79"/>
      <c r="I536" s="79"/>
      <c r="J536" s="79"/>
      <c r="K536" s="79"/>
      <c r="L536" s="79"/>
      <c r="M536" s="76"/>
      <c r="N536" s="77"/>
      <c r="O536" s="79"/>
      <c r="P536" s="80"/>
      <c r="Q536" s="78"/>
    </row>
    <row r="537" spans="1:17" ht="15" customHeight="1">
      <c r="A537" s="76"/>
      <c r="B537" s="80"/>
      <c r="C537" s="78"/>
      <c r="D537" s="78"/>
      <c r="E537" s="78"/>
      <c r="F537" s="77"/>
      <c r="G537" s="78"/>
      <c r="H537" s="79"/>
      <c r="I537" s="79"/>
      <c r="J537" s="79"/>
      <c r="K537" s="79"/>
      <c r="L537" s="79"/>
      <c r="M537" s="76"/>
      <c r="N537" s="77"/>
      <c r="O537" s="79"/>
      <c r="P537" s="80"/>
      <c r="Q537" s="78"/>
    </row>
    <row r="538" spans="1:17" ht="15" customHeight="1">
      <c r="A538" s="76"/>
      <c r="B538" s="80"/>
      <c r="C538" s="78"/>
      <c r="D538" s="78"/>
      <c r="E538" s="78"/>
      <c r="F538" s="77"/>
      <c r="G538" s="78"/>
      <c r="H538" s="79"/>
      <c r="I538" s="79"/>
      <c r="J538" s="79"/>
      <c r="K538" s="79"/>
      <c r="L538" s="79"/>
      <c r="M538" s="76"/>
      <c r="N538" s="77"/>
      <c r="O538" s="79"/>
      <c r="P538" s="80"/>
      <c r="Q538" s="78"/>
    </row>
    <row r="539" spans="1:17" ht="15" customHeight="1">
      <c r="A539" s="76"/>
      <c r="B539" s="80"/>
      <c r="C539" s="78"/>
      <c r="D539" s="78"/>
      <c r="E539" s="78"/>
      <c r="F539" s="77"/>
      <c r="G539" s="78"/>
      <c r="H539" s="79"/>
      <c r="I539" s="79"/>
      <c r="J539" s="79"/>
      <c r="K539" s="79"/>
      <c r="L539" s="79"/>
      <c r="M539" s="76"/>
      <c r="N539" s="77"/>
      <c r="O539" s="79"/>
      <c r="P539" s="80"/>
      <c r="Q539" s="78"/>
    </row>
    <row r="540" spans="1:17" ht="15" customHeight="1">
      <c r="A540" s="76"/>
      <c r="B540" s="80"/>
      <c r="C540" s="78"/>
      <c r="D540" s="78"/>
      <c r="E540" s="78"/>
      <c r="F540" s="77"/>
      <c r="G540" s="78"/>
      <c r="H540" s="79"/>
      <c r="I540" s="79"/>
      <c r="J540" s="79"/>
      <c r="K540" s="79"/>
      <c r="L540" s="79"/>
      <c r="M540" s="76"/>
      <c r="N540" s="77"/>
      <c r="O540" s="79"/>
      <c r="P540" s="80"/>
      <c r="Q540" s="78"/>
    </row>
    <row r="541" spans="1:17" ht="15" customHeight="1">
      <c r="A541" s="76"/>
      <c r="B541" s="80"/>
      <c r="C541" s="78"/>
      <c r="D541" s="78"/>
      <c r="E541" s="78"/>
      <c r="F541" s="77"/>
      <c r="G541" s="78"/>
      <c r="H541" s="79"/>
      <c r="I541" s="79"/>
      <c r="J541" s="79"/>
      <c r="K541" s="79"/>
      <c r="L541" s="79"/>
      <c r="M541" s="76"/>
      <c r="N541" s="77"/>
      <c r="O541" s="79"/>
      <c r="P541" s="80"/>
      <c r="Q541" s="78"/>
    </row>
    <row r="542" spans="1:17" ht="15" customHeight="1">
      <c r="A542" s="76"/>
      <c r="B542" s="80"/>
      <c r="C542" s="78"/>
      <c r="D542" s="78"/>
      <c r="E542" s="78"/>
      <c r="F542" s="77"/>
      <c r="G542" s="78"/>
      <c r="H542" s="79"/>
      <c r="I542" s="79"/>
      <c r="J542" s="79"/>
      <c r="K542" s="79"/>
      <c r="L542" s="79"/>
      <c r="M542" s="76"/>
      <c r="N542" s="77"/>
      <c r="O542" s="79"/>
      <c r="P542" s="80"/>
      <c r="Q542" s="78"/>
    </row>
    <row r="543" spans="1:17" ht="15" customHeight="1">
      <c r="A543" s="76"/>
      <c r="B543" s="80"/>
      <c r="C543" s="78"/>
      <c r="D543" s="78"/>
      <c r="E543" s="78"/>
      <c r="F543" s="77"/>
      <c r="G543" s="78"/>
      <c r="H543" s="79"/>
      <c r="I543" s="79"/>
      <c r="J543" s="79"/>
      <c r="K543" s="79"/>
      <c r="L543" s="79"/>
      <c r="M543" s="76"/>
      <c r="N543" s="77"/>
      <c r="O543" s="79"/>
      <c r="P543" s="80"/>
      <c r="Q543" s="78"/>
    </row>
    <row r="544" spans="1:17" ht="15" customHeight="1">
      <c r="A544" s="76"/>
      <c r="B544" s="80"/>
      <c r="C544" s="78"/>
      <c r="D544" s="78"/>
      <c r="E544" s="78"/>
      <c r="F544" s="77"/>
      <c r="G544" s="78"/>
      <c r="H544" s="79"/>
      <c r="I544" s="79"/>
      <c r="J544" s="79"/>
      <c r="K544" s="79"/>
      <c r="L544" s="79"/>
      <c r="M544" s="76"/>
      <c r="N544" s="77"/>
      <c r="O544" s="79"/>
      <c r="P544" s="80"/>
      <c r="Q544" s="78"/>
    </row>
    <row r="545" spans="1:17" ht="15" customHeight="1">
      <c r="A545" s="76"/>
      <c r="B545" s="80"/>
      <c r="C545" s="78"/>
      <c r="D545" s="78"/>
      <c r="E545" s="78"/>
      <c r="F545" s="77"/>
      <c r="G545" s="78"/>
      <c r="H545" s="79"/>
      <c r="I545" s="79"/>
      <c r="J545" s="79"/>
      <c r="K545" s="79"/>
      <c r="L545" s="79"/>
      <c r="M545" s="76"/>
      <c r="N545" s="77"/>
      <c r="O545" s="79"/>
      <c r="P545" s="80"/>
      <c r="Q545" s="78"/>
    </row>
    <row r="546" spans="1:17" ht="15" customHeight="1">
      <c r="A546" s="76"/>
      <c r="B546" s="80"/>
      <c r="C546" s="78"/>
      <c r="D546" s="78"/>
      <c r="E546" s="78"/>
      <c r="F546" s="77"/>
      <c r="G546" s="78"/>
      <c r="H546" s="79"/>
      <c r="I546" s="79"/>
      <c r="J546" s="79"/>
      <c r="K546" s="79"/>
      <c r="L546" s="79"/>
      <c r="M546" s="76"/>
      <c r="N546" s="77"/>
      <c r="O546" s="79"/>
      <c r="P546" s="80"/>
      <c r="Q546" s="78"/>
    </row>
    <row r="547" spans="1:17" ht="15" customHeight="1">
      <c r="A547" s="76"/>
      <c r="B547" s="80"/>
      <c r="C547" s="78"/>
      <c r="D547" s="78"/>
      <c r="E547" s="78"/>
      <c r="F547" s="77"/>
      <c r="G547" s="78"/>
      <c r="H547" s="79"/>
      <c r="I547" s="79"/>
      <c r="J547" s="79"/>
      <c r="K547" s="79"/>
      <c r="L547" s="79"/>
      <c r="M547" s="76"/>
      <c r="N547" s="77"/>
      <c r="O547" s="79"/>
      <c r="P547" s="80"/>
      <c r="Q547" s="78"/>
    </row>
    <row r="548" spans="1:17" ht="15" customHeight="1">
      <c r="A548" s="76"/>
      <c r="B548" s="80"/>
      <c r="C548" s="78"/>
      <c r="D548" s="78"/>
      <c r="E548" s="78"/>
      <c r="F548" s="77"/>
      <c r="G548" s="78"/>
      <c r="H548" s="79"/>
      <c r="I548" s="79"/>
      <c r="J548" s="79"/>
      <c r="K548" s="79"/>
      <c r="L548" s="79"/>
      <c r="M548" s="76"/>
      <c r="N548" s="77"/>
      <c r="O548" s="79"/>
      <c r="P548" s="80"/>
      <c r="Q548" s="78"/>
    </row>
    <row r="549" spans="1:17" ht="15" customHeight="1">
      <c r="A549" s="76"/>
      <c r="B549" s="80"/>
      <c r="C549" s="78"/>
      <c r="D549" s="78"/>
      <c r="E549" s="78"/>
      <c r="F549" s="77"/>
      <c r="G549" s="78"/>
      <c r="H549" s="79"/>
      <c r="I549" s="79"/>
      <c r="J549" s="79"/>
      <c r="K549" s="79"/>
      <c r="L549" s="79"/>
      <c r="M549" s="76"/>
      <c r="N549" s="77"/>
      <c r="O549" s="79"/>
      <c r="P549" s="80"/>
      <c r="Q549" s="78"/>
    </row>
    <row r="550" spans="1:17" ht="15" customHeight="1">
      <c r="A550" s="76"/>
      <c r="B550" s="80"/>
      <c r="C550" s="78"/>
      <c r="D550" s="78"/>
      <c r="E550" s="78"/>
      <c r="F550" s="77"/>
      <c r="G550" s="78"/>
      <c r="H550" s="79"/>
      <c r="I550" s="79"/>
      <c r="J550" s="79"/>
      <c r="K550" s="79"/>
      <c r="L550" s="79"/>
      <c r="M550" s="76"/>
      <c r="N550" s="77"/>
      <c r="O550" s="79"/>
      <c r="P550" s="80"/>
      <c r="Q550" s="78"/>
    </row>
    <row r="551" spans="1:17" ht="15" customHeight="1">
      <c r="A551" s="76"/>
      <c r="B551" s="80"/>
      <c r="C551" s="78"/>
      <c r="D551" s="78"/>
      <c r="E551" s="78"/>
      <c r="F551" s="77"/>
      <c r="G551" s="78"/>
      <c r="H551" s="79"/>
      <c r="I551" s="79"/>
      <c r="J551" s="79"/>
      <c r="K551" s="79"/>
      <c r="L551" s="79"/>
      <c r="M551" s="76"/>
      <c r="N551" s="77"/>
      <c r="O551" s="79"/>
      <c r="P551" s="80"/>
      <c r="Q551" s="78"/>
    </row>
    <row r="552" spans="1:17" ht="15" customHeight="1">
      <c r="A552" s="76"/>
      <c r="B552" s="80"/>
      <c r="C552" s="78"/>
      <c r="D552" s="78"/>
      <c r="E552" s="78"/>
      <c r="F552" s="77"/>
      <c r="G552" s="78"/>
      <c r="H552" s="79"/>
      <c r="I552" s="79"/>
      <c r="J552" s="79"/>
      <c r="K552" s="79"/>
      <c r="L552" s="79"/>
      <c r="M552" s="76"/>
      <c r="N552" s="77"/>
      <c r="O552" s="79"/>
      <c r="P552" s="80"/>
      <c r="Q552" s="78"/>
    </row>
    <row r="553" spans="1:17" ht="15" customHeight="1">
      <c r="A553" s="76"/>
      <c r="B553" s="80"/>
      <c r="C553" s="78"/>
      <c r="D553" s="78"/>
      <c r="E553" s="78"/>
      <c r="F553" s="77"/>
      <c r="G553" s="78"/>
      <c r="H553" s="79"/>
      <c r="I553" s="79"/>
      <c r="J553" s="79"/>
      <c r="K553" s="79"/>
      <c r="L553" s="79"/>
      <c r="M553" s="76"/>
      <c r="N553" s="77"/>
      <c r="O553" s="79"/>
      <c r="P553" s="80"/>
      <c r="Q553" s="78"/>
    </row>
    <row r="554" spans="1:17" ht="15" customHeight="1">
      <c r="A554" s="76"/>
      <c r="B554" s="80"/>
      <c r="C554" s="78"/>
      <c r="D554" s="78"/>
      <c r="E554" s="78"/>
      <c r="F554" s="77"/>
      <c r="G554" s="78"/>
      <c r="H554" s="79"/>
      <c r="I554" s="79"/>
      <c r="J554" s="79"/>
      <c r="K554" s="79"/>
      <c r="L554" s="79"/>
      <c r="M554" s="76"/>
      <c r="N554" s="77"/>
      <c r="O554" s="79"/>
      <c r="P554" s="80"/>
      <c r="Q554" s="78"/>
    </row>
    <row r="555" spans="1:17" ht="15" customHeight="1">
      <c r="A555" s="76"/>
      <c r="B555" s="80"/>
      <c r="C555" s="78"/>
      <c r="D555" s="78"/>
      <c r="E555" s="78"/>
      <c r="F555" s="77"/>
      <c r="G555" s="78"/>
      <c r="H555" s="79"/>
      <c r="I555" s="79"/>
      <c r="J555" s="79"/>
      <c r="K555" s="79"/>
      <c r="L555" s="79"/>
      <c r="M555" s="76"/>
      <c r="N555" s="77"/>
      <c r="O555" s="79"/>
      <c r="P555" s="80"/>
      <c r="Q555" s="78"/>
    </row>
    <row r="556" spans="1:17" ht="15" customHeight="1">
      <c r="A556" s="76"/>
      <c r="B556" s="80"/>
      <c r="C556" s="78"/>
      <c r="D556" s="78"/>
      <c r="E556" s="78"/>
      <c r="F556" s="77"/>
      <c r="G556" s="78"/>
      <c r="H556" s="79"/>
      <c r="I556" s="79"/>
      <c r="J556" s="79"/>
      <c r="K556" s="79"/>
      <c r="L556" s="79"/>
      <c r="M556" s="76"/>
      <c r="N556" s="77"/>
      <c r="O556" s="79"/>
      <c r="P556" s="80"/>
      <c r="Q556" s="78"/>
    </row>
    <row r="557" spans="1:17" ht="15" customHeight="1">
      <c r="A557" s="76"/>
      <c r="B557" s="80"/>
      <c r="C557" s="78"/>
      <c r="D557" s="78"/>
      <c r="E557" s="78"/>
      <c r="F557" s="77"/>
      <c r="G557" s="78"/>
      <c r="H557" s="79"/>
      <c r="I557" s="79"/>
      <c r="J557" s="79"/>
      <c r="K557" s="79"/>
      <c r="L557" s="79"/>
      <c r="M557" s="76"/>
      <c r="N557" s="77"/>
      <c r="O557" s="79"/>
      <c r="P557" s="80"/>
      <c r="Q557" s="78"/>
    </row>
    <row r="558" spans="1:17" ht="15" customHeight="1">
      <c r="A558" s="76"/>
      <c r="B558" s="80"/>
      <c r="C558" s="78"/>
      <c r="D558" s="78"/>
      <c r="E558" s="78"/>
      <c r="F558" s="77"/>
      <c r="G558" s="78"/>
      <c r="H558" s="79"/>
      <c r="I558" s="79"/>
      <c r="J558" s="79"/>
      <c r="K558" s="79"/>
      <c r="L558" s="79"/>
      <c r="M558" s="76"/>
      <c r="N558" s="77"/>
      <c r="O558" s="79"/>
      <c r="P558" s="80"/>
      <c r="Q558" s="78"/>
    </row>
    <row r="559" spans="1:17" ht="15" customHeight="1">
      <c r="A559" s="76"/>
      <c r="B559" s="80"/>
      <c r="C559" s="78"/>
      <c r="D559" s="78"/>
      <c r="E559" s="78"/>
      <c r="F559" s="77"/>
      <c r="G559" s="78"/>
      <c r="H559" s="79"/>
      <c r="I559" s="79"/>
      <c r="J559" s="79"/>
      <c r="K559" s="79"/>
      <c r="L559" s="79"/>
      <c r="M559" s="76"/>
      <c r="N559" s="77"/>
      <c r="O559" s="79"/>
      <c r="P559" s="80"/>
      <c r="Q559" s="78"/>
    </row>
    <row r="560" spans="1:17" ht="15" customHeight="1">
      <c r="A560" s="76"/>
      <c r="B560" s="80"/>
      <c r="C560" s="78"/>
      <c r="D560" s="78"/>
      <c r="E560" s="78"/>
      <c r="F560" s="77"/>
      <c r="G560" s="78"/>
      <c r="H560" s="79"/>
      <c r="I560" s="79"/>
      <c r="J560" s="79"/>
      <c r="K560" s="79"/>
      <c r="L560" s="79"/>
      <c r="M560" s="76"/>
      <c r="N560" s="77"/>
      <c r="O560" s="79"/>
      <c r="P560" s="80"/>
      <c r="Q560" s="78"/>
    </row>
    <row r="561" spans="1:17" ht="15" customHeight="1">
      <c r="A561" s="76"/>
      <c r="B561" s="80"/>
      <c r="C561" s="78"/>
      <c r="D561" s="78"/>
      <c r="E561" s="78"/>
      <c r="F561" s="77"/>
      <c r="G561" s="78"/>
      <c r="H561" s="79"/>
      <c r="I561" s="79"/>
      <c r="J561" s="79"/>
      <c r="K561" s="79"/>
      <c r="L561" s="79"/>
      <c r="M561" s="76"/>
      <c r="N561" s="77"/>
      <c r="O561" s="79"/>
      <c r="P561" s="80"/>
      <c r="Q561" s="78"/>
    </row>
    <row r="562" spans="1:17" ht="15" customHeight="1">
      <c r="A562" s="76"/>
      <c r="B562" s="80"/>
      <c r="C562" s="78"/>
      <c r="D562" s="78"/>
      <c r="E562" s="78"/>
      <c r="F562" s="77"/>
      <c r="G562" s="78"/>
      <c r="H562" s="79"/>
      <c r="I562" s="79"/>
      <c r="J562" s="79"/>
      <c r="K562" s="79"/>
      <c r="L562" s="79"/>
      <c r="M562" s="76"/>
      <c r="N562" s="77"/>
      <c r="O562" s="79"/>
      <c r="P562" s="80"/>
      <c r="Q562" s="78"/>
    </row>
    <row r="563" spans="1:17" ht="15" customHeight="1">
      <c r="A563" s="76"/>
      <c r="B563" s="80"/>
      <c r="C563" s="78"/>
      <c r="D563" s="78"/>
      <c r="E563" s="78"/>
      <c r="F563" s="77"/>
      <c r="G563" s="78"/>
      <c r="H563" s="79"/>
      <c r="I563" s="79"/>
      <c r="J563" s="79"/>
      <c r="K563" s="79"/>
      <c r="L563" s="79"/>
      <c r="M563" s="76"/>
      <c r="N563" s="77"/>
      <c r="O563" s="79"/>
      <c r="P563" s="80"/>
      <c r="Q563" s="78"/>
    </row>
    <row r="564" spans="1:17" ht="15" customHeight="1">
      <c r="A564" s="76"/>
      <c r="B564" s="80"/>
      <c r="C564" s="78"/>
      <c r="D564" s="78"/>
      <c r="E564" s="78"/>
      <c r="F564" s="77"/>
      <c r="G564" s="78"/>
      <c r="H564" s="79"/>
      <c r="I564" s="79"/>
      <c r="J564" s="79"/>
      <c r="K564" s="79"/>
      <c r="L564" s="79"/>
      <c r="M564" s="76"/>
      <c r="N564" s="77"/>
      <c r="O564" s="79"/>
      <c r="P564" s="80"/>
      <c r="Q564" s="78"/>
    </row>
    <row r="565" spans="1:17" ht="15" customHeight="1">
      <c r="A565" s="76"/>
      <c r="B565" s="80"/>
      <c r="C565" s="78"/>
      <c r="D565" s="78"/>
      <c r="E565" s="78"/>
      <c r="F565" s="77"/>
      <c r="G565" s="78"/>
      <c r="H565" s="79"/>
      <c r="I565" s="79"/>
      <c r="J565" s="79"/>
      <c r="K565" s="79"/>
      <c r="L565" s="79"/>
      <c r="M565" s="76"/>
      <c r="N565" s="77"/>
      <c r="O565" s="79"/>
      <c r="P565" s="80"/>
      <c r="Q565" s="78"/>
    </row>
    <row r="566" spans="1:17" ht="15" customHeight="1">
      <c r="A566" s="76"/>
      <c r="B566" s="80"/>
      <c r="C566" s="78"/>
      <c r="D566" s="78"/>
      <c r="E566" s="78"/>
      <c r="F566" s="77"/>
      <c r="G566" s="78"/>
      <c r="H566" s="79"/>
      <c r="I566" s="79"/>
      <c r="J566" s="79"/>
      <c r="K566" s="79"/>
      <c r="L566" s="79"/>
      <c r="M566" s="76"/>
      <c r="N566" s="77"/>
      <c r="O566" s="79"/>
      <c r="P566" s="80"/>
      <c r="Q566" s="78"/>
    </row>
    <row r="567" spans="1:17" ht="15" customHeight="1">
      <c r="A567" s="76"/>
      <c r="B567" s="80"/>
      <c r="C567" s="78"/>
      <c r="D567" s="78"/>
      <c r="E567" s="78"/>
      <c r="F567" s="77"/>
      <c r="G567" s="78"/>
      <c r="H567" s="79"/>
      <c r="I567" s="79"/>
      <c r="J567" s="79"/>
      <c r="K567" s="79"/>
      <c r="L567" s="79"/>
      <c r="M567" s="76"/>
      <c r="N567" s="77"/>
      <c r="O567" s="79"/>
      <c r="P567" s="80"/>
      <c r="Q567" s="78"/>
    </row>
    <row r="568" spans="1:17" ht="15" customHeight="1">
      <c r="A568" s="76"/>
      <c r="B568" s="80"/>
      <c r="C568" s="78"/>
      <c r="D568" s="78"/>
      <c r="E568" s="78"/>
      <c r="F568" s="77"/>
      <c r="G568" s="78"/>
      <c r="H568" s="79"/>
      <c r="I568" s="79"/>
      <c r="J568" s="79"/>
      <c r="K568" s="79"/>
      <c r="L568" s="79"/>
      <c r="M568" s="76"/>
      <c r="N568" s="77"/>
      <c r="O568" s="79"/>
      <c r="P568" s="80"/>
      <c r="Q568" s="78"/>
    </row>
    <row r="569" spans="1:17" ht="15" customHeight="1">
      <c r="A569" s="76"/>
      <c r="B569" s="80"/>
      <c r="C569" s="78"/>
      <c r="D569" s="78"/>
      <c r="E569" s="78"/>
      <c r="F569" s="77"/>
      <c r="G569" s="78"/>
      <c r="H569" s="79"/>
      <c r="I569" s="79"/>
      <c r="J569" s="79"/>
      <c r="K569" s="79"/>
      <c r="L569" s="79"/>
      <c r="M569" s="76"/>
      <c r="N569" s="77"/>
      <c r="O569" s="79"/>
      <c r="P569" s="80"/>
      <c r="Q569" s="78"/>
    </row>
    <row r="570" spans="1:17" ht="15" customHeight="1">
      <c r="A570" s="76"/>
      <c r="B570" s="80"/>
      <c r="C570" s="78"/>
      <c r="D570" s="78"/>
      <c r="E570" s="78"/>
      <c r="F570" s="77"/>
      <c r="G570" s="78"/>
      <c r="H570" s="79"/>
      <c r="I570" s="79"/>
      <c r="J570" s="79"/>
      <c r="K570" s="79"/>
      <c r="L570" s="79"/>
      <c r="M570" s="76"/>
      <c r="N570" s="77"/>
      <c r="O570" s="79"/>
      <c r="P570" s="80"/>
      <c r="Q570" s="78"/>
    </row>
    <row r="571" spans="1:17" ht="15" customHeight="1">
      <c r="A571" s="76"/>
      <c r="B571" s="80"/>
      <c r="C571" s="78"/>
      <c r="D571" s="78"/>
      <c r="E571" s="78"/>
      <c r="F571" s="77"/>
      <c r="G571" s="78"/>
      <c r="H571" s="79"/>
      <c r="I571" s="79"/>
      <c r="J571" s="79"/>
      <c r="K571" s="79"/>
      <c r="L571" s="79"/>
      <c r="M571" s="76"/>
      <c r="N571" s="77"/>
      <c r="O571" s="79"/>
      <c r="P571" s="80"/>
      <c r="Q571" s="78"/>
    </row>
    <row r="572" spans="1:17" ht="15" customHeight="1">
      <c r="A572" s="76"/>
      <c r="B572" s="80"/>
      <c r="C572" s="78"/>
      <c r="D572" s="78"/>
      <c r="E572" s="78"/>
      <c r="F572" s="77"/>
      <c r="G572" s="78"/>
      <c r="H572" s="79"/>
      <c r="I572" s="79"/>
      <c r="J572" s="79"/>
      <c r="K572" s="79"/>
      <c r="L572" s="79"/>
      <c r="M572" s="76"/>
      <c r="N572" s="77"/>
      <c r="O572" s="79"/>
      <c r="P572" s="80"/>
      <c r="Q572" s="78"/>
    </row>
    <row r="573" spans="1:17" ht="15" customHeight="1">
      <c r="A573" s="76"/>
      <c r="B573" s="80"/>
      <c r="C573" s="78"/>
      <c r="D573" s="78"/>
      <c r="E573" s="78"/>
      <c r="F573" s="77"/>
      <c r="G573" s="78"/>
      <c r="H573" s="79"/>
      <c r="I573" s="79"/>
      <c r="J573" s="79"/>
      <c r="K573" s="79"/>
      <c r="L573" s="79"/>
      <c r="M573" s="76"/>
      <c r="N573" s="77"/>
      <c r="O573" s="79"/>
      <c r="P573" s="80"/>
      <c r="Q573" s="78"/>
    </row>
    <row r="574" spans="1:17" ht="15" customHeight="1">
      <c r="A574" s="76"/>
      <c r="B574" s="80"/>
      <c r="C574" s="78"/>
      <c r="D574" s="78"/>
      <c r="E574" s="78"/>
      <c r="F574" s="77"/>
      <c r="G574" s="78"/>
      <c r="H574" s="79"/>
      <c r="I574" s="79"/>
      <c r="J574" s="79"/>
      <c r="K574" s="79"/>
      <c r="L574" s="79"/>
      <c r="M574" s="76"/>
      <c r="N574" s="77"/>
      <c r="O574" s="79"/>
      <c r="P574" s="80"/>
      <c r="Q574" s="78"/>
    </row>
    <row r="575" spans="1:17" ht="15" customHeight="1">
      <c r="A575" s="76"/>
      <c r="B575" s="80"/>
      <c r="C575" s="78"/>
      <c r="D575" s="78"/>
      <c r="E575" s="78"/>
      <c r="F575" s="77"/>
      <c r="G575" s="78"/>
      <c r="H575" s="79"/>
      <c r="I575" s="79"/>
      <c r="J575" s="79"/>
      <c r="K575" s="79"/>
      <c r="L575" s="79"/>
      <c r="M575" s="76"/>
      <c r="N575" s="77"/>
      <c r="O575" s="79"/>
      <c r="P575" s="80"/>
      <c r="Q575" s="78"/>
    </row>
    <row r="576" spans="1:17" ht="15" customHeight="1">
      <c r="A576" s="76"/>
      <c r="B576" s="80"/>
      <c r="C576" s="78"/>
      <c r="D576" s="78"/>
      <c r="E576" s="78"/>
      <c r="F576" s="77"/>
      <c r="G576" s="78"/>
      <c r="H576" s="79"/>
      <c r="I576" s="79"/>
      <c r="J576" s="79"/>
      <c r="K576" s="79"/>
      <c r="L576" s="79"/>
      <c r="M576" s="76"/>
      <c r="N576" s="77"/>
      <c r="O576" s="79"/>
      <c r="P576" s="80"/>
      <c r="Q576" s="78"/>
    </row>
    <row r="577" spans="1:17" ht="15" customHeight="1">
      <c r="A577" s="76"/>
      <c r="B577" s="80"/>
      <c r="C577" s="78"/>
      <c r="D577" s="78"/>
      <c r="E577" s="78"/>
      <c r="F577" s="77"/>
      <c r="G577" s="78"/>
      <c r="H577" s="79"/>
      <c r="I577" s="79"/>
      <c r="J577" s="79"/>
      <c r="K577" s="79"/>
      <c r="L577" s="79"/>
      <c r="M577" s="76"/>
      <c r="N577" s="77"/>
      <c r="O577" s="79"/>
      <c r="P577" s="80"/>
      <c r="Q577" s="78"/>
    </row>
    <row r="578" spans="1:17" ht="15" customHeight="1">
      <c r="A578" s="76"/>
      <c r="B578" s="80"/>
      <c r="C578" s="78"/>
      <c r="D578" s="78"/>
      <c r="E578" s="78"/>
      <c r="F578" s="77"/>
      <c r="G578" s="78"/>
      <c r="H578" s="79"/>
      <c r="I578" s="79"/>
      <c r="J578" s="79"/>
      <c r="K578" s="79"/>
      <c r="L578" s="79"/>
      <c r="M578" s="76"/>
      <c r="N578" s="77"/>
      <c r="O578" s="79"/>
      <c r="P578" s="80"/>
      <c r="Q578" s="78"/>
    </row>
    <row r="579" spans="1:17" ht="15" customHeight="1">
      <c r="A579" s="76"/>
      <c r="B579" s="80"/>
      <c r="C579" s="78"/>
      <c r="D579" s="78"/>
      <c r="E579" s="78"/>
      <c r="F579" s="77"/>
      <c r="G579" s="78"/>
      <c r="H579" s="79"/>
      <c r="I579" s="79"/>
      <c r="J579" s="79"/>
      <c r="K579" s="79"/>
      <c r="L579" s="79"/>
      <c r="M579" s="76"/>
      <c r="N579" s="77"/>
      <c r="O579" s="79"/>
      <c r="P579" s="80"/>
      <c r="Q579" s="78"/>
    </row>
    <row r="580" spans="1:17" ht="15" customHeight="1">
      <c r="A580" s="76"/>
      <c r="B580" s="80"/>
      <c r="C580" s="78"/>
      <c r="D580" s="78"/>
      <c r="E580" s="78"/>
      <c r="F580" s="77"/>
      <c r="G580" s="78"/>
      <c r="H580" s="79"/>
      <c r="I580" s="79"/>
      <c r="J580" s="79"/>
      <c r="K580" s="79"/>
      <c r="L580" s="79"/>
      <c r="M580" s="76"/>
      <c r="N580" s="77"/>
      <c r="O580" s="79"/>
      <c r="P580" s="80"/>
      <c r="Q580" s="78"/>
    </row>
    <row r="581" spans="1:17" ht="15" customHeight="1">
      <c r="A581" s="76"/>
      <c r="B581" s="80"/>
      <c r="C581" s="78"/>
      <c r="D581" s="78"/>
      <c r="E581" s="78"/>
      <c r="F581" s="77"/>
      <c r="G581" s="78"/>
      <c r="H581" s="79"/>
      <c r="I581" s="79"/>
      <c r="J581" s="79"/>
      <c r="K581" s="79"/>
      <c r="L581" s="79"/>
      <c r="M581" s="76"/>
      <c r="N581" s="77"/>
      <c r="O581" s="79"/>
      <c r="P581" s="80"/>
      <c r="Q581" s="78"/>
    </row>
    <row r="582" spans="1:17" ht="15" customHeight="1">
      <c r="A582" s="76"/>
      <c r="B582" s="80"/>
      <c r="C582" s="78"/>
      <c r="D582" s="78"/>
      <c r="E582" s="78"/>
      <c r="F582" s="77"/>
      <c r="G582" s="78"/>
      <c r="H582" s="79"/>
      <c r="I582" s="79"/>
      <c r="J582" s="79"/>
      <c r="K582" s="79"/>
      <c r="L582" s="79"/>
      <c r="M582" s="76"/>
      <c r="N582" s="77"/>
      <c r="O582" s="79"/>
      <c r="P582" s="80"/>
      <c r="Q582" s="78"/>
    </row>
    <row r="583" spans="1:17" ht="15" customHeight="1">
      <c r="A583" s="76"/>
      <c r="B583" s="80"/>
      <c r="C583" s="78"/>
      <c r="D583" s="78"/>
      <c r="E583" s="78"/>
      <c r="F583" s="77"/>
      <c r="G583" s="78"/>
      <c r="H583" s="79"/>
      <c r="I583" s="79"/>
      <c r="J583" s="79"/>
      <c r="K583" s="79"/>
      <c r="L583" s="79"/>
      <c r="M583" s="76"/>
      <c r="N583" s="77"/>
      <c r="O583" s="79"/>
      <c r="P583" s="80"/>
      <c r="Q583" s="78"/>
    </row>
    <row r="584" spans="1:17" ht="15" customHeight="1">
      <c r="A584" s="76"/>
      <c r="B584" s="80"/>
      <c r="C584" s="78"/>
      <c r="D584" s="78"/>
      <c r="E584" s="78"/>
      <c r="F584" s="77"/>
      <c r="G584" s="78"/>
      <c r="H584" s="79"/>
      <c r="I584" s="79"/>
      <c r="J584" s="79"/>
      <c r="K584" s="79"/>
      <c r="L584" s="79"/>
      <c r="M584" s="76"/>
      <c r="N584" s="77"/>
      <c r="O584" s="79"/>
      <c r="P584" s="80"/>
      <c r="Q584" s="78"/>
    </row>
    <row r="585" spans="1:17" ht="15" customHeight="1">
      <c r="A585" s="76"/>
      <c r="B585" s="80"/>
      <c r="C585" s="78"/>
      <c r="D585" s="78"/>
      <c r="E585" s="78"/>
      <c r="F585" s="77"/>
      <c r="G585" s="78"/>
      <c r="H585" s="79"/>
      <c r="I585" s="79"/>
      <c r="J585" s="79"/>
      <c r="K585" s="79"/>
      <c r="L585" s="79"/>
      <c r="M585" s="76"/>
      <c r="N585" s="77"/>
      <c r="O585" s="79"/>
      <c r="P585" s="80"/>
      <c r="Q585" s="78"/>
    </row>
    <row r="586" spans="1:17" ht="15" customHeight="1">
      <c r="A586" s="76"/>
      <c r="B586" s="80"/>
      <c r="C586" s="78"/>
      <c r="D586" s="78"/>
      <c r="E586" s="78"/>
      <c r="F586" s="77"/>
      <c r="G586" s="78"/>
      <c r="H586" s="79"/>
      <c r="I586" s="79"/>
      <c r="J586" s="79"/>
      <c r="K586" s="79"/>
      <c r="L586" s="79"/>
      <c r="M586" s="76"/>
      <c r="N586" s="77"/>
      <c r="O586" s="79"/>
      <c r="P586" s="80"/>
      <c r="Q586" s="78"/>
    </row>
    <row r="587" spans="1:17" ht="15" customHeight="1">
      <c r="A587" s="76"/>
      <c r="B587" s="80"/>
      <c r="C587" s="78"/>
      <c r="D587" s="78"/>
      <c r="E587" s="78"/>
      <c r="F587" s="77"/>
      <c r="G587" s="78"/>
      <c r="H587" s="79"/>
      <c r="I587" s="79"/>
      <c r="J587" s="79"/>
      <c r="K587" s="79"/>
      <c r="L587" s="79"/>
      <c r="M587" s="76"/>
      <c r="N587" s="77"/>
      <c r="O587" s="79"/>
      <c r="P587" s="80"/>
      <c r="Q587" s="78"/>
    </row>
    <row r="588" spans="1:17" ht="15" customHeight="1">
      <c r="A588" s="76"/>
      <c r="B588" s="80"/>
      <c r="C588" s="78"/>
      <c r="D588" s="78"/>
      <c r="E588" s="78"/>
      <c r="F588" s="77"/>
      <c r="G588" s="78"/>
      <c r="H588" s="79"/>
      <c r="I588" s="79"/>
      <c r="J588" s="79"/>
      <c r="K588" s="79"/>
      <c r="L588" s="79"/>
      <c r="M588" s="76"/>
      <c r="N588" s="77"/>
      <c r="O588" s="79"/>
      <c r="P588" s="80"/>
      <c r="Q588" s="78"/>
    </row>
    <row r="589" spans="1:17" ht="15" customHeight="1">
      <c r="A589" s="76"/>
      <c r="B589" s="80"/>
      <c r="C589" s="78"/>
      <c r="D589" s="78"/>
      <c r="E589" s="78"/>
      <c r="F589" s="77"/>
      <c r="G589" s="78"/>
      <c r="H589" s="79"/>
      <c r="I589" s="79"/>
      <c r="J589" s="79"/>
      <c r="K589" s="79"/>
      <c r="L589" s="79"/>
      <c r="M589" s="76"/>
      <c r="N589" s="77"/>
      <c r="O589" s="79"/>
      <c r="P589" s="80"/>
      <c r="Q589" s="78"/>
    </row>
    <row r="590" spans="1:17" ht="15" customHeight="1">
      <c r="A590" s="76"/>
      <c r="B590" s="80"/>
      <c r="C590" s="78"/>
      <c r="D590" s="78"/>
      <c r="E590" s="78"/>
      <c r="F590" s="77"/>
      <c r="G590" s="78"/>
      <c r="H590" s="79"/>
      <c r="I590" s="79"/>
      <c r="J590" s="79"/>
      <c r="K590" s="79"/>
      <c r="L590" s="79"/>
      <c r="M590" s="76"/>
      <c r="N590" s="77"/>
      <c r="O590" s="79"/>
      <c r="P590" s="80"/>
      <c r="Q590" s="78"/>
    </row>
    <row r="591" spans="1:17" ht="15" customHeight="1">
      <c r="A591" s="76"/>
      <c r="B591" s="80"/>
      <c r="C591" s="78"/>
      <c r="D591" s="78"/>
      <c r="E591" s="78"/>
      <c r="F591" s="77"/>
      <c r="G591" s="78"/>
      <c r="H591" s="79"/>
      <c r="I591" s="79"/>
      <c r="J591" s="79"/>
      <c r="K591" s="79"/>
      <c r="L591" s="79"/>
      <c r="M591" s="76"/>
      <c r="N591" s="77"/>
      <c r="O591" s="79"/>
      <c r="P591" s="80"/>
      <c r="Q591" s="78"/>
    </row>
    <row r="592" spans="1:17" ht="15" customHeight="1">
      <c r="A592" s="76"/>
      <c r="B592" s="80"/>
      <c r="C592" s="78"/>
      <c r="D592" s="78"/>
      <c r="E592" s="78"/>
      <c r="F592" s="77"/>
      <c r="G592" s="78"/>
      <c r="H592" s="79"/>
      <c r="I592" s="79"/>
      <c r="J592" s="79"/>
      <c r="K592" s="79"/>
      <c r="L592" s="79"/>
      <c r="M592" s="76"/>
      <c r="N592" s="77"/>
      <c r="O592" s="79"/>
      <c r="P592" s="80"/>
      <c r="Q592" s="78"/>
    </row>
    <row r="593" spans="1:17" ht="15" customHeight="1">
      <c r="A593" s="76"/>
      <c r="B593" s="80"/>
      <c r="C593" s="78"/>
      <c r="D593" s="78"/>
      <c r="E593" s="78"/>
      <c r="F593" s="77"/>
      <c r="G593" s="78"/>
      <c r="H593" s="79"/>
      <c r="I593" s="79"/>
      <c r="J593" s="79"/>
      <c r="K593" s="79"/>
      <c r="L593" s="79"/>
      <c r="M593" s="76"/>
      <c r="N593" s="77"/>
      <c r="O593" s="79"/>
      <c r="P593" s="80"/>
      <c r="Q593" s="78"/>
    </row>
    <row r="594" spans="1:17" ht="15" customHeight="1">
      <c r="A594" s="76"/>
      <c r="B594" s="80"/>
      <c r="C594" s="78"/>
      <c r="D594" s="78"/>
      <c r="E594" s="78"/>
      <c r="F594" s="77"/>
      <c r="G594" s="78"/>
      <c r="H594" s="79"/>
      <c r="I594" s="79"/>
      <c r="J594" s="79"/>
      <c r="K594" s="79"/>
      <c r="L594" s="79"/>
      <c r="M594" s="76"/>
      <c r="N594" s="77"/>
      <c r="O594" s="79"/>
      <c r="P594" s="80"/>
      <c r="Q594" s="78"/>
    </row>
    <row r="595" spans="1:17" ht="15" customHeight="1">
      <c r="A595" s="76"/>
      <c r="B595" s="80"/>
      <c r="C595" s="78"/>
      <c r="D595" s="78"/>
      <c r="E595" s="78"/>
      <c r="F595" s="77"/>
      <c r="G595" s="78"/>
      <c r="H595" s="79"/>
      <c r="I595" s="79"/>
      <c r="J595" s="79"/>
      <c r="K595" s="79"/>
      <c r="L595" s="79"/>
      <c r="M595" s="76"/>
      <c r="N595" s="77"/>
      <c r="O595" s="79"/>
      <c r="P595" s="80"/>
      <c r="Q595" s="78"/>
    </row>
    <row r="596" spans="1:17" ht="15" customHeight="1">
      <c r="A596" s="76"/>
      <c r="B596" s="80"/>
      <c r="C596" s="78"/>
      <c r="D596" s="78"/>
      <c r="E596" s="78"/>
      <c r="F596" s="77"/>
      <c r="G596" s="78"/>
      <c r="H596" s="79"/>
      <c r="I596" s="79"/>
      <c r="J596" s="79"/>
      <c r="K596" s="79"/>
      <c r="L596" s="79"/>
      <c r="M596" s="76"/>
      <c r="N596" s="77"/>
      <c r="O596" s="79"/>
      <c r="P596" s="80"/>
      <c r="Q596" s="78"/>
    </row>
    <row r="597" spans="1:17" ht="15" customHeight="1">
      <c r="A597" s="76"/>
      <c r="B597" s="80"/>
      <c r="C597" s="78"/>
      <c r="D597" s="78"/>
      <c r="E597" s="78"/>
      <c r="F597" s="77"/>
      <c r="G597" s="78"/>
      <c r="H597" s="79"/>
      <c r="I597" s="79"/>
      <c r="J597" s="79"/>
      <c r="K597" s="79"/>
      <c r="L597" s="79"/>
      <c r="M597" s="76"/>
      <c r="N597" s="77"/>
      <c r="O597" s="79"/>
      <c r="P597" s="80"/>
      <c r="Q597" s="78"/>
    </row>
    <row r="598" spans="1:17" ht="15" customHeight="1">
      <c r="A598" s="76"/>
      <c r="B598" s="80"/>
      <c r="C598" s="78"/>
      <c r="D598" s="78"/>
      <c r="E598" s="78"/>
      <c r="F598" s="77"/>
      <c r="G598" s="78"/>
      <c r="H598" s="79"/>
      <c r="I598" s="79"/>
      <c r="J598" s="79"/>
      <c r="K598" s="79"/>
      <c r="L598" s="79"/>
      <c r="M598" s="76"/>
      <c r="N598" s="77"/>
      <c r="O598" s="79"/>
      <c r="P598" s="80"/>
      <c r="Q598" s="78"/>
    </row>
    <row r="599" spans="1:17" ht="15" customHeight="1">
      <c r="A599" s="76"/>
      <c r="B599" s="80"/>
      <c r="C599" s="78"/>
      <c r="D599" s="78"/>
      <c r="E599" s="78"/>
      <c r="F599" s="77"/>
      <c r="G599" s="78"/>
      <c r="H599" s="79"/>
      <c r="I599" s="79"/>
      <c r="J599" s="79"/>
      <c r="K599" s="79"/>
      <c r="L599" s="79"/>
      <c r="M599" s="76"/>
      <c r="N599" s="77"/>
      <c r="O599" s="79"/>
      <c r="P599" s="80"/>
      <c r="Q599" s="78"/>
    </row>
    <row r="600" spans="1:17" ht="15" customHeight="1">
      <c r="A600" s="76"/>
      <c r="B600" s="80"/>
      <c r="C600" s="78"/>
      <c r="D600" s="78"/>
      <c r="E600" s="78"/>
      <c r="F600" s="77"/>
      <c r="G600" s="78"/>
      <c r="H600" s="79"/>
      <c r="I600" s="79"/>
      <c r="J600" s="79"/>
      <c r="K600" s="79"/>
      <c r="L600" s="79"/>
      <c r="M600" s="76"/>
      <c r="N600" s="77"/>
      <c r="O600" s="79"/>
      <c r="P600" s="80"/>
      <c r="Q600" s="78"/>
    </row>
    <row r="601" spans="1:17" ht="15" customHeight="1">
      <c r="A601" s="76"/>
      <c r="B601" s="80"/>
      <c r="C601" s="78"/>
      <c r="D601" s="78"/>
      <c r="E601" s="78"/>
      <c r="F601" s="77"/>
      <c r="G601" s="78"/>
      <c r="H601" s="79"/>
      <c r="I601" s="79"/>
      <c r="J601" s="79"/>
      <c r="K601" s="79"/>
      <c r="L601" s="79"/>
      <c r="M601" s="76"/>
      <c r="N601" s="77"/>
      <c r="O601" s="79"/>
      <c r="P601" s="80"/>
      <c r="Q601" s="78"/>
    </row>
    <row r="602" spans="1:17" ht="15" customHeight="1">
      <c r="A602" s="76"/>
      <c r="B602" s="80"/>
      <c r="C602" s="78"/>
      <c r="D602" s="78"/>
      <c r="E602" s="78"/>
      <c r="F602" s="77"/>
      <c r="G602" s="78"/>
      <c r="H602" s="79"/>
      <c r="I602" s="79"/>
      <c r="J602" s="79"/>
      <c r="K602" s="79"/>
      <c r="L602" s="79"/>
      <c r="M602" s="76"/>
      <c r="N602" s="77"/>
      <c r="O602" s="79"/>
      <c r="P602" s="80"/>
      <c r="Q602" s="78"/>
    </row>
    <row r="603" spans="1:17" ht="15" customHeight="1">
      <c r="A603" s="76"/>
      <c r="B603" s="80"/>
      <c r="C603" s="78"/>
      <c r="D603" s="78"/>
      <c r="E603" s="78"/>
      <c r="F603" s="77"/>
      <c r="G603" s="78"/>
      <c r="H603" s="79"/>
      <c r="I603" s="79"/>
      <c r="J603" s="79"/>
      <c r="K603" s="79"/>
      <c r="L603" s="79"/>
      <c r="M603" s="76"/>
      <c r="N603" s="77"/>
      <c r="O603" s="79"/>
      <c r="P603" s="80"/>
      <c r="Q603" s="78"/>
    </row>
    <row r="604" spans="1:17" ht="15" customHeight="1">
      <c r="A604" s="76"/>
      <c r="B604" s="80"/>
      <c r="C604" s="78"/>
      <c r="D604" s="78"/>
      <c r="E604" s="78"/>
      <c r="F604" s="77"/>
      <c r="G604" s="78"/>
      <c r="H604" s="79"/>
      <c r="I604" s="79"/>
      <c r="J604" s="79"/>
      <c r="K604" s="79"/>
      <c r="L604" s="79"/>
      <c r="M604" s="76"/>
      <c r="N604" s="77"/>
      <c r="O604" s="79"/>
      <c r="P604" s="80"/>
      <c r="Q604" s="78"/>
    </row>
    <row r="605" spans="1:17" ht="15" customHeight="1">
      <c r="A605" s="76"/>
      <c r="B605" s="80"/>
      <c r="C605" s="78"/>
      <c r="D605" s="78"/>
      <c r="E605" s="78"/>
      <c r="F605" s="77"/>
      <c r="G605" s="78"/>
      <c r="H605" s="79"/>
      <c r="I605" s="79"/>
      <c r="J605" s="79"/>
      <c r="K605" s="79"/>
      <c r="L605" s="79"/>
      <c r="M605" s="76"/>
      <c r="N605" s="77"/>
      <c r="O605" s="79"/>
      <c r="P605" s="80"/>
      <c r="Q605" s="78"/>
    </row>
    <row r="606" spans="1:17" ht="15" customHeight="1">
      <c r="A606" s="76"/>
      <c r="B606" s="80"/>
      <c r="C606" s="78"/>
      <c r="D606" s="78"/>
      <c r="E606" s="78"/>
      <c r="F606" s="77"/>
      <c r="G606" s="78"/>
      <c r="H606" s="79"/>
      <c r="I606" s="79"/>
      <c r="J606" s="79"/>
      <c r="K606" s="79"/>
      <c r="L606" s="79"/>
      <c r="M606" s="76"/>
      <c r="N606" s="77"/>
      <c r="O606" s="79"/>
      <c r="P606" s="80"/>
      <c r="Q606" s="78"/>
    </row>
    <row r="607" spans="1:17" ht="15" customHeight="1">
      <c r="A607" s="76"/>
      <c r="B607" s="80"/>
      <c r="C607" s="78"/>
      <c r="D607" s="78"/>
      <c r="E607" s="78"/>
      <c r="F607" s="77"/>
      <c r="G607" s="78"/>
      <c r="H607" s="79"/>
      <c r="I607" s="79"/>
      <c r="J607" s="79"/>
      <c r="K607" s="79"/>
      <c r="L607" s="79"/>
      <c r="M607" s="76"/>
      <c r="N607" s="77"/>
      <c r="O607" s="79"/>
      <c r="P607" s="80"/>
      <c r="Q607" s="78"/>
    </row>
    <row r="608" spans="1:17" ht="15" customHeight="1">
      <c r="A608" s="76"/>
      <c r="B608" s="80"/>
      <c r="C608" s="78"/>
      <c r="D608" s="78"/>
      <c r="E608" s="78"/>
      <c r="F608" s="77"/>
      <c r="G608" s="78"/>
      <c r="H608" s="79"/>
      <c r="I608" s="79"/>
      <c r="J608" s="79"/>
      <c r="K608" s="79"/>
      <c r="L608" s="79"/>
      <c r="M608" s="76"/>
      <c r="N608" s="77"/>
      <c r="O608" s="79"/>
      <c r="P608" s="80"/>
      <c r="Q608" s="78"/>
    </row>
    <row r="609" spans="1:17" ht="15" customHeight="1">
      <c r="A609" s="76"/>
      <c r="B609" s="80"/>
      <c r="C609" s="78"/>
      <c r="D609" s="78"/>
      <c r="E609" s="78"/>
      <c r="F609" s="77"/>
      <c r="G609" s="78"/>
      <c r="H609" s="79"/>
      <c r="I609" s="79"/>
      <c r="J609" s="79"/>
      <c r="K609" s="79"/>
      <c r="L609" s="79"/>
      <c r="M609" s="76"/>
      <c r="N609" s="77"/>
      <c r="O609" s="79"/>
      <c r="P609" s="80"/>
      <c r="Q609" s="78"/>
    </row>
    <row r="610" spans="1:17" ht="15" customHeight="1">
      <c r="A610" s="76"/>
      <c r="B610" s="80"/>
      <c r="C610" s="78"/>
      <c r="D610" s="78"/>
      <c r="E610" s="78"/>
      <c r="F610" s="77"/>
      <c r="G610" s="78"/>
      <c r="H610" s="79"/>
      <c r="I610" s="79"/>
      <c r="J610" s="79"/>
      <c r="K610" s="79"/>
      <c r="L610" s="79"/>
      <c r="M610" s="76"/>
      <c r="N610" s="77"/>
      <c r="O610" s="79"/>
      <c r="P610" s="80"/>
      <c r="Q610" s="78"/>
    </row>
    <row r="611" spans="1:17" ht="15" customHeight="1">
      <c r="A611" s="76"/>
      <c r="B611" s="80"/>
      <c r="C611" s="78"/>
      <c r="D611" s="78"/>
      <c r="E611" s="78"/>
      <c r="F611" s="77"/>
      <c r="G611" s="78"/>
      <c r="H611" s="79"/>
      <c r="I611" s="79"/>
      <c r="J611" s="79"/>
      <c r="K611" s="79"/>
      <c r="L611" s="79"/>
      <c r="M611" s="76"/>
      <c r="N611" s="77"/>
      <c r="O611" s="79"/>
      <c r="P611" s="80"/>
      <c r="Q611" s="78"/>
    </row>
    <row r="612" spans="1:17" ht="15" customHeight="1">
      <c r="A612" s="76"/>
      <c r="B612" s="80"/>
      <c r="C612" s="78"/>
      <c r="D612" s="78"/>
      <c r="E612" s="78"/>
      <c r="F612" s="77"/>
      <c r="G612" s="78"/>
      <c r="H612" s="79"/>
      <c r="I612" s="79"/>
      <c r="J612" s="79"/>
      <c r="K612" s="79"/>
      <c r="L612" s="79"/>
      <c r="M612" s="76"/>
      <c r="N612" s="77"/>
      <c r="O612" s="79"/>
      <c r="P612" s="80"/>
      <c r="Q612" s="78"/>
    </row>
    <row r="613" spans="1:17" ht="15" customHeight="1">
      <c r="A613" s="76"/>
      <c r="B613" s="80"/>
      <c r="C613" s="78"/>
      <c r="D613" s="78"/>
      <c r="E613" s="78"/>
      <c r="F613" s="77"/>
      <c r="G613" s="78"/>
      <c r="H613" s="79"/>
      <c r="I613" s="79"/>
      <c r="J613" s="79"/>
      <c r="K613" s="79"/>
      <c r="L613" s="79"/>
      <c r="M613" s="76"/>
      <c r="N613" s="77"/>
      <c r="O613" s="79"/>
      <c r="P613" s="80"/>
      <c r="Q613" s="78"/>
    </row>
    <row r="614" spans="1:17" ht="15" customHeight="1">
      <c r="A614" s="76"/>
      <c r="B614" s="80"/>
      <c r="C614" s="78"/>
      <c r="D614" s="78"/>
      <c r="E614" s="78"/>
      <c r="F614" s="77"/>
      <c r="G614" s="78"/>
      <c r="H614" s="79"/>
      <c r="I614" s="79"/>
      <c r="J614" s="79"/>
      <c r="K614" s="79"/>
      <c r="L614" s="79"/>
      <c r="M614" s="76"/>
      <c r="N614" s="77"/>
      <c r="O614" s="79"/>
      <c r="P614" s="80"/>
      <c r="Q614" s="78"/>
    </row>
    <row r="615" spans="1:17" ht="15" customHeight="1">
      <c r="A615" s="76"/>
      <c r="B615" s="80"/>
      <c r="C615" s="78"/>
      <c r="D615" s="78"/>
      <c r="E615" s="78"/>
      <c r="F615" s="77"/>
      <c r="G615" s="78"/>
      <c r="H615" s="79"/>
      <c r="I615" s="79"/>
      <c r="J615" s="79"/>
      <c r="K615" s="79"/>
      <c r="L615" s="79"/>
      <c r="M615" s="76"/>
      <c r="N615" s="77"/>
      <c r="O615" s="79"/>
      <c r="P615" s="80"/>
      <c r="Q615" s="78"/>
    </row>
    <row r="616" spans="1:17" ht="15" customHeight="1">
      <c r="A616" s="76"/>
      <c r="B616" s="80"/>
      <c r="C616" s="78"/>
      <c r="D616" s="78"/>
      <c r="E616" s="78"/>
      <c r="F616" s="77"/>
      <c r="G616" s="78"/>
      <c r="H616" s="79"/>
      <c r="I616" s="79"/>
      <c r="J616" s="79"/>
      <c r="K616" s="79"/>
      <c r="L616" s="79"/>
      <c r="M616" s="76"/>
      <c r="N616" s="77"/>
      <c r="O616" s="79"/>
      <c r="P616" s="80"/>
      <c r="Q616" s="78"/>
    </row>
    <row r="617" spans="1:17" ht="15" customHeight="1">
      <c r="A617" s="76"/>
      <c r="B617" s="80"/>
      <c r="C617" s="78"/>
      <c r="D617" s="78"/>
      <c r="E617" s="78"/>
      <c r="F617" s="77"/>
      <c r="G617" s="78"/>
      <c r="H617" s="79"/>
      <c r="I617" s="79"/>
      <c r="J617" s="79"/>
      <c r="K617" s="79"/>
      <c r="L617" s="79"/>
      <c r="M617" s="76"/>
      <c r="N617" s="77"/>
      <c r="O617" s="79"/>
      <c r="P617" s="80"/>
      <c r="Q617" s="78"/>
    </row>
    <row r="618" spans="1:17" ht="15" customHeight="1">
      <c r="A618" s="76"/>
      <c r="B618" s="80"/>
      <c r="C618" s="78"/>
      <c r="D618" s="78"/>
      <c r="E618" s="78"/>
      <c r="F618" s="77"/>
      <c r="G618" s="78"/>
      <c r="H618" s="79"/>
      <c r="I618" s="79"/>
      <c r="J618" s="79"/>
      <c r="K618" s="79"/>
      <c r="L618" s="79"/>
      <c r="M618" s="76"/>
      <c r="N618" s="77"/>
      <c r="O618" s="79"/>
      <c r="P618" s="80"/>
      <c r="Q618" s="78"/>
    </row>
    <row r="619" spans="1:17" ht="15" customHeight="1">
      <c r="A619" s="76"/>
      <c r="B619" s="80"/>
      <c r="C619" s="78"/>
      <c r="D619" s="78"/>
      <c r="E619" s="78"/>
      <c r="F619" s="77"/>
      <c r="G619" s="78"/>
      <c r="H619" s="79"/>
      <c r="I619" s="79"/>
      <c r="J619" s="79"/>
      <c r="K619" s="79"/>
      <c r="L619" s="79"/>
      <c r="M619" s="76"/>
      <c r="N619" s="77"/>
      <c r="O619" s="79"/>
      <c r="P619" s="80"/>
      <c r="Q619" s="78"/>
    </row>
    <row r="620" spans="1:17" ht="15" customHeight="1">
      <c r="A620" s="76"/>
      <c r="B620" s="80"/>
      <c r="C620" s="78"/>
      <c r="D620" s="78"/>
      <c r="E620" s="78"/>
      <c r="F620" s="77"/>
      <c r="G620" s="78"/>
      <c r="H620" s="79"/>
      <c r="I620" s="79"/>
      <c r="J620" s="79"/>
      <c r="K620" s="79"/>
      <c r="L620" s="79"/>
      <c r="M620" s="76"/>
      <c r="N620" s="77"/>
      <c r="O620" s="79"/>
      <c r="P620" s="80"/>
      <c r="Q620" s="78"/>
    </row>
    <row r="621" spans="1:17" ht="15" customHeight="1">
      <c r="A621" s="76"/>
      <c r="B621" s="80"/>
      <c r="C621" s="78"/>
      <c r="D621" s="78"/>
      <c r="E621" s="78"/>
      <c r="F621" s="77"/>
      <c r="G621" s="78"/>
      <c r="H621" s="79"/>
      <c r="I621" s="79"/>
      <c r="J621" s="79"/>
      <c r="K621" s="79"/>
      <c r="L621" s="79"/>
      <c r="M621" s="76"/>
      <c r="N621" s="77"/>
      <c r="O621" s="79"/>
      <c r="P621" s="80"/>
      <c r="Q621" s="78"/>
    </row>
    <row r="622" spans="1:17" ht="15" customHeight="1">
      <c r="A622" s="76"/>
      <c r="B622" s="80"/>
      <c r="C622" s="78"/>
      <c r="D622" s="78"/>
      <c r="E622" s="78"/>
      <c r="F622" s="77"/>
      <c r="G622" s="78"/>
      <c r="H622" s="79"/>
      <c r="I622" s="79"/>
      <c r="J622" s="79"/>
      <c r="K622" s="79"/>
      <c r="L622" s="79"/>
      <c r="M622" s="76"/>
      <c r="N622" s="77"/>
      <c r="O622" s="79"/>
      <c r="P622" s="80"/>
      <c r="Q622" s="78"/>
    </row>
    <row r="623" spans="1:17" ht="15" customHeight="1">
      <c r="A623" s="76"/>
      <c r="B623" s="80"/>
      <c r="C623" s="78"/>
      <c r="D623" s="78"/>
      <c r="E623" s="78"/>
      <c r="F623" s="77"/>
      <c r="G623" s="78"/>
      <c r="H623" s="79"/>
      <c r="I623" s="79"/>
      <c r="J623" s="79"/>
      <c r="K623" s="79"/>
      <c r="L623" s="79"/>
      <c r="M623" s="76"/>
      <c r="N623" s="77"/>
      <c r="O623" s="79"/>
      <c r="P623" s="80"/>
      <c r="Q623" s="78"/>
    </row>
    <row r="624" spans="1:17" ht="15" customHeight="1">
      <c r="A624" s="76"/>
      <c r="B624" s="80"/>
      <c r="C624" s="78"/>
      <c r="D624" s="78"/>
      <c r="E624" s="78"/>
      <c r="F624" s="77"/>
      <c r="G624" s="78"/>
      <c r="H624" s="79"/>
      <c r="I624" s="79"/>
      <c r="J624" s="79"/>
      <c r="K624" s="79"/>
      <c r="L624" s="79"/>
      <c r="M624" s="76"/>
      <c r="N624" s="77"/>
      <c r="O624" s="79"/>
      <c r="P624" s="80"/>
      <c r="Q624" s="78"/>
    </row>
    <row r="625" spans="1:17" ht="15" customHeight="1">
      <c r="A625" s="76"/>
      <c r="B625" s="80"/>
      <c r="C625" s="78"/>
      <c r="D625" s="78"/>
      <c r="E625" s="78"/>
      <c r="F625" s="77"/>
      <c r="G625" s="78"/>
      <c r="H625" s="79"/>
      <c r="I625" s="79"/>
      <c r="J625" s="79"/>
      <c r="K625" s="79"/>
      <c r="L625" s="79"/>
      <c r="M625" s="76"/>
      <c r="N625" s="77"/>
      <c r="O625" s="79"/>
      <c r="P625" s="80"/>
      <c r="Q625" s="78"/>
    </row>
    <row r="626" spans="1:17" ht="15" customHeight="1">
      <c r="A626" s="76"/>
      <c r="B626" s="80"/>
      <c r="C626" s="78"/>
      <c r="D626" s="78"/>
      <c r="E626" s="78"/>
      <c r="F626" s="77"/>
      <c r="G626" s="78"/>
      <c r="H626" s="79"/>
      <c r="I626" s="79"/>
      <c r="J626" s="79"/>
      <c r="K626" s="79"/>
      <c r="L626" s="79"/>
      <c r="M626" s="76"/>
      <c r="N626" s="77"/>
      <c r="O626" s="79"/>
      <c r="P626" s="80"/>
      <c r="Q626" s="78"/>
    </row>
    <row r="627" spans="1:17" ht="15" customHeight="1">
      <c r="A627" s="76"/>
      <c r="B627" s="80"/>
      <c r="C627" s="78"/>
      <c r="D627" s="78"/>
      <c r="E627" s="78"/>
      <c r="F627" s="77"/>
      <c r="G627" s="78"/>
      <c r="H627" s="79"/>
      <c r="I627" s="79"/>
      <c r="J627" s="79"/>
      <c r="K627" s="79"/>
      <c r="L627" s="79"/>
      <c r="M627" s="76"/>
      <c r="N627" s="77"/>
      <c r="O627" s="79"/>
      <c r="P627" s="80"/>
      <c r="Q627" s="78"/>
    </row>
    <row r="628" spans="1:17" ht="15" customHeight="1">
      <c r="A628" s="76"/>
      <c r="B628" s="80"/>
      <c r="C628" s="78"/>
      <c r="D628" s="78"/>
      <c r="E628" s="78"/>
      <c r="F628" s="77"/>
      <c r="G628" s="78"/>
      <c r="H628" s="79"/>
      <c r="I628" s="79"/>
      <c r="J628" s="79"/>
      <c r="K628" s="79"/>
      <c r="L628" s="79"/>
      <c r="M628" s="76"/>
      <c r="N628" s="77"/>
      <c r="O628" s="79"/>
      <c r="P628" s="80"/>
      <c r="Q628" s="78"/>
    </row>
    <row r="629" spans="1:17" ht="15" customHeight="1">
      <c r="A629" s="76"/>
      <c r="B629" s="80"/>
      <c r="C629" s="78"/>
      <c r="D629" s="78"/>
      <c r="E629" s="78"/>
      <c r="F629" s="77"/>
      <c r="G629" s="78"/>
      <c r="H629" s="79"/>
      <c r="I629" s="79"/>
      <c r="J629" s="79"/>
      <c r="K629" s="79"/>
      <c r="L629" s="79"/>
      <c r="M629" s="76"/>
      <c r="N629" s="77"/>
      <c r="O629" s="79"/>
      <c r="P629" s="80"/>
      <c r="Q629" s="78"/>
    </row>
    <row r="630" spans="1:17" ht="15" customHeight="1">
      <c r="A630" s="76"/>
      <c r="B630" s="80"/>
      <c r="C630" s="78"/>
      <c r="D630" s="78"/>
      <c r="E630" s="78"/>
      <c r="F630" s="77"/>
      <c r="G630" s="78"/>
      <c r="H630" s="79"/>
      <c r="I630" s="79"/>
      <c r="J630" s="79"/>
      <c r="K630" s="79"/>
      <c r="L630" s="79"/>
      <c r="M630" s="76"/>
      <c r="N630" s="77"/>
      <c r="O630" s="79"/>
      <c r="P630" s="80"/>
      <c r="Q630" s="78"/>
    </row>
    <row r="631" spans="1:17" ht="15" customHeight="1">
      <c r="A631" s="76"/>
      <c r="B631" s="80"/>
      <c r="C631" s="78"/>
      <c r="D631" s="78"/>
      <c r="E631" s="78"/>
      <c r="F631" s="77"/>
      <c r="G631" s="78"/>
      <c r="H631" s="79"/>
      <c r="I631" s="79"/>
      <c r="J631" s="79"/>
      <c r="K631" s="79"/>
      <c r="L631" s="79"/>
      <c r="M631" s="76"/>
      <c r="N631" s="77"/>
      <c r="O631" s="79"/>
      <c r="P631" s="80"/>
      <c r="Q631" s="78"/>
    </row>
    <row r="632" spans="1:17" ht="15" customHeight="1">
      <c r="A632" s="76"/>
      <c r="B632" s="80"/>
      <c r="C632" s="78"/>
      <c r="D632" s="78"/>
      <c r="E632" s="78"/>
      <c r="F632" s="77"/>
      <c r="G632" s="78"/>
      <c r="H632" s="79"/>
      <c r="I632" s="79"/>
      <c r="J632" s="79"/>
      <c r="K632" s="79"/>
      <c r="L632" s="79"/>
      <c r="M632" s="76"/>
      <c r="N632" s="77"/>
      <c r="O632" s="79"/>
      <c r="P632" s="80"/>
      <c r="Q632" s="78"/>
    </row>
    <row r="633" spans="1:17" ht="15" customHeight="1">
      <c r="A633" s="76"/>
      <c r="B633" s="80"/>
      <c r="C633" s="78"/>
      <c r="D633" s="78"/>
      <c r="E633" s="78"/>
      <c r="F633" s="77"/>
      <c r="G633" s="78"/>
      <c r="H633" s="79"/>
      <c r="I633" s="79"/>
      <c r="J633" s="79"/>
      <c r="K633" s="79"/>
      <c r="L633" s="79"/>
      <c r="M633" s="76"/>
      <c r="N633" s="77"/>
      <c r="O633" s="79"/>
      <c r="P633" s="80"/>
      <c r="Q633" s="78"/>
    </row>
    <row r="634" spans="1:17" ht="15" customHeight="1">
      <c r="A634" s="76"/>
      <c r="B634" s="80"/>
      <c r="C634" s="78"/>
      <c r="D634" s="78"/>
      <c r="E634" s="78"/>
      <c r="F634" s="77"/>
      <c r="G634" s="78"/>
      <c r="H634" s="79"/>
      <c r="I634" s="79"/>
      <c r="J634" s="79"/>
      <c r="K634" s="79"/>
      <c r="L634" s="79"/>
      <c r="M634" s="76"/>
      <c r="N634" s="77"/>
      <c r="O634" s="79"/>
      <c r="P634" s="80"/>
      <c r="Q634" s="78"/>
    </row>
    <row r="635" spans="1:17" ht="15" customHeight="1">
      <c r="A635" s="76"/>
      <c r="B635" s="80"/>
      <c r="C635" s="78"/>
      <c r="D635" s="78"/>
      <c r="E635" s="78"/>
      <c r="F635" s="77"/>
      <c r="G635" s="78"/>
      <c r="H635" s="79"/>
      <c r="I635" s="79"/>
      <c r="J635" s="79"/>
      <c r="K635" s="79"/>
      <c r="L635" s="79"/>
      <c r="M635" s="76"/>
      <c r="N635" s="77"/>
      <c r="O635" s="79"/>
      <c r="P635" s="80"/>
      <c r="Q635" s="78"/>
    </row>
    <row r="636" spans="1:17" ht="15" customHeight="1">
      <c r="A636" s="76"/>
      <c r="B636" s="80"/>
      <c r="C636" s="78"/>
      <c r="D636" s="78"/>
      <c r="E636" s="78"/>
      <c r="F636" s="77"/>
      <c r="G636" s="78"/>
      <c r="H636" s="79"/>
      <c r="I636" s="79"/>
      <c r="J636" s="79"/>
      <c r="K636" s="79"/>
      <c r="L636" s="79"/>
      <c r="M636" s="76"/>
      <c r="N636" s="77"/>
      <c r="O636" s="79"/>
      <c r="P636" s="80"/>
      <c r="Q636" s="78"/>
    </row>
    <row r="637" spans="1:17" ht="15" customHeight="1">
      <c r="A637" s="76"/>
      <c r="B637" s="80"/>
      <c r="C637" s="78"/>
      <c r="D637" s="78"/>
      <c r="E637" s="78"/>
      <c r="F637" s="77"/>
      <c r="G637" s="78"/>
      <c r="H637" s="79"/>
      <c r="I637" s="79"/>
      <c r="J637" s="79"/>
      <c r="K637" s="79"/>
      <c r="L637" s="79"/>
      <c r="M637" s="76"/>
      <c r="N637" s="77"/>
      <c r="O637" s="79"/>
      <c r="P637" s="80"/>
      <c r="Q637" s="78"/>
    </row>
    <row r="638" spans="1:17" ht="15" customHeight="1">
      <c r="A638" s="76"/>
      <c r="B638" s="80"/>
      <c r="C638" s="78"/>
      <c r="D638" s="78"/>
      <c r="E638" s="78"/>
      <c r="F638" s="77"/>
      <c r="G638" s="78"/>
      <c r="H638" s="79"/>
      <c r="I638" s="79"/>
      <c r="J638" s="79"/>
      <c r="K638" s="79"/>
      <c r="L638" s="79"/>
      <c r="M638" s="76"/>
      <c r="N638" s="77"/>
      <c r="O638" s="79"/>
      <c r="P638" s="80"/>
      <c r="Q638" s="78"/>
    </row>
    <row r="639" spans="1:17" ht="15" customHeight="1">
      <c r="A639" s="76"/>
      <c r="B639" s="80"/>
      <c r="C639" s="78"/>
      <c r="D639" s="78"/>
      <c r="E639" s="78"/>
      <c r="F639" s="77"/>
      <c r="G639" s="78"/>
      <c r="H639" s="79"/>
      <c r="I639" s="79"/>
      <c r="J639" s="79"/>
      <c r="K639" s="79"/>
      <c r="L639" s="79"/>
      <c r="M639" s="76"/>
      <c r="N639" s="77"/>
      <c r="O639" s="79"/>
      <c r="P639" s="80"/>
      <c r="Q639" s="78"/>
    </row>
    <row r="640" spans="1:17" ht="15" customHeight="1">
      <c r="A640" s="76"/>
      <c r="B640" s="80"/>
      <c r="C640" s="78"/>
      <c r="D640" s="78"/>
      <c r="E640" s="78"/>
      <c r="F640" s="77"/>
      <c r="G640" s="78"/>
      <c r="H640" s="79"/>
      <c r="I640" s="79"/>
      <c r="J640" s="79"/>
      <c r="K640" s="79"/>
      <c r="L640" s="79"/>
      <c r="M640" s="76"/>
      <c r="N640" s="77"/>
      <c r="O640" s="79"/>
      <c r="P640" s="80"/>
      <c r="Q640" s="78"/>
    </row>
    <row r="641" spans="1:17" ht="15" customHeight="1">
      <c r="A641" s="76"/>
      <c r="B641" s="80"/>
      <c r="C641" s="78"/>
      <c r="D641" s="78"/>
      <c r="E641" s="78"/>
      <c r="F641" s="77"/>
      <c r="G641" s="78"/>
      <c r="H641" s="79"/>
      <c r="I641" s="79"/>
      <c r="J641" s="79"/>
      <c r="K641" s="79"/>
      <c r="L641" s="79"/>
      <c r="M641" s="76"/>
      <c r="N641" s="77"/>
      <c r="O641" s="79"/>
      <c r="P641" s="80"/>
      <c r="Q641" s="78"/>
    </row>
    <row r="642" spans="1:17" ht="15" customHeight="1">
      <c r="A642" s="76"/>
      <c r="B642" s="80"/>
      <c r="C642" s="78"/>
      <c r="D642" s="78"/>
      <c r="E642" s="78"/>
      <c r="F642" s="77"/>
      <c r="G642" s="78"/>
      <c r="H642" s="79"/>
      <c r="I642" s="79"/>
      <c r="J642" s="79"/>
      <c r="K642" s="79"/>
      <c r="L642" s="79"/>
      <c r="M642" s="76"/>
      <c r="N642" s="77"/>
      <c r="O642" s="79"/>
      <c r="P642" s="80"/>
      <c r="Q642" s="78"/>
    </row>
    <row r="643" spans="1:17" ht="15" customHeight="1">
      <c r="A643" s="76"/>
      <c r="B643" s="80"/>
      <c r="C643" s="78"/>
      <c r="D643" s="78"/>
      <c r="E643" s="78"/>
      <c r="F643" s="77"/>
      <c r="G643" s="78"/>
      <c r="H643" s="79"/>
      <c r="I643" s="79"/>
      <c r="J643" s="79"/>
      <c r="K643" s="79"/>
      <c r="L643" s="79"/>
      <c r="M643" s="76"/>
      <c r="N643" s="77"/>
      <c r="O643" s="79"/>
      <c r="P643" s="80"/>
      <c r="Q643" s="78"/>
    </row>
    <row r="644" spans="1:17" ht="15" customHeight="1">
      <c r="A644" s="76"/>
      <c r="B644" s="80"/>
      <c r="C644" s="78"/>
      <c r="D644" s="78"/>
      <c r="E644" s="78"/>
      <c r="F644" s="77"/>
      <c r="G644" s="78"/>
      <c r="H644" s="79"/>
      <c r="I644" s="79"/>
      <c r="J644" s="79"/>
      <c r="K644" s="79"/>
      <c r="L644" s="79"/>
      <c r="M644" s="76"/>
      <c r="N644" s="77"/>
      <c r="O644" s="79"/>
      <c r="P644" s="80"/>
      <c r="Q644" s="78"/>
    </row>
    <row r="645" spans="1:17" ht="15" customHeight="1">
      <c r="A645" s="76"/>
      <c r="B645" s="80"/>
      <c r="C645" s="78"/>
      <c r="D645" s="78"/>
      <c r="E645" s="78"/>
      <c r="F645" s="77"/>
      <c r="G645" s="78"/>
      <c r="H645" s="79"/>
      <c r="I645" s="79"/>
      <c r="J645" s="79"/>
      <c r="K645" s="79"/>
      <c r="L645" s="79"/>
      <c r="M645" s="76"/>
      <c r="N645" s="77"/>
      <c r="O645" s="79"/>
      <c r="P645" s="80"/>
      <c r="Q645" s="78"/>
    </row>
    <row r="646" spans="1:17" ht="15" customHeight="1">
      <c r="A646" s="76"/>
      <c r="B646" s="80"/>
      <c r="C646" s="78"/>
      <c r="D646" s="78"/>
      <c r="E646" s="78"/>
      <c r="F646" s="77"/>
      <c r="G646" s="78"/>
      <c r="H646" s="79"/>
      <c r="I646" s="79"/>
      <c r="J646" s="79"/>
      <c r="K646" s="79"/>
      <c r="L646" s="79"/>
      <c r="M646" s="76"/>
      <c r="N646" s="77"/>
      <c r="O646" s="79"/>
      <c r="P646" s="80"/>
      <c r="Q646" s="78"/>
    </row>
    <row r="647" spans="1:17" ht="15" customHeight="1">
      <c r="A647" s="76"/>
      <c r="B647" s="80"/>
      <c r="C647" s="78"/>
      <c r="D647" s="78"/>
      <c r="E647" s="78"/>
      <c r="F647" s="77"/>
      <c r="G647" s="78"/>
      <c r="H647" s="79"/>
      <c r="I647" s="79"/>
      <c r="J647" s="79"/>
      <c r="K647" s="79"/>
      <c r="L647" s="79"/>
      <c r="M647" s="76"/>
      <c r="N647" s="77"/>
      <c r="O647" s="79"/>
      <c r="P647" s="80"/>
      <c r="Q647" s="78"/>
    </row>
    <row r="648" spans="1:17" ht="15" customHeight="1">
      <c r="A648" s="76"/>
      <c r="B648" s="80"/>
      <c r="C648" s="78"/>
      <c r="D648" s="78"/>
      <c r="E648" s="78"/>
      <c r="F648" s="77"/>
      <c r="G648" s="78"/>
      <c r="H648" s="79"/>
      <c r="I648" s="79"/>
      <c r="J648" s="79"/>
      <c r="K648" s="79"/>
      <c r="L648" s="79"/>
      <c r="M648" s="76"/>
      <c r="N648" s="77"/>
      <c r="O648" s="79"/>
      <c r="P648" s="80"/>
      <c r="Q648" s="78"/>
    </row>
    <row r="649" spans="1:17" ht="15" customHeight="1">
      <c r="A649" s="76"/>
      <c r="B649" s="80"/>
      <c r="C649" s="78"/>
      <c r="D649" s="78"/>
      <c r="E649" s="78"/>
      <c r="F649" s="77"/>
      <c r="G649" s="78"/>
      <c r="H649" s="79"/>
      <c r="I649" s="79"/>
      <c r="J649" s="79"/>
      <c r="K649" s="79"/>
      <c r="L649" s="79"/>
      <c r="M649" s="76"/>
      <c r="N649" s="77"/>
      <c r="O649" s="79"/>
      <c r="P649" s="80"/>
      <c r="Q649" s="78"/>
    </row>
    <row r="650" spans="1:17" ht="15" customHeight="1">
      <c r="A650" s="76"/>
      <c r="B650" s="80"/>
      <c r="C650" s="78"/>
      <c r="D650" s="78"/>
      <c r="E650" s="78"/>
      <c r="F650" s="77"/>
      <c r="G650" s="78"/>
      <c r="H650" s="79"/>
      <c r="I650" s="79"/>
      <c r="J650" s="79"/>
      <c r="K650" s="79"/>
      <c r="L650" s="79"/>
      <c r="M650" s="76"/>
      <c r="N650" s="77"/>
      <c r="O650" s="79"/>
      <c r="P650" s="80"/>
      <c r="Q650" s="78"/>
    </row>
    <row r="651" spans="1:17" ht="15" customHeight="1">
      <c r="A651" s="76"/>
      <c r="B651" s="80"/>
      <c r="C651" s="78"/>
      <c r="D651" s="78"/>
      <c r="E651" s="78"/>
      <c r="F651" s="77"/>
      <c r="G651" s="78"/>
      <c r="H651" s="79"/>
      <c r="I651" s="79"/>
      <c r="J651" s="79"/>
      <c r="K651" s="79"/>
      <c r="L651" s="79"/>
      <c r="M651" s="76"/>
      <c r="N651" s="77"/>
      <c r="O651" s="79"/>
      <c r="P651" s="80"/>
      <c r="Q651" s="78"/>
    </row>
    <row r="652" spans="1:17" ht="15" customHeight="1">
      <c r="A652" s="76"/>
      <c r="B652" s="80"/>
      <c r="C652" s="78"/>
      <c r="D652" s="78"/>
      <c r="E652" s="78"/>
      <c r="F652" s="77"/>
      <c r="G652" s="78"/>
      <c r="H652" s="79"/>
      <c r="I652" s="79"/>
      <c r="J652" s="79"/>
      <c r="K652" s="79"/>
      <c r="L652" s="79"/>
      <c r="M652" s="76"/>
      <c r="N652" s="77"/>
      <c r="O652" s="79"/>
      <c r="P652" s="80"/>
      <c r="Q652" s="78"/>
    </row>
    <row r="653" spans="1:17" ht="15" customHeight="1">
      <c r="A653" s="76"/>
      <c r="B653" s="80"/>
      <c r="C653" s="78"/>
      <c r="D653" s="78"/>
      <c r="E653" s="78"/>
      <c r="F653" s="77"/>
      <c r="G653" s="78"/>
      <c r="H653" s="79"/>
      <c r="I653" s="79"/>
      <c r="J653" s="79"/>
      <c r="K653" s="79"/>
      <c r="L653" s="79"/>
      <c r="M653" s="76"/>
      <c r="N653" s="77"/>
      <c r="O653" s="79"/>
      <c r="P653" s="80"/>
      <c r="Q653" s="78"/>
    </row>
    <row r="654" spans="1:17" ht="15" customHeight="1">
      <c r="A654" s="76"/>
      <c r="B654" s="80"/>
      <c r="C654" s="78"/>
      <c r="D654" s="78"/>
      <c r="E654" s="78"/>
      <c r="F654" s="77"/>
      <c r="G654" s="78"/>
      <c r="H654" s="79"/>
      <c r="I654" s="79"/>
      <c r="J654" s="79"/>
      <c r="K654" s="79"/>
      <c r="L654" s="79"/>
      <c r="M654" s="76"/>
      <c r="N654" s="77"/>
      <c r="O654" s="79"/>
      <c r="P654" s="80"/>
      <c r="Q654" s="78"/>
    </row>
    <row r="655" spans="1:17" ht="15" customHeight="1">
      <c r="A655" s="76"/>
      <c r="B655" s="80"/>
      <c r="C655" s="78"/>
      <c r="D655" s="78"/>
      <c r="E655" s="78"/>
      <c r="F655" s="77"/>
      <c r="G655" s="78"/>
      <c r="H655" s="79"/>
      <c r="I655" s="79"/>
      <c r="J655" s="79"/>
      <c r="K655" s="79"/>
      <c r="L655" s="79"/>
      <c r="M655" s="76"/>
      <c r="N655" s="77"/>
      <c r="O655" s="79"/>
      <c r="P655" s="80"/>
      <c r="Q655" s="78"/>
    </row>
    <row r="656" spans="1:17" ht="15" customHeight="1">
      <c r="A656" s="76"/>
      <c r="B656" s="80"/>
      <c r="C656" s="78"/>
      <c r="D656" s="78"/>
      <c r="E656" s="78"/>
      <c r="F656" s="77"/>
      <c r="G656" s="78"/>
      <c r="H656" s="79"/>
      <c r="I656" s="79"/>
      <c r="J656" s="79"/>
      <c r="K656" s="79"/>
      <c r="L656" s="79"/>
      <c r="M656" s="76"/>
      <c r="N656" s="77"/>
      <c r="O656" s="79"/>
      <c r="P656" s="80"/>
      <c r="Q656" s="78"/>
    </row>
    <row r="657" spans="1:17" ht="15" customHeight="1">
      <c r="A657" s="76"/>
      <c r="B657" s="80"/>
      <c r="C657" s="78"/>
      <c r="D657" s="78"/>
      <c r="E657" s="78"/>
      <c r="F657" s="77"/>
      <c r="G657" s="78"/>
      <c r="H657" s="79"/>
      <c r="I657" s="79"/>
      <c r="J657" s="79"/>
      <c r="K657" s="79"/>
      <c r="L657" s="79"/>
      <c r="M657" s="76"/>
      <c r="N657" s="77"/>
      <c r="O657" s="79"/>
      <c r="P657" s="80"/>
      <c r="Q657" s="78"/>
    </row>
    <row r="658" spans="1:17" ht="15" customHeight="1">
      <c r="A658" s="76"/>
      <c r="B658" s="80"/>
      <c r="C658" s="78"/>
      <c r="D658" s="78"/>
      <c r="E658" s="78"/>
      <c r="F658" s="77"/>
      <c r="G658" s="78"/>
      <c r="H658" s="79"/>
      <c r="I658" s="79"/>
      <c r="J658" s="79"/>
      <c r="K658" s="79"/>
      <c r="L658" s="79"/>
      <c r="M658" s="76"/>
      <c r="N658" s="77"/>
      <c r="O658" s="79"/>
      <c r="P658" s="80"/>
      <c r="Q658" s="78"/>
    </row>
    <row r="659" spans="1:17" ht="15" customHeight="1">
      <c r="A659" s="76"/>
      <c r="B659" s="80"/>
      <c r="C659" s="78"/>
      <c r="D659" s="78"/>
      <c r="E659" s="78"/>
      <c r="F659" s="77"/>
      <c r="G659" s="78"/>
      <c r="H659" s="79"/>
      <c r="I659" s="79"/>
      <c r="J659" s="79"/>
      <c r="K659" s="79"/>
      <c r="L659" s="79"/>
      <c r="M659" s="76"/>
      <c r="N659" s="77"/>
      <c r="O659" s="79"/>
      <c r="P659" s="80"/>
      <c r="Q659" s="78"/>
    </row>
    <row r="660" spans="1:17" ht="15" customHeight="1">
      <c r="A660" s="76"/>
      <c r="B660" s="80"/>
      <c r="C660" s="78"/>
      <c r="D660" s="78"/>
      <c r="E660" s="78"/>
      <c r="F660" s="77"/>
      <c r="G660" s="78"/>
      <c r="H660" s="79"/>
      <c r="I660" s="79"/>
      <c r="J660" s="79"/>
      <c r="K660" s="79"/>
      <c r="L660" s="79"/>
      <c r="M660" s="76"/>
      <c r="N660" s="77"/>
      <c r="O660" s="79"/>
      <c r="P660" s="80"/>
      <c r="Q660" s="78"/>
    </row>
    <row r="661" spans="1:17" ht="15" customHeight="1">
      <c r="A661" s="76"/>
      <c r="B661" s="80"/>
      <c r="C661" s="78"/>
      <c r="D661" s="78"/>
      <c r="E661" s="78"/>
      <c r="F661" s="77"/>
      <c r="G661" s="78"/>
      <c r="H661" s="79"/>
      <c r="I661" s="79"/>
      <c r="J661" s="79"/>
      <c r="K661" s="79"/>
      <c r="L661" s="79"/>
      <c r="M661" s="76"/>
      <c r="N661" s="77"/>
      <c r="O661" s="79"/>
      <c r="P661" s="80"/>
      <c r="Q661" s="78"/>
    </row>
    <row r="662" spans="1:17" ht="15" customHeight="1">
      <c r="A662" s="76"/>
      <c r="B662" s="80"/>
      <c r="C662" s="78"/>
      <c r="D662" s="78"/>
      <c r="E662" s="78"/>
      <c r="F662" s="77"/>
      <c r="G662" s="78"/>
      <c r="H662" s="79"/>
      <c r="I662" s="79"/>
      <c r="J662" s="79"/>
      <c r="K662" s="79"/>
      <c r="L662" s="79"/>
      <c r="M662" s="76"/>
      <c r="N662" s="77"/>
      <c r="O662" s="79"/>
      <c r="P662" s="80"/>
      <c r="Q662" s="78"/>
    </row>
    <row r="663" spans="1:17" ht="15" customHeight="1">
      <c r="A663" s="76"/>
      <c r="B663" s="80"/>
      <c r="C663" s="78"/>
      <c r="D663" s="78"/>
      <c r="E663" s="78"/>
      <c r="F663" s="77"/>
      <c r="G663" s="78"/>
      <c r="H663" s="79"/>
      <c r="I663" s="79"/>
      <c r="J663" s="79"/>
      <c r="K663" s="79"/>
      <c r="L663" s="79"/>
      <c r="M663" s="76"/>
      <c r="N663" s="77"/>
      <c r="O663" s="79"/>
      <c r="P663" s="80"/>
      <c r="Q663" s="78"/>
    </row>
    <row r="664" spans="1:17" ht="15" customHeight="1">
      <c r="A664" s="76"/>
      <c r="B664" s="80"/>
      <c r="C664" s="78"/>
      <c r="D664" s="78"/>
      <c r="E664" s="78"/>
      <c r="F664" s="77"/>
      <c r="G664" s="78"/>
      <c r="H664" s="79"/>
      <c r="I664" s="79"/>
      <c r="J664" s="79"/>
      <c r="K664" s="79"/>
      <c r="L664" s="79"/>
      <c r="M664" s="76"/>
      <c r="N664" s="77"/>
      <c r="O664" s="79"/>
      <c r="P664" s="80"/>
      <c r="Q664" s="78"/>
    </row>
    <row r="665" spans="1:17" ht="15" customHeight="1">
      <c r="A665" s="76"/>
      <c r="B665" s="80"/>
      <c r="C665" s="78"/>
      <c r="D665" s="78"/>
      <c r="E665" s="78"/>
      <c r="F665" s="77"/>
      <c r="G665" s="78"/>
      <c r="H665" s="79"/>
      <c r="I665" s="79"/>
      <c r="J665" s="79"/>
      <c r="K665" s="79"/>
      <c r="L665" s="79"/>
      <c r="M665" s="76"/>
      <c r="N665" s="77"/>
      <c r="O665" s="79"/>
      <c r="P665" s="80"/>
      <c r="Q665" s="78"/>
    </row>
    <row r="666" spans="1:17" ht="15" customHeight="1">
      <c r="A666" s="76"/>
      <c r="B666" s="80"/>
      <c r="C666" s="78"/>
      <c r="D666" s="78"/>
      <c r="E666" s="78"/>
      <c r="F666" s="77"/>
      <c r="G666" s="78"/>
      <c r="H666" s="79"/>
      <c r="I666" s="79"/>
      <c r="J666" s="79"/>
      <c r="K666" s="79"/>
      <c r="L666" s="79"/>
      <c r="M666" s="76"/>
      <c r="N666" s="77"/>
      <c r="O666" s="79"/>
      <c r="P666" s="80"/>
      <c r="Q666" s="78"/>
    </row>
    <row r="667" spans="1:17" ht="15" customHeight="1">
      <c r="A667" s="76"/>
      <c r="B667" s="80"/>
      <c r="C667" s="78"/>
      <c r="D667" s="78"/>
      <c r="E667" s="78"/>
      <c r="F667" s="77"/>
      <c r="G667" s="78"/>
      <c r="H667" s="79"/>
      <c r="I667" s="79"/>
      <c r="J667" s="79"/>
      <c r="K667" s="79"/>
      <c r="L667" s="79"/>
      <c r="M667" s="76"/>
      <c r="N667" s="77"/>
      <c r="O667" s="79"/>
      <c r="P667" s="80"/>
      <c r="Q667" s="78"/>
    </row>
    <row r="668" spans="1:17" ht="15" customHeight="1">
      <c r="A668" s="76"/>
      <c r="B668" s="80"/>
      <c r="C668" s="78"/>
      <c r="D668" s="78"/>
      <c r="E668" s="78"/>
      <c r="F668" s="77"/>
      <c r="G668" s="78"/>
      <c r="H668" s="79"/>
      <c r="I668" s="79"/>
      <c r="J668" s="79"/>
      <c r="K668" s="79"/>
      <c r="L668" s="79"/>
      <c r="M668" s="76"/>
      <c r="N668" s="77"/>
      <c r="O668" s="79"/>
      <c r="P668" s="80"/>
      <c r="Q668" s="78"/>
    </row>
    <row r="669" spans="1:17" ht="15" customHeight="1">
      <c r="A669" s="76"/>
      <c r="B669" s="80"/>
      <c r="C669" s="78"/>
      <c r="D669" s="78"/>
      <c r="E669" s="78"/>
      <c r="F669" s="77"/>
      <c r="G669" s="78"/>
      <c r="H669" s="79"/>
      <c r="I669" s="79"/>
      <c r="J669" s="79"/>
      <c r="K669" s="79"/>
      <c r="L669" s="79"/>
      <c r="M669" s="76"/>
      <c r="N669" s="77"/>
      <c r="O669" s="79"/>
      <c r="P669" s="80"/>
      <c r="Q669" s="78"/>
    </row>
    <row r="670" spans="1:17" ht="15" customHeight="1">
      <c r="A670" s="76"/>
      <c r="B670" s="80"/>
      <c r="C670" s="78"/>
      <c r="D670" s="78"/>
      <c r="E670" s="78"/>
      <c r="F670" s="77"/>
      <c r="G670" s="78"/>
      <c r="H670" s="79"/>
      <c r="I670" s="79"/>
      <c r="J670" s="79"/>
      <c r="K670" s="79"/>
      <c r="L670" s="79"/>
      <c r="M670" s="76"/>
      <c r="N670" s="77"/>
      <c r="O670" s="79"/>
      <c r="P670" s="80"/>
      <c r="Q670" s="78"/>
    </row>
    <row r="671" spans="1:17" ht="15" customHeight="1">
      <c r="A671" s="76"/>
      <c r="B671" s="80"/>
      <c r="C671" s="78"/>
      <c r="D671" s="78"/>
      <c r="E671" s="78"/>
      <c r="F671" s="77"/>
      <c r="G671" s="78"/>
      <c r="H671" s="79"/>
      <c r="I671" s="79"/>
      <c r="J671" s="79"/>
      <c r="K671" s="79"/>
      <c r="L671" s="79"/>
      <c r="M671" s="76"/>
      <c r="N671" s="77"/>
      <c r="O671" s="79"/>
      <c r="P671" s="80"/>
      <c r="Q671" s="78"/>
    </row>
    <row r="672" spans="1:17" ht="15" customHeight="1">
      <c r="A672" s="76"/>
      <c r="B672" s="80"/>
      <c r="C672" s="78"/>
      <c r="D672" s="78"/>
      <c r="E672" s="78"/>
      <c r="F672" s="77"/>
      <c r="G672" s="78"/>
      <c r="H672" s="79"/>
      <c r="I672" s="79"/>
      <c r="J672" s="79"/>
      <c r="K672" s="79"/>
      <c r="L672" s="79"/>
      <c r="M672" s="76"/>
      <c r="N672" s="77"/>
      <c r="O672" s="79"/>
      <c r="P672" s="80"/>
      <c r="Q672" s="78"/>
    </row>
    <row r="673" spans="1:17" ht="15" customHeight="1">
      <c r="A673" s="76"/>
      <c r="B673" s="80"/>
      <c r="C673" s="78"/>
      <c r="D673" s="78"/>
      <c r="E673" s="78"/>
      <c r="F673" s="77"/>
      <c r="G673" s="78"/>
      <c r="H673" s="79"/>
      <c r="I673" s="79"/>
      <c r="J673" s="79"/>
      <c r="K673" s="79"/>
      <c r="L673" s="79"/>
      <c r="M673" s="76"/>
      <c r="N673" s="77"/>
      <c r="O673" s="79"/>
      <c r="P673" s="80"/>
      <c r="Q673" s="78"/>
    </row>
    <row r="674" spans="1:17" ht="15" customHeight="1">
      <c r="A674" s="76"/>
      <c r="B674" s="80"/>
      <c r="C674" s="78"/>
      <c r="D674" s="78"/>
      <c r="E674" s="78"/>
      <c r="F674" s="77"/>
      <c r="G674" s="78"/>
      <c r="H674" s="79"/>
      <c r="I674" s="79"/>
      <c r="J674" s="79"/>
      <c r="K674" s="79"/>
      <c r="L674" s="79"/>
      <c r="M674" s="76"/>
      <c r="N674" s="77"/>
      <c r="O674" s="79"/>
      <c r="P674" s="80"/>
      <c r="Q674" s="78"/>
    </row>
    <row r="675" spans="1:17" ht="15" customHeight="1">
      <c r="A675" s="76"/>
      <c r="B675" s="80"/>
      <c r="C675" s="78"/>
      <c r="D675" s="78"/>
      <c r="E675" s="78"/>
      <c r="F675" s="77"/>
      <c r="G675" s="78"/>
      <c r="H675" s="79"/>
      <c r="I675" s="79"/>
      <c r="J675" s="79"/>
      <c r="K675" s="79"/>
      <c r="L675" s="79"/>
      <c r="M675" s="76"/>
      <c r="N675" s="77"/>
      <c r="O675" s="79"/>
      <c r="P675" s="80"/>
      <c r="Q675" s="78"/>
    </row>
    <row r="676" spans="1:17" ht="15" customHeight="1">
      <c r="A676" s="76"/>
      <c r="B676" s="80"/>
      <c r="C676" s="78"/>
      <c r="D676" s="78"/>
      <c r="E676" s="78"/>
      <c r="F676" s="77"/>
      <c r="G676" s="78"/>
      <c r="H676" s="79"/>
      <c r="I676" s="79"/>
      <c r="J676" s="79"/>
      <c r="K676" s="79"/>
      <c r="L676" s="79"/>
      <c r="M676" s="76"/>
      <c r="N676" s="77"/>
      <c r="O676" s="79"/>
      <c r="P676" s="80"/>
      <c r="Q676" s="78"/>
    </row>
    <row r="677" spans="1:17" ht="15" customHeight="1">
      <c r="A677" s="76"/>
      <c r="B677" s="80"/>
      <c r="C677" s="78"/>
      <c r="D677" s="78"/>
      <c r="E677" s="78"/>
      <c r="F677" s="77"/>
      <c r="G677" s="78"/>
      <c r="H677" s="79"/>
      <c r="I677" s="79"/>
      <c r="J677" s="79"/>
      <c r="K677" s="79"/>
      <c r="L677" s="79"/>
      <c r="M677" s="76"/>
      <c r="N677" s="77"/>
      <c r="O677" s="79"/>
      <c r="P677" s="80"/>
      <c r="Q677" s="78"/>
    </row>
    <row r="678" spans="1:17" ht="15" customHeight="1">
      <c r="A678" s="76"/>
      <c r="B678" s="80"/>
      <c r="C678" s="78"/>
      <c r="D678" s="78"/>
      <c r="E678" s="78"/>
      <c r="F678" s="77"/>
      <c r="G678" s="78"/>
      <c r="H678" s="79"/>
      <c r="I678" s="79"/>
      <c r="J678" s="79"/>
      <c r="K678" s="79"/>
      <c r="L678" s="79"/>
      <c r="M678" s="76"/>
      <c r="N678" s="77"/>
      <c r="O678" s="79"/>
      <c r="P678" s="80"/>
      <c r="Q678" s="78"/>
    </row>
    <row r="679" spans="1:17" ht="15" customHeight="1">
      <c r="A679" s="76"/>
      <c r="B679" s="80"/>
      <c r="C679" s="78"/>
      <c r="D679" s="78"/>
      <c r="E679" s="78"/>
      <c r="F679" s="77"/>
      <c r="G679" s="78"/>
      <c r="H679" s="79"/>
      <c r="I679" s="79"/>
      <c r="J679" s="79"/>
      <c r="K679" s="79"/>
      <c r="L679" s="79"/>
      <c r="M679" s="76"/>
      <c r="N679" s="77"/>
      <c r="O679" s="79"/>
      <c r="P679" s="80"/>
      <c r="Q679" s="78"/>
    </row>
    <row r="680" spans="1:17" ht="15" customHeight="1">
      <c r="A680" s="76"/>
      <c r="B680" s="80"/>
      <c r="C680" s="78"/>
      <c r="D680" s="78"/>
      <c r="E680" s="78"/>
      <c r="F680" s="77"/>
      <c r="G680" s="78"/>
      <c r="H680" s="79"/>
      <c r="I680" s="79"/>
      <c r="J680" s="79"/>
      <c r="K680" s="79"/>
      <c r="L680" s="79"/>
      <c r="M680" s="76"/>
      <c r="N680" s="77"/>
      <c r="O680" s="79"/>
      <c r="P680" s="80"/>
      <c r="Q680" s="78"/>
    </row>
    <row r="681" spans="1:17" ht="15" customHeight="1">
      <c r="A681" s="76"/>
      <c r="B681" s="80"/>
      <c r="C681" s="78"/>
      <c r="D681" s="78"/>
      <c r="E681" s="78"/>
      <c r="F681" s="77"/>
      <c r="G681" s="78"/>
      <c r="H681" s="79"/>
      <c r="I681" s="79"/>
      <c r="J681" s="79"/>
      <c r="K681" s="79"/>
      <c r="L681" s="79"/>
      <c r="M681" s="76"/>
      <c r="N681" s="77"/>
      <c r="O681" s="79"/>
      <c r="P681" s="80"/>
      <c r="Q681" s="78"/>
    </row>
    <row r="682" spans="1:17" ht="15" customHeight="1">
      <c r="A682" s="76"/>
      <c r="B682" s="80"/>
      <c r="C682" s="78"/>
      <c r="D682" s="78"/>
      <c r="E682" s="78"/>
      <c r="F682" s="77"/>
      <c r="G682" s="78"/>
      <c r="H682" s="79"/>
      <c r="I682" s="79"/>
      <c r="J682" s="79"/>
      <c r="K682" s="79"/>
      <c r="L682" s="79"/>
      <c r="M682" s="76"/>
      <c r="N682" s="77"/>
      <c r="O682" s="79"/>
      <c r="P682" s="80"/>
      <c r="Q682" s="78"/>
    </row>
    <row r="683" spans="1:17" ht="15" customHeight="1">
      <c r="A683" s="76"/>
      <c r="B683" s="80"/>
      <c r="C683" s="78"/>
      <c r="D683" s="78"/>
      <c r="E683" s="78"/>
      <c r="F683" s="77"/>
      <c r="G683" s="78"/>
      <c r="H683" s="79"/>
      <c r="I683" s="79"/>
      <c r="J683" s="79"/>
      <c r="K683" s="79"/>
      <c r="L683" s="79"/>
      <c r="M683" s="76"/>
      <c r="N683" s="77"/>
      <c r="O683" s="79"/>
      <c r="P683" s="80"/>
      <c r="Q683" s="78"/>
    </row>
    <row r="684" spans="1:17" ht="15" customHeight="1">
      <c r="A684" s="76"/>
      <c r="B684" s="80"/>
      <c r="C684" s="78"/>
      <c r="D684" s="78"/>
      <c r="E684" s="78"/>
      <c r="F684" s="77"/>
      <c r="G684" s="78"/>
      <c r="H684" s="79"/>
      <c r="I684" s="79"/>
      <c r="J684" s="79"/>
      <c r="K684" s="79"/>
      <c r="L684" s="79"/>
      <c r="M684" s="76"/>
      <c r="N684" s="77"/>
      <c r="O684" s="79"/>
      <c r="P684" s="80"/>
      <c r="Q684" s="78"/>
    </row>
    <row r="685" spans="1:17" ht="15" customHeight="1">
      <c r="A685" s="76"/>
      <c r="B685" s="80"/>
      <c r="C685" s="78"/>
      <c r="D685" s="78"/>
      <c r="E685" s="78"/>
      <c r="F685" s="77"/>
      <c r="G685" s="78"/>
      <c r="H685" s="79"/>
      <c r="I685" s="79"/>
      <c r="J685" s="79"/>
      <c r="K685" s="79"/>
      <c r="L685" s="79"/>
      <c r="M685" s="76"/>
      <c r="N685" s="77"/>
      <c r="O685" s="79"/>
      <c r="P685" s="80"/>
      <c r="Q685" s="78"/>
    </row>
    <row r="686" spans="1:17" ht="15" customHeight="1">
      <c r="A686" s="76"/>
      <c r="B686" s="80"/>
      <c r="C686" s="78"/>
      <c r="D686" s="78"/>
      <c r="E686" s="78"/>
      <c r="F686" s="77"/>
      <c r="G686" s="78"/>
      <c r="H686" s="79"/>
      <c r="I686" s="79"/>
      <c r="J686" s="79"/>
      <c r="K686" s="79"/>
      <c r="L686" s="79"/>
      <c r="M686" s="76"/>
      <c r="N686" s="77"/>
      <c r="O686" s="79"/>
      <c r="P686" s="80"/>
      <c r="Q686" s="78"/>
    </row>
    <row r="687" spans="1:17" ht="15" customHeight="1">
      <c r="A687" s="76"/>
      <c r="B687" s="80"/>
      <c r="C687" s="78"/>
      <c r="D687" s="78"/>
      <c r="E687" s="78"/>
      <c r="F687" s="77"/>
      <c r="G687" s="78"/>
      <c r="H687" s="79"/>
      <c r="I687" s="79"/>
      <c r="J687" s="79"/>
      <c r="K687" s="79"/>
      <c r="L687" s="79"/>
      <c r="M687" s="76"/>
      <c r="N687" s="77"/>
      <c r="O687" s="79"/>
      <c r="P687" s="80"/>
      <c r="Q687" s="78"/>
    </row>
    <row r="688" spans="1:17" ht="15" customHeight="1">
      <c r="A688" s="76"/>
      <c r="B688" s="80"/>
      <c r="C688" s="78"/>
      <c r="D688" s="78"/>
      <c r="E688" s="78"/>
      <c r="F688" s="77"/>
      <c r="G688" s="78"/>
      <c r="H688" s="79"/>
      <c r="I688" s="79"/>
      <c r="J688" s="79"/>
      <c r="K688" s="79"/>
      <c r="L688" s="79"/>
      <c r="M688" s="76"/>
      <c r="N688" s="77"/>
      <c r="O688" s="79"/>
      <c r="P688" s="80"/>
      <c r="Q688" s="78"/>
    </row>
    <row r="689" spans="1:17" ht="15" customHeight="1">
      <c r="A689" s="76"/>
      <c r="B689" s="80"/>
      <c r="C689" s="78"/>
      <c r="D689" s="78"/>
      <c r="E689" s="78"/>
      <c r="F689" s="77"/>
      <c r="G689" s="78"/>
      <c r="H689" s="79"/>
      <c r="I689" s="79"/>
      <c r="J689" s="79"/>
      <c r="K689" s="79"/>
      <c r="L689" s="79"/>
      <c r="M689" s="76"/>
      <c r="N689" s="77"/>
      <c r="O689" s="79"/>
      <c r="P689" s="80"/>
      <c r="Q689" s="78"/>
    </row>
    <row r="690" spans="1:17" ht="15" customHeight="1">
      <c r="A690" s="76"/>
      <c r="B690" s="80"/>
      <c r="C690" s="78"/>
      <c r="D690" s="78"/>
      <c r="E690" s="78"/>
      <c r="F690" s="77"/>
      <c r="G690" s="78"/>
      <c r="H690" s="79"/>
      <c r="I690" s="79"/>
      <c r="J690" s="79"/>
      <c r="K690" s="79"/>
      <c r="L690" s="79"/>
      <c r="M690" s="76"/>
      <c r="N690" s="77"/>
      <c r="O690" s="79"/>
      <c r="P690" s="80"/>
      <c r="Q690" s="78"/>
    </row>
    <row r="691" spans="1:17" ht="15" customHeight="1">
      <c r="A691" s="76"/>
      <c r="B691" s="80"/>
      <c r="C691" s="78"/>
      <c r="D691" s="78"/>
      <c r="E691" s="78"/>
      <c r="F691" s="77"/>
      <c r="G691" s="78"/>
      <c r="H691" s="79"/>
      <c r="I691" s="79"/>
      <c r="J691" s="79"/>
      <c r="K691" s="79"/>
      <c r="L691" s="79"/>
      <c r="M691" s="76"/>
      <c r="N691" s="77"/>
      <c r="O691" s="79"/>
      <c r="P691" s="80"/>
      <c r="Q691" s="78"/>
    </row>
    <row r="692" spans="1:17" ht="15" customHeight="1">
      <c r="A692" s="76"/>
      <c r="B692" s="80"/>
      <c r="C692" s="78"/>
      <c r="D692" s="78"/>
      <c r="E692" s="78"/>
      <c r="F692" s="77"/>
      <c r="G692" s="78"/>
      <c r="H692" s="79"/>
      <c r="I692" s="79"/>
      <c r="J692" s="79"/>
      <c r="K692" s="79"/>
      <c r="L692" s="79"/>
      <c r="M692" s="76"/>
      <c r="N692" s="77"/>
      <c r="O692" s="79"/>
      <c r="P692" s="80"/>
      <c r="Q692" s="78"/>
    </row>
    <row r="693" spans="1:17" ht="15" customHeight="1">
      <c r="A693" s="76"/>
      <c r="B693" s="80"/>
      <c r="C693" s="78"/>
      <c r="D693" s="78"/>
      <c r="E693" s="78"/>
      <c r="F693" s="77"/>
      <c r="G693" s="78"/>
      <c r="H693" s="79"/>
      <c r="I693" s="79"/>
      <c r="J693" s="79"/>
      <c r="K693" s="79"/>
      <c r="L693" s="79"/>
      <c r="M693" s="76"/>
      <c r="N693" s="77"/>
      <c r="O693" s="79"/>
      <c r="P693" s="80"/>
      <c r="Q693" s="78"/>
    </row>
    <row r="694" spans="1:17" ht="15" customHeight="1">
      <c r="A694" s="76"/>
      <c r="B694" s="80"/>
      <c r="C694" s="78"/>
      <c r="D694" s="78"/>
      <c r="E694" s="78"/>
      <c r="F694" s="77"/>
      <c r="G694" s="78"/>
      <c r="H694" s="79"/>
      <c r="I694" s="79"/>
      <c r="J694" s="79"/>
      <c r="K694" s="79"/>
      <c r="L694" s="79"/>
      <c r="M694" s="76"/>
      <c r="N694" s="77"/>
      <c r="O694" s="79"/>
      <c r="P694" s="80"/>
      <c r="Q694" s="78"/>
    </row>
    <row r="695" spans="1:17" ht="15" customHeight="1">
      <c r="A695" s="76"/>
      <c r="B695" s="80"/>
      <c r="C695" s="78"/>
      <c r="D695" s="78"/>
      <c r="E695" s="78"/>
      <c r="F695" s="77"/>
      <c r="G695" s="78"/>
      <c r="H695" s="79"/>
      <c r="I695" s="79"/>
      <c r="J695" s="79"/>
      <c r="K695" s="79"/>
      <c r="L695" s="79"/>
      <c r="M695" s="76"/>
      <c r="N695" s="77"/>
      <c r="O695" s="79"/>
      <c r="P695" s="80"/>
      <c r="Q695" s="78"/>
    </row>
    <row r="696" spans="1:17" ht="15" customHeight="1">
      <c r="A696" s="76"/>
      <c r="B696" s="80"/>
      <c r="C696" s="78"/>
      <c r="D696" s="78"/>
      <c r="E696" s="78"/>
      <c r="F696" s="77"/>
      <c r="G696" s="78"/>
      <c r="H696" s="79"/>
      <c r="I696" s="79"/>
      <c r="J696" s="79"/>
      <c r="K696" s="79"/>
      <c r="L696" s="79"/>
      <c r="M696" s="76"/>
      <c r="N696" s="77"/>
      <c r="O696" s="79"/>
      <c r="P696" s="80"/>
      <c r="Q696" s="78"/>
    </row>
    <row r="697" spans="1:17" ht="15" customHeight="1">
      <c r="A697" s="76"/>
      <c r="B697" s="80"/>
      <c r="C697" s="78"/>
      <c r="D697" s="78"/>
      <c r="E697" s="78"/>
      <c r="F697" s="77"/>
      <c r="G697" s="78"/>
      <c r="H697" s="79"/>
      <c r="I697" s="79"/>
      <c r="J697" s="79"/>
      <c r="K697" s="79"/>
      <c r="L697" s="79"/>
      <c r="M697" s="76"/>
      <c r="N697" s="77"/>
      <c r="O697" s="79"/>
      <c r="P697" s="80"/>
      <c r="Q697" s="78"/>
    </row>
    <row r="698" spans="1:17" ht="15" customHeight="1">
      <c r="A698" s="76"/>
      <c r="B698" s="80"/>
      <c r="C698" s="78"/>
      <c r="D698" s="78"/>
      <c r="E698" s="78"/>
      <c r="F698" s="77"/>
      <c r="G698" s="78"/>
      <c r="H698" s="79"/>
      <c r="I698" s="79"/>
      <c r="J698" s="79"/>
      <c r="K698" s="79"/>
      <c r="L698" s="79"/>
      <c r="M698" s="76"/>
      <c r="N698" s="77"/>
      <c r="O698" s="79"/>
      <c r="P698" s="80"/>
      <c r="Q698" s="78"/>
    </row>
    <row r="699" spans="1:17" ht="15" customHeight="1">
      <c r="A699" s="76"/>
      <c r="B699" s="80"/>
      <c r="C699" s="78"/>
      <c r="D699" s="78"/>
      <c r="E699" s="78"/>
      <c r="F699" s="77"/>
      <c r="G699" s="78"/>
      <c r="H699" s="79"/>
      <c r="I699" s="79"/>
      <c r="J699" s="79"/>
      <c r="K699" s="79"/>
      <c r="L699" s="79"/>
      <c r="M699" s="76"/>
      <c r="N699" s="77"/>
      <c r="O699" s="79"/>
      <c r="P699" s="80"/>
      <c r="Q699" s="78"/>
    </row>
    <row r="700" spans="1:17" ht="15" customHeight="1">
      <c r="A700" s="76"/>
      <c r="B700" s="80"/>
      <c r="C700" s="78"/>
      <c r="D700" s="78"/>
      <c r="E700" s="78"/>
      <c r="F700" s="77"/>
      <c r="G700" s="78"/>
      <c r="H700" s="79"/>
      <c r="I700" s="79"/>
      <c r="J700" s="79"/>
      <c r="K700" s="79"/>
      <c r="L700" s="79"/>
      <c r="M700" s="76"/>
      <c r="N700" s="77"/>
      <c r="O700" s="79"/>
      <c r="P700" s="80"/>
      <c r="Q700" s="78"/>
    </row>
    <row r="701" spans="1:17" ht="15" customHeight="1">
      <c r="A701" s="76"/>
      <c r="B701" s="80"/>
      <c r="C701" s="78"/>
      <c r="D701" s="78"/>
      <c r="E701" s="78"/>
      <c r="F701" s="77"/>
      <c r="G701" s="78"/>
      <c r="H701" s="79"/>
      <c r="I701" s="79"/>
      <c r="J701" s="79"/>
      <c r="K701" s="79"/>
      <c r="L701" s="79"/>
      <c r="M701" s="76"/>
      <c r="N701" s="77"/>
      <c r="O701" s="79"/>
      <c r="P701" s="80"/>
      <c r="Q701" s="78"/>
    </row>
    <row r="702" spans="1:17" ht="15" customHeight="1">
      <c r="A702" s="76"/>
      <c r="B702" s="80"/>
      <c r="C702" s="78"/>
      <c r="D702" s="78"/>
      <c r="E702" s="78"/>
      <c r="F702" s="77"/>
      <c r="G702" s="78"/>
      <c r="H702" s="79"/>
      <c r="I702" s="79"/>
      <c r="J702" s="79"/>
      <c r="K702" s="79"/>
      <c r="L702" s="79"/>
      <c r="M702" s="76"/>
      <c r="N702" s="77"/>
      <c r="O702" s="79"/>
      <c r="P702" s="80"/>
      <c r="Q702" s="78"/>
    </row>
    <row r="703" spans="1:17" ht="15" customHeight="1">
      <c r="A703" s="76"/>
      <c r="B703" s="80"/>
      <c r="C703" s="78"/>
      <c r="D703" s="78"/>
      <c r="E703" s="78"/>
      <c r="F703" s="77"/>
      <c r="G703" s="78"/>
      <c r="H703" s="79"/>
      <c r="I703" s="79"/>
      <c r="J703" s="79"/>
      <c r="K703" s="79"/>
      <c r="L703" s="79"/>
      <c r="M703" s="76"/>
      <c r="N703" s="77"/>
      <c r="O703" s="79"/>
      <c r="P703" s="80"/>
      <c r="Q703" s="78"/>
    </row>
    <row r="704" spans="1:17" ht="15" customHeight="1">
      <c r="A704" s="76"/>
      <c r="B704" s="80"/>
      <c r="C704" s="78"/>
      <c r="D704" s="78"/>
      <c r="E704" s="78"/>
      <c r="F704" s="77"/>
      <c r="G704" s="78"/>
      <c r="H704" s="79"/>
      <c r="I704" s="79"/>
      <c r="J704" s="79"/>
      <c r="K704" s="79"/>
      <c r="L704" s="79"/>
      <c r="M704" s="76"/>
      <c r="N704" s="77"/>
      <c r="O704" s="79"/>
      <c r="P704" s="80"/>
      <c r="Q704" s="78"/>
    </row>
    <row r="705" spans="1:17" ht="15" customHeight="1">
      <c r="A705" s="76"/>
      <c r="B705" s="80"/>
      <c r="C705" s="78"/>
      <c r="D705" s="78"/>
      <c r="E705" s="78"/>
      <c r="F705" s="77"/>
      <c r="G705" s="78"/>
      <c r="H705" s="79"/>
      <c r="I705" s="79"/>
      <c r="J705" s="79"/>
      <c r="K705" s="79"/>
      <c r="L705" s="79"/>
      <c r="M705" s="76"/>
      <c r="N705" s="77"/>
      <c r="O705" s="79"/>
      <c r="P705" s="80"/>
      <c r="Q705" s="78"/>
    </row>
    <row r="706" spans="1:17" ht="15" customHeight="1">
      <c r="A706" s="76"/>
      <c r="B706" s="80"/>
      <c r="C706" s="78"/>
      <c r="D706" s="78"/>
      <c r="E706" s="78"/>
      <c r="F706" s="77"/>
      <c r="G706" s="78"/>
      <c r="H706" s="79"/>
      <c r="I706" s="79"/>
      <c r="J706" s="79"/>
      <c r="K706" s="79"/>
      <c r="L706" s="79"/>
      <c r="M706" s="76"/>
      <c r="N706" s="77"/>
      <c r="O706" s="79"/>
      <c r="P706" s="80"/>
      <c r="Q706" s="78"/>
    </row>
    <row r="707" spans="1:17" ht="15" customHeight="1">
      <c r="A707" s="76"/>
      <c r="B707" s="80"/>
      <c r="C707" s="78"/>
      <c r="D707" s="78"/>
      <c r="E707" s="78"/>
      <c r="F707" s="77"/>
      <c r="G707" s="78"/>
      <c r="H707" s="79"/>
      <c r="I707" s="79"/>
      <c r="J707" s="79"/>
      <c r="K707" s="79"/>
      <c r="L707" s="79"/>
      <c r="M707" s="76"/>
      <c r="N707" s="77"/>
      <c r="O707" s="79"/>
      <c r="P707" s="80"/>
      <c r="Q707" s="78"/>
    </row>
    <row r="708" spans="1:17" ht="15" customHeight="1">
      <c r="A708" s="76"/>
      <c r="B708" s="80"/>
      <c r="C708" s="78"/>
      <c r="D708" s="78"/>
      <c r="E708" s="78"/>
      <c r="F708" s="77"/>
      <c r="G708" s="78"/>
      <c r="H708" s="79"/>
      <c r="I708" s="79"/>
      <c r="J708" s="79"/>
      <c r="K708" s="79"/>
      <c r="L708" s="79"/>
      <c r="M708" s="76"/>
      <c r="N708" s="77"/>
      <c r="O708" s="79"/>
      <c r="P708" s="80"/>
      <c r="Q708" s="78"/>
    </row>
    <row r="709" spans="1:17" ht="15" customHeight="1">
      <c r="A709" s="76"/>
      <c r="B709" s="80"/>
      <c r="C709" s="78"/>
      <c r="D709" s="78"/>
      <c r="E709" s="78"/>
      <c r="F709" s="77"/>
      <c r="G709" s="78"/>
      <c r="H709" s="79"/>
      <c r="I709" s="79"/>
      <c r="J709" s="79"/>
      <c r="K709" s="79"/>
      <c r="L709" s="79"/>
      <c r="M709" s="76"/>
      <c r="N709" s="77"/>
      <c r="O709" s="79"/>
      <c r="P709" s="80"/>
      <c r="Q709" s="78"/>
    </row>
    <row r="710" spans="1:17" ht="15" customHeight="1">
      <c r="A710" s="76"/>
      <c r="B710" s="80"/>
      <c r="C710" s="78"/>
      <c r="D710" s="78"/>
      <c r="E710" s="78"/>
      <c r="F710" s="77"/>
      <c r="G710" s="78"/>
      <c r="H710" s="79"/>
      <c r="I710" s="79"/>
      <c r="J710" s="79"/>
      <c r="K710" s="79"/>
      <c r="L710" s="79"/>
      <c r="M710" s="76"/>
      <c r="N710" s="77"/>
      <c r="O710" s="79"/>
      <c r="P710" s="80"/>
      <c r="Q710" s="78"/>
    </row>
    <row r="711" spans="1:17" ht="15" customHeight="1">
      <c r="A711" s="76"/>
      <c r="B711" s="80"/>
      <c r="C711" s="78"/>
      <c r="D711" s="78"/>
      <c r="E711" s="78"/>
      <c r="F711" s="77"/>
      <c r="G711" s="78"/>
      <c r="H711" s="79"/>
      <c r="I711" s="79"/>
      <c r="J711" s="79"/>
      <c r="K711" s="79"/>
      <c r="L711" s="79"/>
      <c r="M711" s="76"/>
      <c r="N711" s="77"/>
      <c r="O711" s="79"/>
      <c r="P711" s="80"/>
      <c r="Q711" s="78"/>
    </row>
    <row r="712" spans="1:17" ht="15" customHeight="1">
      <c r="A712" s="76"/>
      <c r="B712" s="80"/>
      <c r="C712" s="78"/>
      <c r="D712" s="78"/>
      <c r="E712" s="78"/>
      <c r="F712" s="77"/>
      <c r="G712" s="78"/>
      <c r="H712" s="79"/>
      <c r="I712" s="79"/>
      <c r="J712" s="79"/>
      <c r="K712" s="79"/>
      <c r="L712" s="79"/>
      <c r="M712" s="76"/>
      <c r="N712" s="77"/>
      <c r="O712" s="79"/>
      <c r="P712" s="80"/>
      <c r="Q712" s="78"/>
    </row>
    <row r="713" spans="1:17" ht="15" customHeight="1">
      <c r="A713" s="76"/>
      <c r="B713" s="80"/>
      <c r="C713" s="78"/>
      <c r="D713" s="78"/>
      <c r="E713" s="78"/>
      <c r="F713" s="77"/>
      <c r="G713" s="78"/>
      <c r="H713" s="79"/>
      <c r="I713" s="79"/>
      <c r="J713" s="79"/>
      <c r="K713" s="79"/>
      <c r="L713" s="79"/>
      <c r="M713" s="76"/>
      <c r="N713" s="77"/>
      <c r="O713" s="79"/>
      <c r="P713" s="80"/>
      <c r="Q713" s="78"/>
    </row>
    <row r="714" spans="1:17" ht="15" customHeight="1">
      <c r="A714" s="76"/>
      <c r="B714" s="80"/>
      <c r="C714" s="78"/>
      <c r="D714" s="78"/>
      <c r="E714" s="78"/>
      <c r="F714" s="77"/>
      <c r="G714" s="78"/>
      <c r="H714" s="79"/>
      <c r="I714" s="79"/>
      <c r="J714" s="79"/>
      <c r="K714" s="79"/>
      <c r="L714" s="79"/>
      <c r="M714" s="76"/>
      <c r="N714" s="77"/>
      <c r="O714" s="79"/>
      <c r="P714" s="80"/>
      <c r="Q714" s="78"/>
    </row>
    <row r="715" spans="1:17" ht="15" customHeight="1">
      <c r="A715" s="76"/>
      <c r="B715" s="80"/>
      <c r="C715" s="78"/>
      <c r="D715" s="78"/>
      <c r="E715" s="78"/>
      <c r="F715" s="77"/>
      <c r="G715" s="78"/>
      <c r="H715" s="79"/>
      <c r="I715" s="79"/>
      <c r="J715" s="79"/>
      <c r="K715" s="79"/>
      <c r="L715" s="79"/>
      <c r="M715" s="76"/>
      <c r="N715" s="77"/>
      <c r="O715" s="79"/>
      <c r="P715" s="80"/>
      <c r="Q715" s="78"/>
    </row>
    <row r="716" spans="1:17" ht="15" customHeight="1">
      <c r="A716" s="76"/>
      <c r="B716" s="80"/>
      <c r="C716" s="78"/>
      <c r="D716" s="78"/>
      <c r="E716" s="78"/>
      <c r="F716" s="77"/>
      <c r="G716" s="78"/>
      <c r="H716" s="79"/>
      <c r="I716" s="79"/>
      <c r="J716" s="79"/>
      <c r="K716" s="79"/>
      <c r="L716" s="79"/>
      <c r="M716" s="76"/>
      <c r="N716" s="77"/>
      <c r="O716" s="79"/>
      <c r="P716" s="80"/>
      <c r="Q716" s="78"/>
    </row>
    <row r="717" spans="1:17" ht="15" customHeight="1">
      <c r="A717" s="76"/>
      <c r="B717" s="80"/>
      <c r="C717" s="78"/>
      <c r="D717" s="78"/>
      <c r="E717" s="78"/>
      <c r="F717" s="77"/>
      <c r="G717" s="78"/>
      <c r="H717" s="79"/>
      <c r="I717" s="79"/>
      <c r="J717" s="79"/>
      <c r="K717" s="79"/>
      <c r="L717" s="79"/>
      <c r="M717" s="76"/>
      <c r="N717" s="77"/>
      <c r="O717" s="79"/>
      <c r="P717" s="80"/>
      <c r="Q717" s="78"/>
    </row>
    <row r="718" spans="1:17" ht="15" customHeight="1">
      <c r="A718" s="76"/>
      <c r="B718" s="80"/>
      <c r="C718" s="78"/>
      <c r="D718" s="78"/>
      <c r="E718" s="78"/>
      <c r="F718" s="77"/>
      <c r="G718" s="78"/>
      <c r="H718" s="79"/>
      <c r="I718" s="79"/>
      <c r="J718" s="79"/>
      <c r="K718" s="79"/>
      <c r="L718" s="79"/>
      <c r="M718" s="76"/>
      <c r="N718" s="77"/>
      <c r="O718" s="79"/>
      <c r="P718" s="80"/>
      <c r="Q718" s="78"/>
    </row>
    <row r="719" spans="1:17" ht="15" customHeight="1">
      <c r="A719" s="76"/>
      <c r="B719" s="80"/>
      <c r="C719" s="78"/>
      <c r="D719" s="78"/>
      <c r="E719" s="78"/>
      <c r="F719" s="77"/>
      <c r="G719" s="78"/>
      <c r="H719" s="79"/>
      <c r="I719" s="79"/>
      <c r="J719" s="79"/>
      <c r="K719" s="79"/>
      <c r="L719" s="79"/>
      <c r="M719" s="76"/>
      <c r="N719" s="77"/>
      <c r="O719" s="79"/>
      <c r="P719" s="80"/>
      <c r="Q719" s="78"/>
    </row>
    <row r="720" spans="1:17" ht="15" customHeight="1">
      <c r="A720" s="76"/>
      <c r="B720" s="80"/>
      <c r="C720" s="78"/>
      <c r="D720" s="78"/>
      <c r="E720" s="78"/>
      <c r="F720" s="77"/>
      <c r="G720" s="78"/>
      <c r="H720" s="79"/>
      <c r="I720" s="79"/>
      <c r="J720" s="79"/>
      <c r="K720" s="79"/>
      <c r="L720" s="79"/>
      <c r="M720" s="76"/>
      <c r="N720" s="77"/>
      <c r="O720" s="79"/>
      <c r="P720" s="80"/>
      <c r="Q720" s="78"/>
    </row>
    <row r="721" spans="1:17" ht="15" customHeight="1">
      <c r="A721" s="76"/>
      <c r="B721" s="80"/>
      <c r="C721" s="78"/>
      <c r="D721" s="78"/>
      <c r="E721" s="78"/>
      <c r="F721" s="77"/>
      <c r="G721" s="78"/>
      <c r="H721" s="79"/>
      <c r="I721" s="79"/>
      <c r="J721" s="79"/>
      <c r="K721" s="79"/>
      <c r="L721" s="79"/>
      <c r="M721" s="76"/>
      <c r="N721" s="77"/>
      <c r="O721" s="79"/>
      <c r="P721" s="80"/>
      <c r="Q721" s="78"/>
    </row>
    <row r="722" spans="1:17" ht="15" customHeight="1">
      <c r="A722" s="76"/>
      <c r="B722" s="80"/>
      <c r="C722" s="78"/>
      <c r="D722" s="78"/>
      <c r="E722" s="78"/>
      <c r="F722" s="77"/>
      <c r="G722" s="78"/>
      <c r="H722" s="79"/>
      <c r="I722" s="79"/>
      <c r="J722" s="79"/>
      <c r="K722" s="79"/>
      <c r="L722" s="79"/>
      <c r="M722" s="76"/>
      <c r="N722" s="77"/>
      <c r="O722" s="79"/>
      <c r="P722" s="80"/>
      <c r="Q722" s="78"/>
    </row>
    <row r="723" spans="1:17" ht="15" customHeight="1">
      <c r="A723" s="76"/>
      <c r="B723" s="80"/>
      <c r="C723" s="78"/>
      <c r="D723" s="78"/>
      <c r="E723" s="78"/>
      <c r="F723" s="77"/>
      <c r="G723" s="78"/>
      <c r="H723" s="79"/>
      <c r="I723" s="79"/>
      <c r="J723" s="79"/>
      <c r="K723" s="79"/>
      <c r="L723" s="79"/>
      <c r="M723" s="76"/>
      <c r="N723" s="77"/>
      <c r="O723" s="79"/>
      <c r="P723" s="80"/>
      <c r="Q723" s="78"/>
    </row>
    <row r="724" spans="1:17" ht="15" customHeight="1">
      <c r="A724" s="76"/>
      <c r="B724" s="80"/>
      <c r="C724" s="78"/>
      <c r="D724" s="78"/>
      <c r="E724" s="78"/>
      <c r="F724" s="77"/>
      <c r="G724" s="78"/>
      <c r="H724" s="79"/>
      <c r="I724" s="79"/>
      <c r="J724" s="79"/>
      <c r="K724" s="79"/>
      <c r="L724" s="79"/>
      <c r="M724" s="76"/>
      <c r="N724" s="77"/>
      <c r="O724" s="79"/>
      <c r="P724" s="80"/>
      <c r="Q724" s="78"/>
    </row>
    <row r="725" spans="1:17" ht="15" customHeight="1">
      <c r="A725" s="76"/>
      <c r="B725" s="80"/>
      <c r="C725" s="78"/>
      <c r="D725" s="78"/>
      <c r="E725" s="78"/>
      <c r="F725" s="77"/>
      <c r="G725" s="78"/>
      <c r="H725" s="79"/>
      <c r="I725" s="79"/>
      <c r="J725" s="79"/>
      <c r="K725" s="79"/>
      <c r="L725" s="79"/>
      <c r="M725" s="76"/>
      <c r="N725" s="77"/>
      <c r="O725" s="79"/>
      <c r="P725" s="80"/>
      <c r="Q725" s="78"/>
    </row>
    <row r="726" spans="1:17" ht="15" customHeight="1">
      <c r="A726" s="76"/>
      <c r="B726" s="80"/>
      <c r="C726" s="78"/>
      <c r="D726" s="78"/>
      <c r="E726" s="78"/>
      <c r="F726" s="77"/>
      <c r="G726" s="78"/>
      <c r="H726" s="79"/>
      <c r="I726" s="79"/>
      <c r="J726" s="79"/>
      <c r="K726" s="79"/>
      <c r="L726" s="79"/>
      <c r="M726" s="76"/>
      <c r="N726" s="77"/>
      <c r="O726" s="79"/>
      <c r="P726" s="80"/>
      <c r="Q726" s="78"/>
    </row>
    <row r="727" spans="1:17" ht="15" customHeight="1">
      <c r="A727" s="76"/>
      <c r="B727" s="80"/>
      <c r="C727" s="78"/>
      <c r="D727" s="78"/>
      <c r="E727" s="78"/>
      <c r="F727" s="77"/>
      <c r="G727" s="78"/>
      <c r="H727" s="79"/>
      <c r="I727" s="79"/>
      <c r="J727" s="79"/>
      <c r="K727" s="79"/>
      <c r="L727" s="79"/>
      <c r="M727" s="76"/>
      <c r="N727" s="77"/>
      <c r="O727" s="79"/>
      <c r="P727" s="80"/>
      <c r="Q727" s="78"/>
    </row>
    <row r="728" spans="1:17" ht="15" customHeight="1">
      <c r="A728" s="76"/>
      <c r="B728" s="80"/>
      <c r="C728" s="78"/>
      <c r="D728" s="78"/>
      <c r="E728" s="78"/>
      <c r="F728" s="77"/>
      <c r="G728" s="78"/>
      <c r="H728" s="79"/>
      <c r="I728" s="79"/>
      <c r="J728" s="79"/>
      <c r="K728" s="79"/>
      <c r="L728" s="79"/>
      <c r="M728" s="76"/>
      <c r="N728" s="77"/>
      <c r="O728" s="79"/>
      <c r="P728" s="80"/>
      <c r="Q728" s="78"/>
    </row>
    <row r="729" spans="1:17" ht="15" customHeight="1">
      <c r="A729" s="76"/>
      <c r="B729" s="80"/>
      <c r="C729" s="78"/>
      <c r="D729" s="78"/>
      <c r="E729" s="78"/>
      <c r="F729" s="77"/>
      <c r="G729" s="78"/>
      <c r="H729" s="79"/>
      <c r="I729" s="79"/>
      <c r="J729" s="79"/>
      <c r="K729" s="79"/>
      <c r="L729" s="79"/>
      <c r="M729" s="76"/>
      <c r="N729" s="77"/>
      <c r="O729" s="79"/>
      <c r="P729" s="80"/>
      <c r="Q729" s="78"/>
    </row>
    <row r="730" spans="1:17" ht="15" customHeight="1">
      <c r="A730" s="76"/>
      <c r="B730" s="80"/>
      <c r="C730" s="78"/>
      <c r="D730" s="78"/>
      <c r="E730" s="78"/>
      <c r="F730" s="77"/>
      <c r="G730" s="78"/>
      <c r="H730" s="79"/>
      <c r="I730" s="79"/>
      <c r="J730" s="79"/>
      <c r="K730" s="79"/>
      <c r="L730" s="79"/>
      <c r="M730" s="76"/>
      <c r="N730" s="77"/>
      <c r="O730" s="79"/>
      <c r="P730" s="80"/>
      <c r="Q730" s="78"/>
    </row>
    <row r="731" spans="1:17" ht="15" customHeight="1">
      <c r="A731" s="76"/>
      <c r="B731" s="80"/>
      <c r="C731" s="78"/>
      <c r="D731" s="78"/>
      <c r="E731" s="78"/>
      <c r="F731" s="77"/>
      <c r="G731" s="78"/>
      <c r="H731" s="79"/>
      <c r="I731" s="79"/>
      <c r="J731" s="79"/>
      <c r="K731" s="79"/>
      <c r="L731" s="79"/>
      <c r="M731" s="76"/>
      <c r="N731" s="77"/>
      <c r="O731" s="79"/>
      <c r="P731" s="80"/>
      <c r="Q731" s="78"/>
    </row>
    <row r="732" spans="1:17" ht="15" customHeight="1">
      <c r="A732" s="76"/>
      <c r="B732" s="80"/>
      <c r="C732" s="78"/>
      <c r="D732" s="78"/>
      <c r="E732" s="78"/>
      <c r="F732" s="77"/>
      <c r="G732" s="78"/>
      <c r="H732" s="79"/>
      <c r="I732" s="79"/>
      <c r="J732" s="79"/>
      <c r="K732" s="79"/>
      <c r="L732" s="79"/>
      <c r="M732" s="76"/>
      <c r="N732" s="77"/>
      <c r="O732" s="79"/>
      <c r="P732" s="80"/>
      <c r="Q732" s="78"/>
    </row>
    <row r="733" spans="1:17" ht="15" customHeight="1">
      <c r="A733" s="76"/>
      <c r="B733" s="80"/>
      <c r="C733" s="78"/>
      <c r="D733" s="78"/>
      <c r="E733" s="78"/>
      <c r="F733" s="77"/>
      <c r="G733" s="78"/>
      <c r="H733" s="79"/>
      <c r="I733" s="79"/>
      <c r="J733" s="79"/>
      <c r="K733" s="79"/>
      <c r="L733" s="79"/>
      <c r="M733" s="76"/>
      <c r="N733" s="77"/>
      <c r="O733" s="79"/>
      <c r="P733" s="80"/>
      <c r="Q733" s="78"/>
    </row>
    <row r="734" spans="1:17" ht="15" customHeight="1">
      <c r="A734" s="76"/>
      <c r="B734" s="80"/>
      <c r="C734" s="78"/>
      <c r="D734" s="78"/>
      <c r="E734" s="78"/>
      <c r="F734" s="77"/>
      <c r="G734" s="78"/>
      <c r="H734" s="79"/>
      <c r="I734" s="79"/>
      <c r="J734" s="79"/>
      <c r="K734" s="79"/>
      <c r="L734" s="79"/>
      <c r="M734" s="76"/>
      <c r="N734" s="77"/>
      <c r="O734" s="79"/>
      <c r="P734" s="80"/>
      <c r="Q734" s="78"/>
    </row>
    <row r="735" spans="1:17" ht="15" customHeight="1">
      <c r="A735" s="76"/>
      <c r="B735" s="80"/>
      <c r="C735" s="78"/>
      <c r="D735" s="78"/>
      <c r="E735" s="78"/>
      <c r="F735" s="77"/>
      <c r="G735" s="78"/>
      <c r="H735" s="79"/>
      <c r="I735" s="79"/>
      <c r="J735" s="79"/>
      <c r="K735" s="79"/>
      <c r="L735" s="79"/>
      <c r="M735" s="76"/>
      <c r="N735" s="77"/>
      <c r="O735" s="79"/>
      <c r="P735" s="80"/>
      <c r="Q735" s="78"/>
    </row>
    <row r="736" spans="1:17" ht="15" customHeight="1">
      <c r="A736" s="76"/>
      <c r="B736" s="80"/>
      <c r="C736" s="78"/>
      <c r="D736" s="78"/>
      <c r="E736" s="78"/>
      <c r="F736" s="77"/>
      <c r="G736" s="78"/>
      <c r="H736" s="79"/>
      <c r="I736" s="79"/>
      <c r="J736" s="79"/>
      <c r="K736" s="79"/>
      <c r="L736" s="79"/>
      <c r="M736" s="76"/>
      <c r="N736" s="77"/>
      <c r="O736" s="79"/>
      <c r="P736" s="80"/>
      <c r="Q736" s="78"/>
    </row>
    <row r="737" spans="1:17" ht="15" customHeight="1">
      <c r="A737" s="76"/>
      <c r="B737" s="80"/>
      <c r="C737" s="78"/>
      <c r="D737" s="78"/>
      <c r="E737" s="78"/>
      <c r="F737" s="77"/>
      <c r="G737" s="78"/>
      <c r="H737" s="79"/>
      <c r="I737" s="79"/>
      <c r="J737" s="79"/>
      <c r="K737" s="79"/>
      <c r="L737" s="79"/>
      <c r="M737" s="76"/>
      <c r="N737" s="77"/>
      <c r="O737" s="79"/>
      <c r="P737" s="80"/>
      <c r="Q737" s="78"/>
    </row>
    <row r="738" spans="1:17" ht="15" customHeight="1">
      <c r="A738" s="76"/>
      <c r="B738" s="80"/>
      <c r="C738" s="78"/>
      <c r="D738" s="78"/>
      <c r="E738" s="78"/>
      <c r="F738" s="77"/>
      <c r="G738" s="78"/>
      <c r="H738" s="79"/>
      <c r="I738" s="79"/>
      <c r="J738" s="79"/>
      <c r="K738" s="79"/>
      <c r="L738" s="79"/>
      <c r="M738" s="76"/>
      <c r="N738" s="77"/>
      <c r="O738" s="79"/>
      <c r="P738" s="80"/>
      <c r="Q738" s="78"/>
    </row>
    <row r="739" spans="1:17" ht="15" customHeight="1">
      <c r="A739" s="76"/>
      <c r="B739" s="80"/>
      <c r="C739" s="78"/>
      <c r="D739" s="78"/>
      <c r="E739" s="78"/>
      <c r="F739" s="77"/>
      <c r="G739" s="78"/>
      <c r="H739" s="79"/>
      <c r="I739" s="79"/>
      <c r="J739" s="79"/>
      <c r="K739" s="79"/>
      <c r="L739" s="79"/>
      <c r="M739" s="76"/>
      <c r="N739" s="77"/>
      <c r="O739" s="79"/>
      <c r="P739" s="80"/>
      <c r="Q739" s="78"/>
    </row>
    <row r="740" spans="1:17" ht="15" customHeight="1">
      <c r="A740" s="76"/>
      <c r="B740" s="80"/>
      <c r="C740" s="78"/>
      <c r="D740" s="78"/>
      <c r="E740" s="78"/>
      <c r="F740" s="77"/>
      <c r="G740" s="78"/>
      <c r="H740" s="79"/>
      <c r="I740" s="79"/>
      <c r="J740" s="79"/>
      <c r="K740" s="79"/>
      <c r="L740" s="79"/>
      <c r="M740" s="76"/>
      <c r="N740" s="77"/>
      <c r="O740" s="79"/>
      <c r="P740" s="80"/>
      <c r="Q740" s="78"/>
    </row>
    <row r="741" spans="1:17" ht="15" customHeight="1">
      <c r="A741" s="76"/>
      <c r="B741" s="80"/>
      <c r="C741" s="78"/>
      <c r="D741" s="78"/>
      <c r="E741" s="78"/>
      <c r="F741" s="77"/>
      <c r="G741" s="78"/>
      <c r="H741" s="79"/>
      <c r="I741" s="79"/>
      <c r="J741" s="79"/>
      <c r="K741" s="79"/>
      <c r="L741" s="79"/>
      <c r="M741" s="76"/>
      <c r="N741" s="77"/>
      <c r="O741" s="79"/>
      <c r="P741" s="80"/>
      <c r="Q741" s="78"/>
    </row>
    <row r="742" spans="1:17" ht="15" customHeight="1">
      <c r="A742" s="76"/>
      <c r="B742" s="80"/>
      <c r="C742" s="78"/>
      <c r="D742" s="78"/>
      <c r="E742" s="78"/>
      <c r="F742" s="77"/>
      <c r="G742" s="78"/>
      <c r="H742" s="79"/>
      <c r="I742" s="79"/>
      <c r="J742" s="79"/>
      <c r="K742" s="79"/>
      <c r="L742" s="79"/>
      <c r="M742" s="76"/>
      <c r="N742" s="77"/>
      <c r="O742" s="79"/>
      <c r="P742" s="80"/>
      <c r="Q742" s="78"/>
    </row>
    <row r="743" spans="1:17" ht="15" customHeight="1">
      <c r="A743" s="76"/>
      <c r="B743" s="80"/>
      <c r="C743" s="78"/>
      <c r="D743" s="78"/>
      <c r="E743" s="78"/>
      <c r="F743" s="77"/>
      <c r="G743" s="78"/>
      <c r="H743" s="79"/>
      <c r="I743" s="79"/>
      <c r="J743" s="79"/>
      <c r="K743" s="79"/>
      <c r="L743" s="79"/>
      <c r="M743" s="76"/>
      <c r="N743" s="77"/>
      <c r="O743" s="79"/>
      <c r="P743" s="80"/>
      <c r="Q743" s="78"/>
    </row>
    <row r="744" spans="1:17" ht="15" customHeight="1">
      <c r="A744" s="76"/>
      <c r="B744" s="80"/>
      <c r="C744" s="78"/>
      <c r="D744" s="78"/>
      <c r="E744" s="78"/>
      <c r="F744" s="77"/>
      <c r="G744" s="78"/>
      <c r="H744" s="79"/>
      <c r="I744" s="79"/>
      <c r="J744" s="79"/>
      <c r="K744" s="79"/>
      <c r="L744" s="79"/>
      <c r="M744" s="76"/>
      <c r="N744" s="77"/>
      <c r="O744" s="79"/>
      <c r="P744" s="80"/>
      <c r="Q744" s="78"/>
    </row>
    <row r="745" spans="1:17" ht="15" customHeight="1">
      <c r="A745" s="76"/>
      <c r="B745" s="80"/>
      <c r="C745" s="78"/>
      <c r="D745" s="78"/>
      <c r="E745" s="78"/>
      <c r="F745" s="77"/>
      <c r="G745" s="78"/>
      <c r="H745" s="79"/>
      <c r="I745" s="79"/>
      <c r="J745" s="79"/>
      <c r="K745" s="79"/>
      <c r="L745" s="79"/>
      <c r="M745" s="76"/>
      <c r="N745" s="77"/>
      <c r="O745" s="79"/>
      <c r="P745" s="80"/>
      <c r="Q745" s="78"/>
    </row>
    <row r="746" spans="1:17" ht="15" customHeight="1">
      <c r="A746" s="76"/>
      <c r="B746" s="80"/>
      <c r="C746" s="78"/>
      <c r="D746" s="78"/>
      <c r="E746" s="78"/>
      <c r="F746" s="77"/>
      <c r="G746" s="78"/>
      <c r="H746" s="79"/>
      <c r="I746" s="79"/>
      <c r="J746" s="79"/>
      <c r="K746" s="79"/>
      <c r="L746" s="79"/>
      <c r="M746" s="76"/>
      <c r="N746" s="77"/>
      <c r="O746" s="79"/>
      <c r="P746" s="80"/>
      <c r="Q746" s="78"/>
    </row>
    <row r="747" spans="1:17" ht="15" customHeight="1">
      <c r="A747" s="76"/>
      <c r="B747" s="80"/>
      <c r="C747" s="78"/>
      <c r="D747" s="78"/>
      <c r="E747" s="78"/>
      <c r="F747" s="77"/>
      <c r="G747" s="78"/>
      <c r="H747" s="79"/>
      <c r="I747" s="79"/>
      <c r="J747" s="79"/>
      <c r="K747" s="79"/>
      <c r="L747" s="79"/>
      <c r="M747" s="76"/>
      <c r="N747" s="77"/>
      <c r="O747" s="79"/>
      <c r="P747" s="80"/>
      <c r="Q747" s="78"/>
    </row>
    <row r="748" spans="1:17" ht="15" customHeight="1">
      <c r="A748" s="76"/>
      <c r="B748" s="80"/>
      <c r="C748" s="78"/>
      <c r="D748" s="78"/>
      <c r="E748" s="78"/>
      <c r="F748" s="77"/>
      <c r="G748" s="78"/>
      <c r="H748" s="79"/>
      <c r="I748" s="79"/>
      <c r="J748" s="79"/>
      <c r="K748" s="79"/>
      <c r="L748" s="79"/>
      <c r="M748" s="76"/>
      <c r="N748" s="77"/>
      <c r="O748" s="79"/>
      <c r="P748" s="80"/>
      <c r="Q748" s="78"/>
    </row>
    <row r="749" spans="1:17" ht="15" customHeight="1">
      <c r="A749" s="76"/>
      <c r="B749" s="80"/>
      <c r="C749" s="78"/>
      <c r="D749" s="78"/>
      <c r="E749" s="78"/>
      <c r="F749" s="77"/>
      <c r="G749" s="78"/>
      <c r="H749" s="79"/>
      <c r="I749" s="79"/>
      <c r="J749" s="79"/>
      <c r="K749" s="79"/>
      <c r="L749" s="79"/>
      <c r="M749" s="76"/>
      <c r="N749" s="77"/>
      <c r="O749" s="79"/>
      <c r="P749" s="80"/>
      <c r="Q749" s="78"/>
    </row>
    <row r="750" spans="1:17" ht="15" customHeight="1">
      <c r="A750" s="76"/>
      <c r="B750" s="80"/>
      <c r="C750" s="78"/>
      <c r="D750" s="78"/>
      <c r="E750" s="78"/>
      <c r="F750" s="77"/>
      <c r="G750" s="78"/>
      <c r="H750" s="79"/>
      <c r="I750" s="79"/>
      <c r="J750" s="79"/>
      <c r="K750" s="79"/>
      <c r="L750" s="79"/>
      <c r="M750" s="76"/>
      <c r="N750" s="77"/>
      <c r="O750" s="79"/>
      <c r="P750" s="80"/>
      <c r="Q750" s="78"/>
    </row>
    <row r="751" spans="1:17" ht="15" customHeight="1">
      <c r="A751" s="76"/>
      <c r="B751" s="80"/>
      <c r="C751" s="78"/>
      <c r="D751" s="78"/>
      <c r="E751" s="78"/>
      <c r="F751" s="77"/>
      <c r="G751" s="78"/>
      <c r="H751" s="79"/>
      <c r="I751" s="79"/>
      <c r="J751" s="79"/>
      <c r="K751" s="79"/>
      <c r="L751" s="79"/>
      <c r="M751" s="76"/>
      <c r="N751" s="77"/>
      <c r="O751" s="79"/>
      <c r="P751" s="80"/>
      <c r="Q751" s="78"/>
    </row>
    <row r="752" spans="1:17" ht="15" customHeight="1">
      <c r="A752" s="76"/>
      <c r="B752" s="80"/>
      <c r="C752" s="78"/>
      <c r="D752" s="78"/>
      <c r="E752" s="78"/>
      <c r="F752" s="77"/>
      <c r="G752" s="78"/>
      <c r="H752" s="79"/>
      <c r="I752" s="79"/>
      <c r="J752" s="79"/>
      <c r="K752" s="79"/>
      <c r="L752" s="79"/>
      <c r="M752" s="76"/>
      <c r="N752" s="77"/>
      <c r="O752" s="79"/>
      <c r="P752" s="80"/>
      <c r="Q752" s="78"/>
    </row>
    <row r="753" spans="1:17" ht="15" customHeight="1">
      <c r="A753" s="76"/>
      <c r="B753" s="80"/>
      <c r="C753" s="78"/>
      <c r="D753" s="78"/>
      <c r="E753" s="78"/>
      <c r="F753" s="77"/>
      <c r="G753" s="78"/>
      <c r="H753" s="79"/>
      <c r="I753" s="79"/>
      <c r="J753" s="79"/>
      <c r="K753" s="79"/>
      <c r="L753" s="79"/>
      <c r="M753" s="76"/>
      <c r="N753" s="77"/>
      <c r="O753" s="79"/>
      <c r="P753" s="80"/>
      <c r="Q753" s="78"/>
    </row>
    <row r="754" spans="1:17" ht="15" customHeight="1">
      <c r="A754" s="76"/>
      <c r="B754" s="80"/>
      <c r="C754" s="78"/>
      <c r="D754" s="78"/>
      <c r="E754" s="78"/>
      <c r="F754" s="77"/>
      <c r="G754" s="78"/>
      <c r="H754" s="79"/>
      <c r="I754" s="79"/>
      <c r="J754" s="79"/>
      <c r="K754" s="79"/>
      <c r="L754" s="79"/>
      <c r="M754" s="76"/>
      <c r="N754" s="77"/>
      <c r="O754" s="79"/>
      <c r="P754" s="80"/>
      <c r="Q754" s="78"/>
    </row>
    <row r="755" spans="1:17" ht="15" customHeight="1">
      <c r="A755" s="76"/>
      <c r="B755" s="80"/>
      <c r="C755" s="78"/>
      <c r="D755" s="78"/>
      <c r="E755" s="78"/>
      <c r="F755" s="77"/>
      <c r="G755" s="78"/>
      <c r="H755" s="79"/>
      <c r="I755" s="79"/>
      <c r="J755" s="79"/>
      <c r="K755" s="79"/>
      <c r="L755" s="79"/>
      <c r="M755" s="76"/>
      <c r="N755" s="77"/>
      <c r="O755" s="79"/>
      <c r="P755" s="80"/>
      <c r="Q755" s="78"/>
    </row>
    <row r="756" spans="1:17" ht="15" customHeight="1">
      <c r="A756" s="76"/>
      <c r="B756" s="80"/>
      <c r="C756" s="78"/>
      <c r="D756" s="78"/>
      <c r="E756" s="78"/>
      <c r="F756" s="77"/>
      <c r="G756" s="78"/>
      <c r="H756" s="79"/>
      <c r="I756" s="79"/>
      <c r="J756" s="79"/>
      <c r="K756" s="79"/>
      <c r="L756" s="79"/>
      <c r="M756" s="76"/>
      <c r="N756" s="77"/>
      <c r="O756" s="79"/>
      <c r="P756" s="80"/>
      <c r="Q756" s="78"/>
    </row>
    <row r="757" spans="1:17" ht="15" customHeight="1">
      <c r="A757" s="76"/>
      <c r="B757" s="80"/>
      <c r="C757" s="78"/>
      <c r="D757" s="78"/>
      <c r="E757" s="78"/>
      <c r="F757" s="77"/>
      <c r="G757" s="78"/>
      <c r="H757" s="79"/>
      <c r="I757" s="79"/>
      <c r="J757" s="79"/>
      <c r="K757" s="79"/>
      <c r="L757" s="79"/>
      <c r="M757" s="76"/>
      <c r="N757" s="77"/>
      <c r="O757" s="79"/>
      <c r="P757" s="80"/>
      <c r="Q757" s="78"/>
    </row>
    <row r="758" spans="1:17" ht="15" customHeight="1">
      <c r="A758" s="76"/>
      <c r="B758" s="80"/>
      <c r="C758" s="78"/>
      <c r="D758" s="78"/>
      <c r="E758" s="78"/>
      <c r="F758" s="77"/>
      <c r="G758" s="78"/>
      <c r="H758" s="79"/>
      <c r="I758" s="79"/>
      <c r="J758" s="79"/>
      <c r="K758" s="79"/>
      <c r="L758" s="79"/>
      <c r="M758" s="76"/>
      <c r="N758" s="77"/>
      <c r="O758" s="79"/>
      <c r="P758" s="80"/>
      <c r="Q758" s="78"/>
    </row>
    <row r="759" spans="1:17" ht="15" customHeight="1">
      <c r="A759" s="76"/>
      <c r="B759" s="80"/>
      <c r="C759" s="78"/>
      <c r="D759" s="78"/>
      <c r="E759" s="78"/>
      <c r="F759" s="77"/>
      <c r="G759" s="78"/>
      <c r="H759" s="79"/>
      <c r="I759" s="79"/>
      <c r="J759" s="79"/>
      <c r="K759" s="79"/>
      <c r="L759" s="79"/>
      <c r="M759" s="76"/>
      <c r="N759" s="77"/>
      <c r="O759" s="79"/>
      <c r="P759" s="80"/>
      <c r="Q759" s="78"/>
    </row>
    <row r="760" spans="1:17" ht="15" customHeight="1">
      <c r="A760" s="76"/>
      <c r="B760" s="80"/>
      <c r="C760" s="78"/>
      <c r="D760" s="78"/>
      <c r="E760" s="78"/>
      <c r="F760" s="77"/>
      <c r="G760" s="78"/>
      <c r="H760" s="79"/>
      <c r="I760" s="79"/>
      <c r="J760" s="79"/>
      <c r="K760" s="79"/>
      <c r="L760" s="79"/>
      <c r="M760" s="76"/>
      <c r="N760" s="77"/>
      <c r="O760" s="79"/>
      <c r="P760" s="80"/>
      <c r="Q760" s="78"/>
    </row>
    <row r="761" spans="1:17" ht="15" customHeight="1">
      <c r="A761" s="76"/>
      <c r="B761" s="80"/>
      <c r="C761" s="78"/>
      <c r="D761" s="78"/>
      <c r="E761" s="78"/>
      <c r="F761" s="77"/>
      <c r="G761" s="78"/>
      <c r="H761" s="79"/>
      <c r="I761" s="79"/>
      <c r="J761" s="79"/>
      <c r="K761" s="79"/>
      <c r="L761" s="79"/>
      <c r="M761" s="76"/>
      <c r="N761" s="77"/>
      <c r="O761" s="79"/>
      <c r="P761" s="80"/>
      <c r="Q761" s="78"/>
    </row>
    <row r="762" spans="1:17" ht="15" customHeight="1">
      <c r="A762" s="76"/>
      <c r="B762" s="80"/>
      <c r="C762" s="78"/>
      <c r="D762" s="78"/>
      <c r="E762" s="78"/>
      <c r="F762" s="77"/>
      <c r="G762" s="78"/>
      <c r="H762" s="79"/>
      <c r="I762" s="79"/>
      <c r="J762" s="79"/>
      <c r="K762" s="79"/>
      <c r="L762" s="79"/>
      <c r="M762" s="76"/>
      <c r="N762" s="77"/>
      <c r="O762" s="79"/>
      <c r="P762" s="80"/>
      <c r="Q762" s="78"/>
    </row>
    <row r="763" spans="1:17" ht="15" customHeight="1">
      <c r="A763" s="76"/>
      <c r="B763" s="80"/>
      <c r="C763" s="78"/>
      <c r="D763" s="78"/>
      <c r="E763" s="78"/>
      <c r="F763" s="77"/>
      <c r="G763" s="78"/>
      <c r="H763" s="79"/>
      <c r="I763" s="79"/>
      <c r="J763" s="79"/>
      <c r="K763" s="79"/>
      <c r="L763" s="79"/>
      <c r="M763" s="76"/>
      <c r="N763" s="77"/>
      <c r="O763" s="79"/>
      <c r="P763" s="80"/>
      <c r="Q763" s="78"/>
    </row>
    <row r="764" spans="1:17" ht="15" customHeight="1">
      <c r="A764" s="76"/>
      <c r="B764" s="80"/>
      <c r="C764" s="78"/>
      <c r="D764" s="78"/>
      <c r="E764" s="78"/>
      <c r="F764" s="77"/>
      <c r="G764" s="78"/>
      <c r="H764" s="79"/>
      <c r="I764" s="79"/>
      <c r="J764" s="79"/>
      <c r="K764" s="79"/>
      <c r="L764" s="79"/>
      <c r="M764" s="76"/>
      <c r="N764" s="77"/>
      <c r="O764" s="79"/>
      <c r="P764" s="80"/>
      <c r="Q764" s="78"/>
    </row>
    <row r="765" spans="1:17" ht="15" customHeight="1">
      <c r="A765" s="76"/>
      <c r="B765" s="80"/>
      <c r="C765" s="78"/>
      <c r="D765" s="78"/>
      <c r="E765" s="78"/>
      <c r="F765" s="77"/>
      <c r="G765" s="78"/>
      <c r="H765" s="79"/>
      <c r="I765" s="79"/>
      <c r="J765" s="79"/>
      <c r="K765" s="79"/>
      <c r="L765" s="79"/>
      <c r="M765" s="76"/>
      <c r="N765" s="77"/>
      <c r="O765" s="79"/>
      <c r="P765" s="80"/>
      <c r="Q765" s="78"/>
    </row>
    <row r="766" spans="1:17" ht="15" customHeight="1">
      <c r="A766" s="76"/>
      <c r="B766" s="80"/>
      <c r="C766" s="78"/>
      <c r="D766" s="78"/>
      <c r="E766" s="78"/>
      <c r="F766" s="77"/>
      <c r="G766" s="78"/>
      <c r="H766" s="79"/>
      <c r="I766" s="79"/>
      <c r="J766" s="79"/>
      <c r="K766" s="79"/>
      <c r="L766" s="79"/>
      <c r="M766" s="76"/>
      <c r="N766" s="77"/>
      <c r="O766" s="79"/>
      <c r="P766" s="80"/>
      <c r="Q766" s="78"/>
    </row>
    <row r="767" spans="1:17" ht="15" customHeight="1">
      <c r="A767" s="76"/>
      <c r="B767" s="80"/>
      <c r="C767" s="78"/>
      <c r="D767" s="78"/>
      <c r="E767" s="78"/>
      <c r="F767" s="77"/>
      <c r="G767" s="78"/>
      <c r="H767" s="79"/>
      <c r="I767" s="79"/>
      <c r="J767" s="79"/>
      <c r="K767" s="79"/>
      <c r="L767" s="79"/>
      <c r="M767" s="76"/>
      <c r="N767" s="77"/>
      <c r="O767" s="79"/>
      <c r="P767" s="80"/>
      <c r="Q767" s="78"/>
    </row>
    <row r="768" spans="1:17" ht="15" customHeight="1">
      <c r="A768" s="76"/>
      <c r="B768" s="80"/>
      <c r="C768" s="78"/>
      <c r="D768" s="78"/>
      <c r="E768" s="78"/>
      <c r="F768" s="77"/>
      <c r="G768" s="78"/>
      <c r="H768" s="79"/>
      <c r="I768" s="79"/>
      <c r="J768" s="79"/>
      <c r="K768" s="79"/>
      <c r="L768" s="79"/>
      <c r="M768" s="76"/>
      <c r="N768" s="77"/>
      <c r="O768" s="79"/>
      <c r="P768" s="80"/>
      <c r="Q768" s="78"/>
    </row>
    <row r="769" spans="1:17" ht="15" customHeight="1">
      <c r="A769" s="76"/>
      <c r="B769" s="80"/>
      <c r="C769" s="78"/>
      <c r="D769" s="78"/>
      <c r="E769" s="78"/>
      <c r="F769" s="77"/>
      <c r="G769" s="78"/>
      <c r="H769" s="79"/>
      <c r="I769" s="79"/>
      <c r="J769" s="79"/>
      <c r="K769" s="79"/>
      <c r="L769" s="79"/>
      <c r="M769" s="76"/>
      <c r="N769" s="77"/>
      <c r="O769" s="79"/>
      <c r="P769" s="80"/>
      <c r="Q769" s="78"/>
    </row>
    <row r="770" spans="1:17" ht="15" customHeight="1">
      <c r="A770" s="76"/>
      <c r="B770" s="80"/>
      <c r="C770" s="78"/>
      <c r="D770" s="78"/>
      <c r="E770" s="78"/>
      <c r="F770" s="77"/>
      <c r="G770" s="78"/>
      <c r="H770" s="79"/>
      <c r="I770" s="79"/>
      <c r="J770" s="79"/>
      <c r="K770" s="79"/>
      <c r="L770" s="79"/>
      <c r="M770" s="76"/>
      <c r="N770" s="77"/>
      <c r="O770" s="79"/>
      <c r="P770" s="80"/>
      <c r="Q770" s="78"/>
    </row>
    <row r="771" spans="1:17" ht="15" customHeight="1">
      <c r="A771" s="76"/>
      <c r="B771" s="80"/>
      <c r="C771" s="78"/>
      <c r="D771" s="78"/>
      <c r="E771" s="78"/>
      <c r="F771" s="77"/>
      <c r="G771" s="78"/>
      <c r="H771" s="79"/>
      <c r="I771" s="79"/>
      <c r="J771" s="79"/>
      <c r="K771" s="79"/>
      <c r="L771" s="79"/>
      <c r="M771" s="76"/>
      <c r="N771" s="77"/>
      <c r="O771" s="79"/>
      <c r="P771" s="80"/>
      <c r="Q771" s="78"/>
    </row>
    <row r="772" spans="1:17" ht="15" customHeight="1">
      <c r="A772" s="76"/>
      <c r="B772" s="80"/>
      <c r="C772" s="78"/>
      <c r="D772" s="78"/>
      <c r="E772" s="78"/>
      <c r="F772" s="77"/>
      <c r="G772" s="78"/>
      <c r="H772" s="79"/>
      <c r="I772" s="79"/>
      <c r="J772" s="79"/>
      <c r="K772" s="79"/>
      <c r="L772" s="79"/>
      <c r="M772" s="76"/>
      <c r="N772" s="77"/>
      <c r="O772" s="79"/>
      <c r="P772" s="80"/>
      <c r="Q772" s="78"/>
    </row>
    <row r="773" spans="1:17" ht="15" customHeight="1">
      <c r="A773" s="76"/>
      <c r="B773" s="80"/>
      <c r="C773" s="78"/>
      <c r="D773" s="78"/>
      <c r="E773" s="78"/>
      <c r="F773" s="77"/>
      <c r="G773" s="78"/>
      <c r="H773" s="79"/>
      <c r="I773" s="79"/>
      <c r="J773" s="79"/>
      <c r="K773" s="79"/>
      <c r="L773" s="79"/>
      <c r="M773" s="76"/>
      <c r="N773" s="77"/>
      <c r="O773" s="79"/>
      <c r="P773" s="80"/>
      <c r="Q773" s="78"/>
    </row>
    <row r="774" spans="1:17" ht="15" customHeight="1">
      <c r="A774" s="76"/>
      <c r="B774" s="80"/>
      <c r="C774" s="78"/>
      <c r="D774" s="78"/>
      <c r="E774" s="78"/>
      <c r="F774" s="77"/>
      <c r="G774" s="78"/>
      <c r="H774" s="79"/>
      <c r="I774" s="79"/>
      <c r="J774" s="79"/>
      <c r="K774" s="79"/>
      <c r="L774" s="79"/>
      <c r="M774" s="76"/>
      <c r="N774" s="77"/>
      <c r="O774" s="79"/>
      <c r="P774" s="80"/>
      <c r="Q774" s="78"/>
    </row>
    <row r="775" spans="1:17" ht="15" customHeight="1">
      <c r="A775" s="76"/>
      <c r="B775" s="80"/>
      <c r="C775" s="78"/>
      <c r="D775" s="78"/>
      <c r="E775" s="78"/>
      <c r="F775" s="77"/>
      <c r="G775" s="78"/>
      <c r="H775" s="79"/>
      <c r="I775" s="79"/>
      <c r="J775" s="79"/>
      <c r="K775" s="79"/>
      <c r="L775" s="79"/>
      <c r="M775" s="76"/>
      <c r="N775" s="77"/>
      <c r="O775" s="79"/>
      <c r="P775" s="80"/>
      <c r="Q775" s="78"/>
    </row>
    <row r="776" spans="1:17" ht="15" customHeight="1">
      <c r="A776" s="76"/>
      <c r="B776" s="80"/>
      <c r="C776" s="78"/>
      <c r="D776" s="78"/>
      <c r="E776" s="78"/>
      <c r="F776" s="77"/>
      <c r="G776" s="78"/>
      <c r="H776" s="79"/>
      <c r="I776" s="79"/>
      <c r="J776" s="79"/>
      <c r="K776" s="79"/>
      <c r="L776" s="79"/>
      <c r="M776" s="76"/>
      <c r="N776" s="77"/>
      <c r="O776" s="79"/>
      <c r="P776" s="80"/>
      <c r="Q776" s="78"/>
    </row>
    <row r="777" spans="1:17" ht="15" customHeight="1">
      <c r="A777" s="76"/>
      <c r="B777" s="80"/>
      <c r="C777" s="78"/>
      <c r="D777" s="78"/>
      <c r="E777" s="78"/>
      <c r="F777" s="77"/>
      <c r="G777" s="78"/>
      <c r="H777" s="79"/>
      <c r="I777" s="79"/>
      <c r="J777" s="79"/>
      <c r="K777" s="79"/>
      <c r="L777" s="79"/>
      <c r="M777" s="76"/>
      <c r="N777" s="77"/>
      <c r="O777" s="79"/>
      <c r="P777" s="80"/>
      <c r="Q777" s="78"/>
    </row>
    <row r="778" spans="1:17" ht="15" customHeight="1">
      <c r="A778" s="76"/>
      <c r="B778" s="80"/>
      <c r="C778" s="78"/>
      <c r="D778" s="78"/>
      <c r="E778" s="78"/>
      <c r="F778" s="77"/>
      <c r="G778" s="78"/>
      <c r="H778" s="79"/>
      <c r="I778" s="79"/>
      <c r="J778" s="79"/>
      <c r="K778" s="79"/>
      <c r="L778" s="79"/>
      <c r="M778" s="76"/>
      <c r="N778" s="77"/>
      <c r="O778" s="79"/>
      <c r="P778" s="80"/>
      <c r="Q778" s="78"/>
    </row>
    <row r="779" spans="1:17" ht="15" customHeight="1">
      <c r="A779" s="76"/>
      <c r="B779" s="80"/>
      <c r="C779" s="78"/>
      <c r="D779" s="78"/>
      <c r="E779" s="78"/>
      <c r="F779" s="77"/>
      <c r="G779" s="78"/>
      <c r="H779" s="79"/>
      <c r="I779" s="79"/>
      <c r="J779" s="79"/>
      <c r="K779" s="79"/>
      <c r="L779" s="79"/>
      <c r="M779" s="76"/>
      <c r="N779" s="77"/>
      <c r="O779" s="79"/>
      <c r="P779" s="80"/>
      <c r="Q779" s="78"/>
    </row>
    <row r="780" spans="1:17" ht="15" customHeight="1">
      <c r="A780" s="76"/>
      <c r="B780" s="80"/>
      <c r="C780" s="78"/>
      <c r="D780" s="78"/>
      <c r="E780" s="78"/>
      <c r="F780" s="77"/>
      <c r="G780" s="78"/>
      <c r="H780" s="79"/>
      <c r="I780" s="79"/>
      <c r="J780" s="79"/>
      <c r="K780" s="79"/>
      <c r="L780" s="79"/>
      <c r="M780" s="76"/>
      <c r="N780" s="77"/>
      <c r="O780" s="79"/>
      <c r="P780" s="80"/>
      <c r="Q780" s="78"/>
    </row>
    <row r="781" spans="1:17" ht="15" customHeight="1">
      <c r="A781" s="76"/>
      <c r="B781" s="80"/>
      <c r="C781" s="78"/>
      <c r="D781" s="78"/>
      <c r="E781" s="78"/>
      <c r="F781" s="77"/>
      <c r="G781" s="78"/>
      <c r="H781" s="79"/>
      <c r="I781" s="79"/>
      <c r="J781" s="79"/>
      <c r="K781" s="79"/>
      <c r="L781" s="79"/>
      <c r="M781" s="76"/>
      <c r="N781" s="77"/>
      <c r="O781" s="79"/>
      <c r="P781" s="80"/>
      <c r="Q781" s="78"/>
    </row>
    <row r="782" spans="1:17" ht="15" customHeight="1">
      <c r="A782" s="76"/>
      <c r="B782" s="80"/>
      <c r="C782" s="78"/>
      <c r="D782" s="78"/>
      <c r="E782" s="78"/>
      <c r="F782" s="77"/>
      <c r="G782" s="78"/>
      <c r="H782" s="79"/>
      <c r="I782" s="79"/>
      <c r="J782" s="79"/>
      <c r="K782" s="79"/>
      <c r="L782" s="79"/>
      <c r="M782" s="76"/>
      <c r="N782" s="77"/>
      <c r="O782" s="79"/>
      <c r="P782" s="80"/>
      <c r="Q782" s="78"/>
    </row>
    <row r="783" spans="1:17" ht="15" customHeight="1">
      <c r="A783" s="76"/>
      <c r="B783" s="80"/>
      <c r="C783" s="78"/>
      <c r="D783" s="78"/>
      <c r="E783" s="78"/>
      <c r="F783" s="77"/>
      <c r="G783" s="78"/>
      <c r="H783" s="79"/>
      <c r="I783" s="79"/>
      <c r="J783" s="79"/>
      <c r="K783" s="79"/>
      <c r="L783" s="79"/>
      <c r="M783" s="76"/>
      <c r="N783" s="77"/>
      <c r="O783" s="79"/>
      <c r="P783" s="80"/>
      <c r="Q783" s="78"/>
    </row>
    <row r="784" spans="1:17" ht="15" customHeight="1">
      <c r="A784" s="76"/>
      <c r="B784" s="80"/>
      <c r="C784" s="78"/>
      <c r="D784" s="78"/>
      <c r="E784" s="78"/>
      <c r="F784" s="77"/>
      <c r="G784" s="78"/>
      <c r="H784" s="79"/>
      <c r="I784" s="79"/>
      <c r="J784" s="79"/>
      <c r="K784" s="79"/>
      <c r="L784" s="79"/>
      <c r="M784" s="76"/>
      <c r="N784" s="77"/>
      <c r="O784" s="79"/>
      <c r="P784" s="80"/>
      <c r="Q784" s="78"/>
    </row>
    <row r="785" spans="1:17" ht="15" customHeight="1">
      <c r="A785" s="76"/>
      <c r="B785" s="80"/>
      <c r="C785" s="78"/>
      <c r="D785" s="78"/>
      <c r="E785" s="78"/>
      <c r="F785" s="77"/>
      <c r="G785" s="78"/>
      <c r="H785" s="79"/>
      <c r="I785" s="79"/>
      <c r="J785" s="79"/>
      <c r="K785" s="79"/>
      <c r="L785" s="79"/>
      <c r="M785" s="76"/>
      <c r="N785" s="77"/>
      <c r="O785" s="79"/>
      <c r="P785" s="80"/>
      <c r="Q785" s="78"/>
    </row>
    <row r="786" spans="1:17" ht="15" customHeight="1">
      <c r="A786" s="76"/>
      <c r="B786" s="80"/>
      <c r="C786" s="78"/>
      <c r="D786" s="78"/>
      <c r="E786" s="78"/>
      <c r="F786" s="77"/>
      <c r="G786" s="78"/>
      <c r="H786" s="79"/>
      <c r="I786" s="79"/>
      <c r="J786" s="79"/>
      <c r="K786" s="79"/>
      <c r="L786" s="79"/>
      <c r="M786" s="76"/>
      <c r="N786" s="77"/>
      <c r="O786" s="79"/>
      <c r="P786" s="80"/>
      <c r="Q786" s="78"/>
    </row>
    <row r="787" spans="1:17" ht="15" customHeight="1">
      <c r="A787" s="76"/>
      <c r="B787" s="80"/>
      <c r="C787" s="78"/>
      <c r="D787" s="78"/>
      <c r="E787" s="78"/>
      <c r="F787" s="77"/>
      <c r="G787" s="78"/>
      <c r="H787" s="79"/>
      <c r="I787" s="79"/>
      <c r="J787" s="79"/>
      <c r="K787" s="79"/>
      <c r="L787" s="79"/>
      <c r="M787" s="76"/>
      <c r="N787" s="77"/>
      <c r="O787" s="79"/>
      <c r="P787" s="80"/>
      <c r="Q787" s="78"/>
    </row>
    <row r="788" spans="1:17" ht="15" customHeight="1">
      <c r="A788" s="76"/>
      <c r="B788" s="80"/>
      <c r="C788" s="78"/>
      <c r="D788" s="78"/>
      <c r="E788" s="78"/>
      <c r="F788" s="77"/>
      <c r="G788" s="78"/>
      <c r="H788" s="79"/>
      <c r="I788" s="79"/>
      <c r="J788" s="79"/>
      <c r="K788" s="79"/>
      <c r="L788" s="79"/>
      <c r="M788" s="76"/>
      <c r="N788" s="77"/>
      <c r="O788" s="79"/>
      <c r="P788" s="80"/>
      <c r="Q788" s="78"/>
    </row>
    <row r="789" spans="1:17" ht="15" customHeight="1">
      <c r="A789" s="76"/>
      <c r="B789" s="80"/>
      <c r="C789" s="78"/>
      <c r="D789" s="78"/>
      <c r="E789" s="78"/>
      <c r="F789" s="77"/>
      <c r="G789" s="78"/>
      <c r="H789" s="79"/>
      <c r="I789" s="79"/>
      <c r="J789" s="79"/>
      <c r="K789" s="79"/>
      <c r="L789" s="79"/>
      <c r="M789" s="76"/>
      <c r="N789" s="77"/>
      <c r="O789" s="79"/>
      <c r="P789" s="80"/>
      <c r="Q789" s="78"/>
    </row>
    <row r="790" spans="1:17" ht="15" customHeight="1">
      <c r="A790" s="76"/>
      <c r="B790" s="80"/>
      <c r="C790" s="78"/>
      <c r="D790" s="78"/>
      <c r="E790" s="78"/>
      <c r="F790" s="77"/>
      <c r="G790" s="78"/>
      <c r="H790" s="79"/>
      <c r="I790" s="79"/>
      <c r="J790" s="79"/>
      <c r="K790" s="79"/>
      <c r="L790" s="79"/>
      <c r="M790" s="76"/>
      <c r="N790" s="77"/>
      <c r="O790" s="79"/>
      <c r="P790" s="80"/>
      <c r="Q790" s="78"/>
    </row>
    <row r="791" spans="1:17" ht="15" customHeight="1">
      <c r="A791" s="76"/>
      <c r="B791" s="80"/>
      <c r="C791" s="78"/>
      <c r="D791" s="78"/>
      <c r="E791" s="78"/>
      <c r="F791" s="77"/>
      <c r="G791" s="78"/>
      <c r="H791" s="79"/>
      <c r="I791" s="79"/>
      <c r="J791" s="79"/>
      <c r="K791" s="79"/>
      <c r="L791" s="79"/>
      <c r="M791" s="76"/>
      <c r="N791" s="77"/>
      <c r="O791" s="79"/>
      <c r="P791" s="80"/>
      <c r="Q791" s="78"/>
    </row>
    <row r="792" spans="1:17" ht="15" customHeight="1">
      <c r="A792" s="76"/>
      <c r="B792" s="80"/>
      <c r="C792" s="78"/>
      <c r="D792" s="78"/>
      <c r="E792" s="78"/>
      <c r="F792" s="77"/>
      <c r="G792" s="78"/>
      <c r="H792" s="79"/>
      <c r="I792" s="79"/>
      <c r="J792" s="79"/>
      <c r="K792" s="79"/>
      <c r="L792" s="79"/>
      <c r="M792" s="76"/>
      <c r="N792" s="77"/>
      <c r="O792" s="79"/>
      <c r="P792" s="80"/>
      <c r="Q792" s="78"/>
    </row>
    <row r="793" spans="1:17" ht="15" customHeight="1">
      <c r="A793" s="76"/>
      <c r="B793" s="80"/>
      <c r="C793" s="78"/>
      <c r="D793" s="78"/>
      <c r="E793" s="78"/>
      <c r="F793" s="77"/>
      <c r="G793" s="78"/>
      <c r="H793" s="79"/>
      <c r="I793" s="79"/>
      <c r="J793" s="79"/>
      <c r="K793" s="79"/>
      <c r="L793" s="79"/>
      <c r="M793" s="76"/>
      <c r="N793" s="77"/>
      <c r="O793" s="79"/>
      <c r="P793" s="80"/>
      <c r="Q793" s="78"/>
    </row>
    <row r="794" spans="1:17" ht="15" customHeight="1">
      <c r="A794" s="76"/>
      <c r="B794" s="80"/>
      <c r="C794" s="78"/>
      <c r="D794" s="78"/>
      <c r="E794" s="78"/>
      <c r="F794" s="77"/>
      <c r="G794" s="78"/>
      <c r="H794" s="79"/>
      <c r="I794" s="79"/>
      <c r="J794" s="79"/>
      <c r="K794" s="79"/>
      <c r="L794" s="79"/>
      <c r="M794" s="76"/>
      <c r="N794" s="77"/>
      <c r="O794" s="79"/>
      <c r="P794" s="80"/>
      <c r="Q794" s="78"/>
    </row>
    <row r="795" spans="1:17" ht="15" customHeight="1">
      <c r="A795" s="76"/>
      <c r="B795" s="80"/>
      <c r="C795" s="78"/>
      <c r="D795" s="78"/>
      <c r="E795" s="78"/>
      <c r="F795" s="77"/>
      <c r="G795" s="78"/>
      <c r="H795" s="79"/>
      <c r="I795" s="79"/>
      <c r="J795" s="79"/>
      <c r="K795" s="79"/>
      <c r="L795" s="79"/>
      <c r="M795" s="76"/>
      <c r="N795" s="77"/>
      <c r="O795" s="79"/>
      <c r="P795" s="80"/>
      <c r="Q795" s="78"/>
    </row>
    <row r="796" spans="1:17" ht="15" customHeight="1">
      <c r="A796" s="76"/>
      <c r="B796" s="80"/>
      <c r="C796" s="78"/>
      <c r="D796" s="78"/>
      <c r="E796" s="78"/>
      <c r="F796" s="77"/>
      <c r="G796" s="78"/>
      <c r="H796" s="79"/>
      <c r="I796" s="79"/>
      <c r="J796" s="79"/>
      <c r="K796" s="79"/>
      <c r="L796" s="79"/>
      <c r="M796" s="76"/>
      <c r="N796" s="77"/>
      <c r="O796" s="79"/>
      <c r="P796" s="80"/>
      <c r="Q796" s="78"/>
    </row>
    <row r="797" spans="1:17" ht="15" customHeight="1">
      <c r="A797" s="76"/>
      <c r="B797" s="80"/>
      <c r="C797" s="78"/>
      <c r="D797" s="78"/>
      <c r="E797" s="78"/>
      <c r="F797" s="77"/>
      <c r="G797" s="78"/>
      <c r="H797" s="79"/>
      <c r="I797" s="79"/>
      <c r="J797" s="79"/>
      <c r="K797" s="79"/>
      <c r="L797" s="79"/>
      <c r="M797" s="76"/>
      <c r="N797" s="77"/>
      <c r="O797" s="79"/>
      <c r="P797" s="80"/>
      <c r="Q797" s="78"/>
    </row>
    <row r="798" spans="1:17" ht="15" customHeight="1">
      <c r="A798" s="76"/>
      <c r="B798" s="80"/>
      <c r="C798" s="78"/>
      <c r="D798" s="78"/>
      <c r="E798" s="78"/>
      <c r="F798" s="77"/>
      <c r="G798" s="78"/>
      <c r="H798" s="79"/>
      <c r="I798" s="79"/>
      <c r="J798" s="79"/>
      <c r="K798" s="79"/>
      <c r="L798" s="79"/>
      <c r="M798" s="76"/>
      <c r="N798" s="77"/>
      <c r="O798" s="79"/>
      <c r="P798" s="80"/>
      <c r="Q798" s="78"/>
    </row>
    <row r="799" spans="1:17" ht="15" customHeight="1">
      <c r="A799" s="76"/>
      <c r="B799" s="80"/>
      <c r="C799" s="78"/>
      <c r="D799" s="78"/>
      <c r="E799" s="78"/>
      <c r="F799" s="77"/>
      <c r="G799" s="78"/>
      <c r="H799" s="79"/>
      <c r="I799" s="79"/>
      <c r="J799" s="79"/>
      <c r="K799" s="79"/>
      <c r="L799" s="79"/>
      <c r="M799" s="76"/>
      <c r="N799" s="77"/>
      <c r="O799" s="79"/>
      <c r="P799" s="80"/>
      <c r="Q799" s="78"/>
    </row>
    <row r="800" spans="1:17" ht="15" customHeight="1">
      <c r="A800" s="76"/>
      <c r="B800" s="80"/>
      <c r="C800" s="78"/>
      <c r="D800" s="78"/>
      <c r="E800" s="78"/>
      <c r="F800" s="77"/>
      <c r="G800" s="78"/>
      <c r="H800" s="79"/>
      <c r="I800" s="79"/>
      <c r="J800" s="79"/>
      <c r="K800" s="79"/>
      <c r="L800" s="79"/>
      <c r="M800" s="76"/>
      <c r="N800" s="77"/>
      <c r="O800" s="79"/>
      <c r="P800" s="80"/>
      <c r="Q800" s="78"/>
    </row>
    <row r="801" spans="1:17" ht="15" customHeight="1">
      <c r="A801" s="76"/>
      <c r="B801" s="80"/>
      <c r="C801" s="78"/>
      <c r="D801" s="78"/>
      <c r="E801" s="78"/>
      <c r="F801" s="77"/>
      <c r="G801" s="78"/>
      <c r="H801" s="79"/>
      <c r="I801" s="79"/>
      <c r="J801" s="79"/>
      <c r="K801" s="79"/>
      <c r="L801" s="79"/>
      <c r="M801" s="76"/>
      <c r="N801" s="77"/>
      <c r="O801" s="79"/>
      <c r="P801" s="80"/>
      <c r="Q801" s="78"/>
    </row>
    <row r="802" spans="1:17" ht="15" customHeight="1">
      <c r="A802" s="76"/>
      <c r="B802" s="80"/>
      <c r="C802" s="78"/>
      <c r="D802" s="78"/>
      <c r="E802" s="78"/>
      <c r="F802" s="77"/>
      <c r="G802" s="78"/>
      <c r="H802" s="79"/>
      <c r="I802" s="79"/>
      <c r="J802" s="79"/>
      <c r="K802" s="79"/>
      <c r="L802" s="79"/>
      <c r="M802" s="76"/>
      <c r="N802" s="77"/>
      <c r="O802" s="79"/>
      <c r="P802" s="80"/>
      <c r="Q802" s="78"/>
    </row>
    <row r="803" spans="1:17" ht="15" customHeight="1">
      <c r="A803" s="76"/>
      <c r="B803" s="80"/>
      <c r="C803" s="78"/>
      <c r="D803" s="78"/>
      <c r="E803" s="78"/>
      <c r="F803" s="77"/>
      <c r="G803" s="78"/>
      <c r="H803" s="79"/>
      <c r="I803" s="79"/>
      <c r="J803" s="79"/>
      <c r="K803" s="79"/>
      <c r="L803" s="79"/>
      <c r="M803" s="76"/>
      <c r="N803" s="77"/>
      <c r="O803" s="79"/>
      <c r="P803" s="80"/>
      <c r="Q803" s="78"/>
    </row>
    <row r="804" spans="1:17" ht="15" customHeight="1">
      <c r="A804" s="144"/>
      <c r="B804" s="144"/>
      <c r="C804" s="144"/>
      <c r="D804" s="144"/>
      <c r="E804" s="144"/>
      <c r="F804" s="144"/>
      <c r="G804" s="144"/>
      <c r="H804" s="79"/>
      <c r="I804" s="79"/>
      <c r="J804" s="79"/>
      <c r="K804" s="79"/>
      <c r="L804" s="79"/>
      <c r="M804" s="110"/>
      <c r="N804" s="77"/>
      <c r="O804" s="79"/>
      <c r="P804" s="80"/>
      <c r="Q804" s="86"/>
    </row>
    <row r="805" spans="1:17" ht="27.75" customHeight="1">
      <c r="A805" s="110"/>
      <c r="B805" s="80"/>
      <c r="C805" s="86"/>
      <c r="D805" s="86"/>
      <c r="E805" s="86"/>
      <c r="F805" s="77"/>
      <c r="G805" s="86"/>
      <c r="H805" s="79"/>
      <c r="I805" s="79"/>
      <c r="J805" s="79"/>
      <c r="K805" s="79"/>
      <c r="L805" s="79"/>
      <c r="M805" s="110"/>
      <c r="N805" s="77"/>
      <c r="O805" s="79"/>
      <c r="P805" s="80"/>
      <c r="Q805" s="86"/>
    </row>
    <row r="806" spans="1:17" ht="15" customHeight="1">
      <c r="A806" s="110"/>
      <c r="B806" s="80"/>
      <c r="C806" s="86"/>
      <c r="D806" s="86"/>
      <c r="E806" s="86"/>
      <c r="F806" s="77"/>
      <c r="G806" s="86"/>
      <c r="H806" s="79"/>
      <c r="I806" s="79"/>
      <c r="J806" s="79"/>
      <c r="K806" s="79"/>
      <c r="L806" s="79"/>
      <c r="M806" s="110"/>
      <c r="N806" s="77"/>
      <c r="O806" s="79"/>
      <c r="P806" s="80"/>
      <c r="Q806" s="86"/>
    </row>
    <row r="807" spans="1:17" ht="15" customHeight="1">
      <c r="A807" s="110"/>
      <c r="B807" s="80"/>
      <c r="C807" s="86"/>
      <c r="D807" s="86"/>
      <c r="E807" s="86"/>
      <c r="F807" s="77"/>
      <c r="G807" s="86"/>
      <c r="H807" s="79"/>
      <c r="I807" s="79"/>
      <c r="J807" s="79"/>
      <c r="K807" s="79"/>
      <c r="L807" s="79"/>
      <c r="M807" s="110"/>
      <c r="N807" s="77"/>
      <c r="O807" s="79"/>
      <c r="P807" s="80"/>
      <c r="Q807" s="86"/>
    </row>
    <row r="808" spans="1:17" ht="15" customHeight="1">
      <c r="A808" s="110"/>
      <c r="B808" s="80"/>
      <c r="C808" s="86"/>
      <c r="D808" s="86"/>
      <c r="E808" s="86"/>
      <c r="F808" s="77"/>
      <c r="G808" s="86"/>
      <c r="H808" s="79"/>
      <c r="I808" s="79"/>
      <c r="J808" s="79"/>
      <c r="K808" s="79"/>
      <c r="L808" s="79"/>
      <c r="M808" s="110"/>
      <c r="N808" s="77"/>
      <c r="O808" s="79"/>
      <c r="P808" s="80"/>
      <c r="Q808" s="86"/>
    </row>
    <row r="809" spans="1:17" ht="15" customHeight="1">
      <c r="A809" s="110"/>
      <c r="B809" s="80"/>
      <c r="C809" s="86"/>
      <c r="D809" s="86"/>
      <c r="E809" s="86"/>
      <c r="F809" s="77"/>
      <c r="G809" s="86"/>
      <c r="H809" s="79"/>
      <c r="I809" s="79"/>
      <c r="J809" s="79"/>
      <c r="K809" s="79"/>
      <c r="L809" s="79"/>
      <c r="M809" s="110"/>
      <c r="N809" s="77"/>
      <c r="O809" s="79"/>
      <c r="P809" s="80"/>
      <c r="Q809" s="86"/>
    </row>
    <row r="810" spans="1:17" ht="15" customHeight="1">
      <c r="A810" s="110"/>
      <c r="B810" s="80"/>
      <c r="C810" s="86"/>
      <c r="D810" s="86"/>
      <c r="E810" s="86"/>
      <c r="F810" s="77"/>
      <c r="G810" s="86"/>
      <c r="H810" s="79"/>
      <c r="I810" s="79"/>
      <c r="J810" s="79"/>
      <c r="K810" s="79"/>
      <c r="L810" s="79"/>
      <c r="M810" s="110"/>
      <c r="N810" s="77"/>
      <c r="O810" s="79"/>
      <c r="P810" s="80"/>
      <c r="Q810" s="86"/>
    </row>
    <row r="811" spans="1:17" ht="15" customHeight="1">
      <c r="A811" s="110"/>
      <c r="B811" s="80"/>
      <c r="C811" s="86"/>
      <c r="D811" s="86"/>
      <c r="E811" s="86"/>
      <c r="F811" s="77"/>
      <c r="G811" s="86"/>
      <c r="H811" s="79"/>
      <c r="I811" s="79"/>
      <c r="J811" s="79"/>
      <c r="K811" s="79"/>
      <c r="L811" s="79"/>
      <c r="M811" s="110"/>
      <c r="N811" s="77"/>
      <c r="O811" s="79"/>
      <c r="P811" s="80"/>
      <c r="Q811" s="86"/>
    </row>
    <row r="812" spans="1:17" ht="15" customHeight="1">
      <c r="A812" s="110"/>
      <c r="B812" s="80"/>
      <c r="C812" s="86"/>
      <c r="D812" s="86"/>
      <c r="E812" s="86"/>
      <c r="F812" s="77"/>
      <c r="G812" s="86"/>
      <c r="H812" s="79"/>
      <c r="I812" s="79"/>
      <c r="J812" s="79"/>
      <c r="K812" s="79"/>
      <c r="L812" s="79"/>
      <c r="M812" s="110"/>
      <c r="N812" s="77"/>
      <c r="O812" s="79"/>
      <c r="P812" s="80"/>
      <c r="Q812" s="86"/>
    </row>
    <row r="813" spans="1:17" ht="15" customHeight="1">
      <c r="A813" s="110"/>
      <c r="B813" s="80"/>
      <c r="C813" s="86"/>
      <c r="D813" s="86"/>
      <c r="E813" s="86"/>
      <c r="F813" s="77"/>
      <c r="G813" s="86"/>
      <c r="H813" s="79"/>
      <c r="I813" s="79"/>
      <c r="J813" s="79"/>
      <c r="K813" s="79"/>
      <c r="L813" s="79"/>
      <c r="M813" s="110"/>
      <c r="N813" s="77"/>
      <c r="O813" s="79"/>
      <c r="P813" s="80"/>
      <c r="Q813" s="86"/>
    </row>
    <row r="814" spans="1:17" ht="15" customHeight="1">
      <c r="A814" s="110"/>
      <c r="B814" s="80"/>
      <c r="C814" s="86"/>
      <c r="D814" s="86"/>
      <c r="E814" s="86"/>
      <c r="F814" s="77"/>
      <c r="G814" s="86"/>
      <c r="H814" s="79"/>
      <c r="I814" s="79"/>
      <c r="J814" s="79"/>
      <c r="K814" s="79"/>
      <c r="L814" s="79"/>
      <c r="M814" s="110"/>
      <c r="N814" s="77"/>
      <c r="O814" s="79"/>
      <c r="P814" s="80"/>
      <c r="Q814" s="86"/>
    </row>
    <row r="815" spans="1:17" ht="15" customHeight="1">
      <c r="A815" s="110"/>
      <c r="B815" s="80"/>
      <c r="C815" s="86"/>
      <c r="D815" s="86"/>
      <c r="E815" s="86"/>
      <c r="F815" s="77"/>
      <c r="G815" s="86"/>
      <c r="H815" s="79"/>
      <c r="I815" s="79"/>
      <c r="J815" s="79"/>
      <c r="K815" s="79"/>
      <c r="L815" s="79"/>
      <c r="M815" s="110"/>
      <c r="N815" s="77"/>
      <c r="O815" s="79"/>
      <c r="P815" s="80"/>
      <c r="Q815" s="86"/>
    </row>
    <row r="816" spans="1:17" ht="15" customHeight="1">
      <c r="A816" s="110"/>
      <c r="B816" s="80"/>
      <c r="C816" s="86"/>
      <c r="D816" s="86"/>
      <c r="E816" s="86"/>
      <c r="F816" s="77"/>
      <c r="G816" s="86"/>
      <c r="H816" s="79"/>
      <c r="I816" s="79"/>
      <c r="J816" s="79"/>
      <c r="K816" s="79"/>
      <c r="L816" s="79"/>
      <c r="M816" s="110"/>
      <c r="N816" s="77"/>
      <c r="O816" s="79"/>
      <c r="P816" s="80"/>
      <c r="Q816" s="86"/>
    </row>
    <row r="817" spans="1:17" ht="15" customHeight="1">
      <c r="A817" s="110"/>
      <c r="B817" s="80"/>
      <c r="C817" s="86"/>
      <c r="D817" s="86"/>
      <c r="E817" s="86"/>
      <c r="F817" s="77"/>
      <c r="G817" s="86"/>
      <c r="H817" s="79"/>
      <c r="I817" s="79"/>
      <c r="J817" s="79"/>
      <c r="K817" s="79"/>
      <c r="L817" s="79"/>
      <c r="M817" s="110"/>
      <c r="N817" s="77"/>
      <c r="O817" s="79"/>
      <c r="P817" s="80"/>
      <c r="Q817" s="86"/>
    </row>
    <row r="818" spans="1:17" ht="15" customHeight="1">
      <c r="A818" s="110"/>
      <c r="B818" s="80"/>
      <c r="C818" s="86"/>
      <c r="D818" s="86"/>
      <c r="E818" s="86"/>
      <c r="F818" s="77"/>
      <c r="G818" s="86"/>
      <c r="H818" s="79"/>
      <c r="I818" s="79"/>
      <c r="J818" s="79"/>
      <c r="K818" s="79"/>
      <c r="L818" s="79"/>
      <c r="M818" s="110"/>
      <c r="N818" s="77"/>
      <c r="O818" s="79"/>
      <c r="P818" s="80"/>
      <c r="Q818" s="86"/>
    </row>
    <row r="819" spans="1:17" ht="15" customHeight="1">
      <c r="A819" s="110"/>
      <c r="B819" s="80"/>
      <c r="C819" s="86"/>
      <c r="D819" s="86"/>
      <c r="E819" s="86"/>
      <c r="F819" s="77"/>
      <c r="G819" s="86"/>
      <c r="H819" s="79"/>
      <c r="I819" s="79"/>
      <c r="J819" s="79"/>
      <c r="K819" s="79"/>
      <c r="L819" s="79"/>
      <c r="M819" s="110"/>
      <c r="N819" s="77"/>
      <c r="O819" s="79"/>
      <c r="P819" s="80"/>
      <c r="Q819" s="86"/>
    </row>
    <row r="820" spans="1:17" ht="15" customHeight="1">
      <c r="A820" s="110"/>
      <c r="B820" s="80"/>
      <c r="C820" s="86"/>
      <c r="D820" s="86"/>
      <c r="E820" s="86"/>
      <c r="F820" s="77"/>
      <c r="G820" s="86"/>
      <c r="H820" s="79"/>
      <c r="I820" s="79"/>
      <c r="J820" s="79"/>
      <c r="K820" s="79"/>
      <c r="L820" s="79"/>
      <c r="M820" s="110"/>
      <c r="N820" s="77"/>
      <c r="O820" s="79"/>
      <c r="P820" s="80"/>
      <c r="Q820" s="86"/>
    </row>
    <row r="821" spans="1:17" ht="15" customHeight="1">
      <c r="A821" s="110"/>
      <c r="B821" s="80"/>
      <c r="C821" s="86"/>
      <c r="D821" s="86"/>
      <c r="E821" s="86"/>
      <c r="F821" s="77"/>
      <c r="G821" s="86"/>
      <c r="H821" s="79"/>
      <c r="I821" s="79"/>
      <c r="J821" s="79"/>
      <c r="K821" s="79"/>
      <c r="L821" s="79"/>
      <c r="M821" s="110"/>
      <c r="N821" s="77"/>
      <c r="O821" s="79"/>
      <c r="P821" s="80"/>
      <c r="Q821" s="86"/>
    </row>
    <row r="822" spans="1:17" ht="15" customHeight="1">
      <c r="A822" s="110"/>
      <c r="B822" s="80"/>
      <c r="C822" s="86"/>
      <c r="D822" s="86"/>
      <c r="E822" s="86"/>
      <c r="F822" s="77"/>
      <c r="G822" s="86"/>
      <c r="H822" s="79"/>
      <c r="I822" s="79"/>
      <c r="J822" s="79"/>
      <c r="K822" s="79"/>
      <c r="L822" s="79"/>
      <c r="M822" s="110"/>
      <c r="N822" s="77"/>
      <c r="O822" s="79"/>
      <c r="P822" s="80"/>
      <c r="Q822" s="86"/>
    </row>
    <row r="823" spans="1:17" ht="15" customHeight="1">
      <c r="A823" s="110"/>
      <c r="B823" s="80"/>
      <c r="C823" s="86"/>
      <c r="D823" s="86"/>
      <c r="E823" s="86"/>
      <c r="F823" s="77"/>
      <c r="G823" s="86"/>
      <c r="H823" s="79"/>
      <c r="I823" s="79"/>
      <c r="J823" s="79"/>
      <c r="K823" s="79"/>
      <c r="L823" s="79"/>
      <c r="M823" s="110"/>
      <c r="N823" s="77"/>
      <c r="O823" s="79"/>
      <c r="P823" s="80"/>
      <c r="Q823" s="86"/>
    </row>
    <row r="824" spans="1:17" ht="15" customHeight="1">
      <c r="A824" s="110"/>
      <c r="B824" s="80"/>
      <c r="C824" s="86"/>
      <c r="D824" s="86"/>
      <c r="E824" s="86"/>
      <c r="F824" s="77"/>
      <c r="G824" s="86"/>
      <c r="H824" s="79"/>
      <c r="I824" s="79"/>
      <c r="J824" s="79"/>
      <c r="K824" s="79"/>
      <c r="L824" s="79"/>
      <c r="M824" s="110"/>
      <c r="N824" s="77"/>
      <c r="O824" s="79"/>
      <c r="P824" s="80"/>
      <c r="Q824" s="86"/>
    </row>
    <row r="825" spans="1:17" ht="15" customHeight="1">
      <c r="A825" s="110"/>
      <c r="B825" s="80"/>
      <c r="C825" s="86"/>
      <c r="D825" s="86"/>
      <c r="E825" s="86"/>
      <c r="F825" s="77"/>
      <c r="G825" s="86"/>
      <c r="H825" s="79"/>
      <c r="I825" s="79"/>
      <c r="J825" s="79"/>
      <c r="K825" s="79"/>
      <c r="L825" s="79"/>
      <c r="M825" s="110"/>
      <c r="N825" s="77"/>
      <c r="O825" s="79"/>
      <c r="P825" s="80"/>
      <c r="Q825" s="86"/>
    </row>
    <row r="826" spans="1:17" ht="15" customHeight="1">
      <c r="A826" s="26" t="s">
        <v>350</v>
      </c>
      <c r="B826" s="111"/>
      <c r="C826" s="111"/>
      <c r="D826" s="111"/>
      <c r="E826" s="111"/>
      <c r="F826" s="111"/>
      <c r="G826" s="112"/>
      <c r="H826" s="24">
        <f>SUM(H4:H803)</f>
        <v>219484553</v>
      </c>
      <c r="I826" s="24">
        <f>SUM(I4:I803)</f>
        <v>1290321</v>
      </c>
      <c r="J826" s="24">
        <f>SUM(J4:J803)</f>
        <v>1085448</v>
      </c>
      <c r="K826" s="24">
        <f>SUM(K4:K803)</f>
        <v>901450</v>
      </c>
      <c r="L826" s="24">
        <f>SUM(L4:L803)</f>
        <v>221695474</v>
      </c>
      <c r="M826" s="44" t="str">
        <f>COUNTA(M4:M803)&amp;"件"</f>
        <v>483件</v>
      </c>
      <c r="N826" s="44" t="str">
        <f>COUNTA(N4:N803)&amp;"件予定"</f>
        <v>475件予定</v>
      </c>
      <c r="O826" s="24">
        <f>SUM(O4:O803)</f>
        <v>220728673</v>
      </c>
      <c r="P826" s="44"/>
      <c r="Q826" s="44"/>
    </row>
    <row r="828" spans="1:17" ht="15" customHeight="1">
      <c r="A828" s="113" t="s">
        <v>680</v>
      </c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2"/>
      <c r="O828" s="114" t="str">
        <f ca="1">COUNTIF(P4:P803,"済")&amp;"件"</f>
        <v>105件</v>
      </c>
      <c r="P828" s="115">
        <f ca="1">SUMIF(P4:P803,"済",O4:O803)</f>
        <v>42770863</v>
      </c>
      <c r="Q828" s="116"/>
    </row>
    <row r="829" spans="1:17" ht="27.75" customHeight="1">
      <c r="A829" s="117" t="s">
        <v>681</v>
      </c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2"/>
      <c r="O829" s="118" t="str">
        <f ca="1">COUNTIFS(O4:O803,"&gt;0",P4:P803,"")&amp;"件"</f>
        <v>377件</v>
      </c>
      <c r="P829" s="119">
        <f ca="1">SUMIFS(O4:O803,P4:P803,"")</f>
        <v>177924810</v>
      </c>
      <c r="Q829" s="120"/>
    </row>
  </sheetData>
  <autoFilter ref="A3:Q803" xr:uid="{00000000-0009-0000-0000-00000B000000}"/>
  <mergeCells count="3">
    <mergeCell ref="A1:Q1"/>
    <mergeCell ref="H2:Q2"/>
    <mergeCell ref="A804:G804"/>
  </mergeCells>
  <phoneticPr fontId="45"/>
  <conditionalFormatting sqref="A4:Q803">
    <cfRule type="expression" dxfId="11" priority="2">
      <formula>$M4="高"</formula>
    </cfRule>
    <cfRule type="expression" dxfId="10" priority="3">
      <formula>$M4="中"</formula>
    </cfRule>
    <cfRule type="expression" dxfId="9" priority="4">
      <formula>$M4="低"</formula>
    </cfRule>
    <cfRule type="expression" dxfId="8" priority="5">
      <formula>$M4="月次"</formula>
    </cfRule>
    <cfRule type="expression" dxfId="7" priority="6">
      <formula>$M4="カード枠回復"</formula>
    </cfRule>
    <cfRule type="expression" dxfId="6" priority="7">
      <formula>$P4="済"</formula>
    </cfRule>
    <cfRule type="expression" dxfId="5" priority="8">
      <formula>$P4="取消"</formula>
    </cfRule>
  </conditionalFormatting>
  <conditionalFormatting sqref="M4:M803">
    <cfRule type="cellIs" dxfId="4" priority="9" operator="equal">
      <formula>"高"</formula>
    </cfRule>
    <cfRule type="cellIs" dxfId="3" priority="10" operator="equal">
      <formula>"中"</formula>
    </cfRule>
    <cfRule type="cellIs" dxfId="2" priority="11" operator="equal">
      <formula>"低"</formula>
    </cfRule>
    <cfRule type="cellIs" dxfId="1" priority="12" operator="equal">
      <formula>"月次"</formula>
    </cfRule>
    <cfRule type="cellIs" dxfId="0" priority="13" operator="equal">
      <formula>"カード枠回復"</formula>
    </cfRule>
  </conditionalFormatting>
  <dataValidations count="5">
    <dataValidation type="list" sqref="A4:A803" xr:uid="{00000000-0002-0000-0B00-000000000000}">
      <formula1>"レジデンス,リゾート,モーテル,ザック,ワールド・レイ,ココ・ユニバース"</formula1>
      <formula2>0</formula2>
    </dataValidation>
    <dataValidation type="list" allowBlank="1" sqref="B4:B803" xr:uid="{00000000-0002-0000-0B00-000001000000}">
      <formula1>"未払繰越,月次予定,カード枠回復"</formula1>
      <formula2>0</formula2>
    </dataValidation>
    <dataValidation type="list" allowBlank="1" sqref="M4:M803" xr:uid="{00000000-0002-0000-0B00-000002000000}">
      <formula1>"高,中,低,月次,カード枠回復"</formula1>
      <formula2>0</formula2>
    </dataValidation>
    <dataValidation type="date" allowBlank="1" sqref="N4:N803" xr:uid="{00000000-0002-0000-0B00-000003000000}">
      <formula1>0</formula1>
      <formula2>0</formula2>
    </dataValidation>
    <dataValidation type="list" allowBlank="1" sqref="P4:P803" xr:uid="{00000000-0002-0000-0B00-000004000000}">
      <formula1>"済,取消"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8"/>
  <sheetViews>
    <sheetView zoomScaleNormal="100" workbookViewId="0">
      <pane ySplit="3" topLeftCell="A29" activePane="bottomLeft" state="frozen"/>
      <selection pane="bottomLeft" activeCell="C17" sqref="C17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45" t="s">
        <v>682</v>
      </c>
      <c r="B1" s="145"/>
      <c r="C1" s="145"/>
      <c r="D1" s="145"/>
      <c r="E1" s="145"/>
      <c r="F1" s="145"/>
      <c r="G1" s="145"/>
      <c r="H1" s="145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SUMIFS(入金入力!$E$4:$E$580,入金入力!$B$4:$B$580,A5,入金入力!$A$4:$A$580,"レジデンス")+SUMIFS(入金予測!$E$4:$E$603,入金予測!$A$4:$A$603,A5,入金予測!$B$4:$B$603,"レジデンス")</f>
        <v>89000</v>
      </c>
      <c r="C5" s="20">
        <f>SUMIFS(未払予定一覧!$O$4:$O$830,未払予定一覧!$N$4:$N$830,A5,未払予定一覧!$A$4:$A$830,"レジデンス",未払予定一覧!$B$4:$B$830,"未払繰越")+SUMIFS(未払予定一覧!$O$4:$O$830,未払予定一覧!$N$4:$N$830,A5,未払予定一覧!$A$4:$A$830,"レジデンス",未払予定一覧!$B$4:$B$830,"月次予定")</f>
        <v>976912</v>
      </c>
      <c r="D5" s="20">
        <f t="shared" ref="D5:D37" si="0">B5-C5-F5</f>
        <v>-887912</v>
      </c>
      <c r="E5" s="20">
        <f>D5</f>
        <v>-887912</v>
      </c>
      <c r="F5" s="21">
        <f>SUMIFS(未払予定一覧!$O$4:$O$830,未払予定一覧!$N$4:$N$830,A5,未払予定一覧!$A$4:$A$830,"レジデンス",未払予定一覧!$B$4:$B$830,"カード枠回復")</f>
        <v>0</v>
      </c>
      <c r="G5" s="122">
        <f>D5+F5</f>
        <v>-887912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SUMIFS(入金入力!$E$4:$E$580,入金入力!$B$4:$B$580,A6,入金入力!$A$4:$A$580,"レジデンス")+SUMIFS(入金予測!$E$4:$E$603,入金予測!$A$4:$A$603,A6,入金予測!$B$4:$B$603,"レジデンス")</f>
        <v>24506</v>
      </c>
      <c r="C6" s="20">
        <f>SUMIFS(未払予定一覧!$O$4:$O$830,未払予定一覧!$N$4:$N$830,A6,未払予定一覧!$A$4:$A$830,"レジデンス",未払予定一覧!$B$4:$B$830,"未払繰越")+SUMIFS(未払予定一覧!$O$4:$O$830,未払予定一覧!$N$4:$N$830,A6,未払予定一覧!$A$4:$A$830,"レジデンス",未払予定一覧!$B$4:$B$830,"月次予定")</f>
        <v>0</v>
      </c>
      <c r="D6" s="20">
        <f t="shared" si="0"/>
        <v>24506</v>
      </c>
      <c r="E6" s="20">
        <f t="shared" ref="E6:E36" si="1">E5+D6</f>
        <v>-863406</v>
      </c>
      <c r="F6" s="21">
        <f>SUMIFS(未払予定一覧!$O$4:$O$830,未払予定一覧!$N$4:$N$830,A6,未払予定一覧!$A$4:$A$830,"レジデンス",未払予定一覧!$B$4:$B$830,"カード枠回復")</f>
        <v>0</v>
      </c>
      <c r="G6" s="122">
        <f t="shared" ref="G6:G36" si="2">G5+D6+F6</f>
        <v>-863406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SUMIFS(入金入力!$E$4:$E$580,入金入力!$B$4:$B$580,A7,入金入力!$A$4:$A$580,"レジデンス")+SUMIFS(入金予測!$E$4:$E$603,入金予測!$A$4:$A$603,A7,入金予測!$B$4:$B$603,"レジデンス")</f>
        <v>0</v>
      </c>
      <c r="C7" s="20">
        <f>SUMIFS(未払予定一覧!$O$4:$O$830,未払予定一覧!$N$4:$N$830,A7,未払予定一覧!$A$4:$A$830,"レジデンス",未払予定一覧!$B$4:$B$830,"未払繰越")+SUMIFS(未払予定一覧!$O$4:$O$830,未払予定一覧!$N$4:$N$830,A7,未払予定一覧!$A$4:$A$830,"レジデンス",未払予定一覧!$B$4:$B$830,"月次予定")</f>
        <v>0</v>
      </c>
      <c r="D7" s="20">
        <f t="shared" si="0"/>
        <v>0</v>
      </c>
      <c r="E7" s="20">
        <f t="shared" si="1"/>
        <v>-863406</v>
      </c>
      <c r="F7" s="21">
        <f>SUMIFS(未払予定一覧!$O$4:$O$830,未払予定一覧!$N$4:$N$830,A7,未払予定一覧!$A$4:$A$830,"レジデンス",未払予定一覧!$B$4:$B$830,"カード枠回復")</f>
        <v>0</v>
      </c>
      <c r="G7" s="122">
        <f t="shared" si="2"/>
        <v>-863406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SUMIFS(入金入力!$E$4:$E$580,入金入力!$B$4:$B$580,A8,入金入力!$A$4:$A$580,"レジデンス")+SUMIFS(入金予測!$E$4:$E$603,入金予測!$A$4:$A$603,A8,入金予測!$B$4:$B$603,"レジデンス")</f>
        <v>0</v>
      </c>
      <c r="C8" s="20">
        <f>SUMIFS(未払予定一覧!$O$4:$O$830,未払予定一覧!$N$4:$N$830,A8,未払予定一覧!$A$4:$A$830,"レジデンス",未払予定一覧!$B$4:$B$830,"未払繰越")+SUMIFS(未払予定一覧!$O$4:$O$830,未払予定一覧!$N$4:$N$830,A8,未払予定一覧!$A$4:$A$830,"レジデンス",未払予定一覧!$B$4:$B$830,"月次予定")</f>
        <v>0</v>
      </c>
      <c r="D8" s="20">
        <f t="shared" si="0"/>
        <v>0</v>
      </c>
      <c r="E8" s="20">
        <f t="shared" si="1"/>
        <v>-863406</v>
      </c>
      <c r="F8" s="21">
        <f>SUMIFS(未払予定一覧!$O$4:$O$830,未払予定一覧!$N$4:$N$830,A8,未払予定一覧!$A$4:$A$830,"レジデンス",未払予定一覧!$B$4:$B$830,"カード枠回復")</f>
        <v>0</v>
      </c>
      <c r="G8" s="122">
        <f t="shared" si="2"/>
        <v>-863406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SUMIFS(入金入力!$E$4:$E$580,入金入力!$B$4:$B$580,A9,入金入力!$A$4:$A$580,"レジデンス")+SUMIFS(入金予測!$E$4:$E$603,入金予測!$A$4:$A$603,A9,入金予測!$B$4:$B$603,"レジデンス")</f>
        <v>0</v>
      </c>
      <c r="C9" s="20">
        <f>SUMIFS(未払予定一覧!$O$4:$O$830,未払予定一覧!$N$4:$N$830,A9,未払予定一覧!$A$4:$A$830,"レジデンス",未払予定一覧!$B$4:$B$830,"未払繰越")+SUMIFS(未払予定一覧!$O$4:$O$830,未払予定一覧!$N$4:$N$830,A9,未払予定一覧!$A$4:$A$830,"レジデンス",未払予定一覧!$B$4:$B$830,"月次予定")</f>
        <v>0</v>
      </c>
      <c r="D9" s="20">
        <f t="shared" si="0"/>
        <v>0</v>
      </c>
      <c r="E9" s="20">
        <f t="shared" si="1"/>
        <v>-863406</v>
      </c>
      <c r="F9" s="21">
        <f>SUMIFS(未払予定一覧!$O$4:$O$830,未払予定一覧!$N$4:$N$830,A9,未払予定一覧!$A$4:$A$830,"レジデンス",未払予定一覧!$B$4:$B$830,"カード枠回復")</f>
        <v>0</v>
      </c>
      <c r="G9" s="122">
        <f t="shared" si="2"/>
        <v>-863406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SUMIFS(入金入力!$E$4:$E$580,入金入力!$B$4:$B$580,A10,入金入力!$A$4:$A$580,"レジデンス")+SUMIFS(入金予測!$E$4:$E$603,入金予測!$A$4:$A$603,A10,入金予測!$B$4:$B$603,"レジデンス")</f>
        <v>0</v>
      </c>
      <c r="C10" s="20">
        <f>SUMIFS(未払予定一覧!$O$4:$O$830,未払予定一覧!$N$4:$N$830,A10,未払予定一覧!$A$4:$A$830,"レジデンス",未払予定一覧!$B$4:$B$830,"未払繰越")+SUMIFS(未払予定一覧!$O$4:$O$830,未払予定一覧!$N$4:$N$830,A10,未払予定一覧!$A$4:$A$830,"レジデンス",未払予定一覧!$B$4:$B$830,"月次予定")</f>
        <v>0</v>
      </c>
      <c r="D10" s="20">
        <f t="shared" si="0"/>
        <v>0</v>
      </c>
      <c r="E10" s="20">
        <f t="shared" si="1"/>
        <v>-863406</v>
      </c>
      <c r="F10" s="21">
        <f>SUMIFS(未払予定一覧!$O$4:$O$830,未払予定一覧!$N$4:$N$830,A10,未払予定一覧!$A$4:$A$830,"レジデンス",未払予定一覧!$B$4:$B$830,"カード枠回復")</f>
        <v>0</v>
      </c>
      <c r="G10" s="122">
        <f t="shared" si="2"/>
        <v>-863406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SUMIFS(入金入力!$E$4:$E$580,入金入力!$B$4:$B$580,A11,入金入力!$A$4:$A$580,"レジデンス")+SUMIFS(入金予測!$E$4:$E$603,入金予測!$A$4:$A$603,A11,入金予測!$B$4:$B$603,"レジデンス")</f>
        <v>0</v>
      </c>
      <c r="C11" s="20">
        <f>SUMIFS(未払予定一覧!$O$4:$O$830,未払予定一覧!$N$4:$N$830,A11,未払予定一覧!$A$4:$A$830,"レジデンス",未払予定一覧!$B$4:$B$830,"未払繰越")+SUMIFS(未払予定一覧!$O$4:$O$830,未払予定一覧!$N$4:$N$830,A11,未払予定一覧!$A$4:$A$830,"レジデンス",未払予定一覧!$B$4:$B$830,"月次予定")</f>
        <v>0</v>
      </c>
      <c r="D11" s="20">
        <f t="shared" si="0"/>
        <v>0</v>
      </c>
      <c r="E11" s="20">
        <f t="shared" si="1"/>
        <v>-863406</v>
      </c>
      <c r="F11" s="21">
        <f>SUMIFS(未払予定一覧!$O$4:$O$830,未払予定一覧!$N$4:$N$830,A11,未払予定一覧!$A$4:$A$830,"レジデンス",未払予定一覧!$B$4:$B$830,"カード枠回復")</f>
        <v>0</v>
      </c>
      <c r="G11" s="122">
        <f t="shared" si="2"/>
        <v>-863406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SUMIFS(入金入力!$E$4:$E$580,入金入力!$B$4:$B$580,A12,入金入力!$A$4:$A$580,"レジデンス")+SUMIFS(入金予測!$E$4:$E$603,入金予測!$A$4:$A$603,A12,入金予測!$B$4:$B$603,"レジデンス")</f>
        <v>0</v>
      </c>
      <c r="C12" s="20">
        <f>SUMIFS(未払予定一覧!$O$4:$O$830,未払予定一覧!$N$4:$N$830,A12,未払予定一覧!$A$4:$A$830,"レジデンス",未払予定一覧!$B$4:$B$830,"未払繰越")+SUMIFS(未払予定一覧!$O$4:$O$830,未払予定一覧!$N$4:$N$830,A12,未払予定一覧!$A$4:$A$830,"レジデンス",未払予定一覧!$B$4:$B$830,"月次予定")</f>
        <v>18150</v>
      </c>
      <c r="D12" s="20">
        <f t="shared" si="0"/>
        <v>-18150</v>
      </c>
      <c r="E12" s="20">
        <f t="shared" si="1"/>
        <v>-881556</v>
      </c>
      <c r="F12" s="21">
        <f>SUMIFS(未払予定一覧!$O$4:$O$830,未払予定一覧!$N$4:$N$830,A12,未払予定一覧!$A$4:$A$830,"レジデンス",未払予定一覧!$B$4:$B$830,"カード枠回復")</f>
        <v>0</v>
      </c>
      <c r="G12" s="122">
        <f t="shared" si="2"/>
        <v>-881556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SUMIFS(入金入力!$E$4:$E$580,入金入力!$B$4:$B$580,A13,入金入力!$A$4:$A$580,"レジデンス")+SUMIFS(入金予測!$E$4:$E$603,入金予測!$A$4:$A$603,A13,入金予測!$B$4:$B$603,"レジデンス")</f>
        <v>0</v>
      </c>
      <c r="C13" s="20">
        <f>SUMIFS(未払予定一覧!$O$4:$O$830,未払予定一覧!$N$4:$N$830,A13,未払予定一覧!$A$4:$A$830,"レジデンス",未払予定一覧!$B$4:$B$830,"未払繰越")+SUMIFS(未払予定一覧!$O$4:$O$830,未払予定一覧!$N$4:$N$830,A13,未払予定一覧!$A$4:$A$830,"レジデンス",未払予定一覧!$B$4:$B$830,"月次予定")</f>
        <v>6766</v>
      </c>
      <c r="D13" s="20">
        <f t="shared" si="0"/>
        <v>-6766</v>
      </c>
      <c r="E13" s="20">
        <f t="shared" si="1"/>
        <v>-888322</v>
      </c>
      <c r="F13" s="21">
        <f>SUMIFS(未払予定一覧!$O$4:$O$830,未払予定一覧!$N$4:$N$830,A13,未払予定一覧!$A$4:$A$830,"レジデンス",未払予定一覧!$B$4:$B$830,"カード枠回復")</f>
        <v>0</v>
      </c>
      <c r="G13" s="122">
        <f t="shared" si="2"/>
        <v>-888322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SUMIFS(入金入力!$E$4:$E$580,入金入力!$B$4:$B$580,A14,入金入力!$A$4:$A$580,"レジデンス")+SUMIFS(入金予測!$E$4:$E$603,入金予測!$A$4:$A$603,A14,入金予測!$B$4:$B$603,"レジデンス")</f>
        <v>0</v>
      </c>
      <c r="C14" s="20"/>
      <c r="D14" s="20">
        <f t="shared" si="0"/>
        <v>0</v>
      </c>
      <c r="E14" s="20">
        <f t="shared" si="1"/>
        <v>-888322</v>
      </c>
      <c r="F14" s="21">
        <f>SUMIFS(未払予定一覧!$O$4:$O$830,未払予定一覧!$N$4:$N$830,A14,未払予定一覧!$A$4:$A$830,"レジデンス",未払予定一覧!$B$4:$B$830,"カード枠回復")</f>
        <v>0</v>
      </c>
      <c r="G14" s="122">
        <f t="shared" si="2"/>
        <v>-888322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SUMIFS(入金入力!$E$4:$E$580,入金入力!$B$4:$B$580,A15,入金入力!$A$4:$A$580,"レジデンス")+SUMIFS(入金予測!$E$4:$E$603,入金予測!$A$4:$A$603,A15,入金予測!$B$4:$B$603,"レジデンス")</f>
        <v>0</v>
      </c>
      <c r="C15" s="20">
        <f>SUMIFS(未払予定一覧!$O$4:$O$830,未払予定一覧!$N$4:$N$830,A15,未払予定一覧!$A$4:$A$830,"レジデンス",未払予定一覧!$B$4:$B$830,"未払繰越")+SUMIFS(未払予定一覧!$O$4:$O$830,未払予定一覧!$N$4:$N$830,A15,未払予定一覧!$A$4:$A$830,"レジデンス",未払予定一覧!$B$4:$B$830,"月次予定")</f>
        <v>0</v>
      </c>
      <c r="D15" s="20">
        <f t="shared" si="0"/>
        <v>0</v>
      </c>
      <c r="E15" s="20">
        <f t="shared" si="1"/>
        <v>-888322</v>
      </c>
      <c r="F15" s="21">
        <f>SUMIFS(未払予定一覧!$O$4:$O$830,未払予定一覧!$N$4:$N$830,A15,未払予定一覧!$A$4:$A$830,"レジデンス",未払予定一覧!$B$4:$B$830,"カード枠回復")</f>
        <v>0</v>
      </c>
      <c r="G15" s="122">
        <f t="shared" si="2"/>
        <v>-888322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SUMIFS(入金入力!$E$4:$E$580,入金入力!$B$4:$B$580,A16,入金入力!$A$4:$A$580,"レジデンス")+SUMIFS(入金予測!$E$4:$E$603,入金予測!$A$4:$A$603,A16,入金予測!$B$4:$B$603,"レジデンス")</f>
        <v>0</v>
      </c>
      <c r="C16" s="20">
        <f>SUMIFS(未払予定一覧!$O$4:$O$830,未払予定一覧!$N$4:$N$830,A16,未払予定一覧!$A$4:$A$830,"レジデンス",未払予定一覧!$B$4:$B$830,"未払繰越")+SUMIFS(未払予定一覧!$O$4:$O$830,未払予定一覧!$N$4:$N$830,A16,未払予定一覧!$A$4:$A$830,"レジデンス",未払予定一覧!$B$4:$B$830,"月次予定")</f>
        <v>52810</v>
      </c>
      <c r="D16" s="20">
        <f t="shared" si="0"/>
        <v>-52810</v>
      </c>
      <c r="E16" s="20">
        <f t="shared" si="1"/>
        <v>-941132</v>
      </c>
      <c r="F16" s="21">
        <f>SUMIFS(未払予定一覧!$O$4:$O$830,未払予定一覧!$N$4:$N$830,A16,未払予定一覧!$A$4:$A$830,"レジデンス",未払予定一覧!$B$4:$B$830,"カード枠回復")</f>
        <v>0</v>
      </c>
      <c r="G16" s="122">
        <f t="shared" si="2"/>
        <v>-941132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SUMIFS(入金入力!$E$4:$E$580,入金入力!$B$4:$B$580,A17,入金入力!$A$4:$A$580,"レジデンス")+SUMIFS(入金予測!$E$4:$E$603,入金予測!$A$4:$A$603,A17,入金予測!$B$4:$B$603,"レジデンス")</f>
        <v>8944000</v>
      </c>
      <c r="C17" s="20"/>
      <c r="D17" s="20">
        <f t="shared" si="0"/>
        <v>8944000</v>
      </c>
      <c r="E17" s="20">
        <f t="shared" si="1"/>
        <v>8002868</v>
      </c>
      <c r="F17" s="21">
        <f>SUMIFS(未払予定一覧!$O$4:$O$830,未払予定一覧!$N$4:$N$830,A17,未払予定一覧!$A$4:$A$830,"レジデンス",未払予定一覧!$B$4:$B$830,"カード枠回復")</f>
        <v>0</v>
      </c>
      <c r="G17" s="122">
        <f t="shared" si="2"/>
        <v>8002868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SUMIFS(入金入力!$E$4:$E$580,入金入力!$B$4:$B$580,A18,入金入力!$A$4:$A$580,"レジデンス")+SUMIFS(入金予測!$E$4:$E$603,入金予測!$A$4:$A$603,A18,入金予測!$B$4:$B$603,"レジデンス")</f>
        <v>15000</v>
      </c>
      <c r="C18" s="20">
        <f>SUMIFS(未払予定一覧!$O$4:$O$830,未払予定一覧!$N$4:$N$830,A18,未払予定一覧!$A$4:$A$830,"レジデンス",未払予定一覧!$B$4:$B$830,"未払繰越")+SUMIFS(未払予定一覧!$O$4:$O$830,未払予定一覧!$N$4:$N$830,A18,未払予定一覧!$A$4:$A$830,"レジデンス",未払予定一覧!$B$4:$B$830,"月次予定")</f>
        <v>1824691</v>
      </c>
      <c r="D18" s="20">
        <f t="shared" si="0"/>
        <v>-1809691</v>
      </c>
      <c r="E18" s="20">
        <f t="shared" si="1"/>
        <v>6193177</v>
      </c>
      <c r="F18" s="21">
        <f>SUMIFS(未払予定一覧!$O$4:$O$830,未払予定一覧!$N$4:$N$830,A18,未払予定一覧!$A$4:$A$830,"レジデンス",未払予定一覧!$B$4:$B$830,"カード枠回復")</f>
        <v>0</v>
      </c>
      <c r="G18" s="122">
        <f t="shared" si="2"/>
        <v>6193177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SUMIFS(入金入力!$E$4:$E$580,入金入力!$B$4:$B$580,A19,入金入力!$A$4:$A$580,"レジデンス")+SUMIFS(入金予測!$E$4:$E$603,入金予測!$A$4:$A$603,A19,入金予測!$B$4:$B$603,"レジデンス")</f>
        <v>0</v>
      </c>
      <c r="C19" s="20">
        <f>SUMIFS(未払予定一覧!$O$4:$O$830,未払予定一覧!$N$4:$N$830,A19,未払予定一覧!$A$4:$A$830,"レジデンス",未払予定一覧!$B$4:$B$830,"未払繰越")+SUMIFS(未払予定一覧!$O$4:$O$830,未払予定一覧!$N$4:$N$830,A19,未払予定一覧!$A$4:$A$830,"レジデンス",未払予定一覧!$B$4:$B$830,"月次予定")</f>
        <v>0</v>
      </c>
      <c r="D19" s="20">
        <f t="shared" si="0"/>
        <v>0</v>
      </c>
      <c r="E19" s="20">
        <f t="shared" si="1"/>
        <v>6193177</v>
      </c>
      <c r="F19" s="21">
        <f>SUMIFS(未払予定一覧!$O$4:$O$830,未払予定一覧!$N$4:$N$830,A19,未払予定一覧!$A$4:$A$830,"レジデンス",未払予定一覧!$B$4:$B$830,"カード枠回復")</f>
        <v>0</v>
      </c>
      <c r="G19" s="122">
        <f t="shared" si="2"/>
        <v>6193177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SUMIFS(入金入力!$E$4:$E$580,入金入力!$B$4:$B$580,A20,入金入力!$A$4:$A$580,"レジデンス")+SUMIFS(入金予測!$E$4:$E$603,入金予測!$A$4:$A$603,A20,入金予測!$B$4:$B$603,"レジデンス")</f>
        <v>620247</v>
      </c>
      <c r="C20" s="20">
        <f>SUMIFS(未払予定一覧!$O$4:$O$830,未払予定一覧!$N$4:$N$830,A20,未払予定一覧!$A$4:$A$830,"レジデンス",未払予定一覧!$B$4:$B$830,"未払繰越")+SUMIFS(未払予定一覧!$O$4:$O$830,未払予定一覧!$N$4:$N$830,A20,未払予定一覧!$A$4:$A$830,"レジデンス",未払予定一覧!$B$4:$B$830,"月次予定")</f>
        <v>633000</v>
      </c>
      <c r="D20" s="20">
        <f t="shared" si="0"/>
        <v>-12753</v>
      </c>
      <c r="E20" s="20">
        <f t="shared" si="1"/>
        <v>6180424</v>
      </c>
      <c r="F20" s="21">
        <f>SUMIFS(未払予定一覧!$O$4:$O$830,未払予定一覧!$N$4:$N$830,A20,未払予定一覧!$A$4:$A$830,"レジデンス",未払予定一覧!$B$4:$B$830,"カード枠回復")</f>
        <v>0</v>
      </c>
      <c r="G20" s="122">
        <f t="shared" si="2"/>
        <v>6180424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SUMIFS(入金入力!$E$4:$E$580,入金入力!$B$4:$B$580,A21,入金入力!$A$4:$A$580,"レジデンス")+SUMIFS(入金予測!$E$4:$E$603,入金予測!$A$4:$A$603,A21,入金予測!$B$4:$B$603,"レジデンス")</f>
        <v>0</v>
      </c>
      <c r="C21" s="20">
        <f>SUMIFS(未払予定一覧!$O$4:$O$830,未払予定一覧!$N$4:$N$830,A21,未払予定一覧!$A$4:$A$830,"レジデンス",未払予定一覧!$B$4:$B$830,"未払繰越")+SUMIFS(未払予定一覧!$O$4:$O$830,未払予定一覧!$N$4:$N$830,A21,未払予定一覧!$A$4:$A$830,"レジデンス",未払予定一覧!$B$4:$B$830,"月次予定")</f>
        <v>107395</v>
      </c>
      <c r="D21" s="20">
        <f t="shared" si="0"/>
        <v>-107395</v>
      </c>
      <c r="E21" s="20">
        <f t="shared" si="1"/>
        <v>6073029</v>
      </c>
      <c r="F21" s="21">
        <f>SUMIFS(未払予定一覧!$O$4:$O$830,未払予定一覧!$N$4:$N$830,A21,未払予定一覧!$A$4:$A$830,"レジデンス",未払予定一覧!$B$4:$B$830,"カード枠回復")</f>
        <v>0</v>
      </c>
      <c r="G21" s="122">
        <f t="shared" si="2"/>
        <v>6073029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SUMIFS(入金入力!$E$4:$E$580,入金入力!$B$4:$B$580,A22,入金入力!$A$4:$A$580,"レジデンス")+SUMIFS(入金予測!$E$4:$E$603,入金予測!$A$4:$A$603,A22,入金予測!$B$4:$B$603,"レジデンス")</f>
        <v>0</v>
      </c>
      <c r="C22" s="20">
        <f>SUMIFS(未払予定一覧!$O$4:$O$830,未払予定一覧!$N$4:$N$830,A22,未払予定一覧!$A$4:$A$830,"レジデンス",未払予定一覧!$B$4:$B$830,"未払繰越")+SUMIFS(未払予定一覧!$O$4:$O$830,未払予定一覧!$N$4:$N$830,A22,未払予定一覧!$A$4:$A$830,"レジデンス",未払予定一覧!$B$4:$B$830,"月次予定")</f>
        <v>0</v>
      </c>
      <c r="D22" s="20">
        <f t="shared" si="0"/>
        <v>0</v>
      </c>
      <c r="E22" s="20">
        <f t="shared" si="1"/>
        <v>6073029</v>
      </c>
      <c r="F22" s="21">
        <f>SUMIFS(未払予定一覧!$O$4:$O$830,未払予定一覧!$N$4:$N$830,A22,未払予定一覧!$A$4:$A$830,"レジデンス",未払予定一覧!$B$4:$B$830,"カード枠回復")</f>
        <v>0</v>
      </c>
      <c r="G22" s="122">
        <f t="shared" si="2"/>
        <v>6073029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SUMIFS(入金入力!$E$4:$E$580,入金入力!$B$4:$B$580,A23,入金入力!$A$4:$A$580,"レジデンス")+SUMIFS(入金予測!$E$4:$E$603,入金予測!$A$4:$A$603,A23,入金予測!$B$4:$B$603,"レジデンス")</f>
        <v>0</v>
      </c>
      <c r="C23" s="20">
        <f>SUMIFS(未払予定一覧!$O$4:$O$830,未払予定一覧!$N$4:$N$830,A23,未払予定一覧!$A$4:$A$830,"レジデンス",未払予定一覧!$B$4:$B$830,"未払繰越")+SUMIFS(未払予定一覧!$O$4:$O$830,未払予定一覧!$N$4:$N$830,A23,未払予定一覧!$A$4:$A$830,"レジデンス",未払予定一覧!$B$4:$B$830,"月次予定")</f>
        <v>0</v>
      </c>
      <c r="D23" s="20">
        <f t="shared" si="0"/>
        <v>0</v>
      </c>
      <c r="E23" s="20">
        <f t="shared" si="1"/>
        <v>6073029</v>
      </c>
      <c r="F23" s="21">
        <f>SUMIFS(未払予定一覧!$O$4:$O$830,未払予定一覧!$N$4:$N$830,A23,未払予定一覧!$A$4:$A$830,"レジデンス",未払予定一覧!$B$4:$B$830,"カード枠回復")</f>
        <v>0</v>
      </c>
      <c r="G23" s="122">
        <f t="shared" si="2"/>
        <v>6073029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SUMIFS(入金入力!$E$4:$E$580,入金入力!$B$4:$B$580,A24,入金入力!$A$4:$A$580,"レジデンス")+SUMIFS(入金予測!$E$4:$E$603,入金予測!$A$4:$A$603,A24,入金予測!$B$4:$B$603,"レジデンス")</f>
        <v>0</v>
      </c>
      <c r="C24" s="20">
        <f>SUMIFS(未払予定一覧!$O$4:$O$830,未払予定一覧!$N$4:$N$830,A24,未払予定一覧!$A$4:$A$830,"レジデンス",未払予定一覧!$B$4:$B$830,"未払繰越")+SUMIFS(未払予定一覧!$O$4:$O$830,未払予定一覧!$N$4:$N$830,A24,未払予定一覧!$A$4:$A$830,"レジデンス",未払予定一覧!$B$4:$B$830,"月次予定")</f>
        <v>0</v>
      </c>
      <c r="D24" s="20">
        <f t="shared" si="0"/>
        <v>0</v>
      </c>
      <c r="E24" s="20">
        <f t="shared" si="1"/>
        <v>6073029</v>
      </c>
      <c r="F24" s="21">
        <f>SUMIFS(未払予定一覧!$O$4:$O$830,未払予定一覧!$N$4:$N$830,A24,未払予定一覧!$A$4:$A$830,"レジデンス",未払予定一覧!$B$4:$B$830,"カード枠回復")</f>
        <v>0</v>
      </c>
      <c r="G24" s="122">
        <f t="shared" si="2"/>
        <v>6073029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SUMIFS(入金入力!$E$4:$E$580,入金入力!$B$4:$B$580,A25,入金入力!$A$4:$A$580,"レジデンス")+SUMIFS(入金予測!$E$4:$E$603,入金予測!$A$4:$A$603,A25,入金予測!$B$4:$B$603,"レジデンス")</f>
        <v>0</v>
      </c>
      <c r="C25" s="20">
        <f>SUMIFS(未払予定一覧!$O$4:$O$830,未払予定一覧!$N$4:$N$830,A25,未払予定一覧!$A$4:$A$830,"レジデンス",未払予定一覧!$B$4:$B$830,"未払繰越")+SUMIFS(未払予定一覧!$O$4:$O$830,未払予定一覧!$N$4:$N$830,A25,未払予定一覧!$A$4:$A$830,"レジデンス",未払予定一覧!$B$4:$B$830,"月次予定")</f>
        <v>523618</v>
      </c>
      <c r="D25" s="20">
        <f t="shared" si="0"/>
        <v>-523618</v>
      </c>
      <c r="E25" s="20">
        <f t="shared" si="1"/>
        <v>5549411</v>
      </c>
      <c r="F25" s="21">
        <f>SUMIFS(未払予定一覧!$O$4:$O$830,未払予定一覧!$N$4:$N$830,A25,未払予定一覧!$A$4:$A$830,"レジデンス",未払予定一覧!$B$4:$B$830,"カード枠回復")</f>
        <v>0</v>
      </c>
      <c r="G25" s="122">
        <f t="shared" si="2"/>
        <v>5549411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SUMIFS(入金入力!$E$4:$E$580,入金入力!$B$4:$B$580,A26,入金入力!$A$4:$A$580,"レジデンス")+SUMIFS(入金予測!$E$4:$E$603,入金予測!$A$4:$A$603,A26,入金予測!$B$4:$B$603,"レジデンス")</f>
        <v>0</v>
      </c>
      <c r="C26" s="20">
        <f>SUMIFS(未払予定一覧!$O$4:$O$830,未払予定一覧!$N$4:$N$830,A26,未払予定一覧!$A$4:$A$830,"レジデンス",未払予定一覧!$B$4:$B$830,"未払繰越")+SUMIFS(未払予定一覧!$O$4:$O$830,未払予定一覧!$N$4:$N$830,A26,未払予定一覧!$A$4:$A$830,"レジデンス",未払予定一覧!$B$4:$B$830,"月次予定")</f>
        <v>0</v>
      </c>
      <c r="D26" s="20">
        <f t="shared" si="0"/>
        <v>0</v>
      </c>
      <c r="E26" s="20">
        <f t="shared" si="1"/>
        <v>5549411</v>
      </c>
      <c r="F26" s="21">
        <f>SUMIFS(未払予定一覧!$O$4:$O$830,未払予定一覧!$N$4:$N$830,A26,未払予定一覧!$A$4:$A$830,"レジデンス",未払予定一覧!$B$4:$B$830,"カード枠回復")</f>
        <v>0</v>
      </c>
      <c r="G26" s="122">
        <f t="shared" si="2"/>
        <v>5549411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SUMIFS(入金入力!$E$4:$E$580,入金入力!$B$4:$B$580,A27,入金入力!$A$4:$A$580,"レジデンス")+SUMIFS(入金予測!$E$4:$E$603,入金予測!$A$4:$A$603,A27,入金予測!$B$4:$B$603,"レジデンス")</f>
        <v>0</v>
      </c>
      <c r="C27" s="20">
        <f>SUMIFS(未払予定一覧!$O$4:$O$830,未払予定一覧!$N$4:$N$830,A27,未払予定一覧!$A$4:$A$830,"レジデンス",未払予定一覧!$B$4:$B$830,"未払繰越")+SUMIFS(未払予定一覧!$O$4:$O$830,未払予定一覧!$N$4:$N$830,A27,未払予定一覧!$A$4:$A$830,"レジデンス",未払予定一覧!$B$4:$B$830,"月次予定")</f>
        <v>0</v>
      </c>
      <c r="D27" s="20">
        <f t="shared" si="0"/>
        <v>0</v>
      </c>
      <c r="E27" s="20">
        <f t="shared" si="1"/>
        <v>5549411</v>
      </c>
      <c r="F27" s="21">
        <f>SUMIFS(未払予定一覧!$O$4:$O$830,未払予定一覧!$N$4:$N$830,A27,未払予定一覧!$A$4:$A$830,"レジデンス",未払予定一覧!$B$4:$B$830,"カード枠回復")</f>
        <v>0</v>
      </c>
      <c r="G27" s="122">
        <f t="shared" si="2"/>
        <v>5549411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SUMIFS(入金入力!$E$4:$E$580,入金入力!$B$4:$B$580,A28,入金入力!$A$4:$A$580,"レジデンス")+SUMIFS(入金予測!$E$4:$E$603,入金予測!$A$4:$A$603,A28,入金予測!$B$4:$B$603,"レジデンス")</f>
        <v>0</v>
      </c>
      <c r="C28" s="20">
        <f>SUMIFS(未払予定一覧!$O$4:$O$830,未払予定一覧!$N$4:$N$830,A28,未払予定一覧!$A$4:$A$830,"レジデンス",未払予定一覧!$B$4:$B$830,"未払繰越")+SUMIFS(未払予定一覧!$O$4:$O$830,未払予定一覧!$N$4:$N$830,A28,未払予定一覧!$A$4:$A$830,"レジデンス",未払予定一覧!$B$4:$B$830,"月次予定")</f>
        <v>0</v>
      </c>
      <c r="D28" s="20">
        <f t="shared" si="0"/>
        <v>0</v>
      </c>
      <c r="E28" s="20">
        <f t="shared" si="1"/>
        <v>5549411</v>
      </c>
      <c r="F28" s="21">
        <f>SUMIFS(未払予定一覧!$O$4:$O$830,未払予定一覧!$N$4:$N$830,A28,未払予定一覧!$A$4:$A$830,"レジデンス",未払予定一覧!$B$4:$B$830,"カード枠回復")</f>
        <v>0</v>
      </c>
      <c r="G28" s="122">
        <f t="shared" si="2"/>
        <v>5549411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SUMIFS(入金入力!$E$4:$E$580,入金入力!$B$4:$B$580,A29,入金入力!$A$4:$A$580,"レジデンス")+SUMIFS(入金予測!$E$4:$E$603,入金予測!$A$4:$A$603,A29,入金予測!$B$4:$B$603,"レジデンス")</f>
        <v>0</v>
      </c>
      <c r="C29" s="20">
        <f>SUMIFS(未払予定一覧!$O$4:$O$830,未払予定一覧!$N$4:$N$830,A29,未払予定一覧!$A$4:$A$830,"レジデンス",未払予定一覧!$B$4:$B$830,"未払繰越")+SUMIFS(未払予定一覧!$O$4:$O$830,未払予定一覧!$N$4:$N$830,A29,未払予定一覧!$A$4:$A$830,"レジデンス",未払予定一覧!$B$4:$B$830,"月次予定")</f>
        <v>0</v>
      </c>
      <c r="D29" s="20">
        <f t="shared" si="0"/>
        <v>0</v>
      </c>
      <c r="E29" s="20">
        <f t="shared" si="1"/>
        <v>5549411</v>
      </c>
      <c r="F29" s="21">
        <f>SUMIFS(未払予定一覧!$O$4:$O$830,未払予定一覧!$N$4:$N$830,A29,未払予定一覧!$A$4:$A$830,"レジデンス",未払予定一覧!$B$4:$B$830,"カード枠回復")</f>
        <v>0</v>
      </c>
      <c r="G29" s="122">
        <f t="shared" si="2"/>
        <v>5549411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SUMIFS(入金入力!$E$4:$E$580,入金入力!$B$4:$B$580,A30,入金入力!$A$4:$A$580,"レジデンス")+SUMIFS(入金予測!$E$4:$E$603,入金予測!$A$4:$A$603,A30,入金予測!$B$4:$B$603,"レジデンス")</f>
        <v>0</v>
      </c>
      <c r="C30" s="20">
        <f>SUMIFS(未払予定一覧!$O$4:$O$830,未払予定一覧!$N$4:$N$830,A30,未払予定一覧!$A$4:$A$830,"レジデンス",未払予定一覧!$B$4:$B$830,"未払繰越")+SUMIFS(未払予定一覧!$O$4:$O$830,未払予定一覧!$N$4:$N$830,A30,未払予定一覧!$A$4:$A$830,"レジデンス",未払予定一覧!$B$4:$B$830,"月次予定")</f>
        <v>1059878</v>
      </c>
      <c r="D30" s="20">
        <f t="shared" si="0"/>
        <v>-1059878</v>
      </c>
      <c r="E30" s="20">
        <f t="shared" si="1"/>
        <v>4489533</v>
      </c>
      <c r="F30" s="21">
        <f>SUMIFS(未払予定一覧!$O$4:$O$830,未払予定一覧!$N$4:$N$830,A30,未払予定一覧!$A$4:$A$830,"レジデンス",未払予定一覧!$B$4:$B$830,"カード枠回復")</f>
        <v>0</v>
      </c>
      <c r="G30" s="122">
        <f t="shared" si="2"/>
        <v>4489533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SUMIFS(入金入力!$E$4:$E$580,入金入力!$B$4:$B$580,A31,入金入力!$A$4:$A$580,"レジデンス")+SUMIFS(入金予測!$E$4:$E$603,入金予測!$A$4:$A$603,A31,入金予測!$B$4:$B$603,"レジデンス")</f>
        <v>0</v>
      </c>
      <c r="C31" s="20">
        <f>SUMIFS(未払予定一覧!$O$4:$O$830,未払予定一覧!$N$4:$N$830,A31,未払予定一覧!$A$4:$A$830,"レジデンス",未払予定一覧!$B$4:$B$830,"未払繰越")+SUMIFS(未払予定一覧!$O$4:$O$830,未払予定一覧!$N$4:$N$830,A31,未払予定一覧!$A$4:$A$830,"レジデンス",未払予定一覧!$B$4:$B$830,"月次予定")</f>
        <v>0</v>
      </c>
      <c r="D31" s="20">
        <f t="shared" si="0"/>
        <v>0</v>
      </c>
      <c r="E31" s="20">
        <f t="shared" si="1"/>
        <v>4489533</v>
      </c>
      <c r="F31" s="21">
        <f>SUMIFS(未払予定一覧!$O$4:$O$830,未払予定一覧!$N$4:$N$830,A31,未払予定一覧!$A$4:$A$830,"レジデンス",未払予定一覧!$B$4:$B$830,"カード枠回復")</f>
        <v>0</v>
      </c>
      <c r="G31" s="122">
        <f t="shared" si="2"/>
        <v>4489533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SUMIFS(入金入力!$E$4:$E$580,入金入力!$B$4:$B$580,A32,入金入力!$A$4:$A$580,"レジデンス")+SUMIFS(入金予測!$E$4:$E$603,入金予測!$A$4:$A$603,A32,入金予測!$B$4:$B$603,"レジデンス")</f>
        <v>0</v>
      </c>
      <c r="C32" s="20">
        <f>SUMIFS(未払予定一覧!$O$4:$O$830,未払予定一覧!$N$4:$N$830,A32,未払予定一覧!$A$4:$A$830,"レジデンス",未払予定一覧!$B$4:$B$830,"未払繰越")+SUMIFS(未払予定一覧!$O$4:$O$830,未払予定一覧!$N$4:$N$830,A32,未払予定一覧!$A$4:$A$830,"レジデンス",未払予定一覧!$B$4:$B$830,"月次予定")</f>
        <v>0</v>
      </c>
      <c r="D32" s="20">
        <f t="shared" si="0"/>
        <v>0</v>
      </c>
      <c r="E32" s="20">
        <f t="shared" si="1"/>
        <v>4489533</v>
      </c>
      <c r="F32" s="21">
        <f>SUMIFS(未払予定一覧!$O$4:$O$830,未払予定一覧!$N$4:$N$830,A32,未払予定一覧!$A$4:$A$830,"レジデンス",未払予定一覧!$B$4:$B$830,"カード枠回復")</f>
        <v>0</v>
      </c>
      <c r="G32" s="122">
        <f t="shared" si="2"/>
        <v>4489533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SUMIFS(入金入力!$E$4:$E$580,入金入力!$B$4:$B$580,A33,入金入力!$A$4:$A$580,"レジデンス")+SUMIFS(入金予測!$E$4:$E$603,入金予測!$A$4:$A$603,A33,入金予測!$B$4:$B$603,"レジデンス")</f>
        <v>0</v>
      </c>
      <c r="C33" s="20">
        <f>SUMIFS(未払予定一覧!$O$4:$O$830,未払予定一覧!$N$4:$N$830,A33,未払予定一覧!$A$4:$A$830,"レジデンス",未払予定一覧!$B$4:$B$830,"未払繰越")+SUMIFS(未払予定一覧!$O$4:$O$830,未払予定一覧!$N$4:$N$830,A33,未払予定一覧!$A$4:$A$830,"レジデンス",未払予定一覧!$B$4:$B$830,"月次予定")</f>
        <v>310562</v>
      </c>
      <c r="D33" s="20">
        <f t="shared" si="0"/>
        <v>-310562</v>
      </c>
      <c r="E33" s="20">
        <f t="shared" si="1"/>
        <v>4178971</v>
      </c>
      <c r="F33" s="21">
        <f>SUMIFS(未払予定一覧!$O$4:$O$830,未払予定一覧!$N$4:$N$830,A33,未払予定一覧!$A$4:$A$830,"レジデンス",未払予定一覧!$B$4:$B$830,"カード枠回復")</f>
        <v>0</v>
      </c>
      <c r="G33" s="122">
        <f t="shared" si="2"/>
        <v>4178971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SUMIFS(入金入力!$E$4:$E$580,入金入力!$B$4:$B$580,A34,入金入力!$A$4:$A$580,"レジデンス")+SUMIFS(入金予測!$E$4:$E$603,入金予測!$A$4:$A$603,A34,入金予測!$B$4:$B$603,"レジデンス")</f>
        <v>0</v>
      </c>
      <c r="C34" s="20">
        <f>SUMIFS(未払予定一覧!$O$4:$O$830,未払予定一覧!$N$4:$N$830,A34,未払予定一覧!$A$4:$A$830,"レジデンス",未払予定一覧!$B$4:$B$830,"未払繰越")+SUMIFS(未払予定一覧!$O$4:$O$830,未払予定一覧!$N$4:$N$830,A34,未払予定一覧!$A$4:$A$830,"レジデンス",未払予定一覧!$B$4:$B$830,"月次予定")</f>
        <v>677161</v>
      </c>
      <c r="D34" s="20">
        <f t="shared" si="0"/>
        <v>-677161</v>
      </c>
      <c r="E34" s="20">
        <f t="shared" si="1"/>
        <v>3501810</v>
      </c>
      <c r="F34" s="21">
        <f>SUMIFS(未払予定一覧!$O$4:$O$830,未払予定一覧!$N$4:$N$830,A34,未払予定一覧!$A$4:$A$830,"レジデンス",未払予定一覧!$B$4:$B$830,"カード枠回復")</f>
        <v>0</v>
      </c>
      <c r="G34" s="122">
        <f t="shared" si="2"/>
        <v>3501810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SUMIFS(入金入力!$E$4:$E$580,入金入力!$B$4:$B$580,A35,入金入力!$A$4:$A$580,"レジデンス")+SUMIFS(入金予測!$E$4:$E$603,入金予測!$A$4:$A$603,A35,入金予測!$B$4:$B$603,"レジデンス")</f>
        <v>0</v>
      </c>
      <c r="C35" s="20">
        <f>SUMIFS(未払予定一覧!$O$4:$O$830,未払予定一覧!$N$4:$N$830,A35,未払予定一覧!$A$4:$A$830,"レジデンス",未払予定一覧!$B$4:$B$830,"未払繰越")+SUMIFS(未払予定一覧!$O$4:$O$830,未払予定一覧!$N$4:$N$830,A35,未払予定一覧!$A$4:$A$830,"レジデンス",未払予定一覧!$B$4:$B$830,"月次予定")</f>
        <v>493348</v>
      </c>
      <c r="D35" s="20">
        <f t="shared" si="0"/>
        <v>-493348</v>
      </c>
      <c r="E35" s="20">
        <f t="shared" si="1"/>
        <v>3008462</v>
      </c>
      <c r="F35" s="21">
        <f>SUMIFS(未払予定一覧!$O$4:$O$830,未払予定一覧!$N$4:$N$830,A35,未払予定一覧!$A$4:$A$830,"レジデンス",未払予定一覧!$B$4:$B$830,"カード枠回復")</f>
        <v>0</v>
      </c>
      <c r="G35" s="122">
        <f t="shared" si="2"/>
        <v>3008462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SUMIFS(入金入力!$E$4:$E$580,入金入力!$B$4:$B$580,A36,入金入力!$A$4:$A$580,"レジデンス")+SUMIFS(入金予測!$E$4:$E$603,入金予測!$A$4:$A$603,A36,入金予測!$B$4:$B$603,"レジデンス")</f>
        <v>0</v>
      </c>
      <c r="C36" s="20">
        <f>SUMIFS(未払予定一覧!$O$4:$O$830,未払予定一覧!$N$4:$N$830,A36,未払予定一覧!$A$4:$A$830,"レジデンス",未払予定一覧!$B$4:$B$830,"未払繰越")+SUMIFS(未払予定一覧!$O$4:$O$830,未払予定一覧!$N$4:$N$830,A36,未払予定一覧!$A$4:$A$830,"レジデンス",未払予定一覧!$B$4:$B$830,"月次予定")</f>
        <v>0</v>
      </c>
      <c r="D36" s="20">
        <f t="shared" si="0"/>
        <v>0</v>
      </c>
      <c r="E36" s="20">
        <f t="shared" si="1"/>
        <v>3008462</v>
      </c>
      <c r="F36" s="21">
        <f>SUMIFS(未払予定一覧!$O$4:$O$830,未払予定一覧!$N$4:$N$830,A36,未払予定一覧!$A$4:$A$830,"レジデンス",未払予定一覧!$B$4:$B$830,"カード枠回復")</f>
        <v>0</v>
      </c>
      <c r="G36" s="122">
        <f t="shared" si="2"/>
        <v>3008462</v>
      </c>
      <c r="H36" s="125" t="s">
        <v>689</v>
      </c>
    </row>
    <row r="37" spans="1:8" ht="15" customHeight="1">
      <c r="A37" s="23" t="s">
        <v>690</v>
      </c>
      <c r="B37" s="24">
        <f>SUM(B5:B36)</f>
        <v>9692753</v>
      </c>
      <c r="C37" s="24">
        <f>SUM(C5:C36)</f>
        <v>6684291</v>
      </c>
      <c r="D37" s="24">
        <f t="shared" si="0"/>
        <v>3008462</v>
      </c>
      <c r="E37" s="24">
        <f>E36</f>
        <v>3008462</v>
      </c>
      <c r="F37" s="24">
        <f>SUM(F5:F36)</f>
        <v>0</v>
      </c>
      <c r="G37" s="24">
        <f>G36</f>
        <v>3008462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SUMIFS(入金入力!$E$4:$E$580,入金入力!$B$4:$B$580,A40,入金入力!$A$4:$A$580,"レジデンス")+SUMIFS(入金予測!$E$4:$E$603,入金予測!$A$4:$A$603,A40,入金予測!$B$4:$B$603,"レジデンス")</f>
        <v>0</v>
      </c>
      <c r="C40" s="20">
        <f>SUMIFS(未払予定一覧!$O$4:$O$830,未払予定一覧!$N$4:$N$830,A40,未払予定一覧!$A$4:$A$830,"レジデンス",未払予定一覧!$B$4:$B$830,"未払繰越")+SUMIFS(未払予定一覧!$O$4:$O$830,未払予定一覧!$N$4:$N$830,A40,未払予定一覧!$A$4:$A$830,"レジデンス",未払予定一覧!$B$4:$B$830,"月次予定")</f>
        <v>0</v>
      </c>
      <c r="D40" s="20">
        <f t="shared" ref="D40:D70" si="3">B40-C40-F40</f>
        <v>0</v>
      </c>
      <c r="E40" s="20">
        <f>E37+D40</f>
        <v>3008462</v>
      </c>
      <c r="F40" s="21">
        <f>SUMIFS(未払予定一覧!$O$4:$O$830,未払予定一覧!$N$4:$N$830,A40,未払予定一覧!$A$4:$A$830,"レジデンス",未払予定一覧!$B$4:$B$830,"カード枠回復")</f>
        <v>0</v>
      </c>
      <c r="G40" s="122">
        <f>G37+D40+F40</f>
        <v>3008462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SUMIFS(入金入力!$E$4:$E$580,入金入力!$B$4:$B$580,A41,入金入力!$A$4:$A$580,"レジデンス")+SUMIFS(入金予測!$E$4:$E$603,入金予測!$A$4:$A$603,A41,入金予測!$B$4:$B$603,"レジデンス")</f>
        <v>0</v>
      </c>
      <c r="C41" s="20">
        <f>SUMIFS(未払予定一覧!$O$4:$O$830,未払予定一覧!$N$4:$N$830,A41,未払予定一覧!$A$4:$A$830,"レジデンス",未払予定一覧!$B$4:$B$830,"未払繰越")+SUMIFS(未払予定一覧!$O$4:$O$830,未払予定一覧!$N$4:$N$830,A41,未払予定一覧!$A$4:$A$830,"レジデンス",未払予定一覧!$B$4:$B$830,"月次予定")</f>
        <v>0</v>
      </c>
      <c r="D41" s="20">
        <f t="shared" si="3"/>
        <v>0</v>
      </c>
      <c r="E41" s="20">
        <f t="shared" ref="E41:E69" si="4">E40+D41</f>
        <v>3008462</v>
      </c>
      <c r="F41" s="21">
        <f>SUMIFS(未払予定一覧!$O$4:$O$830,未払予定一覧!$N$4:$N$830,A41,未払予定一覧!$A$4:$A$830,"レジデンス",未払予定一覧!$B$4:$B$830,"カード枠回復")</f>
        <v>0</v>
      </c>
      <c r="G41" s="122">
        <f t="shared" ref="G41:G69" si="5">G40+D41+F41</f>
        <v>3008462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SUMIFS(入金入力!$E$4:$E$580,入金入力!$B$4:$B$580,A42,入金入力!$A$4:$A$580,"レジデンス")+SUMIFS(入金予測!$E$4:$E$603,入金予測!$A$4:$A$603,A42,入金予測!$B$4:$B$603,"レジデンス")</f>
        <v>0</v>
      </c>
      <c r="C42" s="20">
        <f>SUMIFS(未払予定一覧!$O$4:$O$830,未払予定一覧!$N$4:$N$830,A42,未払予定一覧!$A$4:$A$830,"レジデンス",未払予定一覧!$B$4:$B$830,"未払繰越")+SUMIFS(未払予定一覧!$O$4:$O$830,未払予定一覧!$N$4:$N$830,A42,未払予定一覧!$A$4:$A$830,"レジデンス",未払予定一覧!$B$4:$B$830,"月次予定")</f>
        <v>0</v>
      </c>
      <c r="D42" s="20">
        <f t="shared" si="3"/>
        <v>0</v>
      </c>
      <c r="E42" s="20">
        <f t="shared" si="4"/>
        <v>3008462</v>
      </c>
      <c r="F42" s="21">
        <f>SUMIFS(未払予定一覧!$O$4:$O$830,未払予定一覧!$N$4:$N$830,A42,未払予定一覧!$A$4:$A$830,"レジデンス",未払予定一覧!$B$4:$B$830,"カード枠回復")</f>
        <v>0</v>
      </c>
      <c r="G42" s="122">
        <f t="shared" si="5"/>
        <v>3008462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SUMIFS(入金入力!$E$4:$E$580,入金入力!$B$4:$B$580,A43,入金入力!$A$4:$A$580,"レジデンス")+SUMIFS(入金予測!$E$4:$E$603,入金予測!$A$4:$A$603,A43,入金予測!$B$4:$B$603,"レジデンス")</f>
        <v>0</v>
      </c>
      <c r="C43" s="20">
        <f>SUMIFS(未払予定一覧!$O$4:$O$830,未払予定一覧!$N$4:$N$830,A43,未払予定一覧!$A$4:$A$830,"レジデンス",未払予定一覧!$B$4:$B$830,"未払繰越")+SUMIFS(未払予定一覧!$O$4:$O$830,未払予定一覧!$N$4:$N$830,A43,未払予定一覧!$A$4:$A$830,"レジデンス",未払予定一覧!$B$4:$B$830,"月次予定")</f>
        <v>0</v>
      </c>
      <c r="D43" s="20">
        <f t="shared" si="3"/>
        <v>0</v>
      </c>
      <c r="E43" s="20">
        <f t="shared" si="4"/>
        <v>3008462</v>
      </c>
      <c r="F43" s="21">
        <f>SUMIFS(未払予定一覧!$O$4:$O$830,未払予定一覧!$N$4:$N$830,A43,未払予定一覧!$A$4:$A$830,"レジデンス",未払予定一覧!$B$4:$B$830,"カード枠回復")</f>
        <v>0</v>
      </c>
      <c r="G43" s="122">
        <f t="shared" si="5"/>
        <v>3008462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SUMIFS(入金入力!$E$4:$E$580,入金入力!$B$4:$B$580,A44,入金入力!$A$4:$A$580,"レジデンス")+SUMIFS(入金予測!$E$4:$E$603,入金予測!$A$4:$A$603,A44,入金予測!$B$4:$B$603,"レジデンス")</f>
        <v>0</v>
      </c>
      <c r="C44" s="20">
        <f>SUMIFS(未払予定一覧!$O$4:$O$830,未払予定一覧!$N$4:$N$830,A44,未払予定一覧!$A$4:$A$830,"レジデンス",未払予定一覧!$B$4:$B$830,"未払繰越")+SUMIFS(未払予定一覧!$O$4:$O$830,未払予定一覧!$N$4:$N$830,A44,未払予定一覧!$A$4:$A$830,"レジデンス",未払予定一覧!$B$4:$B$830,"月次予定")</f>
        <v>0</v>
      </c>
      <c r="D44" s="20">
        <f t="shared" si="3"/>
        <v>0</v>
      </c>
      <c r="E44" s="20">
        <f t="shared" si="4"/>
        <v>3008462</v>
      </c>
      <c r="F44" s="21">
        <f>SUMIFS(未払予定一覧!$O$4:$O$830,未払予定一覧!$N$4:$N$830,A44,未払予定一覧!$A$4:$A$830,"レジデンス",未払予定一覧!$B$4:$B$830,"カード枠回復")</f>
        <v>0</v>
      </c>
      <c r="G44" s="122">
        <f t="shared" si="5"/>
        <v>3008462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SUMIFS(入金入力!$E$4:$E$580,入金入力!$B$4:$B$580,A45,入金入力!$A$4:$A$580,"レジデンス")+SUMIFS(入金予測!$E$4:$E$603,入金予測!$A$4:$A$603,A45,入金予測!$B$4:$B$603,"レジデンス")</f>
        <v>0</v>
      </c>
      <c r="C45" s="20">
        <f>SUMIFS(未払予定一覧!$O$4:$O$830,未払予定一覧!$N$4:$N$830,A45,未払予定一覧!$A$4:$A$830,"レジデンス",未払予定一覧!$B$4:$B$830,"未払繰越")+SUMIFS(未払予定一覧!$O$4:$O$830,未払予定一覧!$N$4:$N$830,A45,未払予定一覧!$A$4:$A$830,"レジデンス",未払予定一覧!$B$4:$B$830,"月次予定")</f>
        <v>0</v>
      </c>
      <c r="D45" s="20">
        <f t="shared" si="3"/>
        <v>0</v>
      </c>
      <c r="E45" s="20">
        <f t="shared" si="4"/>
        <v>3008462</v>
      </c>
      <c r="F45" s="21">
        <f>SUMIFS(未払予定一覧!$O$4:$O$830,未払予定一覧!$N$4:$N$830,A45,未払予定一覧!$A$4:$A$830,"レジデンス",未払予定一覧!$B$4:$B$830,"カード枠回復")</f>
        <v>0</v>
      </c>
      <c r="G45" s="122">
        <f t="shared" si="5"/>
        <v>3008462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SUMIFS(入金入力!$E$4:$E$580,入金入力!$B$4:$B$580,A46,入金入力!$A$4:$A$580,"レジデンス")+SUMIFS(入金予測!$E$4:$E$603,入金予測!$A$4:$A$603,A46,入金予測!$B$4:$B$603,"レジデンス")</f>
        <v>0</v>
      </c>
      <c r="C46" s="20">
        <f>SUMIFS(未払予定一覧!$O$4:$O$830,未払予定一覧!$N$4:$N$830,A46,未払予定一覧!$A$4:$A$830,"レジデンス",未払予定一覧!$B$4:$B$830,"未払繰越")+SUMIFS(未払予定一覧!$O$4:$O$830,未払予定一覧!$N$4:$N$830,A46,未払予定一覧!$A$4:$A$830,"レジデンス",未払予定一覧!$B$4:$B$830,"月次予定")</f>
        <v>0</v>
      </c>
      <c r="D46" s="20">
        <f t="shared" si="3"/>
        <v>0</v>
      </c>
      <c r="E46" s="20">
        <f t="shared" si="4"/>
        <v>3008462</v>
      </c>
      <c r="F46" s="21">
        <f>SUMIFS(未払予定一覧!$O$4:$O$830,未払予定一覧!$N$4:$N$830,A46,未払予定一覧!$A$4:$A$830,"レジデンス",未払予定一覧!$B$4:$B$830,"カード枠回復")</f>
        <v>0</v>
      </c>
      <c r="G46" s="122">
        <f t="shared" si="5"/>
        <v>3008462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SUMIFS(入金入力!$E$4:$E$580,入金入力!$B$4:$B$580,A47,入金入力!$A$4:$A$580,"レジデンス")+SUMIFS(入金予測!$E$4:$E$603,入金予測!$A$4:$A$603,A47,入金予測!$B$4:$B$603,"レジデンス")</f>
        <v>0</v>
      </c>
      <c r="C47" s="20">
        <f>SUMIFS(未払予定一覧!$O$4:$O$830,未払予定一覧!$N$4:$N$830,A47,未払予定一覧!$A$4:$A$830,"レジデンス",未払予定一覧!$B$4:$B$830,"未払繰越")+SUMIFS(未払予定一覧!$O$4:$O$830,未払予定一覧!$N$4:$N$830,A47,未払予定一覧!$A$4:$A$830,"レジデンス",未払予定一覧!$B$4:$B$830,"月次予定")</f>
        <v>0</v>
      </c>
      <c r="D47" s="20">
        <f t="shared" si="3"/>
        <v>0</v>
      </c>
      <c r="E47" s="20">
        <f t="shared" si="4"/>
        <v>3008462</v>
      </c>
      <c r="F47" s="21">
        <f>SUMIFS(未払予定一覧!$O$4:$O$830,未払予定一覧!$N$4:$N$830,A47,未払予定一覧!$A$4:$A$830,"レジデンス",未払予定一覧!$B$4:$B$830,"カード枠回復")</f>
        <v>0</v>
      </c>
      <c r="G47" s="122">
        <f t="shared" si="5"/>
        <v>3008462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SUMIFS(入金入力!$E$4:$E$580,入金入力!$B$4:$B$580,A48,入金入力!$A$4:$A$580,"レジデンス")+SUMIFS(入金予測!$E$4:$E$603,入金予測!$A$4:$A$603,A48,入金予測!$B$4:$B$603,"レジデンス")</f>
        <v>0</v>
      </c>
      <c r="C48" s="20">
        <f>SUMIFS(未払予定一覧!$O$4:$O$830,未払予定一覧!$N$4:$N$830,A48,未払予定一覧!$A$4:$A$830,"レジデンス",未払予定一覧!$B$4:$B$830,"未払繰越")+SUMIFS(未払予定一覧!$O$4:$O$830,未払予定一覧!$N$4:$N$830,A48,未払予定一覧!$A$4:$A$830,"レジデンス",未払予定一覧!$B$4:$B$830,"月次予定")</f>
        <v>3131908</v>
      </c>
      <c r="D48" s="20">
        <f t="shared" si="3"/>
        <v>-3131908</v>
      </c>
      <c r="E48" s="20">
        <f t="shared" si="4"/>
        <v>-123446</v>
      </c>
      <c r="F48" s="21">
        <f>SUMIFS(未払予定一覧!$O$4:$O$830,未払予定一覧!$N$4:$N$830,A48,未払予定一覧!$A$4:$A$830,"レジデンス",未払予定一覧!$B$4:$B$830,"カード枠回復")</f>
        <v>0</v>
      </c>
      <c r="G48" s="122">
        <f t="shared" si="5"/>
        <v>-123446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SUMIFS(入金入力!$E$4:$E$580,入金入力!$B$4:$B$580,A49,入金入力!$A$4:$A$580,"レジデンス")+SUMIFS(入金予測!$E$4:$E$603,入金予測!$A$4:$A$603,A49,入金予測!$B$4:$B$603,"レジデンス")</f>
        <v>0</v>
      </c>
      <c r="C49" s="20">
        <f>SUMIFS(未払予定一覧!$O$4:$O$830,未払予定一覧!$N$4:$N$830,A49,未払予定一覧!$A$4:$A$830,"レジデンス",未払予定一覧!$B$4:$B$830,"未払繰越")+SUMIFS(未払予定一覧!$O$4:$O$830,未払予定一覧!$N$4:$N$830,A49,未払予定一覧!$A$4:$A$830,"レジデンス",未払予定一覧!$B$4:$B$830,"月次予定")</f>
        <v>0</v>
      </c>
      <c r="D49" s="20">
        <f t="shared" si="3"/>
        <v>0</v>
      </c>
      <c r="E49" s="20">
        <f t="shared" si="4"/>
        <v>-123446</v>
      </c>
      <c r="F49" s="21">
        <f>SUMIFS(未払予定一覧!$O$4:$O$830,未払予定一覧!$N$4:$N$830,A49,未払予定一覧!$A$4:$A$830,"レジデンス",未払予定一覧!$B$4:$B$830,"カード枠回復")</f>
        <v>0</v>
      </c>
      <c r="G49" s="122">
        <f t="shared" si="5"/>
        <v>-123446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SUMIFS(入金入力!$E$4:$E$580,入金入力!$B$4:$B$580,A50,入金入力!$A$4:$A$580,"レジデンス")+SUMIFS(入金予測!$E$4:$E$603,入金予測!$A$4:$A$603,A50,入金予測!$B$4:$B$603,"レジデンス")</f>
        <v>0</v>
      </c>
      <c r="C50" s="20">
        <f>SUMIFS(未払予定一覧!$O$4:$O$830,未払予定一覧!$N$4:$N$830,A50,未払予定一覧!$A$4:$A$830,"レジデンス",未払予定一覧!$B$4:$B$830,"未払繰越")+SUMIFS(未払予定一覧!$O$4:$O$830,未払予定一覧!$N$4:$N$830,A50,未払予定一覧!$A$4:$A$830,"レジデンス",未払予定一覧!$B$4:$B$830,"月次予定")</f>
        <v>0</v>
      </c>
      <c r="D50" s="20">
        <f t="shared" si="3"/>
        <v>0</v>
      </c>
      <c r="E50" s="20">
        <f t="shared" si="4"/>
        <v>-123446</v>
      </c>
      <c r="F50" s="21">
        <f>SUMIFS(未払予定一覧!$O$4:$O$830,未払予定一覧!$N$4:$N$830,A50,未払予定一覧!$A$4:$A$830,"レジデンス",未払予定一覧!$B$4:$B$830,"カード枠回復")</f>
        <v>0</v>
      </c>
      <c r="G50" s="122">
        <f t="shared" si="5"/>
        <v>-123446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SUMIFS(入金入力!$E$4:$E$580,入金入力!$B$4:$B$580,A51,入金入力!$A$4:$A$580,"レジデンス")+SUMIFS(入金予測!$E$4:$E$603,入金予測!$A$4:$A$603,A51,入金予測!$B$4:$B$603,"レジデンス")</f>
        <v>0</v>
      </c>
      <c r="C51" s="20">
        <f>SUMIFS(未払予定一覧!$O$4:$O$830,未払予定一覧!$N$4:$N$830,A51,未払予定一覧!$A$4:$A$830,"レジデンス",未払予定一覧!$B$4:$B$830,"未払繰越")+SUMIFS(未払予定一覧!$O$4:$O$830,未払予定一覧!$N$4:$N$830,A51,未払予定一覧!$A$4:$A$830,"レジデンス",未払予定一覧!$B$4:$B$830,"月次予定")</f>
        <v>0</v>
      </c>
      <c r="D51" s="20">
        <f t="shared" si="3"/>
        <v>0</v>
      </c>
      <c r="E51" s="20">
        <f t="shared" si="4"/>
        <v>-123446</v>
      </c>
      <c r="F51" s="21">
        <f>SUMIFS(未払予定一覧!$O$4:$O$830,未払予定一覧!$N$4:$N$830,A51,未払予定一覧!$A$4:$A$830,"レジデンス",未払予定一覧!$B$4:$B$830,"カード枠回復")</f>
        <v>0</v>
      </c>
      <c r="G51" s="122">
        <f t="shared" si="5"/>
        <v>-123446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SUMIFS(入金入力!$E$4:$E$580,入金入力!$B$4:$B$580,A52,入金入力!$A$4:$A$580,"レジデンス")+SUMIFS(入金予測!$E$4:$E$603,入金予測!$A$4:$A$603,A52,入金予測!$B$4:$B$603,"レジデンス")</f>
        <v>0</v>
      </c>
      <c r="C52" s="20">
        <f>SUMIFS(未払予定一覧!$O$4:$O$830,未払予定一覧!$N$4:$N$830,A52,未払予定一覧!$A$4:$A$830,"レジデンス",未払予定一覧!$B$4:$B$830,"未払繰越")+SUMIFS(未払予定一覧!$O$4:$O$830,未払予定一覧!$N$4:$N$830,A52,未払予定一覧!$A$4:$A$830,"レジデンス",未払予定一覧!$B$4:$B$830,"月次予定")</f>
        <v>0</v>
      </c>
      <c r="D52" s="20">
        <f t="shared" si="3"/>
        <v>0</v>
      </c>
      <c r="E52" s="20">
        <f t="shared" si="4"/>
        <v>-123446</v>
      </c>
      <c r="F52" s="21">
        <f>SUMIFS(未払予定一覧!$O$4:$O$830,未払予定一覧!$N$4:$N$830,A52,未払予定一覧!$A$4:$A$830,"レジデンス",未払予定一覧!$B$4:$B$830,"カード枠回復")</f>
        <v>0</v>
      </c>
      <c r="G52" s="122">
        <f t="shared" si="5"/>
        <v>-123446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SUMIFS(入金入力!$E$4:$E$580,入金入力!$B$4:$B$580,A53,入金入力!$A$4:$A$580,"レジデンス")+SUMIFS(入金予測!$E$4:$E$603,入金予測!$A$4:$A$603,A53,入金予測!$B$4:$B$603,"レジデンス")</f>
        <v>0</v>
      </c>
      <c r="C53" s="20">
        <f>SUMIFS(未払予定一覧!$O$4:$O$830,未払予定一覧!$N$4:$N$830,A53,未払予定一覧!$A$4:$A$830,"レジデンス",未払予定一覧!$B$4:$B$830,"未払繰越")+SUMIFS(未払予定一覧!$O$4:$O$830,未払予定一覧!$N$4:$N$830,A53,未払予定一覧!$A$4:$A$830,"レジデンス",未払予定一覧!$B$4:$B$830,"月次予定")</f>
        <v>0</v>
      </c>
      <c r="D53" s="20">
        <f t="shared" si="3"/>
        <v>0</v>
      </c>
      <c r="E53" s="20">
        <f t="shared" si="4"/>
        <v>-123446</v>
      </c>
      <c r="F53" s="21">
        <f>SUMIFS(未払予定一覧!$O$4:$O$830,未払予定一覧!$N$4:$N$830,A53,未払予定一覧!$A$4:$A$830,"レジデンス",未払予定一覧!$B$4:$B$830,"カード枠回復")</f>
        <v>0</v>
      </c>
      <c r="G53" s="122">
        <f t="shared" si="5"/>
        <v>-123446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SUMIFS(入金入力!$E$4:$E$580,入金入力!$B$4:$B$580,A54,入金入力!$A$4:$A$580,"レジデンス")+SUMIFS(入金予測!$E$4:$E$603,入金予測!$A$4:$A$603,A54,入金予測!$B$4:$B$603,"レジデンス")</f>
        <v>0</v>
      </c>
      <c r="C54" s="20">
        <f>SUMIFS(未払予定一覧!$O$4:$O$830,未払予定一覧!$N$4:$N$830,A54,未払予定一覧!$A$4:$A$830,"レジデンス",未払予定一覧!$B$4:$B$830,"未払繰越")+SUMIFS(未払予定一覧!$O$4:$O$830,未払予定一覧!$N$4:$N$830,A54,未払予定一覧!$A$4:$A$830,"レジデンス",未払予定一覧!$B$4:$B$830,"月次予定")</f>
        <v>0</v>
      </c>
      <c r="D54" s="20">
        <f t="shared" si="3"/>
        <v>0</v>
      </c>
      <c r="E54" s="20">
        <f t="shared" si="4"/>
        <v>-123446</v>
      </c>
      <c r="F54" s="21">
        <f>SUMIFS(未払予定一覧!$O$4:$O$830,未払予定一覧!$N$4:$N$830,A54,未払予定一覧!$A$4:$A$830,"レジデンス",未払予定一覧!$B$4:$B$830,"カード枠回復")</f>
        <v>0</v>
      </c>
      <c r="G54" s="122">
        <f t="shared" si="5"/>
        <v>-123446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SUMIFS(入金入力!$E$4:$E$580,入金入力!$B$4:$B$580,A55,入金入力!$A$4:$A$580,"レジデンス")+SUMIFS(入金予測!$E$4:$E$603,入金予測!$A$4:$A$603,A55,入金予測!$B$4:$B$603,"レジデンス")</f>
        <v>0</v>
      </c>
      <c r="C55" s="20">
        <f>SUMIFS(未払予定一覧!$O$4:$O$830,未払予定一覧!$N$4:$N$830,A55,未払予定一覧!$A$4:$A$830,"レジデンス",未払予定一覧!$B$4:$B$830,"未払繰越")+SUMIFS(未払予定一覧!$O$4:$O$830,未払予定一覧!$N$4:$N$830,A55,未払予定一覧!$A$4:$A$830,"レジデンス",未払予定一覧!$B$4:$B$830,"月次予定")</f>
        <v>107395</v>
      </c>
      <c r="D55" s="20">
        <f t="shared" si="3"/>
        <v>-107395</v>
      </c>
      <c r="E55" s="20">
        <f t="shared" si="4"/>
        <v>-230841</v>
      </c>
      <c r="F55" s="21">
        <f>SUMIFS(未払予定一覧!$O$4:$O$830,未払予定一覧!$N$4:$N$830,A55,未払予定一覧!$A$4:$A$830,"レジデンス",未払予定一覧!$B$4:$B$830,"カード枠回復")</f>
        <v>0</v>
      </c>
      <c r="G55" s="122">
        <f t="shared" si="5"/>
        <v>-230841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SUMIFS(入金入力!$E$4:$E$580,入金入力!$B$4:$B$580,A56,入金入力!$A$4:$A$580,"レジデンス")+SUMIFS(入金予測!$E$4:$E$603,入金予測!$A$4:$A$603,A56,入金予測!$B$4:$B$603,"レジデンス")</f>
        <v>0</v>
      </c>
      <c r="C56" s="20">
        <f>SUMIFS(未払予定一覧!$O$4:$O$830,未払予定一覧!$N$4:$N$830,A56,未払予定一覧!$A$4:$A$830,"レジデンス",未払予定一覧!$B$4:$B$830,"未払繰越")+SUMIFS(未払予定一覧!$O$4:$O$830,未払予定一覧!$N$4:$N$830,A56,未払予定一覧!$A$4:$A$830,"レジデンス",未払予定一覧!$B$4:$B$830,"月次予定")</f>
        <v>0</v>
      </c>
      <c r="D56" s="20">
        <f t="shared" si="3"/>
        <v>0</v>
      </c>
      <c r="E56" s="20">
        <f t="shared" si="4"/>
        <v>-230841</v>
      </c>
      <c r="F56" s="21">
        <f>SUMIFS(未払予定一覧!$O$4:$O$830,未払予定一覧!$N$4:$N$830,A56,未払予定一覧!$A$4:$A$830,"レジデンス",未払予定一覧!$B$4:$B$830,"カード枠回復")</f>
        <v>0</v>
      </c>
      <c r="G56" s="122">
        <f t="shared" si="5"/>
        <v>-230841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SUMIFS(入金入力!$E$4:$E$580,入金入力!$B$4:$B$580,A57,入金入力!$A$4:$A$580,"レジデンス")+SUMIFS(入金予測!$E$4:$E$603,入金予測!$A$4:$A$603,A57,入金予測!$B$4:$B$603,"レジデンス")</f>
        <v>0</v>
      </c>
      <c r="C57" s="20">
        <f>SUMIFS(未払予定一覧!$O$4:$O$830,未払予定一覧!$N$4:$N$830,A57,未払予定一覧!$A$4:$A$830,"レジデンス",未払予定一覧!$B$4:$B$830,"未払繰越")+SUMIFS(未払予定一覧!$O$4:$O$830,未払予定一覧!$N$4:$N$830,A57,未払予定一覧!$A$4:$A$830,"レジデンス",未払予定一覧!$B$4:$B$830,"月次予定")</f>
        <v>0</v>
      </c>
      <c r="D57" s="20">
        <f t="shared" si="3"/>
        <v>0</v>
      </c>
      <c r="E57" s="20">
        <f t="shared" si="4"/>
        <v>-230841</v>
      </c>
      <c r="F57" s="21">
        <f>SUMIFS(未払予定一覧!$O$4:$O$830,未払予定一覧!$N$4:$N$830,A57,未払予定一覧!$A$4:$A$830,"レジデンス",未払予定一覧!$B$4:$B$830,"カード枠回復")</f>
        <v>0</v>
      </c>
      <c r="G57" s="122">
        <f t="shared" si="5"/>
        <v>-230841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SUMIFS(入金入力!$E$4:$E$580,入金入力!$B$4:$B$580,A58,入金入力!$A$4:$A$580,"レジデンス")+SUMIFS(入金予測!$E$4:$E$603,入金予測!$A$4:$A$603,A58,入金予測!$B$4:$B$603,"レジデンス")</f>
        <v>0</v>
      </c>
      <c r="C58" s="20">
        <f>SUMIFS(未払予定一覧!$O$4:$O$830,未払予定一覧!$N$4:$N$830,A58,未払予定一覧!$A$4:$A$830,"レジデンス",未払予定一覧!$B$4:$B$830,"未払繰越")+SUMIFS(未払予定一覧!$O$4:$O$830,未払予定一覧!$N$4:$N$830,A58,未払予定一覧!$A$4:$A$830,"レジデンス",未払予定一覧!$B$4:$B$830,"月次予定")</f>
        <v>0</v>
      </c>
      <c r="D58" s="20">
        <f t="shared" si="3"/>
        <v>0</v>
      </c>
      <c r="E58" s="20">
        <f t="shared" si="4"/>
        <v>-230841</v>
      </c>
      <c r="F58" s="21">
        <f>SUMIFS(未払予定一覧!$O$4:$O$830,未払予定一覧!$N$4:$N$830,A58,未払予定一覧!$A$4:$A$830,"レジデンス",未払予定一覧!$B$4:$B$830,"カード枠回復")</f>
        <v>0</v>
      </c>
      <c r="G58" s="122">
        <f t="shared" si="5"/>
        <v>-230841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SUMIFS(入金入力!$E$4:$E$580,入金入力!$B$4:$B$580,A59,入金入力!$A$4:$A$580,"レジデンス")+SUMIFS(入金予測!$E$4:$E$603,入金予測!$A$4:$A$603,A59,入金予測!$B$4:$B$603,"レジデンス")</f>
        <v>0</v>
      </c>
      <c r="C59" s="20">
        <f>SUMIFS(未払予定一覧!$O$4:$O$830,未払予定一覧!$N$4:$N$830,A59,未払予定一覧!$A$4:$A$830,"レジデンス",未払予定一覧!$B$4:$B$830,"未払繰越")+SUMIFS(未払予定一覧!$O$4:$O$830,未払予定一覧!$N$4:$N$830,A59,未払予定一覧!$A$4:$A$830,"レジデンス",未払予定一覧!$B$4:$B$830,"月次予定")</f>
        <v>523618</v>
      </c>
      <c r="D59" s="20">
        <f t="shared" si="3"/>
        <v>-523618</v>
      </c>
      <c r="E59" s="20">
        <f t="shared" si="4"/>
        <v>-754459</v>
      </c>
      <c r="F59" s="21">
        <f>SUMIFS(未払予定一覧!$O$4:$O$830,未払予定一覧!$N$4:$N$830,A59,未払予定一覧!$A$4:$A$830,"レジデンス",未払予定一覧!$B$4:$B$830,"カード枠回復")</f>
        <v>0</v>
      </c>
      <c r="G59" s="122">
        <f t="shared" si="5"/>
        <v>-754459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SUMIFS(入金入力!$E$4:$E$580,入金入力!$B$4:$B$580,A60,入金入力!$A$4:$A$580,"レジデンス")+SUMIFS(入金予測!$E$4:$E$603,入金予測!$A$4:$A$603,A60,入金予測!$B$4:$B$603,"レジデンス")</f>
        <v>0</v>
      </c>
      <c r="C60" s="20">
        <f>SUMIFS(未払予定一覧!$O$4:$O$830,未払予定一覧!$N$4:$N$830,A60,未払予定一覧!$A$4:$A$830,"レジデンス",未払予定一覧!$B$4:$B$830,"未払繰越")+SUMIFS(未払予定一覧!$O$4:$O$830,未払予定一覧!$N$4:$N$830,A60,未払予定一覧!$A$4:$A$830,"レジデンス",未払予定一覧!$B$4:$B$830,"月次予定")</f>
        <v>0</v>
      </c>
      <c r="D60" s="20">
        <f t="shared" si="3"/>
        <v>0</v>
      </c>
      <c r="E60" s="20">
        <f t="shared" si="4"/>
        <v>-754459</v>
      </c>
      <c r="F60" s="21">
        <f>SUMIFS(未払予定一覧!$O$4:$O$830,未払予定一覧!$N$4:$N$830,A60,未払予定一覧!$A$4:$A$830,"レジデンス",未払予定一覧!$B$4:$B$830,"カード枠回復")</f>
        <v>0</v>
      </c>
      <c r="G60" s="122">
        <f t="shared" si="5"/>
        <v>-754459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SUMIFS(入金入力!$E$4:$E$580,入金入力!$B$4:$B$580,A61,入金入力!$A$4:$A$580,"レジデンス")+SUMIFS(入金予測!$E$4:$E$603,入金予測!$A$4:$A$603,A61,入金予測!$B$4:$B$603,"レジデンス")</f>
        <v>0</v>
      </c>
      <c r="C61" s="20">
        <f>SUMIFS(未払予定一覧!$O$4:$O$830,未払予定一覧!$N$4:$N$830,A61,未払予定一覧!$A$4:$A$830,"レジデンス",未払予定一覧!$B$4:$B$830,"未払繰越")+SUMIFS(未払予定一覧!$O$4:$O$830,未払予定一覧!$N$4:$N$830,A61,未払予定一覧!$A$4:$A$830,"レジデンス",未払予定一覧!$B$4:$B$830,"月次予定")</f>
        <v>0</v>
      </c>
      <c r="D61" s="20">
        <f t="shared" si="3"/>
        <v>0</v>
      </c>
      <c r="E61" s="20">
        <f t="shared" si="4"/>
        <v>-754459</v>
      </c>
      <c r="F61" s="21">
        <f>SUMIFS(未払予定一覧!$O$4:$O$830,未払予定一覧!$N$4:$N$830,A61,未払予定一覧!$A$4:$A$830,"レジデンス",未払予定一覧!$B$4:$B$830,"カード枠回復")</f>
        <v>0</v>
      </c>
      <c r="G61" s="122">
        <f t="shared" si="5"/>
        <v>-754459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SUMIFS(入金入力!$E$4:$E$580,入金入力!$B$4:$B$580,A62,入金入力!$A$4:$A$580,"レジデンス")+SUMIFS(入金予測!$E$4:$E$603,入金予測!$A$4:$A$603,A62,入金予測!$B$4:$B$603,"レジデンス")</f>
        <v>0</v>
      </c>
      <c r="C62" s="20">
        <f>SUMIFS(未払予定一覧!$O$4:$O$830,未払予定一覧!$N$4:$N$830,A62,未払予定一覧!$A$4:$A$830,"レジデンス",未払予定一覧!$B$4:$B$830,"未払繰越")+SUMIFS(未払予定一覧!$O$4:$O$830,未払予定一覧!$N$4:$N$830,A62,未払予定一覧!$A$4:$A$830,"レジデンス",未払予定一覧!$B$4:$B$830,"月次予定")</f>
        <v>0</v>
      </c>
      <c r="D62" s="20">
        <f t="shared" si="3"/>
        <v>0</v>
      </c>
      <c r="E62" s="20">
        <f t="shared" si="4"/>
        <v>-754459</v>
      </c>
      <c r="F62" s="21">
        <f>SUMIFS(未払予定一覧!$O$4:$O$830,未払予定一覧!$N$4:$N$830,A62,未払予定一覧!$A$4:$A$830,"レジデンス",未払予定一覧!$B$4:$B$830,"カード枠回復")</f>
        <v>0</v>
      </c>
      <c r="G62" s="122">
        <f t="shared" si="5"/>
        <v>-754459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SUMIFS(入金入力!$E$4:$E$580,入金入力!$B$4:$B$580,A63,入金入力!$A$4:$A$580,"レジデンス")+SUMIFS(入金予測!$E$4:$E$603,入金予測!$A$4:$A$603,A63,入金予測!$B$4:$B$603,"レジデンス")</f>
        <v>0</v>
      </c>
      <c r="C63" s="20">
        <f>SUMIFS(未払予定一覧!$O$4:$O$830,未払予定一覧!$N$4:$N$830,A63,未払予定一覧!$A$4:$A$830,"レジデンス",未払予定一覧!$B$4:$B$830,"未払繰越")+SUMIFS(未払予定一覧!$O$4:$O$830,未払予定一覧!$N$4:$N$830,A63,未払予定一覧!$A$4:$A$830,"レジデンス",未払予定一覧!$B$4:$B$830,"月次予定")</f>
        <v>0</v>
      </c>
      <c r="D63" s="20">
        <f t="shared" si="3"/>
        <v>0</v>
      </c>
      <c r="E63" s="20">
        <f t="shared" si="4"/>
        <v>-754459</v>
      </c>
      <c r="F63" s="21">
        <f>SUMIFS(未払予定一覧!$O$4:$O$830,未払予定一覧!$N$4:$N$830,A63,未払予定一覧!$A$4:$A$830,"レジデンス",未払予定一覧!$B$4:$B$830,"カード枠回復")</f>
        <v>0</v>
      </c>
      <c r="G63" s="122">
        <f t="shared" si="5"/>
        <v>-754459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SUMIFS(入金入力!$E$4:$E$580,入金入力!$B$4:$B$580,A64,入金入力!$A$4:$A$580,"レジデンス")+SUMIFS(入金予測!$E$4:$E$603,入金予測!$A$4:$A$603,A64,入金予測!$B$4:$B$603,"レジデンス")</f>
        <v>0</v>
      </c>
      <c r="C64" s="20">
        <f>SUMIFS(未払予定一覧!$O$4:$O$830,未払予定一覧!$N$4:$N$830,A64,未払予定一覧!$A$4:$A$830,"レジデンス",未払予定一覧!$B$4:$B$830,"未払繰越")+SUMIFS(未払予定一覧!$O$4:$O$830,未払予定一覧!$N$4:$N$830,A64,未払予定一覧!$A$4:$A$830,"レジデンス",未払予定一覧!$B$4:$B$830,"月次予定")</f>
        <v>1059878</v>
      </c>
      <c r="D64" s="20">
        <f t="shared" si="3"/>
        <v>-1059878</v>
      </c>
      <c r="E64" s="20">
        <f t="shared" si="4"/>
        <v>-1814337</v>
      </c>
      <c r="F64" s="21">
        <f>SUMIFS(未払予定一覧!$O$4:$O$830,未払予定一覧!$N$4:$N$830,A64,未払予定一覧!$A$4:$A$830,"レジデンス",未払予定一覧!$B$4:$B$830,"カード枠回復")</f>
        <v>0</v>
      </c>
      <c r="G64" s="122">
        <f t="shared" si="5"/>
        <v>-1814337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SUMIFS(入金入力!$E$4:$E$580,入金入力!$B$4:$B$580,A65,入金入力!$A$4:$A$580,"レジデンス")+SUMIFS(入金予測!$E$4:$E$603,入金予測!$A$4:$A$603,A65,入金予測!$B$4:$B$603,"レジデンス")</f>
        <v>0</v>
      </c>
      <c r="C65" s="20">
        <f>SUMIFS(未払予定一覧!$O$4:$O$830,未払予定一覧!$N$4:$N$830,A65,未払予定一覧!$A$4:$A$830,"レジデンス",未払予定一覧!$B$4:$B$830,"未払繰越")+SUMIFS(未払予定一覧!$O$4:$O$830,未払予定一覧!$N$4:$N$830,A65,未払予定一覧!$A$4:$A$830,"レジデンス",未払予定一覧!$B$4:$B$830,"月次予定")</f>
        <v>0</v>
      </c>
      <c r="D65" s="20">
        <f t="shared" si="3"/>
        <v>0</v>
      </c>
      <c r="E65" s="20">
        <f t="shared" si="4"/>
        <v>-1814337</v>
      </c>
      <c r="F65" s="21">
        <f>SUMIFS(未払予定一覧!$O$4:$O$830,未払予定一覧!$N$4:$N$830,A65,未払予定一覧!$A$4:$A$830,"レジデンス",未払予定一覧!$B$4:$B$830,"カード枠回復")</f>
        <v>0</v>
      </c>
      <c r="G65" s="122">
        <f t="shared" si="5"/>
        <v>-1814337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SUMIFS(入金入力!$E$4:$E$580,入金入力!$B$4:$B$580,A66,入金入力!$A$4:$A$580,"レジデンス")+SUMIFS(入金予測!$E$4:$E$603,入金予測!$A$4:$A$603,A66,入金予測!$B$4:$B$603,"レジデンス")</f>
        <v>0</v>
      </c>
      <c r="C66" s="20">
        <f>SUMIFS(未払予定一覧!$O$4:$O$830,未払予定一覧!$N$4:$N$830,A66,未払予定一覧!$A$4:$A$830,"レジデンス",未払予定一覧!$B$4:$B$830,"未払繰越")+SUMIFS(未払予定一覧!$O$4:$O$830,未払予定一覧!$N$4:$N$830,A66,未払予定一覧!$A$4:$A$830,"レジデンス",未払予定一覧!$B$4:$B$830,"月次予定")</f>
        <v>0</v>
      </c>
      <c r="D66" s="20">
        <f t="shared" si="3"/>
        <v>0</v>
      </c>
      <c r="E66" s="20">
        <f t="shared" si="4"/>
        <v>-1814337</v>
      </c>
      <c r="F66" s="21">
        <f>SUMIFS(未払予定一覧!$O$4:$O$830,未払予定一覧!$N$4:$N$830,A66,未払予定一覧!$A$4:$A$830,"レジデンス",未払予定一覧!$B$4:$B$830,"カード枠回復")</f>
        <v>0</v>
      </c>
      <c r="G66" s="122">
        <f t="shared" si="5"/>
        <v>-1814337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SUMIFS(入金入力!$E$4:$E$580,入金入力!$B$4:$B$580,A67,入金入力!$A$4:$A$580,"レジデンス")+SUMIFS(入金予測!$E$4:$E$603,入金予測!$A$4:$A$603,A67,入金予測!$B$4:$B$603,"レジデンス")</f>
        <v>0</v>
      </c>
      <c r="C67" s="20">
        <f>SUMIFS(未払予定一覧!$O$4:$O$830,未払予定一覧!$N$4:$N$830,A67,未払予定一覧!$A$4:$A$830,"レジデンス",未払予定一覧!$B$4:$B$830,"未払繰越")+SUMIFS(未払予定一覧!$O$4:$O$830,未払予定一覧!$N$4:$N$830,A67,未払予定一覧!$A$4:$A$830,"レジデンス",未払予定一覧!$B$4:$B$830,"月次予定")</f>
        <v>310562</v>
      </c>
      <c r="D67" s="20">
        <f t="shared" si="3"/>
        <v>-310562</v>
      </c>
      <c r="E67" s="20">
        <f t="shared" si="4"/>
        <v>-2124899</v>
      </c>
      <c r="F67" s="21">
        <f>SUMIFS(未払予定一覧!$O$4:$O$830,未払予定一覧!$N$4:$N$830,A67,未払予定一覧!$A$4:$A$830,"レジデンス",未払予定一覧!$B$4:$B$830,"カード枠回復")</f>
        <v>0</v>
      </c>
      <c r="G67" s="122">
        <f t="shared" si="5"/>
        <v>-2124899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SUMIFS(入金入力!$E$4:$E$580,入金入力!$B$4:$B$580,A68,入金入力!$A$4:$A$580,"レジデンス")+SUMIFS(入金予測!$E$4:$E$603,入金予測!$A$4:$A$603,A68,入金予測!$B$4:$B$603,"レジデンス")</f>
        <v>0</v>
      </c>
      <c r="C68" s="20">
        <f>SUMIFS(未払予定一覧!$O$4:$O$830,未払予定一覧!$N$4:$N$830,A68,未払予定一覧!$A$4:$A$830,"レジデンス",未払予定一覧!$B$4:$B$830,"未払繰越")+SUMIFS(未払予定一覧!$O$4:$O$830,未払予定一覧!$N$4:$N$830,A68,未払予定一覧!$A$4:$A$830,"レジデンス",未払予定一覧!$B$4:$B$830,"月次予定")</f>
        <v>550429</v>
      </c>
      <c r="D68" s="20">
        <f t="shared" si="3"/>
        <v>-550429</v>
      </c>
      <c r="E68" s="20">
        <f t="shared" si="4"/>
        <v>-2675328</v>
      </c>
      <c r="F68" s="21">
        <f>SUMIFS(未払予定一覧!$O$4:$O$830,未払予定一覧!$N$4:$N$830,A68,未払予定一覧!$A$4:$A$830,"レジデンス",未払予定一覧!$B$4:$B$830,"カード枠回復")</f>
        <v>0</v>
      </c>
      <c r="G68" s="122">
        <f t="shared" si="5"/>
        <v>-2675328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SUMIFS(入金入力!$E$4:$E$580,入金入力!$B$4:$B$580,A69,入金入力!$A$4:$A$580,"レジデンス")+SUMIFS(入金予測!$E$4:$E$603,入金予測!$A$4:$A$603,A69,入金予測!$B$4:$B$603,"レジデンス")</f>
        <v>0</v>
      </c>
      <c r="C69" s="20">
        <f>SUMIFS(未払予定一覧!$O$4:$O$830,未払予定一覧!$N$4:$N$830,A69,未払予定一覧!$A$4:$A$830,"レジデンス",未払予定一覧!$B$4:$B$830,"未払繰越")+SUMIFS(未払予定一覧!$O$4:$O$830,未払予定一覧!$N$4:$N$830,A69,未払予定一覧!$A$4:$A$830,"レジデンス",未払予定一覧!$B$4:$B$830,"月次予定")</f>
        <v>493348</v>
      </c>
      <c r="D69" s="20">
        <f t="shared" si="3"/>
        <v>-493348</v>
      </c>
      <c r="E69" s="20">
        <f t="shared" si="4"/>
        <v>-3168676</v>
      </c>
      <c r="F69" s="21">
        <f>SUMIFS(未払予定一覧!$O$4:$O$830,未払予定一覧!$N$4:$N$830,A69,未払予定一覧!$A$4:$A$830,"レジデンス",未払予定一覧!$B$4:$B$830,"カード枠回復")</f>
        <v>0</v>
      </c>
      <c r="G69" s="122">
        <f t="shared" si="5"/>
        <v>-3168676</v>
      </c>
      <c r="H69" s="123"/>
    </row>
    <row r="70" spans="1:8" ht="15" customHeight="1">
      <c r="A70" s="23" t="s">
        <v>693</v>
      </c>
      <c r="B70" s="24">
        <f>SUM(B40:B69)</f>
        <v>0</v>
      </c>
      <c r="C70" s="24">
        <f>SUM(C40:C69)</f>
        <v>6177138</v>
      </c>
      <c r="D70" s="24">
        <f t="shared" si="3"/>
        <v>-6177138</v>
      </c>
      <c r="E70" s="24">
        <f>E69</f>
        <v>-3168676</v>
      </c>
      <c r="F70" s="24">
        <f>SUM(F40:F69)</f>
        <v>0</v>
      </c>
      <c r="G70" s="24">
        <f>G69</f>
        <v>-3168676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SUMIFS(入金入力!$E$4:$E$580,入金入力!$B$4:$B$580,A73,入金入力!$A$4:$A$580,"レジデンス")+SUMIFS(入金予測!$E$4:$E$603,入金予測!$A$4:$A$603,A73,入金予測!$B$4:$B$603,"レジデンス")</f>
        <v>0</v>
      </c>
      <c r="C73" s="20">
        <f>SUMIFS(未払予定一覧!$O$4:$O$830,未払予定一覧!$N$4:$N$830,A73,未払予定一覧!$A$4:$A$830,"レジデンス",未払予定一覧!$B$4:$B$830,"未払繰越")+SUMIFS(未払予定一覧!$O$4:$O$830,未払予定一覧!$N$4:$N$830,A73,未払予定一覧!$A$4:$A$830,"レジデンス",未払予定一覧!$B$4:$B$830,"月次予定")</f>
        <v>0</v>
      </c>
      <c r="D73" s="20">
        <f t="shared" ref="D73:D104" si="6">B73-C73-F73</f>
        <v>0</v>
      </c>
      <c r="E73" s="20">
        <f>E70+D73</f>
        <v>-3168676</v>
      </c>
      <c r="F73" s="21">
        <f>SUMIFS(未払予定一覧!$O$4:$O$830,未払予定一覧!$N$4:$N$830,A73,未払予定一覧!$A$4:$A$830,"レジデンス",未払予定一覧!$B$4:$B$830,"カード枠回復")</f>
        <v>0</v>
      </c>
      <c r="G73" s="122">
        <f>G70+D73+F73</f>
        <v>-3168676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SUMIFS(入金入力!$E$4:$E$580,入金入力!$B$4:$B$580,A74,入金入力!$A$4:$A$580,"レジデンス")+SUMIFS(入金予測!$E$4:$E$603,入金予測!$A$4:$A$603,A74,入金予測!$B$4:$B$603,"レジデンス")</f>
        <v>0</v>
      </c>
      <c r="C74" s="20">
        <f>SUMIFS(未払予定一覧!$O$4:$O$830,未払予定一覧!$N$4:$N$830,A74,未払予定一覧!$A$4:$A$830,"レジデンス",未払予定一覧!$B$4:$B$830,"未払繰越")+SUMIFS(未払予定一覧!$O$4:$O$830,未払予定一覧!$N$4:$N$830,A74,未払予定一覧!$A$4:$A$830,"レジデンス",未払予定一覧!$B$4:$B$830,"月次予定")</f>
        <v>0</v>
      </c>
      <c r="D74" s="20">
        <f t="shared" si="6"/>
        <v>0</v>
      </c>
      <c r="E74" s="20">
        <f t="shared" ref="E74:E103" si="7">E73+D74</f>
        <v>-3168676</v>
      </c>
      <c r="F74" s="21">
        <f>SUMIFS(未払予定一覧!$O$4:$O$830,未払予定一覧!$N$4:$N$830,A74,未払予定一覧!$A$4:$A$830,"レジデンス",未払予定一覧!$B$4:$B$830,"カード枠回復")</f>
        <v>0</v>
      </c>
      <c r="G74" s="122">
        <f t="shared" ref="G74:G103" si="8">G73+D74+F74</f>
        <v>-3168676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SUMIFS(入金入力!$E$4:$E$580,入金入力!$B$4:$B$580,A75,入金入力!$A$4:$A$580,"レジデンス")+SUMIFS(入金予測!$E$4:$E$603,入金予測!$A$4:$A$603,A75,入金予測!$B$4:$B$603,"レジデンス")</f>
        <v>0</v>
      </c>
      <c r="C75" s="20">
        <f>SUMIFS(未払予定一覧!$O$4:$O$830,未払予定一覧!$N$4:$N$830,A75,未払予定一覧!$A$4:$A$830,"レジデンス",未払予定一覧!$B$4:$B$830,"未払繰越")+SUMIFS(未払予定一覧!$O$4:$O$830,未払予定一覧!$N$4:$N$830,A75,未払予定一覧!$A$4:$A$830,"レジデンス",未払予定一覧!$B$4:$B$830,"月次予定")</f>
        <v>0</v>
      </c>
      <c r="D75" s="20">
        <f t="shared" si="6"/>
        <v>0</v>
      </c>
      <c r="E75" s="20">
        <f t="shared" si="7"/>
        <v>-3168676</v>
      </c>
      <c r="F75" s="21">
        <f>SUMIFS(未払予定一覧!$O$4:$O$830,未払予定一覧!$N$4:$N$830,A75,未払予定一覧!$A$4:$A$830,"レジデンス",未払予定一覧!$B$4:$B$830,"カード枠回復")</f>
        <v>0</v>
      </c>
      <c r="G75" s="122">
        <f t="shared" si="8"/>
        <v>-3168676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SUMIFS(入金入力!$E$4:$E$580,入金入力!$B$4:$B$580,A76,入金入力!$A$4:$A$580,"レジデンス")+SUMIFS(入金予測!$E$4:$E$603,入金予測!$A$4:$A$603,A76,入金予測!$B$4:$B$603,"レジデンス")</f>
        <v>0</v>
      </c>
      <c r="C76" s="20">
        <f>SUMIFS(未払予定一覧!$O$4:$O$830,未払予定一覧!$N$4:$N$830,A76,未払予定一覧!$A$4:$A$830,"レジデンス",未払予定一覧!$B$4:$B$830,"未払繰越")+SUMIFS(未払予定一覧!$O$4:$O$830,未払予定一覧!$N$4:$N$830,A76,未払予定一覧!$A$4:$A$830,"レジデンス",未払予定一覧!$B$4:$B$830,"月次予定")</f>
        <v>0</v>
      </c>
      <c r="D76" s="20">
        <f t="shared" si="6"/>
        <v>0</v>
      </c>
      <c r="E76" s="20">
        <f t="shared" si="7"/>
        <v>-3168676</v>
      </c>
      <c r="F76" s="21">
        <f>SUMIFS(未払予定一覧!$O$4:$O$830,未払予定一覧!$N$4:$N$830,A76,未払予定一覧!$A$4:$A$830,"レジデンス",未払予定一覧!$B$4:$B$830,"カード枠回復")</f>
        <v>0</v>
      </c>
      <c r="G76" s="122">
        <f t="shared" si="8"/>
        <v>-3168676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SUMIFS(入金入力!$E$4:$E$580,入金入力!$B$4:$B$580,A77,入金入力!$A$4:$A$580,"レジデンス")+SUMIFS(入金予測!$E$4:$E$603,入金予測!$A$4:$A$603,A77,入金予測!$B$4:$B$603,"レジデンス")</f>
        <v>0</v>
      </c>
      <c r="C77" s="20">
        <f>SUMIFS(未払予定一覧!$O$4:$O$830,未払予定一覧!$N$4:$N$830,A77,未払予定一覧!$A$4:$A$830,"レジデンス",未払予定一覧!$B$4:$B$830,"未払繰越")+SUMIFS(未払予定一覧!$O$4:$O$830,未払予定一覧!$N$4:$N$830,A77,未払予定一覧!$A$4:$A$830,"レジデンス",未払予定一覧!$B$4:$B$830,"月次予定")</f>
        <v>0</v>
      </c>
      <c r="D77" s="20">
        <f t="shared" si="6"/>
        <v>0</v>
      </c>
      <c r="E77" s="20">
        <f t="shared" si="7"/>
        <v>-3168676</v>
      </c>
      <c r="F77" s="21">
        <f>SUMIFS(未払予定一覧!$O$4:$O$830,未払予定一覧!$N$4:$N$830,A77,未払予定一覧!$A$4:$A$830,"レジデンス",未払予定一覧!$B$4:$B$830,"カード枠回復")</f>
        <v>0</v>
      </c>
      <c r="G77" s="122">
        <f t="shared" si="8"/>
        <v>-3168676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SUMIFS(入金入力!$E$4:$E$580,入金入力!$B$4:$B$580,A78,入金入力!$A$4:$A$580,"レジデンス")+SUMIFS(入金予測!$E$4:$E$603,入金予測!$A$4:$A$603,A78,入金予測!$B$4:$B$603,"レジデンス")</f>
        <v>0</v>
      </c>
      <c r="C78" s="20">
        <f>SUMIFS(未払予定一覧!$O$4:$O$830,未払予定一覧!$N$4:$N$830,A78,未払予定一覧!$A$4:$A$830,"レジデンス",未払予定一覧!$B$4:$B$830,"未払繰越")+SUMIFS(未払予定一覧!$O$4:$O$830,未払予定一覧!$N$4:$N$830,A78,未払予定一覧!$A$4:$A$830,"レジデンス",未払予定一覧!$B$4:$B$830,"月次予定")</f>
        <v>0</v>
      </c>
      <c r="D78" s="20">
        <f t="shared" si="6"/>
        <v>0</v>
      </c>
      <c r="E78" s="20">
        <f t="shared" si="7"/>
        <v>-3168676</v>
      </c>
      <c r="F78" s="21">
        <f>SUMIFS(未払予定一覧!$O$4:$O$830,未払予定一覧!$N$4:$N$830,A78,未払予定一覧!$A$4:$A$830,"レジデンス",未払予定一覧!$B$4:$B$830,"カード枠回復")</f>
        <v>0</v>
      </c>
      <c r="G78" s="122">
        <f t="shared" si="8"/>
        <v>-3168676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SUMIFS(入金入力!$E$4:$E$580,入金入力!$B$4:$B$580,A79,入金入力!$A$4:$A$580,"レジデンス")+SUMIFS(入金予測!$E$4:$E$603,入金予測!$A$4:$A$603,A79,入金予測!$B$4:$B$603,"レジデンス")</f>
        <v>0</v>
      </c>
      <c r="C79" s="20">
        <f>SUMIFS(未払予定一覧!$O$4:$O$830,未払予定一覧!$N$4:$N$830,A79,未払予定一覧!$A$4:$A$830,"レジデンス",未払予定一覧!$B$4:$B$830,"未払繰越")+SUMIFS(未払予定一覧!$O$4:$O$830,未払予定一覧!$N$4:$N$830,A79,未払予定一覧!$A$4:$A$830,"レジデンス",未払予定一覧!$B$4:$B$830,"月次予定")</f>
        <v>0</v>
      </c>
      <c r="D79" s="20">
        <f t="shared" si="6"/>
        <v>0</v>
      </c>
      <c r="E79" s="20">
        <f t="shared" si="7"/>
        <v>-3168676</v>
      </c>
      <c r="F79" s="21">
        <f>SUMIFS(未払予定一覧!$O$4:$O$830,未払予定一覧!$N$4:$N$830,A79,未払予定一覧!$A$4:$A$830,"レジデンス",未払予定一覧!$B$4:$B$830,"カード枠回復")</f>
        <v>0</v>
      </c>
      <c r="G79" s="122">
        <f t="shared" si="8"/>
        <v>-3168676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SUMIFS(入金入力!$E$4:$E$580,入金入力!$B$4:$B$580,A80,入金入力!$A$4:$A$580,"レジデンス")+SUMIFS(入金予測!$E$4:$E$603,入金予測!$A$4:$A$603,A80,入金予測!$B$4:$B$603,"レジデンス")</f>
        <v>0</v>
      </c>
      <c r="C80" s="20">
        <f>SUMIFS(未払予定一覧!$O$4:$O$830,未払予定一覧!$N$4:$N$830,A80,未払予定一覧!$A$4:$A$830,"レジデンス",未払予定一覧!$B$4:$B$830,"未払繰越")+SUMIFS(未払予定一覧!$O$4:$O$830,未払予定一覧!$N$4:$N$830,A80,未払予定一覧!$A$4:$A$830,"レジデンス",未払予定一覧!$B$4:$B$830,"月次予定")</f>
        <v>0</v>
      </c>
      <c r="D80" s="20">
        <f t="shared" si="6"/>
        <v>0</v>
      </c>
      <c r="E80" s="20">
        <f t="shared" si="7"/>
        <v>-3168676</v>
      </c>
      <c r="F80" s="21">
        <f>SUMIFS(未払予定一覧!$O$4:$O$830,未払予定一覧!$N$4:$N$830,A80,未払予定一覧!$A$4:$A$830,"レジデンス",未払予定一覧!$B$4:$B$830,"カード枠回復")</f>
        <v>0</v>
      </c>
      <c r="G80" s="122">
        <f t="shared" si="8"/>
        <v>-3168676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SUMIFS(入金入力!$E$4:$E$580,入金入力!$B$4:$B$580,A81,入金入力!$A$4:$A$580,"レジデンス")+SUMIFS(入金予測!$E$4:$E$603,入金予測!$A$4:$A$603,A81,入金予測!$B$4:$B$603,"レジデンス")</f>
        <v>0</v>
      </c>
      <c r="C81" s="20">
        <f>SUMIFS(未払予定一覧!$O$4:$O$830,未払予定一覧!$N$4:$N$830,A81,未払予定一覧!$A$4:$A$830,"レジデンス",未払予定一覧!$B$4:$B$830,"未払繰越")+SUMIFS(未払予定一覧!$O$4:$O$830,未払予定一覧!$N$4:$N$830,A81,未払予定一覧!$A$4:$A$830,"レジデンス",未払予定一覧!$B$4:$B$830,"月次予定")</f>
        <v>3131908</v>
      </c>
      <c r="D81" s="20">
        <f t="shared" si="6"/>
        <v>-3131908</v>
      </c>
      <c r="E81" s="20">
        <f t="shared" si="7"/>
        <v>-6300584</v>
      </c>
      <c r="F81" s="21">
        <f>SUMIFS(未払予定一覧!$O$4:$O$830,未払予定一覧!$N$4:$N$830,A81,未払予定一覧!$A$4:$A$830,"レジデンス",未払予定一覧!$B$4:$B$830,"カード枠回復")</f>
        <v>0</v>
      </c>
      <c r="G81" s="122">
        <f t="shared" si="8"/>
        <v>-6300584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SUMIFS(入金入力!$E$4:$E$580,入金入力!$B$4:$B$580,A82,入金入力!$A$4:$A$580,"レジデンス")+SUMIFS(入金予測!$E$4:$E$603,入金予測!$A$4:$A$603,A82,入金予測!$B$4:$B$603,"レジデンス")</f>
        <v>0</v>
      </c>
      <c r="C82" s="20">
        <f>SUMIFS(未払予定一覧!$O$4:$O$830,未払予定一覧!$N$4:$N$830,A82,未払予定一覧!$A$4:$A$830,"レジデンス",未払予定一覧!$B$4:$B$830,"未払繰越")+SUMIFS(未払予定一覧!$O$4:$O$830,未払予定一覧!$N$4:$N$830,A82,未払予定一覧!$A$4:$A$830,"レジデンス",未払予定一覧!$B$4:$B$830,"月次予定")</f>
        <v>0</v>
      </c>
      <c r="D82" s="20">
        <f t="shared" si="6"/>
        <v>0</v>
      </c>
      <c r="E82" s="20">
        <f t="shared" si="7"/>
        <v>-6300584</v>
      </c>
      <c r="F82" s="21">
        <f>SUMIFS(未払予定一覧!$O$4:$O$830,未払予定一覧!$N$4:$N$830,A82,未払予定一覧!$A$4:$A$830,"レジデンス",未払予定一覧!$B$4:$B$830,"カード枠回復")</f>
        <v>0</v>
      </c>
      <c r="G82" s="122">
        <f t="shared" si="8"/>
        <v>-6300584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SUMIFS(入金入力!$E$4:$E$580,入金入力!$B$4:$B$580,A83,入金入力!$A$4:$A$580,"レジデンス")+SUMIFS(入金予測!$E$4:$E$603,入金予測!$A$4:$A$603,A83,入金予測!$B$4:$B$603,"レジデンス")</f>
        <v>0</v>
      </c>
      <c r="C83" s="20">
        <f>SUMIFS(未払予定一覧!$O$4:$O$830,未払予定一覧!$N$4:$N$830,A83,未払予定一覧!$A$4:$A$830,"レジデンス",未払予定一覧!$B$4:$B$830,"未払繰越")+SUMIFS(未払予定一覧!$O$4:$O$830,未払予定一覧!$N$4:$N$830,A83,未払予定一覧!$A$4:$A$830,"レジデンス",未払予定一覧!$B$4:$B$830,"月次予定")</f>
        <v>0</v>
      </c>
      <c r="D83" s="20">
        <f t="shared" si="6"/>
        <v>0</v>
      </c>
      <c r="E83" s="20">
        <f t="shared" si="7"/>
        <v>-6300584</v>
      </c>
      <c r="F83" s="21">
        <f>SUMIFS(未払予定一覧!$O$4:$O$830,未払予定一覧!$N$4:$N$830,A83,未払予定一覧!$A$4:$A$830,"レジデンス",未払予定一覧!$B$4:$B$830,"カード枠回復")</f>
        <v>0</v>
      </c>
      <c r="G83" s="122">
        <f t="shared" si="8"/>
        <v>-6300584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SUMIFS(入金入力!$E$4:$E$580,入金入力!$B$4:$B$580,A84,入金入力!$A$4:$A$580,"レジデンス")+SUMIFS(入金予測!$E$4:$E$603,入金予測!$A$4:$A$603,A84,入金予測!$B$4:$B$603,"レジデンス")</f>
        <v>0</v>
      </c>
      <c r="C84" s="20">
        <f>SUMIFS(未払予定一覧!$O$4:$O$830,未払予定一覧!$N$4:$N$830,A84,未払予定一覧!$A$4:$A$830,"レジデンス",未払予定一覧!$B$4:$B$830,"未払繰越")+SUMIFS(未払予定一覧!$O$4:$O$830,未払予定一覧!$N$4:$N$830,A84,未払予定一覧!$A$4:$A$830,"レジデンス",未払予定一覧!$B$4:$B$830,"月次予定")</f>
        <v>0</v>
      </c>
      <c r="D84" s="20">
        <f t="shared" si="6"/>
        <v>0</v>
      </c>
      <c r="E84" s="20">
        <f t="shared" si="7"/>
        <v>-6300584</v>
      </c>
      <c r="F84" s="21">
        <f>SUMIFS(未払予定一覧!$O$4:$O$830,未払予定一覧!$N$4:$N$830,A84,未払予定一覧!$A$4:$A$830,"レジデンス",未払予定一覧!$B$4:$B$830,"カード枠回復")</f>
        <v>0</v>
      </c>
      <c r="G84" s="122">
        <f t="shared" si="8"/>
        <v>-6300584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SUMIFS(入金入力!$E$4:$E$580,入金入力!$B$4:$B$580,A85,入金入力!$A$4:$A$580,"レジデンス")+SUMIFS(入金予測!$E$4:$E$603,入金予測!$A$4:$A$603,A85,入金予測!$B$4:$B$603,"レジデンス")</f>
        <v>0</v>
      </c>
      <c r="C85" s="20">
        <f>SUMIFS(未払予定一覧!$O$4:$O$830,未払予定一覧!$N$4:$N$830,A85,未払予定一覧!$A$4:$A$830,"レジデンス",未払予定一覧!$B$4:$B$830,"未払繰越")+SUMIFS(未払予定一覧!$O$4:$O$830,未払予定一覧!$N$4:$N$830,A85,未払予定一覧!$A$4:$A$830,"レジデンス",未払予定一覧!$B$4:$B$830,"月次予定")</f>
        <v>0</v>
      </c>
      <c r="D85" s="20">
        <f t="shared" si="6"/>
        <v>0</v>
      </c>
      <c r="E85" s="20">
        <f t="shared" si="7"/>
        <v>-6300584</v>
      </c>
      <c r="F85" s="21">
        <f>SUMIFS(未払予定一覧!$O$4:$O$830,未払予定一覧!$N$4:$N$830,A85,未払予定一覧!$A$4:$A$830,"レジデンス",未払予定一覧!$B$4:$B$830,"カード枠回復")</f>
        <v>0</v>
      </c>
      <c r="G85" s="122">
        <f t="shared" si="8"/>
        <v>-6300584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SUMIFS(入金入力!$E$4:$E$580,入金入力!$B$4:$B$580,A86,入金入力!$A$4:$A$580,"レジデンス")+SUMIFS(入金予測!$E$4:$E$603,入金予測!$A$4:$A$603,A86,入金予測!$B$4:$B$603,"レジデンス")</f>
        <v>0</v>
      </c>
      <c r="C86" s="20">
        <f>SUMIFS(未払予定一覧!$O$4:$O$830,未払予定一覧!$N$4:$N$830,A86,未払予定一覧!$A$4:$A$830,"レジデンス",未払予定一覧!$B$4:$B$830,"未払繰越")+SUMIFS(未払予定一覧!$O$4:$O$830,未払予定一覧!$N$4:$N$830,A86,未払予定一覧!$A$4:$A$830,"レジデンス",未払予定一覧!$B$4:$B$830,"月次予定")</f>
        <v>0</v>
      </c>
      <c r="D86" s="20">
        <f t="shared" si="6"/>
        <v>0</v>
      </c>
      <c r="E86" s="20">
        <f t="shared" si="7"/>
        <v>-6300584</v>
      </c>
      <c r="F86" s="21">
        <f>SUMIFS(未払予定一覧!$O$4:$O$830,未払予定一覧!$N$4:$N$830,A86,未払予定一覧!$A$4:$A$830,"レジデンス",未払予定一覧!$B$4:$B$830,"カード枠回復")</f>
        <v>0</v>
      </c>
      <c r="G86" s="122">
        <f t="shared" si="8"/>
        <v>-6300584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SUMIFS(入金入力!$E$4:$E$580,入金入力!$B$4:$B$580,A87,入金入力!$A$4:$A$580,"レジデンス")+SUMIFS(入金予測!$E$4:$E$603,入金予測!$A$4:$A$603,A87,入金予測!$B$4:$B$603,"レジデンス")</f>
        <v>0</v>
      </c>
      <c r="C87" s="20">
        <f>SUMIFS(未払予定一覧!$O$4:$O$830,未払予定一覧!$N$4:$N$830,A87,未払予定一覧!$A$4:$A$830,"レジデンス",未払予定一覧!$B$4:$B$830,"未払繰越")+SUMIFS(未払予定一覧!$O$4:$O$830,未払予定一覧!$N$4:$N$830,A87,未払予定一覧!$A$4:$A$830,"レジデンス",未払予定一覧!$B$4:$B$830,"月次予定")</f>
        <v>0</v>
      </c>
      <c r="D87" s="20">
        <f t="shared" si="6"/>
        <v>0</v>
      </c>
      <c r="E87" s="20">
        <f t="shared" si="7"/>
        <v>-6300584</v>
      </c>
      <c r="F87" s="21">
        <f>SUMIFS(未払予定一覧!$O$4:$O$830,未払予定一覧!$N$4:$N$830,A87,未払予定一覧!$A$4:$A$830,"レジデンス",未払予定一覧!$B$4:$B$830,"カード枠回復")</f>
        <v>0</v>
      </c>
      <c r="G87" s="122">
        <f t="shared" si="8"/>
        <v>-6300584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SUMIFS(入金入力!$E$4:$E$580,入金入力!$B$4:$B$580,A88,入金入力!$A$4:$A$580,"レジデンス")+SUMIFS(入金予測!$E$4:$E$603,入金予測!$A$4:$A$603,A88,入金予測!$B$4:$B$603,"レジデンス")</f>
        <v>0</v>
      </c>
      <c r="C88" s="20">
        <f>SUMIFS(未払予定一覧!$O$4:$O$830,未払予定一覧!$N$4:$N$830,A88,未払予定一覧!$A$4:$A$830,"レジデンス",未払予定一覧!$B$4:$B$830,"未払繰越")+SUMIFS(未払予定一覧!$O$4:$O$830,未払予定一覧!$N$4:$N$830,A88,未払予定一覧!$A$4:$A$830,"レジデンス",未払予定一覧!$B$4:$B$830,"月次予定")</f>
        <v>107395</v>
      </c>
      <c r="D88" s="20">
        <f t="shared" si="6"/>
        <v>-107395</v>
      </c>
      <c r="E88" s="20">
        <f t="shared" si="7"/>
        <v>-6407979</v>
      </c>
      <c r="F88" s="21">
        <f>SUMIFS(未払予定一覧!$O$4:$O$830,未払予定一覧!$N$4:$N$830,A88,未払予定一覧!$A$4:$A$830,"レジデンス",未払予定一覧!$B$4:$B$830,"カード枠回復")</f>
        <v>0</v>
      </c>
      <c r="G88" s="122">
        <f t="shared" si="8"/>
        <v>-6407979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SUMIFS(入金入力!$E$4:$E$580,入金入力!$B$4:$B$580,A89,入金入力!$A$4:$A$580,"レジデンス")+SUMIFS(入金予測!$E$4:$E$603,入金予測!$A$4:$A$603,A89,入金予測!$B$4:$B$603,"レジデンス")</f>
        <v>0</v>
      </c>
      <c r="C89" s="20">
        <f>SUMIFS(未払予定一覧!$O$4:$O$830,未払予定一覧!$N$4:$N$830,A89,未払予定一覧!$A$4:$A$830,"レジデンス",未払予定一覧!$B$4:$B$830,"未払繰越")+SUMIFS(未払予定一覧!$O$4:$O$830,未払予定一覧!$N$4:$N$830,A89,未払予定一覧!$A$4:$A$830,"レジデンス",未払予定一覧!$B$4:$B$830,"月次予定")</f>
        <v>0</v>
      </c>
      <c r="D89" s="20">
        <f t="shared" si="6"/>
        <v>0</v>
      </c>
      <c r="E89" s="20">
        <f t="shared" si="7"/>
        <v>-6407979</v>
      </c>
      <c r="F89" s="21">
        <f>SUMIFS(未払予定一覧!$O$4:$O$830,未払予定一覧!$N$4:$N$830,A89,未払予定一覧!$A$4:$A$830,"レジデンス",未払予定一覧!$B$4:$B$830,"カード枠回復")</f>
        <v>0</v>
      </c>
      <c r="G89" s="122">
        <f t="shared" si="8"/>
        <v>-6407979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SUMIFS(入金入力!$E$4:$E$580,入金入力!$B$4:$B$580,A90,入金入力!$A$4:$A$580,"レジデンス")+SUMIFS(入金予測!$E$4:$E$603,入金予測!$A$4:$A$603,A90,入金予測!$B$4:$B$603,"レジデンス")</f>
        <v>0</v>
      </c>
      <c r="C90" s="20">
        <f>SUMIFS(未払予定一覧!$O$4:$O$830,未払予定一覧!$N$4:$N$830,A90,未払予定一覧!$A$4:$A$830,"レジデンス",未払予定一覧!$B$4:$B$830,"未払繰越")+SUMIFS(未払予定一覧!$O$4:$O$830,未払予定一覧!$N$4:$N$830,A90,未払予定一覧!$A$4:$A$830,"レジデンス",未払予定一覧!$B$4:$B$830,"月次予定")</f>
        <v>0</v>
      </c>
      <c r="D90" s="20">
        <f t="shared" si="6"/>
        <v>0</v>
      </c>
      <c r="E90" s="20">
        <f t="shared" si="7"/>
        <v>-6407979</v>
      </c>
      <c r="F90" s="21">
        <f>SUMIFS(未払予定一覧!$O$4:$O$830,未払予定一覧!$N$4:$N$830,A90,未払予定一覧!$A$4:$A$830,"レジデンス",未払予定一覧!$B$4:$B$830,"カード枠回復")</f>
        <v>0</v>
      </c>
      <c r="G90" s="122">
        <f t="shared" si="8"/>
        <v>-6407979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SUMIFS(入金入力!$E$4:$E$580,入金入力!$B$4:$B$580,A91,入金入力!$A$4:$A$580,"レジデンス")+SUMIFS(入金予測!$E$4:$E$603,入金予測!$A$4:$A$603,A91,入金予測!$B$4:$B$603,"レジデンス")</f>
        <v>0</v>
      </c>
      <c r="C91" s="20">
        <f>SUMIFS(未払予定一覧!$O$4:$O$830,未払予定一覧!$N$4:$N$830,A91,未払予定一覧!$A$4:$A$830,"レジデンス",未払予定一覧!$B$4:$B$830,"未払繰越")+SUMIFS(未払予定一覧!$O$4:$O$830,未払予定一覧!$N$4:$N$830,A91,未払予定一覧!$A$4:$A$830,"レジデンス",未払予定一覧!$B$4:$B$830,"月次予定")</f>
        <v>0</v>
      </c>
      <c r="D91" s="20">
        <f t="shared" si="6"/>
        <v>0</v>
      </c>
      <c r="E91" s="20">
        <f t="shared" si="7"/>
        <v>-6407979</v>
      </c>
      <c r="F91" s="21">
        <f>SUMIFS(未払予定一覧!$O$4:$O$830,未払予定一覧!$N$4:$N$830,A91,未払予定一覧!$A$4:$A$830,"レジデンス",未払予定一覧!$B$4:$B$830,"カード枠回復")</f>
        <v>0</v>
      </c>
      <c r="G91" s="122">
        <f t="shared" si="8"/>
        <v>-6407979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SUMIFS(入金入力!$E$4:$E$580,入金入力!$B$4:$B$580,A92,入金入力!$A$4:$A$580,"レジデンス")+SUMIFS(入金予測!$E$4:$E$603,入金予測!$A$4:$A$603,A92,入金予測!$B$4:$B$603,"レジデンス")</f>
        <v>0</v>
      </c>
      <c r="C92" s="20">
        <f>SUMIFS(未払予定一覧!$O$4:$O$830,未払予定一覧!$N$4:$N$830,A92,未払予定一覧!$A$4:$A$830,"レジデンス",未払予定一覧!$B$4:$B$830,"未払繰越")+SUMIFS(未払予定一覧!$O$4:$O$830,未払予定一覧!$N$4:$N$830,A92,未払予定一覧!$A$4:$A$830,"レジデンス",未払予定一覧!$B$4:$B$830,"月次予定")</f>
        <v>523618</v>
      </c>
      <c r="D92" s="20">
        <f t="shared" si="6"/>
        <v>-523618</v>
      </c>
      <c r="E92" s="20">
        <f t="shared" si="7"/>
        <v>-6931597</v>
      </c>
      <c r="F92" s="21">
        <f>SUMIFS(未払予定一覧!$O$4:$O$830,未払予定一覧!$N$4:$N$830,A92,未払予定一覧!$A$4:$A$830,"レジデンス",未払予定一覧!$B$4:$B$830,"カード枠回復")</f>
        <v>0</v>
      </c>
      <c r="G92" s="122">
        <f t="shared" si="8"/>
        <v>-6931597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SUMIFS(入金入力!$E$4:$E$580,入金入力!$B$4:$B$580,A93,入金入力!$A$4:$A$580,"レジデンス")+SUMIFS(入金予測!$E$4:$E$603,入金予測!$A$4:$A$603,A93,入金予測!$B$4:$B$603,"レジデンス")</f>
        <v>0</v>
      </c>
      <c r="C93" s="20">
        <f>SUMIFS(未払予定一覧!$O$4:$O$830,未払予定一覧!$N$4:$N$830,A93,未払予定一覧!$A$4:$A$830,"レジデンス",未払予定一覧!$B$4:$B$830,"未払繰越")+SUMIFS(未払予定一覧!$O$4:$O$830,未払予定一覧!$N$4:$N$830,A93,未払予定一覧!$A$4:$A$830,"レジデンス",未払予定一覧!$B$4:$B$830,"月次予定")</f>
        <v>0</v>
      </c>
      <c r="D93" s="20">
        <f t="shared" si="6"/>
        <v>0</v>
      </c>
      <c r="E93" s="20">
        <f t="shared" si="7"/>
        <v>-6931597</v>
      </c>
      <c r="F93" s="21">
        <f>SUMIFS(未払予定一覧!$O$4:$O$830,未払予定一覧!$N$4:$N$830,A93,未払予定一覧!$A$4:$A$830,"レジデンス",未払予定一覧!$B$4:$B$830,"カード枠回復")</f>
        <v>0</v>
      </c>
      <c r="G93" s="122">
        <f t="shared" si="8"/>
        <v>-6931597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SUMIFS(入金入力!$E$4:$E$580,入金入力!$B$4:$B$580,A94,入金入力!$A$4:$A$580,"レジデンス")+SUMIFS(入金予測!$E$4:$E$603,入金予測!$A$4:$A$603,A94,入金予測!$B$4:$B$603,"レジデンス")</f>
        <v>0</v>
      </c>
      <c r="C94" s="20">
        <f>SUMIFS(未払予定一覧!$O$4:$O$830,未払予定一覧!$N$4:$N$830,A94,未払予定一覧!$A$4:$A$830,"レジデンス",未払予定一覧!$B$4:$B$830,"未払繰越")+SUMIFS(未払予定一覧!$O$4:$O$830,未払予定一覧!$N$4:$N$830,A94,未払予定一覧!$A$4:$A$830,"レジデンス",未払予定一覧!$B$4:$B$830,"月次予定")</f>
        <v>0</v>
      </c>
      <c r="D94" s="20">
        <f t="shared" si="6"/>
        <v>0</v>
      </c>
      <c r="E94" s="20">
        <f t="shared" si="7"/>
        <v>-6931597</v>
      </c>
      <c r="F94" s="21">
        <f>SUMIFS(未払予定一覧!$O$4:$O$830,未払予定一覧!$N$4:$N$830,A94,未払予定一覧!$A$4:$A$830,"レジデンス",未払予定一覧!$B$4:$B$830,"カード枠回復")</f>
        <v>0</v>
      </c>
      <c r="G94" s="122">
        <f t="shared" si="8"/>
        <v>-6931597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SUMIFS(入金入力!$E$4:$E$580,入金入力!$B$4:$B$580,A95,入金入力!$A$4:$A$580,"レジデンス")+SUMIFS(入金予測!$E$4:$E$603,入金予測!$A$4:$A$603,A95,入金予測!$B$4:$B$603,"レジデンス")</f>
        <v>0</v>
      </c>
      <c r="C95" s="20">
        <f>SUMIFS(未払予定一覧!$O$4:$O$830,未払予定一覧!$N$4:$N$830,A95,未払予定一覧!$A$4:$A$830,"レジデンス",未払予定一覧!$B$4:$B$830,"未払繰越")+SUMIFS(未払予定一覧!$O$4:$O$830,未払予定一覧!$N$4:$N$830,A95,未払予定一覧!$A$4:$A$830,"レジデンス",未払予定一覧!$B$4:$B$830,"月次予定")</f>
        <v>0</v>
      </c>
      <c r="D95" s="20">
        <f t="shared" si="6"/>
        <v>0</v>
      </c>
      <c r="E95" s="20">
        <f t="shared" si="7"/>
        <v>-6931597</v>
      </c>
      <c r="F95" s="21">
        <f>SUMIFS(未払予定一覧!$O$4:$O$830,未払予定一覧!$N$4:$N$830,A95,未払予定一覧!$A$4:$A$830,"レジデンス",未払予定一覧!$B$4:$B$830,"カード枠回復")</f>
        <v>0</v>
      </c>
      <c r="G95" s="122">
        <f t="shared" si="8"/>
        <v>-6931597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SUMIFS(入金入力!$E$4:$E$580,入金入力!$B$4:$B$580,A96,入金入力!$A$4:$A$580,"レジデンス")+SUMIFS(入金予測!$E$4:$E$603,入金予測!$A$4:$A$603,A96,入金予測!$B$4:$B$603,"レジデンス")</f>
        <v>0</v>
      </c>
      <c r="C96" s="20">
        <f>SUMIFS(未払予定一覧!$O$4:$O$830,未払予定一覧!$N$4:$N$830,A96,未払予定一覧!$A$4:$A$830,"レジデンス",未払予定一覧!$B$4:$B$830,"未払繰越")+SUMIFS(未払予定一覧!$O$4:$O$830,未払予定一覧!$N$4:$N$830,A96,未払予定一覧!$A$4:$A$830,"レジデンス",未払予定一覧!$B$4:$B$830,"月次予定")</f>
        <v>0</v>
      </c>
      <c r="D96" s="20">
        <f t="shared" si="6"/>
        <v>0</v>
      </c>
      <c r="E96" s="20">
        <f t="shared" si="7"/>
        <v>-6931597</v>
      </c>
      <c r="F96" s="21">
        <f>SUMIFS(未払予定一覧!$O$4:$O$830,未払予定一覧!$N$4:$N$830,A96,未払予定一覧!$A$4:$A$830,"レジデンス",未払予定一覧!$B$4:$B$830,"カード枠回復")</f>
        <v>0</v>
      </c>
      <c r="G96" s="122">
        <f t="shared" si="8"/>
        <v>-6931597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SUMIFS(入金入力!$E$4:$E$580,入金入力!$B$4:$B$580,A97,入金入力!$A$4:$A$580,"レジデンス")+SUMIFS(入金予測!$E$4:$E$603,入金予測!$A$4:$A$603,A97,入金予測!$B$4:$B$603,"レジデンス")</f>
        <v>0</v>
      </c>
      <c r="C97" s="20">
        <f>SUMIFS(未払予定一覧!$O$4:$O$830,未払予定一覧!$N$4:$N$830,A97,未払予定一覧!$A$4:$A$830,"レジデンス",未払予定一覧!$B$4:$B$830,"未払繰越")+SUMIFS(未払予定一覧!$O$4:$O$830,未払予定一覧!$N$4:$N$830,A97,未払予定一覧!$A$4:$A$830,"レジデンス",未払予定一覧!$B$4:$B$830,"月次予定")</f>
        <v>1059878</v>
      </c>
      <c r="D97" s="20">
        <f t="shared" si="6"/>
        <v>-1059878</v>
      </c>
      <c r="E97" s="20">
        <f t="shared" si="7"/>
        <v>-7991475</v>
      </c>
      <c r="F97" s="21">
        <f>SUMIFS(未払予定一覧!$O$4:$O$830,未払予定一覧!$N$4:$N$830,A97,未払予定一覧!$A$4:$A$830,"レジデンス",未払予定一覧!$B$4:$B$830,"カード枠回復")</f>
        <v>0</v>
      </c>
      <c r="G97" s="122">
        <f t="shared" si="8"/>
        <v>-7991475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SUMIFS(入金入力!$E$4:$E$580,入金入力!$B$4:$B$580,A98,入金入力!$A$4:$A$580,"レジデンス")+SUMIFS(入金予測!$E$4:$E$603,入金予測!$A$4:$A$603,A98,入金予測!$B$4:$B$603,"レジデンス")</f>
        <v>0</v>
      </c>
      <c r="C98" s="20">
        <f>SUMIFS(未払予定一覧!$O$4:$O$830,未払予定一覧!$N$4:$N$830,A98,未払予定一覧!$A$4:$A$830,"レジデンス",未払予定一覧!$B$4:$B$830,"未払繰越")+SUMIFS(未払予定一覧!$O$4:$O$830,未払予定一覧!$N$4:$N$830,A98,未払予定一覧!$A$4:$A$830,"レジデンス",未払予定一覧!$B$4:$B$830,"月次予定")</f>
        <v>0</v>
      </c>
      <c r="D98" s="20">
        <f t="shared" si="6"/>
        <v>0</v>
      </c>
      <c r="E98" s="20">
        <f t="shared" si="7"/>
        <v>-7991475</v>
      </c>
      <c r="F98" s="21">
        <f>SUMIFS(未払予定一覧!$O$4:$O$830,未払予定一覧!$N$4:$N$830,A98,未払予定一覧!$A$4:$A$830,"レジデンス",未払予定一覧!$B$4:$B$830,"カード枠回復")</f>
        <v>0</v>
      </c>
      <c r="G98" s="122">
        <f t="shared" si="8"/>
        <v>-7991475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SUMIFS(入金入力!$E$4:$E$580,入金入力!$B$4:$B$580,A99,入金入力!$A$4:$A$580,"レジデンス")+SUMIFS(入金予測!$E$4:$E$603,入金予測!$A$4:$A$603,A99,入金予測!$B$4:$B$603,"レジデンス")</f>
        <v>0</v>
      </c>
      <c r="C99" s="20">
        <f>SUMIFS(未払予定一覧!$O$4:$O$830,未払予定一覧!$N$4:$N$830,A99,未払予定一覧!$A$4:$A$830,"レジデンス",未払予定一覧!$B$4:$B$830,"未払繰越")+SUMIFS(未払予定一覧!$O$4:$O$830,未払予定一覧!$N$4:$N$830,A99,未払予定一覧!$A$4:$A$830,"レジデンス",未払予定一覧!$B$4:$B$830,"月次予定")</f>
        <v>0</v>
      </c>
      <c r="D99" s="20">
        <f t="shared" si="6"/>
        <v>0</v>
      </c>
      <c r="E99" s="20">
        <f t="shared" si="7"/>
        <v>-7991475</v>
      </c>
      <c r="F99" s="21">
        <f>SUMIFS(未払予定一覧!$O$4:$O$830,未払予定一覧!$N$4:$N$830,A99,未払予定一覧!$A$4:$A$830,"レジデンス",未払予定一覧!$B$4:$B$830,"カード枠回復")</f>
        <v>0</v>
      </c>
      <c r="G99" s="122">
        <f t="shared" si="8"/>
        <v>-7991475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SUMIFS(入金入力!$E$4:$E$580,入金入力!$B$4:$B$580,A100,入金入力!$A$4:$A$580,"レジデンス")+SUMIFS(入金予測!$E$4:$E$603,入金予測!$A$4:$A$603,A100,入金予測!$B$4:$B$603,"レジデンス")</f>
        <v>0</v>
      </c>
      <c r="C100" s="20">
        <f>SUMIFS(未払予定一覧!$O$4:$O$830,未払予定一覧!$N$4:$N$830,A100,未払予定一覧!$A$4:$A$830,"レジデンス",未払予定一覧!$B$4:$B$830,"未払繰越")+SUMIFS(未払予定一覧!$O$4:$O$830,未払予定一覧!$N$4:$N$830,A100,未払予定一覧!$A$4:$A$830,"レジデンス",未払予定一覧!$B$4:$B$830,"月次予定")</f>
        <v>310562</v>
      </c>
      <c r="D100" s="20">
        <f t="shared" si="6"/>
        <v>-310562</v>
      </c>
      <c r="E100" s="20">
        <f t="shared" si="7"/>
        <v>-8302037</v>
      </c>
      <c r="F100" s="21">
        <f>SUMIFS(未払予定一覧!$O$4:$O$830,未払予定一覧!$N$4:$N$830,A100,未払予定一覧!$A$4:$A$830,"レジデンス",未払予定一覧!$B$4:$B$830,"カード枠回復")</f>
        <v>0</v>
      </c>
      <c r="G100" s="122">
        <f t="shared" si="8"/>
        <v>-8302037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SUMIFS(入金入力!$E$4:$E$580,入金入力!$B$4:$B$580,A101,入金入力!$A$4:$A$580,"レジデンス")+SUMIFS(入金予測!$E$4:$E$603,入金予測!$A$4:$A$603,A101,入金予測!$B$4:$B$603,"レジデンス")</f>
        <v>0</v>
      </c>
      <c r="C101" s="20">
        <f>SUMIFS(未払予定一覧!$O$4:$O$830,未払予定一覧!$N$4:$N$830,A101,未払予定一覧!$A$4:$A$830,"レジデンス",未払予定一覧!$B$4:$B$830,"未払繰越")+SUMIFS(未払予定一覧!$O$4:$O$830,未払予定一覧!$N$4:$N$830,A101,未払予定一覧!$A$4:$A$830,"レジデンス",未払予定一覧!$B$4:$B$830,"月次予定")</f>
        <v>550429</v>
      </c>
      <c r="D101" s="20">
        <f t="shared" si="6"/>
        <v>-550429</v>
      </c>
      <c r="E101" s="20">
        <f t="shared" si="7"/>
        <v>-8852466</v>
      </c>
      <c r="F101" s="21">
        <f>SUMIFS(未払予定一覧!$O$4:$O$830,未払予定一覧!$N$4:$N$830,A101,未払予定一覧!$A$4:$A$830,"レジデンス",未払予定一覧!$B$4:$B$830,"カード枠回復")</f>
        <v>0</v>
      </c>
      <c r="G101" s="122">
        <f t="shared" si="8"/>
        <v>-8852466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SUMIFS(入金入力!$E$4:$E$580,入金入力!$B$4:$B$580,A102,入金入力!$A$4:$A$580,"レジデンス")+SUMIFS(入金予測!$E$4:$E$603,入金予測!$A$4:$A$603,A102,入金予測!$B$4:$B$603,"レジデンス")</f>
        <v>0</v>
      </c>
      <c r="C102" s="20">
        <f>SUMIFS(未払予定一覧!$O$4:$O$830,未払予定一覧!$N$4:$N$830,A102,未払予定一覧!$A$4:$A$830,"レジデンス",未払予定一覧!$B$4:$B$830,"未払繰越")+SUMIFS(未払予定一覧!$O$4:$O$830,未払予定一覧!$N$4:$N$830,A102,未払予定一覧!$A$4:$A$830,"レジデンス",未払予定一覧!$B$4:$B$830,"月次予定")</f>
        <v>493348</v>
      </c>
      <c r="D102" s="20">
        <f t="shared" si="6"/>
        <v>-493348</v>
      </c>
      <c r="E102" s="20">
        <f t="shared" si="7"/>
        <v>-9345814</v>
      </c>
      <c r="F102" s="21">
        <f>SUMIFS(未払予定一覧!$O$4:$O$830,未払予定一覧!$N$4:$N$830,A102,未払予定一覧!$A$4:$A$830,"レジデンス",未払予定一覧!$B$4:$B$830,"カード枠回復")</f>
        <v>0</v>
      </c>
      <c r="G102" s="122">
        <f t="shared" si="8"/>
        <v>-9345814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SUMIFS(入金入力!$E$4:$E$580,入金入力!$B$4:$B$580,A103,入金入力!$A$4:$A$580,"レジデンス")+SUMIFS(入金予測!$E$4:$E$603,入金予測!$A$4:$A$603,A103,入金予測!$B$4:$B$603,"レジデンス")</f>
        <v>0</v>
      </c>
      <c r="C103" s="20">
        <f>SUMIFS(未払予定一覧!$O$4:$O$830,未払予定一覧!$N$4:$N$830,A103,未払予定一覧!$A$4:$A$830,"レジデンス",未払予定一覧!$B$4:$B$830,"未払繰越")+SUMIFS(未払予定一覧!$O$4:$O$830,未払予定一覧!$N$4:$N$830,A103,未払予定一覧!$A$4:$A$830,"レジデンス",未払予定一覧!$B$4:$B$830,"月次予定")</f>
        <v>0</v>
      </c>
      <c r="D103" s="20">
        <f t="shared" si="6"/>
        <v>0</v>
      </c>
      <c r="E103" s="20">
        <f t="shared" si="7"/>
        <v>-9345814</v>
      </c>
      <c r="F103" s="21">
        <f>SUMIFS(未払予定一覧!$O$4:$O$830,未払予定一覧!$N$4:$N$830,A103,未払予定一覧!$A$4:$A$830,"レジデンス",未払予定一覧!$B$4:$B$830,"カード枠回復")</f>
        <v>0</v>
      </c>
      <c r="G103" s="122">
        <f t="shared" si="8"/>
        <v>-9345814</v>
      </c>
      <c r="H103" s="123"/>
    </row>
    <row r="104" spans="1:8" ht="15" customHeight="1">
      <c r="A104" s="23" t="s">
        <v>695</v>
      </c>
      <c r="B104" s="24">
        <f>SUM(B73:B103)</f>
        <v>0</v>
      </c>
      <c r="C104" s="24">
        <f>SUM(C73:C103)</f>
        <v>6177138</v>
      </c>
      <c r="D104" s="24">
        <f t="shared" si="6"/>
        <v>-6177138</v>
      </c>
      <c r="E104" s="24">
        <f>E103</f>
        <v>-9345814</v>
      </c>
      <c r="F104" s="24">
        <f>SUM(F73:F103)</f>
        <v>0</v>
      </c>
      <c r="G104" s="24">
        <f>G103</f>
        <v>-9345814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SUMIFS(入金入力!$E$4:$E$580,入金入力!$B$4:$B$580,A107,入金入力!$A$4:$A$580,"レジデンス")+SUMIFS(入金予測!$E$4:$E$603,入金予測!$A$4:$A$603,A107,入金予測!$B$4:$B$603,"レジデンス")</f>
        <v>0</v>
      </c>
      <c r="C107" s="20">
        <f>SUMIFS(未払予定一覧!$O$4:$O$830,未払予定一覧!$N$4:$N$830,A107,未払予定一覧!$A$4:$A$830,"レジデンス",未払予定一覧!$B$4:$B$830,"未払繰越")+SUMIFS(未払予定一覧!$O$4:$O$830,未払予定一覧!$N$4:$N$830,A107,未払予定一覧!$A$4:$A$830,"レジデンス",未払予定一覧!$B$4:$B$830,"月次予定")</f>
        <v>0</v>
      </c>
      <c r="D107" s="20">
        <f t="shared" ref="D107:D138" si="9">B107-C107-F107</f>
        <v>0</v>
      </c>
      <c r="E107" s="20">
        <f>E104+D107</f>
        <v>-9345814</v>
      </c>
      <c r="F107" s="21">
        <f>SUMIFS(未払予定一覧!$O$4:$O$830,未払予定一覧!$N$4:$N$830,A107,未払予定一覧!$A$4:$A$830,"レジデンス",未払予定一覧!$B$4:$B$830,"カード枠回復")</f>
        <v>0</v>
      </c>
      <c r="G107" s="122">
        <f>G104+D107+F107</f>
        <v>-9345814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SUMIFS(入金入力!$E$4:$E$580,入金入力!$B$4:$B$580,A108,入金入力!$A$4:$A$580,"レジデンス")+SUMIFS(入金予測!$E$4:$E$603,入金予測!$A$4:$A$603,A108,入金予測!$B$4:$B$603,"レジデンス")</f>
        <v>0</v>
      </c>
      <c r="C108" s="20">
        <f>SUMIFS(未払予定一覧!$O$4:$O$830,未払予定一覧!$N$4:$N$830,A108,未払予定一覧!$A$4:$A$830,"レジデンス",未払予定一覧!$B$4:$B$830,"未払繰越")+SUMIFS(未払予定一覧!$O$4:$O$830,未払予定一覧!$N$4:$N$830,A108,未払予定一覧!$A$4:$A$830,"レジデンス",未払予定一覧!$B$4:$B$830,"月次予定")</f>
        <v>0</v>
      </c>
      <c r="D108" s="20">
        <f t="shared" si="9"/>
        <v>0</v>
      </c>
      <c r="E108" s="20">
        <f t="shared" ref="E108:E137" si="10">E107+D108</f>
        <v>-9345814</v>
      </c>
      <c r="F108" s="21">
        <f>SUMIFS(未払予定一覧!$O$4:$O$830,未払予定一覧!$N$4:$N$830,A108,未払予定一覧!$A$4:$A$830,"レジデンス",未払予定一覧!$B$4:$B$830,"カード枠回復")</f>
        <v>0</v>
      </c>
      <c r="G108" s="122">
        <f t="shared" ref="G108:G137" si="11">G107+D108+F108</f>
        <v>-9345814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SUMIFS(入金入力!$E$4:$E$580,入金入力!$B$4:$B$580,A109,入金入力!$A$4:$A$580,"レジデンス")+SUMIFS(入金予測!$E$4:$E$603,入金予測!$A$4:$A$603,A109,入金予測!$B$4:$B$603,"レジデンス")</f>
        <v>0</v>
      </c>
      <c r="C109" s="20">
        <f>SUMIFS(未払予定一覧!$O$4:$O$830,未払予定一覧!$N$4:$N$830,A109,未払予定一覧!$A$4:$A$830,"レジデンス",未払予定一覧!$B$4:$B$830,"未払繰越")+SUMIFS(未払予定一覧!$O$4:$O$830,未払予定一覧!$N$4:$N$830,A109,未払予定一覧!$A$4:$A$830,"レジデンス",未払予定一覧!$B$4:$B$830,"月次予定")</f>
        <v>0</v>
      </c>
      <c r="D109" s="20">
        <f t="shared" si="9"/>
        <v>0</v>
      </c>
      <c r="E109" s="20">
        <f t="shared" si="10"/>
        <v>-9345814</v>
      </c>
      <c r="F109" s="21">
        <f>SUMIFS(未払予定一覧!$O$4:$O$830,未払予定一覧!$N$4:$N$830,A109,未払予定一覧!$A$4:$A$830,"レジデンス",未払予定一覧!$B$4:$B$830,"カード枠回復")</f>
        <v>0</v>
      </c>
      <c r="G109" s="122">
        <f t="shared" si="11"/>
        <v>-9345814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SUMIFS(入金入力!$E$4:$E$580,入金入力!$B$4:$B$580,A110,入金入力!$A$4:$A$580,"レジデンス")+SUMIFS(入金予測!$E$4:$E$603,入金予測!$A$4:$A$603,A110,入金予測!$B$4:$B$603,"レジデンス")</f>
        <v>0</v>
      </c>
      <c r="C110" s="20">
        <f>SUMIFS(未払予定一覧!$O$4:$O$830,未払予定一覧!$N$4:$N$830,A110,未払予定一覧!$A$4:$A$830,"レジデンス",未払予定一覧!$B$4:$B$830,"未払繰越")+SUMIFS(未払予定一覧!$O$4:$O$830,未払予定一覧!$N$4:$N$830,A110,未払予定一覧!$A$4:$A$830,"レジデンス",未払予定一覧!$B$4:$B$830,"月次予定")</f>
        <v>0</v>
      </c>
      <c r="D110" s="20">
        <f t="shared" si="9"/>
        <v>0</v>
      </c>
      <c r="E110" s="20">
        <f t="shared" si="10"/>
        <v>-9345814</v>
      </c>
      <c r="F110" s="21">
        <f>SUMIFS(未払予定一覧!$O$4:$O$830,未払予定一覧!$N$4:$N$830,A110,未払予定一覧!$A$4:$A$830,"レジデンス",未払予定一覧!$B$4:$B$830,"カード枠回復")</f>
        <v>0</v>
      </c>
      <c r="G110" s="122">
        <f t="shared" si="11"/>
        <v>-9345814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SUMIFS(入金入力!$E$4:$E$580,入金入力!$B$4:$B$580,A111,入金入力!$A$4:$A$580,"レジデンス")+SUMIFS(入金予測!$E$4:$E$603,入金予測!$A$4:$A$603,A111,入金予測!$B$4:$B$603,"レジデンス")</f>
        <v>0</v>
      </c>
      <c r="C111" s="20">
        <f>SUMIFS(未払予定一覧!$O$4:$O$830,未払予定一覧!$N$4:$N$830,A111,未払予定一覧!$A$4:$A$830,"レジデンス",未払予定一覧!$B$4:$B$830,"未払繰越")+SUMIFS(未払予定一覧!$O$4:$O$830,未払予定一覧!$N$4:$N$830,A111,未払予定一覧!$A$4:$A$830,"レジデンス",未払予定一覧!$B$4:$B$830,"月次予定")</f>
        <v>0</v>
      </c>
      <c r="D111" s="20">
        <f t="shared" si="9"/>
        <v>0</v>
      </c>
      <c r="E111" s="20">
        <f t="shared" si="10"/>
        <v>-9345814</v>
      </c>
      <c r="F111" s="21">
        <f>SUMIFS(未払予定一覧!$O$4:$O$830,未払予定一覧!$N$4:$N$830,A111,未払予定一覧!$A$4:$A$830,"レジデンス",未払予定一覧!$B$4:$B$830,"カード枠回復")</f>
        <v>0</v>
      </c>
      <c r="G111" s="122">
        <f t="shared" si="11"/>
        <v>-9345814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SUMIFS(入金入力!$E$4:$E$580,入金入力!$B$4:$B$580,A112,入金入力!$A$4:$A$580,"レジデンス")+SUMIFS(入金予測!$E$4:$E$603,入金予測!$A$4:$A$603,A112,入金予測!$B$4:$B$603,"レジデンス")</f>
        <v>0</v>
      </c>
      <c r="C112" s="20">
        <f>SUMIFS(未払予定一覧!$O$4:$O$830,未払予定一覧!$N$4:$N$830,A112,未払予定一覧!$A$4:$A$830,"レジデンス",未払予定一覧!$B$4:$B$830,"未払繰越")+SUMIFS(未払予定一覧!$O$4:$O$830,未払予定一覧!$N$4:$N$830,A112,未払予定一覧!$A$4:$A$830,"レジデンス",未払予定一覧!$B$4:$B$830,"月次予定")</f>
        <v>0</v>
      </c>
      <c r="D112" s="20">
        <f t="shared" si="9"/>
        <v>0</v>
      </c>
      <c r="E112" s="20">
        <f t="shared" si="10"/>
        <v>-9345814</v>
      </c>
      <c r="F112" s="21">
        <f>SUMIFS(未払予定一覧!$O$4:$O$830,未払予定一覧!$N$4:$N$830,A112,未払予定一覧!$A$4:$A$830,"レジデンス",未払予定一覧!$B$4:$B$830,"カード枠回復")</f>
        <v>0</v>
      </c>
      <c r="G112" s="122">
        <f t="shared" si="11"/>
        <v>-9345814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SUMIFS(入金入力!$E$4:$E$580,入金入力!$B$4:$B$580,A113,入金入力!$A$4:$A$580,"レジデンス")+SUMIFS(入金予測!$E$4:$E$603,入金予測!$A$4:$A$603,A113,入金予測!$B$4:$B$603,"レジデンス")</f>
        <v>0</v>
      </c>
      <c r="C113" s="20">
        <f>SUMIFS(未払予定一覧!$O$4:$O$830,未払予定一覧!$N$4:$N$830,A113,未払予定一覧!$A$4:$A$830,"レジデンス",未払予定一覧!$B$4:$B$830,"未払繰越")+SUMIFS(未払予定一覧!$O$4:$O$830,未払予定一覧!$N$4:$N$830,A113,未払予定一覧!$A$4:$A$830,"レジデンス",未払予定一覧!$B$4:$B$830,"月次予定")</f>
        <v>0</v>
      </c>
      <c r="D113" s="20">
        <f t="shared" si="9"/>
        <v>0</v>
      </c>
      <c r="E113" s="20">
        <f t="shared" si="10"/>
        <v>-9345814</v>
      </c>
      <c r="F113" s="21">
        <f>SUMIFS(未払予定一覧!$O$4:$O$830,未払予定一覧!$N$4:$N$830,A113,未払予定一覧!$A$4:$A$830,"レジデンス",未払予定一覧!$B$4:$B$830,"カード枠回復")</f>
        <v>0</v>
      </c>
      <c r="G113" s="122">
        <f t="shared" si="11"/>
        <v>-9345814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SUMIFS(入金入力!$E$4:$E$580,入金入力!$B$4:$B$580,A114,入金入力!$A$4:$A$580,"レジデンス")+SUMIFS(入金予測!$E$4:$E$603,入金予測!$A$4:$A$603,A114,入金予測!$B$4:$B$603,"レジデンス")</f>
        <v>0</v>
      </c>
      <c r="C114" s="20">
        <f>SUMIFS(未払予定一覧!$O$4:$O$830,未払予定一覧!$N$4:$N$830,A114,未払予定一覧!$A$4:$A$830,"レジデンス",未払予定一覧!$B$4:$B$830,"未払繰越")+SUMIFS(未払予定一覧!$O$4:$O$830,未払予定一覧!$N$4:$N$830,A114,未払予定一覧!$A$4:$A$830,"レジデンス",未払予定一覧!$B$4:$B$830,"月次予定")</f>
        <v>0</v>
      </c>
      <c r="D114" s="20">
        <f t="shared" si="9"/>
        <v>0</v>
      </c>
      <c r="E114" s="20">
        <f t="shared" si="10"/>
        <v>-9345814</v>
      </c>
      <c r="F114" s="21">
        <f>SUMIFS(未払予定一覧!$O$4:$O$830,未払予定一覧!$N$4:$N$830,A114,未払予定一覧!$A$4:$A$830,"レジデンス",未払予定一覧!$B$4:$B$830,"カード枠回復")</f>
        <v>0</v>
      </c>
      <c r="G114" s="122">
        <f t="shared" si="11"/>
        <v>-9345814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SUMIFS(入金入力!$E$4:$E$580,入金入力!$B$4:$B$580,A115,入金入力!$A$4:$A$580,"レジデンス")+SUMIFS(入金予測!$E$4:$E$603,入金予測!$A$4:$A$603,A115,入金予測!$B$4:$B$603,"レジデンス")</f>
        <v>0</v>
      </c>
      <c r="C115" s="20">
        <f>SUMIFS(未払予定一覧!$O$4:$O$830,未払予定一覧!$N$4:$N$830,A115,未払予定一覧!$A$4:$A$830,"レジデンス",未払予定一覧!$B$4:$B$830,"未払繰越")+SUMIFS(未払予定一覧!$O$4:$O$830,未払予定一覧!$N$4:$N$830,A115,未払予定一覧!$A$4:$A$830,"レジデンス",未払予定一覧!$B$4:$B$830,"月次予定")</f>
        <v>3131908</v>
      </c>
      <c r="D115" s="20">
        <f t="shared" si="9"/>
        <v>-3131908</v>
      </c>
      <c r="E115" s="20">
        <f t="shared" si="10"/>
        <v>-12477722</v>
      </c>
      <c r="F115" s="21">
        <f>SUMIFS(未払予定一覧!$O$4:$O$830,未払予定一覧!$N$4:$N$830,A115,未払予定一覧!$A$4:$A$830,"レジデンス",未払予定一覧!$B$4:$B$830,"カード枠回復")</f>
        <v>0</v>
      </c>
      <c r="G115" s="122">
        <f t="shared" si="11"/>
        <v>-12477722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SUMIFS(入金入力!$E$4:$E$580,入金入力!$B$4:$B$580,A116,入金入力!$A$4:$A$580,"レジデンス")+SUMIFS(入金予測!$E$4:$E$603,入金予測!$A$4:$A$603,A116,入金予測!$B$4:$B$603,"レジデンス")</f>
        <v>0</v>
      </c>
      <c r="C116" s="20">
        <f>SUMIFS(未払予定一覧!$O$4:$O$830,未払予定一覧!$N$4:$N$830,A116,未払予定一覧!$A$4:$A$830,"レジデンス",未払予定一覧!$B$4:$B$830,"未払繰越")+SUMIFS(未払予定一覧!$O$4:$O$830,未払予定一覧!$N$4:$N$830,A116,未払予定一覧!$A$4:$A$830,"レジデンス",未払予定一覧!$B$4:$B$830,"月次予定")</f>
        <v>0</v>
      </c>
      <c r="D116" s="20">
        <f t="shared" si="9"/>
        <v>0</v>
      </c>
      <c r="E116" s="20">
        <f t="shared" si="10"/>
        <v>-12477722</v>
      </c>
      <c r="F116" s="21">
        <f>SUMIFS(未払予定一覧!$O$4:$O$830,未払予定一覧!$N$4:$N$830,A116,未払予定一覧!$A$4:$A$830,"レジデンス",未払予定一覧!$B$4:$B$830,"カード枠回復")</f>
        <v>0</v>
      </c>
      <c r="G116" s="122">
        <f t="shared" si="11"/>
        <v>-12477722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SUMIFS(入金入力!$E$4:$E$580,入金入力!$B$4:$B$580,A117,入金入力!$A$4:$A$580,"レジデンス")+SUMIFS(入金予測!$E$4:$E$603,入金予測!$A$4:$A$603,A117,入金予測!$B$4:$B$603,"レジデンス")</f>
        <v>0</v>
      </c>
      <c r="C117" s="20">
        <f>SUMIFS(未払予定一覧!$O$4:$O$830,未払予定一覧!$N$4:$N$830,A117,未払予定一覧!$A$4:$A$830,"レジデンス",未払予定一覧!$B$4:$B$830,"未払繰越")+SUMIFS(未払予定一覧!$O$4:$O$830,未払予定一覧!$N$4:$N$830,A117,未払予定一覧!$A$4:$A$830,"レジデンス",未払予定一覧!$B$4:$B$830,"月次予定")</f>
        <v>0</v>
      </c>
      <c r="D117" s="20">
        <f t="shared" si="9"/>
        <v>0</v>
      </c>
      <c r="E117" s="20">
        <f t="shared" si="10"/>
        <v>-12477722</v>
      </c>
      <c r="F117" s="21">
        <f>SUMIFS(未払予定一覧!$O$4:$O$830,未払予定一覧!$N$4:$N$830,A117,未払予定一覧!$A$4:$A$830,"レジデンス",未払予定一覧!$B$4:$B$830,"カード枠回復")</f>
        <v>0</v>
      </c>
      <c r="G117" s="122">
        <f t="shared" si="11"/>
        <v>-12477722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SUMIFS(入金入力!$E$4:$E$580,入金入力!$B$4:$B$580,A118,入金入力!$A$4:$A$580,"レジデンス")+SUMIFS(入金予測!$E$4:$E$603,入金予測!$A$4:$A$603,A118,入金予測!$B$4:$B$603,"レジデンス")</f>
        <v>0</v>
      </c>
      <c r="C118" s="20">
        <f>SUMIFS(未払予定一覧!$O$4:$O$830,未払予定一覧!$N$4:$N$830,A118,未払予定一覧!$A$4:$A$830,"レジデンス",未払予定一覧!$B$4:$B$830,"未払繰越")+SUMIFS(未払予定一覧!$O$4:$O$830,未払予定一覧!$N$4:$N$830,A118,未払予定一覧!$A$4:$A$830,"レジデンス",未払予定一覧!$B$4:$B$830,"月次予定")</f>
        <v>0</v>
      </c>
      <c r="D118" s="20">
        <f t="shared" si="9"/>
        <v>0</v>
      </c>
      <c r="E118" s="20">
        <f t="shared" si="10"/>
        <v>-12477722</v>
      </c>
      <c r="F118" s="21">
        <f>SUMIFS(未払予定一覧!$O$4:$O$830,未払予定一覧!$N$4:$N$830,A118,未払予定一覧!$A$4:$A$830,"レジデンス",未払予定一覧!$B$4:$B$830,"カード枠回復")</f>
        <v>0</v>
      </c>
      <c r="G118" s="122">
        <f t="shared" si="11"/>
        <v>-12477722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SUMIFS(入金入力!$E$4:$E$580,入金入力!$B$4:$B$580,A119,入金入力!$A$4:$A$580,"レジデンス")+SUMIFS(入金予測!$E$4:$E$603,入金予測!$A$4:$A$603,A119,入金予測!$B$4:$B$603,"レジデンス")</f>
        <v>0</v>
      </c>
      <c r="C119" s="20">
        <f>SUMIFS(未払予定一覧!$O$4:$O$830,未払予定一覧!$N$4:$N$830,A119,未払予定一覧!$A$4:$A$830,"レジデンス",未払予定一覧!$B$4:$B$830,"未払繰越")+SUMIFS(未払予定一覧!$O$4:$O$830,未払予定一覧!$N$4:$N$830,A119,未払予定一覧!$A$4:$A$830,"レジデンス",未払予定一覧!$B$4:$B$830,"月次予定")</f>
        <v>0</v>
      </c>
      <c r="D119" s="20">
        <f t="shared" si="9"/>
        <v>0</v>
      </c>
      <c r="E119" s="20">
        <f t="shared" si="10"/>
        <v>-12477722</v>
      </c>
      <c r="F119" s="21">
        <f>SUMIFS(未払予定一覧!$O$4:$O$830,未払予定一覧!$N$4:$N$830,A119,未払予定一覧!$A$4:$A$830,"レジデンス",未払予定一覧!$B$4:$B$830,"カード枠回復")</f>
        <v>0</v>
      </c>
      <c r="G119" s="122">
        <f t="shared" si="11"/>
        <v>-12477722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SUMIFS(入金入力!$E$4:$E$580,入金入力!$B$4:$B$580,A120,入金入力!$A$4:$A$580,"レジデンス")+SUMIFS(入金予測!$E$4:$E$603,入金予測!$A$4:$A$603,A120,入金予測!$B$4:$B$603,"レジデンス")</f>
        <v>0</v>
      </c>
      <c r="C120" s="20">
        <f>SUMIFS(未払予定一覧!$O$4:$O$830,未払予定一覧!$N$4:$N$830,A120,未払予定一覧!$A$4:$A$830,"レジデンス",未払予定一覧!$B$4:$B$830,"未払繰越")+SUMIFS(未払予定一覧!$O$4:$O$830,未払予定一覧!$N$4:$N$830,A120,未払予定一覧!$A$4:$A$830,"レジデンス",未払予定一覧!$B$4:$B$830,"月次予定")</f>
        <v>0</v>
      </c>
      <c r="D120" s="20">
        <f t="shared" si="9"/>
        <v>0</v>
      </c>
      <c r="E120" s="20">
        <f t="shared" si="10"/>
        <v>-12477722</v>
      </c>
      <c r="F120" s="21">
        <f>SUMIFS(未払予定一覧!$O$4:$O$830,未払予定一覧!$N$4:$N$830,A120,未払予定一覧!$A$4:$A$830,"レジデンス",未払予定一覧!$B$4:$B$830,"カード枠回復")</f>
        <v>0</v>
      </c>
      <c r="G120" s="122">
        <f t="shared" si="11"/>
        <v>-12477722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SUMIFS(入金入力!$E$4:$E$580,入金入力!$B$4:$B$580,A121,入金入力!$A$4:$A$580,"レジデンス")+SUMIFS(入金予測!$E$4:$E$603,入金予測!$A$4:$A$603,A121,入金予測!$B$4:$B$603,"レジデンス")</f>
        <v>0</v>
      </c>
      <c r="C121" s="20">
        <f>SUMIFS(未払予定一覧!$O$4:$O$830,未払予定一覧!$N$4:$N$830,A121,未払予定一覧!$A$4:$A$830,"レジデンス",未払予定一覧!$B$4:$B$830,"未払繰越")+SUMIFS(未払予定一覧!$O$4:$O$830,未払予定一覧!$N$4:$N$830,A121,未払予定一覧!$A$4:$A$830,"レジデンス",未払予定一覧!$B$4:$B$830,"月次予定")</f>
        <v>0</v>
      </c>
      <c r="D121" s="20">
        <f t="shared" si="9"/>
        <v>0</v>
      </c>
      <c r="E121" s="20">
        <f t="shared" si="10"/>
        <v>-12477722</v>
      </c>
      <c r="F121" s="21">
        <f>SUMIFS(未払予定一覧!$O$4:$O$830,未払予定一覧!$N$4:$N$830,A121,未払予定一覧!$A$4:$A$830,"レジデンス",未払予定一覧!$B$4:$B$830,"カード枠回復")</f>
        <v>0</v>
      </c>
      <c r="G121" s="122">
        <f t="shared" si="11"/>
        <v>-12477722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SUMIFS(入金入力!$E$4:$E$580,入金入力!$B$4:$B$580,A122,入金入力!$A$4:$A$580,"レジデンス")+SUMIFS(入金予測!$E$4:$E$603,入金予測!$A$4:$A$603,A122,入金予測!$B$4:$B$603,"レジデンス")</f>
        <v>0</v>
      </c>
      <c r="C122" s="20">
        <f>SUMIFS(未払予定一覧!$O$4:$O$830,未払予定一覧!$N$4:$N$830,A122,未払予定一覧!$A$4:$A$830,"レジデンス",未払予定一覧!$B$4:$B$830,"未払繰越")+SUMIFS(未払予定一覧!$O$4:$O$830,未払予定一覧!$N$4:$N$830,A122,未払予定一覧!$A$4:$A$830,"レジデンス",未払予定一覧!$B$4:$B$830,"月次予定")</f>
        <v>107395</v>
      </c>
      <c r="D122" s="20">
        <f t="shared" si="9"/>
        <v>-107395</v>
      </c>
      <c r="E122" s="20">
        <f t="shared" si="10"/>
        <v>-12585117</v>
      </c>
      <c r="F122" s="21">
        <f>SUMIFS(未払予定一覧!$O$4:$O$830,未払予定一覧!$N$4:$N$830,A122,未払予定一覧!$A$4:$A$830,"レジデンス",未払予定一覧!$B$4:$B$830,"カード枠回復")</f>
        <v>0</v>
      </c>
      <c r="G122" s="122">
        <f t="shared" si="11"/>
        <v>-12585117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SUMIFS(入金入力!$E$4:$E$580,入金入力!$B$4:$B$580,A123,入金入力!$A$4:$A$580,"レジデンス")+SUMIFS(入金予測!$E$4:$E$603,入金予測!$A$4:$A$603,A123,入金予測!$B$4:$B$603,"レジデンス")</f>
        <v>0</v>
      </c>
      <c r="C123" s="20">
        <f>SUMIFS(未払予定一覧!$O$4:$O$830,未払予定一覧!$N$4:$N$830,A123,未払予定一覧!$A$4:$A$830,"レジデンス",未払予定一覧!$B$4:$B$830,"未払繰越")+SUMIFS(未払予定一覧!$O$4:$O$830,未払予定一覧!$N$4:$N$830,A123,未払予定一覧!$A$4:$A$830,"レジデンス",未払予定一覧!$B$4:$B$830,"月次予定")</f>
        <v>0</v>
      </c>
      <c r="D123" s="20">
        <f t="shared" si="9"/>
        <v>0</v>
      </c>
      <c r="E123" s="20">
        <f t="shared" si="10"/>
        <v>-12585117</v>
      </c>
      <c r="F123" s="21">
        <f>SUMIFS(未払予定一覧!$O$4:$O$830,未払予定一覧!$N$4:$N$830,A123,未払予定一覧!$A$4:$A$830,"レジデンス",未払予定一覧!$B$4:$B$830,"カード枠回復")</f>
        <v>0</v>
      </c>
      <c r="G123" s="122">
        <f t="shared" si="11"/>
        <v>-12585117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SUMIFS(入金入力!$E$4:$E$580,入金入力!$B$4:$B$580,A124,入金入力!$A$4:$A$580,"レジデンス")+SUMIFS(入金予測!$E$4:$E$603,入金予測!$A$4:$A$603,A124,入金予測!$B$4:$B$603,"レジデンス")</f>
        <v>0</v>
      </c>
      <c r="C124" s="20">
        <f>SUMIFS(未払予定一覧!$O$4:$O$830,未払予定一覧!$N$4:$N$830,A124,未払予定一覧!$A$4:$A$830,"レジデンス",未払予定一覧!$B$4:$B$830,"未払繰越")+SUMIFS(未払予定一覧!$O$4:$O$830,未払予定一覧!$N$4:$N$830,A124,未払予定一覧!$A$4:$A$830,"レジデンス",未払予定一覧!$B$4:$B$830,"月次予定")</f>
        <v>0</v>
      </c>
      <c r="D124" s="20">
        <f t="shared" si="9"/>
        <v>0</v>
      </c>
      <c r="E124" s="20">
        <f t="shared" si="10"/>
        <v>-12585117</v>
      </c>
      <c r="F124" s="21">
        <f>SUMIFS(未払予定一覧!$O$4:$O$830,未払予定一覧!$N$4:$N$830,A124,未払予定一覧!$A$4:$A$830,"レジデンス",未払予定一覧!$B$4:$B$830,"カード枠回復")</f>
        <v>0</v>
      </c>
      <c r="G124" s="122">
        <f t="shared" si="11"/>
        <v>-12585117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SUMIFS(入金入力!$E$4:$E$580,入金入力!$B$4:$B$580,A125,入金入力!$A$4:$A$580,"レジデンス")+SUMIFS(入金予測!$E$4:$E$603,入金予測!$A$4:$A$603,A125,入金予測!$B$4:$B$603,"レジデンス")</f>
        <v>0</v>
      </c>
      <c r="C125" s="20">
        <f>SUMIFS(未払予定一覧!$O$4:$O$830,未払予定一覧!$N$4:$N$830,A125,未払予定一覧!$A$4:$A$830,"レジデンス",未払予定一覧!$B$4:$B$830,"未払繰越")+SUMIFS(未払予定一覧!$O$4:$O$830,未払予定一覧!$N$4:$N$830,A125,未払予定一覧!$A$4:$A$830,"レジデンス",未払予定一覧!$B$4:$B$830,"月次予定")</f>
        <v>0</v>
      </c>
      <c r="D125" s="20">
        <f t="shared" si="9"/>
        <v>0</v>
      </c>
      <c r="E125" s="20">
        <f t="shared" si="10"/>
        <v>-12585117</v>
      </c>
      <c r="F125" s="21">
        <f>SUMIFS(未払予定一覧!$O$4:$O$830,未払予定一覧!$N$4:$N$830,A125,未払予定一覧!$A$4:$A$830,"レジデンス",未払予定一覧!$B$4:$B$830,"カード枠回復")</f>
        <v>0</v>
      </c>
      <c r="G125" s="122">
        <f t="shared" si="11"/>
        <v>-12585117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SUMIFS(入金入力!$E$4:$E$580,入金入力!$B$4:$B$580,A126,入金入力!$A$4:$A$580,"レジデンス")+SUMIFS(入金予測!$E$4:$E$603,入金予測!$A$4:$A$603,A126,入金予測!$B$4:$B$603,"レジデンス")</f>
        <v>0</v>
      </c>
      <c r="C126" s="20">
        <f>SUMIFS(未払予定一覧!$O$4:$O$830,未払予定一覧!$N$4:$N$830,A126,未払予定一覧!$A$4:$A$830,"レジデンス",未払予定一覧!$B$4:$B$830,"未払繰越")+SUMIFS(未払予定一覧!$O$4:$O$830,未払予定一覧!$N$4:$N$830,A126,未払予定一覧!$A$4:$A$830,"レジデンス",未払予定一覧!$B$4:$B$830,"月次予定")</f>
        <v>523618</v>
      </c>
      <c r="D126" s="20">
        <f t="shared" si="9"/>
        <v>-523618</v>
      </c>
      <c r="E126" s="20">
        <f t="shared" si="10"/>
        <v>-13108735</v>
      </c>
      <c r="F126" s="21">
        <f>SUMIFS(未払予定一覧!$O$4:$O$830,未払予定一覧!$N$4:$N$830,A126,未払予定一覧!$A$4:$A$830,"レジデンス",未払予定一覧!$B$4:$B$830,"カード枠回復")</f>
        <v>0</v>
      </c>
      <c r="G126" s="122">
        <f t="shared" si="11"/>
        <v>-13108735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SUMIFS(入金入力!$E$4:$E$580,入金入力!$B$4:$B$580,A127,入金入力!$A$4:$A$580,"レジデンス")+SUMIFS(入金予測!$E$4:$E$603,入金予測!$A$4:$A$603,A127,入金予測!$B$4:$B$603,"レジデンス")</f>
        <v>0</v>
      </c>
      <c r="C127" s="20">
        <f>SUMIFS(未払予定一覧!$O$4:$O$830,未払予定一覧!$N$4:$N$830,A127,未払予定一覧!$A$4:$A$830,"レジデンス",未払予定一覧!$B$4:$B$830,"未払繰越")+SUMIFS(未払予定一覧!$O$4:$O$830,未払予定一覧!$N$4:$N$830,A127,未払予定一覧!$A$4:$A$830,"レジデンス",未払予定一覧!$B$4:$B$830,"月次予定")</f>
        <v>0</v>
      </c>
      <c r="D127" s="20">
        <f t="shared" si="9"/>
        <v>0</v>
      </c>
      <c r="E127" s="20">
        <f t="shared" si="10"/>
        <v>-13108735</v>
      </c>
      <c r="F127" s="21">
        <f>SUMIFS(未払予定一覧!$O$4:$O$830,未払予定一覧!$N$4:$N$830,A127,未払予定一覧!$A$4:$A$830,"レジデンス",未払予定一覧!$B$4:$B$830,"カード枠回復")</f>
        <v>0</v>
      </c>
      <c r="G127" s="122">
        <f t="shared" si="11"/>
        <v>-13108735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SUMIFS(入金入力!$E$4:$E$580,入金入力!$B$4:$B$580,A128,入金入力!$A$4:$A$580,"レジデンス")+SUMIFS(入金予測!$E$4:$E$603,入金予測!$A$4:$A$603,A128,入金予測!$B$4:$B$603,"レジデンス")</f>
        <v>0</v>
      </c>
      <c r="C128" s="20">
        <f>SUMIFS(未払予定一覧!$O$4:$O$830,未払予定一覧!$N$4:$N$830,A128,未払予定一覧!$A$4:$A$830,"レジデンス",未払予定一覧!$B$4:$B$830,"未払繰越")+SUMIFS(未払予定一覧!$O$4:$O$830,未払予定一覧!$N$4:$N$830,A128,未払予定一覧!$A$4:$A$830,"レジデンス",未払予定一覧!$B$4:$B$830,"月次予定")</f>
        <v>0</v>
      </c>
      <c r="D128" s="20">
        <f t="shared" si="9"/>
        <v>0</v>
      </c>
      <c r="E128" s="20">
        <f t="shared" si="10"/>
        <v>-13108735</v>
      </c>
      <c r="F128" s="21">
        <f>SUMIFS(未払予定一覧!$O$4:$O$830,未払予定一覧!$N$4:$N$830,A128,未払予定一覧!$A$4:$A$830,"レジデンス",未払予定一覧!$B$4:$B$830,"カード枠回復")</f>
        <v>0</v>
      </c>
      <c r="G128" s="122">
        <f t="shared" si="11"/>
        <v>-13108735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SUMIFS(入金入力!$E$4:$E$580,入金入力!$B$4:$B$580,A129,入金入力!$A$4:$A$580,"レジデンス")+SUMIFS(入金予測!$E$4:$E$603,入金予測!$A$4:$A$603,A129,入金予測!$B$4:$B$603,"レジデンス")</f>
        <v>0</v>
      </c>
      <c r="C129" s="20">
        <f>SUMIFS(未払予定一覧!$O$4:$O$830,未払予定一覧!$N$4:$N$830,A129,未払予定一覧!$A$4:$A$830,"レジデンス",未払予定一覧!$B$4:$B$830,"未払繰越")+SUMIFS(未払予定一覧!$O$4:$O$830,未払予定一覧!$N$4:$N$830,A129,未払予定一覧!$A$4:$A$830,"レジデンス",未払予定一覧!$B$4:$B$830,"月次予定")</f>
        <v>0</v>
      </c>
      <c r="D129" s="20">
        <f t="shared" si="9"/>
        <v>0</v>
      </c>
      <c r="E129" s="20">
        <f t="shared" si="10"/>
        <v>-13108735</v>
      </c>
      <c r="F129" s="21">
        <f>SUMIFS(未払予定一覧!$O$4:$O$830,未払予定一覧!$N$4:$N$830,A129,未払予定一覧!$A$4:$A$830,"レジデンス",未払予定一覧!$B$4:$B$830,"カード枠回復")</f>
        <v>0</v>
      </c>
      <c r="G129" s="122">
        <f t="shared" si="11"/>
        <v>-13108735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SUMIFS(入金入力!$E$4:$E$580,入金入力!$B$4:$B$580,A130,入金入力!$A$4:$A$580,"レジデンス")+SUMIFS(入金予測!$E$4:$E$603,入金予測!$A$4:$A$603,A130,入金予測!$B$4:$B$603,"レジデンス")</f>
        <v>0</v>
      </c>
      <c r="C130" s="20">
        <f>SUMIFS(未払予定一覧!$O$4:$O$830,未払予定一覧!$N$4:$N$830,A130,未払予定一覧!$A$4:$A$830,"レジデンス",未払予定一覧!$B$4:$B$830,"未払繰越")+SUMIFS(未払予定一覧!$O$4:$O$830,未払予定一覧!$N$4:$N$830,A130,未払予定一覧!$A$4:$A$830,"レジデンス",未払予定一覧!$B$4:$B$830,"月次予定")</f>
        <v>0</v>
      </c>
      <c r="D130" s="20">
        <f t="shared" si="9"/>
        <v>0</v>
      </c>
      <c r="E130" s="20">
        <f t="shared" si="10"/>
        <v>-13108735</v>
      </c>
      <c r="F130" s="21">
        <f>SUMIFS(未払予定一覧!$O$4:$O$830,未払予定一覧!$N$4:$N$830,A130,未払予定一覧!$A$4:$A$830,"レジデンス",未払予定一覧!$B$4:$B$830,"カード枠回復")</f>
        <v>0</v>
      </c>
      <c r="G130" s="122">
        <f t="shared" si="11"/>
        <v>-13108735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SUMIFS(入金入力!$E$4:$E$580,入金入力!$B$4:$B$580,A131,入金入力!$A$4:$A$580,"レジデンス")+SUMIFS(入金予測!$E$4:$E$603,入金予測!$A$4:$A$603,A131,入金予測!$B$4:$B$603,"レジデンス")</f>
        <v>0</v>
      </c>
      <c r="C131" s="20">
        <f>SUMIFS(未払予定一覧!$O$4:$O$830,未払予定一覧!$N$4:$N$830,A131,未払予定一覧!$A$4:$A$830,"レジデンス",未払予定一覧!$B$4:$B$830,"未払繰越")+SUMIFS(未払予定一覧!$O$4:$O$830,未払予定一覧!$N$4:$N$830,A131,未払予定一覧!$A$4:$A$830,"レジデンス",未払予定一覧!$B$4:$B$830,"月次予定")</f>
        <v>1059878</v>
      </c>
      <c r="D131" s="20">
        <f t="shared" si="9"/>
        <v>-1059878</v>
      </c>
      <c r="E131" s="20">
        <f t="shared" si="10"/>
        <v>-14168613</v>
      </c>
      <c r="F131" s="21">
        <f>SUMIFS(未払予定一覧!$O$4:$O$830,未払予定一覧!$N$4:$N$830,A131,未払予定一覧!$A$4:$A$830,"レジデンス",未払予定一覧!$B$4:$B$830,"カード枠回復")</f>
        <v>0</v>
      </c>
      <c r="G131" s="122">
        <f t="shared" si="11"/>
        <v>-14168613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SUMIFS(入金入力!$E$4:$E$580,入金入力!$B$4:$B$580,A132,入金入力!$A$4:$A$580,"レジデンス")+SUMIFS(入金予測!$E$4:$E$603,入金予測!$A$4:$A$603,A132,入金予測!$B$4:$B$603,"レジデンス")</f>
        <v>0</v>
      </c>
      <c r="C132" s="20">
        <f>SUMIFS(未払予定一覧!$O$4:$O$830,未払予定一覧!$N$4:$N$830,A132,未払予定一覧!$A$4:$A$830,"レジデンス",未払予定一覧!$B$4:$B$830,"未払繰越")+SUMIFS(未払予定一覧!$O$4:$O$830,未払予定一覧!$N$4:$N$830,A132,未払予定一覧!$A$4:$A$830,"レジデンス",未払予定一覧!$B$4:$B$830,"月次予定")</f>
        <v>0</v>
      </c>
      <c r="D132" s="20">
        <f t="shared" si="9"/>
        <v>0</v>
      </c>
      <c r="E132" s="20">
        <f t="shared" si="10"/>
        <v>-14168613</v>
      </c>
      <c r="F132" s="21">
        <f>SUMIFS(未払予定一覧!$O$4:$O$830,未払予定一覧!$N$4:$N$830,A132,未払予定一覧!$A$4:$A$830,"レジデンス",未払予定一覧!$B$4:$B$830,"カード枠回復")</f>
        <v>0</v>
      </c>
      <c r="G132" s="122">
        <f t="shared" si="11"/>
        <v>-14168613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SUMIFS(入金入力!$E$4:$E$580,入金入力!$B$4:$B$580,A133,入金入力!$A$4:$A$580,"レジデンス")+SUMIFS(入金予測!$E$4:$E$603,入金予測!$A$4:$A$603,A133,入金予測!$B$4:$B$603,"レジデンス")</f>
        <v>0</v>
      </c>
      <c r="C133" s="20">
        <f>SUMIFS(未払予定一覧!$O$4:$O$830,未払予定一覧!$N$4:$N$830,A133,未払予定一覧!$A$4:$A$830,"レジデンス",未払予定一覧!$B$4:$B$830,"未払繰越")+SUMIFS(未払予定一覧!$O$4:$O$830,未払予定一覧!$N$4:$N$830,A133,未払予定一覧!$A$4:$A$830,"レジデンス",未払予定一覧!$B$4:$B$830,"月次予定")</f>
        <v>0</v>
      </c>
      <c r="D133" s="20">
        <f t="shared" si="9"/>
        <v>0</v>
      </c>
      <c r="E133" s="20">
        <f t="shared" si="10"/>
        <v>-14168613</v>
      </c>
      <c r="F133" s="21">
        <f>SUMIFS(未払予定一覧!$O$4:$O$830,未払予定一覧!$N$4:$N$830,A133,未払予定一覧!$A$4:$A$830,"レジデンス",未払予定一覧!$B$4:$B$830,"カード枠回復")</f>
        <v>0</v>
      </c>
      <c r="G133" s="122">
        <f t="shared" si="11"/>
        <v>-14168613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SUMIFS(入金入力!$E$4:$E$580,入金入力!$B$4:$B$580,A134,入金入力!$A$4:$A$580,"レジデンス")+SUMIFS(入金予測!$E$4:$E$603,入金予測!$A$4:$A$603,A134,入金予測!$B$4:$B$603,"レジデンス")</f>
        <v>0</v>
      </c>
      <c r="C134" s="20">
        <f>SUMIFS(未払予定一覧!$O$4:$O$830,未払予定一覧!$N$4:$N$830,A134,未払予定一覧!$A$4:$A$830,"レジデンス",未払予定一覧!$B$4:$B$830,"未払繰越")+SUMIFS(未払予定一覧!$O$4:$O$830,未払予定一覧!$N$4:$N$830,A134,未払予定一覧!$A$4:$A$830,"レジデンス",未払予定一覧!$B$4:$B$830,"月次予定")</f>
        <v>310562</v>
      </c>
      <c r="D134" s="20">
        <f t="shared" si="9"/>
        <v>-310562</v>
      </c>
      <c r="E134" s="20">
        <f t="shared" si="10"/>
        <v>-14479175</v>
      </c>
      <c r="F134" s="21">
        <f>SUMIFS(未払予定一覧!$O$4:$O$830,未払予定一覧!$N$4:$N$830,A134,未払予定一覧!$A$4:$A$830,"レジデンス",未払予定一覧!$B$4:$B$830,"カード枠回復")</f>
        <v>0</v>
      </c>
      <c r="G134" s="122">
        <f t="shared" si="11"/>
        <v>-14479175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SUMIFS(入金入力!$E$4:$E$580,入金入力!$B$4:$B$580,A135,入金入力!$A$4:$A$580,"レジデンス")+SUMIFS(入金予測!$E$4:$E$603,入金予測!$A$4:$A$603,A135,入金予測!$B$4:$B$603,"レジデンス")</f>
        <v>0</v>
      </c>
      <c r="C135" s="20">
        <f>SUMIFS(未払予定一覧!$O$4:$O$830,未払予定一覧!$N$4:$N$830,A135,未払予定一覧!$A$4:$A$830,"レジデンス",未払予定一覧!$B$4:$B$830,"未払繰越")+SUMIFS(未払予定一覧!$O$4:$O$830,未払予定一覧!$N$4:$N$830,A135,未払予定一覧!$A$4:$A$830,"レジデンス",未払予定一覧!$B$4:$B$830,"月次予定")</f>
        <v>550429</v>
      </c>
      <c r="D135" s="20">
        <f t="shared" si="9"/>
        <v>-550429</v>
      </c>
      <c r="E135" s="20">
        <f t="shared" si="10"/>
        <v>-15029604</v>
      </c>
      <c r="F135" s="21">
        <f>SUMIFS(未払予定一覧!$O$4:$O$830,未払予定一覧!$N$4:$N$830,A135,未払予定一覧!$A$4:$A$830,"レジデンス",未払予定一覧!$B$4:$B$830,"カード枠回復")</f>
        <v>0</v>
      </c>
      <c r="G135" s="122">
        <f t="shared" si="11"/>
        <v>-15029604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SUMIFS(入金入力!$E$4:$E$580,入金入力!$B$4:$B$580,A136,入金入力!$A$4:$A$580,"レジデンス")+SUMIFS(入金予測!$E$4:$E$603,入金予測!$A$4:$A$603,A136,入金予測!$B$4:$B$603,"レジデンス")</f>
        <v>0</v>
      </c>
      <c r="C136" s="20">
        <f>SUMIFS(未払予定一覧!$O$4:$O$830,未払予定一覧!$N$4:$N$830,A136,未払予定一覧!$A$4:$A$830,"レジデンス",未払予定一覧!$B$4:$B$830,"未払繰越")+SUMIFS(未払予定一覧!$O$4:$O$830,未払予定一覧!$N$4:$N$830,A136,未払予定一覧!$A$4:$A$830,"レジデンス",未払予定一覧!$B$4:$B$830,"月次予定")</f>
        <v>493348</v>
      </c>
      <c r="D136" s="20">
        <f t="shared" si="9"/>
        <v>-493348</v>
      </c>
      <c r="E136" s="20">
        <f t="shared" si="10"/>
        <v>-15522952</v>
      </c>
      <c r="F136" s="21">
        <f>SUMIFS(未払予定一覧!$O$4:$O$830,未払予定一覧!$N$4:$N$830,A136,未払予定一覧!$A$4:$A$830,"レジデンス",未払予定一覧!$B$4:$B$830,"カード枠回復")</f>
        <v>0</v>
      </c>
      <c r="G136" s="122">
        <f t="shared" si="11"/>
        <v>-15522952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SUMIFS(入金入力!$E$4:$E$580,入金入力!$B$4:$B$580,A137,入金入力!$A$4:$A$580,"レジデンス")+SUMIFS(入金予測!$E$4:$E$603,入金予測!$A$4:$A$603,A137,入金予測!$B$4:$B$603,"レジデンス")</f>
        <v>0</v>
      </c>
      <c r="C137" s="20">
        <f>SUMIFS(未払予定一覧!$O$4:$O$830,未払予定一覧!$N$4:$N$830,A137,未払予定一覧!$A$4:$A$830,"レジデンス",未払予定一覧!$B$4:$B$830,"未払繰越")+SUMIFS(未払予定一覧!$O$4:$O$830,未払予定一覧!$N$4:$N$830,A137,未払予定一覧!$A$4:$A$830,"レジデンス",未払予定一覧!$B$4:$B$830,"月次予定")</f>
        <v>0</v>
      </c>
      <c r="D137" s="20">
        <f t="shared" si="9"/>
        <v>0</v>
      </c>
      <c r="E137" s="20">
        <f t="shared" si="10"/>
        <v>-15522952</v>
      </c>
      <c r="F137" s="21">
        <f>SUMIFS(未払予定一覧!$O$4:$O$830,未払予定一覧!$N$4:$N$830,A137,未払予定一覧!$A$4:$A$830,"レジデンス",未払予定一覧!$B$4:$B$830,"カード枠回復")</f>
        <v>0</v>
      </c>
      <c r="G137" s="122">
        <f t="shared" si="11"/>
        <v>-15522952</v>
      </c>
      <c r="H137" s="123"/>
    </row>
    <row r="138" spans="1:8" ht="15" customHeight="1">
      <c r="A138" s="23" t="s">
        <v>697</v>
      </c>
      <c r="B138" s="24">
        <f>SUM(B107:B137)</f>
        <v>0</v>
      </c>
      <c r="C138" s="24">
        <f>SUM(C107:C137)</f>
        <v>6177138</v>
      </c>
      <c r="D138" s="24">
        <f t="shared" si="9"/>
        <v>-6177138</v>
      </c>
      <c r="E138" s="24">
        <f>E137</f>
        <v>-15522952</v>
      </c>
      <c r="F138" s="24">
        <f>SUM(F107:F137)</f>
        <v>0</v>
      </c>
      <c r="G138" s="24">
        <f>G137</f>
        <v>-15522952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8"/>
  <sheetViews>
    <sheetView zoomScaleNormal="100" workbookViewId="0">
      <pane ySplit="3" topLeftCell="A4" activePane="bottomLeft" state="frozen"/>
      <selection pane="bottomLeft" activeCell="C33" sqref="C33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47" t="s">
        <v>698</v>
      </c>
      <c r="B1" s="147"/>
      <c r="C1" s="147"/>
      <c r="D1" s="147"/>
      <c r="E1" s="147"/>
      <c r="F1" s="147"/>
      <c r="G1" s="147"/>
      <c r="H1" s="147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SUMIFS(入金入力!$E$4:$E$580,入金入力!$B$4:$B$580,A5,入金入力!$A$4:$A$580,"リゾート")+SUMIFS(入金予測!$E$4:$E$603,入金予測!$A$4:$A$603,A5,入金予測!$B$4:$B$603,"リゾート")</f>
        <v>3210163</v>
      </c>
      <c r="C5" s="20">
        <f>SUMIFS(未払予定一覧!$O$4:$O$830,未払予定一覧!$N$4:$N$830,A5,未払予定一覧!$A$4:$A$830,"リゾート",未払予定一覧!$B$4:$B$830,"未払繰越")+SUMIFS(未払予定一覧!$O$4:$O$830,未払予定一覧!$N$4:$N$830,A5,未払予定一覧!$A$4:$A$830,"リゾート",未払予定一覧!$B$4:$B$830,"月次予定")</f>
        <v>0</v>
      </c>
      <c r="D5" s="20">
        <f t="shared" ref="D5:D37" si="0">B5-C5-F5</f>
        <v>3210163</v>
      </c>
      <c r="E5" s="20">
        <f>D5</f>
        <v>3210163</v>
      </c>
      <c r="F5" s="21">
        <f>SUMIFS(未払予定一覧!$O$4:$O$830,未払予定一覧!$N$4:$N$830,A5,未払予定一覧!$A$4:$A$830,"リゾート",未払予定一覧!$B$4:$B$830,"カード枠回復")</f>
        <v>0</v>
      </c>
      <c r="G5" s="122">
        <f>D5+F5</f>
        <v>3210163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SUMIFS(入金入力!$E$4:$E$580,入金入力!$B$4:$B$580,A6,入金入力!$A$4:$A$580,"リゾート")+SUMIFS(入金予測!$E$4:$E$603,入金予測!$A$4:$A$603,A6,入金予測!$B$4:$B$603,"リゾート")</f>
        <v>0</v>
      </c>
      <c r="C6" s="20">
        <f>SUMIFS(未払予定一覧!$O$4:$O$830,未払予定一覧!$N$4:$N$830,A6,未払予定一覧!$A$4:$A$830,"リゾート",未払予定一覧!$B$4:$B$830,"未払繰越")+SUMIFS(未払予定一覧!$O$4:$O$830,未払予定一覧!$N$4:$N$830,A6,未払予定一覧!$A$4:$A$830,"リゾート",未払予定一覧!$B$4:$B$830,"月次予定")</f>
        <v>0</v>
      </c>
      <c r="D6" s="20">
        <f t="shared" si="0"/>
        <v>0</v>
      </c>
      <c r="E6" s="20">
        <f t="shared" ref="E6:E36" si="1">E5+D6</f>
        <v>3210163</v>
      </c>
      <c r="F6" s="21">
        <f>SUMIFS(未払予定一覧!$O$4:$O$830,未払予定一覧!$N$4:$N$830,A6,未払予定一覧!$A$4:$A$830,"リゾート",未払予定一覧!$B$4:$B$830,"カード枠回復")</f>
        <v>0</v>
      </c>
      <c r="G6" s="122">
        <f t="shared" ref="G6:G36" si="2">G5+D6+F6</f>
        <v>3210163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SUMIFS(入金入力!$E$4:$E$580,入金入力!$B$4:$B$580,A7,入金入力!$A$4:$A$580,"リゾート")+SUMIFS(入金予測!$E$4:$E$603,入金予測!$A$4:$A$603,A7,入金予測!$B$4:$B$603,"リゾート")</f>
        <v>0</v>
      </c>
      <c r="C7" s="20">
        <f>SUMIFS(未払予定一覧!$O$4:$O$830,未払予定一覧!$N$4:$N$830,A7,未払予定一覧!$A$4:$A$830,"リゾート",未払予定一覧!$B$4:$B$830,"未払繰越")+SUMIFS(未払予定一覧!$O$4:$O$830,未払予定一覧!$N$4:$N$830,A7,未払予定一覧!$A$4:$A$830,"リゾート",未払予定一覧!$B$4:$B$830,"月次予定")</f>
        <v>0</v>
      </c>
      <c r="D7" s="20">
        <f t="shared" si="0"/>
        <v>0</v>
      </c>
      <c r="E7" s="20">
        <f t="shared" si="1"/>
        <v>3210163</v>
      </c>
      <c r="F7" s="21">
        <f>SUMIFS(未払予定一覧!$O$4:$O$830,未払予定一覧!$N$4:$N$830,A7,未払予定一覧!$A$4:$A$830,"リゾート",未払予定一覧!$B$4:$B$830,"カード枠回復")</f>
        <v>0</v>
      </c>
      <c r="G7" s="122">
        <f t="shared" si="2"/>
        <v>3210163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SUMIFS(入金入力!$E$4:$E$580,入金入力!$B$4:$B$580,A8,入金入力!$A$4:$A$580,"リゾート")+SUMIFS(入金予測!$E$4:$E$603,入金予測!$A$4:$A$603,A8,入金予測!$B$4:$B$603,"リゾート")</f>
        <v>0</v>
      </c>
      <c r="C8" s="20">
        <f>SUMIFS(未払予定一覧!$O$4:$O$830,未払予定一覧!$N$4:$N$830,A8,未払予定一覧!$A$4:$A$830,"リゾート",未払予定一覧!$B$4:$B$830,"未払繰越")+SUMIFS(未払予定一覧!$O$4:$O$830,未払予定一覧!$N$4:$N$830,A8,未払予定一覧!$A$4:$A$830,"リゾート",未払予定一覧!$B$4:$B$830,"月次予定")</f>
        <v>800000</v>
      </c>
      <c r="D8" s="20">
        <f t="shared" si="0"/>
        <v>-800000</v>
      </c>
      <c r="E8" s="20">
        <f t="shared" si="1"/>
        <v>2410163</v>
      </c>
      <c r="F8" s="21">
        <f>SUMIFS(未払予定一覧!$O$4:$O$830,未払予定一覧!$N$4:$N$830,A8,未払予定一覧!$A$4:$A$830,"リゾート",未払予定一覧!$B$4:$B$830,"カード枠回復")</f>
        <v>0</v>
      </c>
      <c r="G8" s="122">
        <f t="shared" si="2"/>
        <v>2410163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SUMIFS(入金入力!$E$4:$E$580,入金入力!$B$4:$B$580,A9,入金入力!$A$4:$A$580,"リゾート")+SUMIFS(入金予測!$E$4:$E$603,入金予測!$A$4:$A$603,A9,入金予測!$B$4:$B$603,"リゾート")</f>
        <v>0</v>
      </c>
      <c r="C9" s="20">
        <f>SUMIFS(未払予定一覧!$O$4:$O$830,未払予定一覧!$N$4:$N$830,A9,未払予定一覧!$A$4:$A$830,"リゾート",未払予定一覧!$B$4:$B$830,"未払繰越")+SUMIFS(未払予定一覧!$O$4:$O$830,未払予定一覧!$N$4:$N$830,A9,未払予定一覧!$A$4:$A$830,"リゾート",未払予定一覧!$B$4:$B$830,"月次予定")</f>
        <v>182265</v>
      </c>
      <c r="D9" s="20">
        <f t="shared" si="0"/>
        <v>-182265</v>
      </c>
      <c r="E9" s="20">
        <f t="shared" si="1"/>
        <v>2227898</v>
      </c>
      <c r="F9" s="21">
        <f>SUMIFS(未払予定一覧!$O$4:$O$830,未払予定一覧!$N$4:$N$830,A9,未払予定一覧!$A$4:$A$830,"リゾート",未払予定一覧!$B$4:$B$830,"カード枠回復")</f>
        <v>0</v>
      </c>
      <c r="G9" s="122">
        <f t="shared" si="2"/>
        <v>2227898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SUMIFS(入金入力!$E$4:$E$580,入金入力!$B$4:$B$580,A10,入金入力!$A$4:$A$580,"リゾート")+SUMIFS(入金予測!$E$4:$E$603,入金予測!$A$4:$A$603,A10,入金予測!$B$4:$B$603,"リゾート")</f>
        <v>0</v>
      </c>
      <c r="C10" s="20">
        <f>SUMIFS(未払予定一覧!$O$4:$O$830,未払予定一覧!$N$4:$N$830,A10,未払予定一覧!$A$4:$A$830,"リゾート",未払予定一覧!$B$4:$B$830,"未払繰越")+SUMIFS(未払予定一覧!$O$4:$O$830,未払予定一覧!$N$4:$N$830,A10,未払予定一覧!$A$4:$A$830,"リゾート",未払予定一覧!$B$4:$B$830,"月次予定")</f>
        <v>0</v>
      </c>
      <c r="D10" s="20">
        <f t="shared" si="0"/>
        <v>0</v>
      </c>
      <c r="E10" s="20">
        <f t="shared" si="1"/>
        <v>2227898</v>
      </c>
      <c r="F10" s="21">
        <f>SUMIFS(未払予定一覧!$O$4:$O$830,未払予定一覧!$N$4:$N$830,A10,未払予定一覧!$A$4:$A$830,"リゾート",未払予定一覧!$B$4:$B$830,"カード枠回復")</f>
        <v>0</v>
      </c>
      <c r="G10" s="122">
        <f t="shared" si="2"/>
        <v>2227898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SUMIFS(入金入力!$E$4:$E$580,入金入力!$B$4:$B$580,A11,入金入力!$A$4:$A$580,"リゾート")+SUMIFS(入金予測!$E$4:$E$603,入金予測!$A$4:$A$603,A11,入金予測!$B$4:$B$603,"リゾート")</f>
        <v>0</v>
      </c>
      <c r="C11" s="20">
        <f>SUMIFS(未払予定一覧!$O$4:$O$830,未払予定一覧!$N$4:$N$830,A11,未払予定一覧!$A$4:$A$830,"リゾート",未払予定一覧!$B$4:$B$830,"未払繰越")+SUMIFS(未払予定一覧!$O$4:$O$830,未払予定一覧!$N$4:$N$830,A11,未払予定一覧!$A$4:$A$830,"リゾート",未払予定一覧!$B$4:$B$830,"月次予定")</f>
        <v>380771</v>
      </c>
      <c r="D11" s="20">
        <f t="shared" si="0"/>
        <v>-380771</v>
      </c>
      <c r="E11" s="20">
        <f t="shared" si="1"/>
        <v>1847127</v>
      </c>
      <c r="F11" s="21">
        <f>SUMIFS(未払予定一覧!$O$4:$O$830,未払予定一覧!$N$4:$N$830,A11,未払予定一覧!$A$4:$A$830,"リゾート",未払予定一覧!$B$4:$B$830,"カード枠回復")</f>
        <v>0</v>
      </c>
      <c r="G11" s="122">
        <f t="shared" si="2"/>
        <v>1847127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SUMIFS(入金入力!$E$4:$E$580,入金入力!$B$4:$B$580,A12,入金入力!$A$4:$A$580,"リゾート")+SUMIFS(入金予測!$E$4:$E$603,入金予測!$A$4:$A$603,A12,入金予測!$B$4:$B$603,"リゾート")</f>
        <v>1370155</v>
      </c>
      <c r="C12" s="20">
        <f>SUMIFS(未払予定一覧!$O$4:$O$830,未払予定一覧!$N$4:$N$830,A12,未払予定一覧!$A$4:$A$830,"リゾート",未払予定一覧!$B$4:$B$830,"未払繰越")+SUMIFS(未払予定一覧!$O$4:$O$830,未払予定一覧!$N$4:$N$830,A12,未払予定一覧!$A$4:$A$830,"リゾート",未払予定一覧!$B$4:$B$830,"月次予定")</f>
        <v>1476189</v>
      </c>
      <c r="D12" s="20">
        <f t="shared" si="0"/>
        <v>-4406034</v>
      </c>
      <c r="E12" s="20">
        <f t="shared" si="1"/>
        <v>-2558907</v>
      </c>
      <c r="F12" s="21">
        <f>SUMIFS(未払予定一覧!$O$4:$O$830,未払予定一覧!$N$4:$N$830,A12,未払予定一覧!$A$4:$A$830,"リゾート",未払予定一覧!$B$4:$B$830,"カード枠回復")</f>
        <v>4300000</v>
      </c>
      <c r="G12" s="122">
        <f t="shared" si="2"/>
        <v>1741093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SUMIFS(入金入力!$E$4:$E$580,入金入力!$B$4:$B$580,A13,入金入力!$A$4:$A$580,"リゾート")+SUMIFS(入金予測!$E$4:$E$603,入金予測!$A$4:$A$603,A13,入金予測!$B$4:$B$603,"リゾート")</f>
        <v>0</v>
      </c>
      <c r="C13" s="20">
        <f>SUMIFS(未払予定一覧!$O$4:$O$830,未払予定一覧!$N$4:$N$830,A13,未払予定一覧!$A$4:$A$830,"リゾート",未払予定一覧!$B$4:$B$830,"未払繰越")+SUMIFS(未払予定一覧!$O$4:$O$830,未払予定一覧!$N$4:$N$830,A13,未払予定一覧!$A$4:$A$830,"リゾート",未払予定一覧!$B$4:$B$830,"月次予定")</f>
        <v>22550</v>
      </c>
      <c r="D13" s="20">
        <f t="shared" si="0"/>
        <v>-22550</v>
      </c>
      <c r="E13" s="20">
        <f t="shared" si="1"/>
        <v>-2581457</v>
      </c>
      <c r="F13" s="21">
        <f>SUMIFS(未払予定一覧!$O$4:$O$830,未払予定一覧!$N$4:$N$830,A13,未払予定一覧!$A$4:$A$830,"リゾート",未払予定一覧!$B$4:$B$830,"カード枠回復")</f>
        <v>0</v>
      </c>
      <c r="G13" s="122">
        <f t="shared" si="2"/>
        <v>1718543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SUMIFS(入金入力!$E$4:$E$580,入金入力!$B$4:$B$580,A14,入金入力!$A$4:$A$580,"リゾート")+SUMIFS(入金予測!$E$4:$E$603,入金予測!$A$4:$A$603,A14,入金予測!$B$4:$B$603,"リゾート")</f>
        <v>0</v>
      </c>
      <c r="C14" s="20">
        <f>SUMIFS(未払予定一覧!$O$4:$O$830,未払予定一覧!$N$4:$N$830,A14,未払予定一覧!$A$4:$A$830,"リゾート",未払予定一覧!$B$4:$B$830,"未払繰越")+SUMIFS(未払予定一覧!$O$4:$O$830,未払予定一覧!$N$4:$N$830,A14,未払予定一覧!$A$4:$A$830,"リゾート",未払予定一覧!$B$4:$B$830,"月次予定")</f>
        <v>880</v>
      </c>
      <c r="D14" s="20">
        <f t="shared" si="0"/>
        <v>-880</v>
      </c>
      <c r="E14" s="20">
        <f t="shared" si="1"/>
        <v>-2582337</v>
      </c>
      <c r="F14" s="21">
        <f>SUMIFS(未払予定一覧!$O$4:$O$830,未払予定一覧!$N$4:$N$830,A14,未払予定一覧!$A$4:$A$830,"リゾート",未払予定一覧!$B$4:$B$830,"カード枠回復")</f>
        <v>0</v>
      </c>
      <c r="G14" s="122">
        <f t="shared" si="2"/>
        <v>1717663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SUMIFS(入金入力!$E$4:$E$580,入金入力!$B$4:$B$580,A15,入金入力!$A$4:$A$580,"リゾート")+SUMIFS(入金予測!$E$4:$E$603,入金予測!$A$4:$A$603,A15,入金予測!$B$4:$B$603,"リゾート")</f>
        <v>0</v>
      </c>
      <c r="C15" s="20">
        <f>SUMIFS(未払予定一覧!$O$4:$O$830,未払予定一覧!$N$4:$N$830,A15,未払予定一覧!$A$4:$A$830,"リゾート",未払予定一覧!$B$4:$B$830,"未払繰越")+SUMIFS(未払予定一覧!$O$4:$O$830,未払予定一覧!$N$4:$N$830,A15,未払予定一覧!$A$4:$A$830,"リゾート",未払予定一覧!$B$4:$B$830,"月次予定")</f>
        <v>29077</v>
      </c>
      <c r="D15" s="20">
        <f t="shared" si="0"/>
        <v>-29077</v>
      </c>
      <c r="E15" s="20">
        <f t="shared" si="1"/>
        <v>-2611414</v>
      </c>
      <c r="F15" s="21">
        <f>SUMIFS(未払予定一覧!$O$4:$O$830,未払予定一覧!$N$4:$N$830,A15,未払予定一覧!$A$4:$A$830,"リゾート",未払予定一覧!$B$4:$B$830,"カード枠回復")</f>
        <v>0</v>
      </c>
      <c r="G15" s="122">
        <f t="shared" si="2"/>
        <v>1688586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SUMIFS(入金入力!$E$4:$E$580,入金入力!$B$4:$B$580,A16,入金入力!$A$4:$A$580,"リゾート")+SUMIFS(入金予測!$E$4:$E$603,入金予測!$A$4:$A$603,A16,入金予測!$B$4:$B$603,"リゾート")</f>
        <v>2813543</v>
      </c>
      <c r="C16" s="20">
        <f>SUMIFS(未払予定一覧!$O$4:$O$830,未払予定一覧!$N$4:$N$830,A16,未払予定一覧!$A$4:$A$830,"リゾート",未払予定一覧!$B$4:$B$830,"未払繰越")+SUMIFS(未払予定一覧!$O$4:$O$830,未払予定一覧!$N$4:$N$830,A16,未払予定一覧!$A$4:$A$830,"リゾート",未払予定一覧!$B$4:$B$830,"月次予定")</f>
        <v>3907700</v>
      </c>
      <c r="D16" s="20">
        <f t="shared" si="0"/>
        <v>-2064157</v>
      </c>
      <c r="E16" s="20">
        <f t="shared" si="1"/>
        <v>-4675571</v>
      </c>
      <c r="F16" s="21">
        <f>SUMIFS(未払予定一覧!$O$4:$O$830,未払予定一覧!$N$4:$N$830,A16,未払予定一覧!$A$4:$A$830,"リゾート",未払予定一覧!$B$4:$B$830,"カード枠回復")</f>
        <v>970000</v>
      </c>
      <c r="G16" s="122">
        <f t="shared" si="2"/>
        <v>594429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SUMIFS(入金入力!$E$4:$E$580,入金入力!$B$4:$B$580,A17,入金入力!$A$4:$A$580,"リゾート")+SUMIFS(入金予測!$E$4:$E$603,入金予測!$A$4:$A$603,A17,入金予測!$B$4:$B$603,"リゾート")</f>
        <v>0</v>
      </c>
      <c r="C17" s="20">
        <f>SUMIFS(未払予定一覧!$O$4:$O$830,未払予定一覧!$N$4:$N$830,A17,未払予定一覧!$A$4:$A$830,"リゾート",未払予定一覧!$B$4:$B$830,"未払繰越")+SUMIFS(未払予定一覧!$O$4:$O$830,未払予定一覧!$N$4:$N$830,A17,未払予定一覧!$A$4:$A$830,"リゾート",未払予定一覧!$B$4:$B$830,"月次予定")</f>
        <v>0</v>
      </c>
      <c r="D17" s="20">
        <f t="shared" si="0"/>
        <v>0</v>
      </c>
      <c r="E17" s="20">
        <f t="shared" si="1"/>
        <v>-4675571</v>
      </c>
      <c r="F17" s="21">
        <f>SUMIFS(未払予定一覧!$O$4:$O$830,未払予定一覧!$N$4:$N$830,A17,未払予定一覧!$A$4:$A$830,"リゾート",未払予定一覧!$B$4:$B$830,"カード枠回復")</f>
        <v>0</v>
      </c>
      <c r="G17" s="122">
        <f t="shared" si="2"/>
        <v>594429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SUMIFS(入金入力!$E$4:$E$580,入金入力!$B$4:$B$580,A18,入金入力!$A$4:$A$580,"リゾート")+SUMIFS(入金予測!$E$4:$E$603,入金予測!$A$4:$A$603,A18,入金予測!$B$4:$B$603,"リゾート")</f>
        <v>0</v>
      </c>
      <c r="C18" s="20">
        <f>SUMIFS(未払予定一覧!$O$4:$O$830,未払予定一覧!$N$4:$N$830,A18,未払予定一覧!$A$4:$A$830,"リゾート",未払予定一覧!$B$4:$B$830,"未払繰越")+SUMIFS(未払予定一覧!$O$4:$O$830,未払予定一覧!$N$4:$N$830,A18,未払予定一覧!$A$4:$A$830,"リゾート",未払予定一覧!$B$4:$B$830,"月次予定")</f>
        <v>114777</v>
      </c>
      <c r="D18" s="20">
        <f t="shared" si="0"/>
        <v>-114777</v>
      </c>
      <c r="E18" s="20">
        <f t="shared" si="1"/>
        <v>-4790348</v>
      </c>
      <c r="F18" s="21">
        <f>SUMIFS(未払予定一覧!$O$4:$O$830,未払予定一覧!$N$4:$N$830,A18,未払予定一覧!$A$4:$A$830,"リゾート",未払予定一覧!$B$4:$B$830,"カード枠回復")</f>
        <v>0</v>
      </c>
      <c r="G18" s="122">
        <f t="shared" si="2"/>
        <v>479652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SUMIFS(入金入力!$E$4:$E$580,入金入力!$B$4:$B$580,A19,入金入力!$A$4:$A$580,"リゾート")+SUMIFS(入金予測!$E$4:$E$603,入金予測!$A$4:$A$603,A19,入金予測!$B$4:$B$603,"リゾート")</f>
        <v>0</v>
      </c>
      <c r="C19" s="20">
        <f>SUMIFS(未払予定一覧!$O$4:$O$830,未払予定一覧!$N$4:$N$830,A19,未払予定一覧!$A$4:$A$830,"リゾート",未払予定一覧!$B$4:$B$830,"未払繰越")+SUMIFS(未払予定一覧!$O$4:$O$830,未払予定一覧!$N$4:$N$830,A19,未払予定一覧!$A$4:$A$830,"リゾート",未払予定一覧!$B$4:$B$830,"月次予定")</f>
        <v>0</v>
      </c>
      <c r="D19" s="20">
        <f t="shared" si="0"/>
        <v>0</v>
      </c>
      <c r="E19" s="20">
        <f t="shared" si="1"/>
        <v>-4790348</v>
      </c>
      <c r="F19" s="21">
        <f>SUMIFS(未払予定一覧!$O$4:$O$830,未払予定一覧!$N$4:$N$830,A19,未払予定一覧!$A$4:$A$830,"リゾート",未払予定一覧!$B$4:$B$830,"カード枠回復")</f>
        <v>0</v>
      </c>
      <c r="G19" s="122">
        <f t="shared" si="2"/>
        <v>479652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SUMIFS(入金入力!$E$4:$E$580,入金入力!$B$4:$B$580,A20,入金入力!$A$4:$A$580,"リゾート")+SUMIFS(入金予測!$E$4:$E$603,入金予測!$A$4:$A$603,A20,入金予測!$B$4:$B$603,"リゾート")</f>
        <v>3804366</v>
      </c>
      <c r="C20" s="20">
        <f>SUMIFS(未払予定一覧!$O$4:$O$830,未払予定一覧!$N$4:$N$830,A20,未払予定一覧!$A$4:$A$830,"リゾート",未払予定一覧!$B$4:$B$830,"未払繰越")+SUMIFS(未払予定一覧!$O$4:$O$830,未払予定一覧!$N$4:$N$830,A20,未払予定一覧!$A$4:$A$830,"リゾート",未払予定一覧!$B$4:$B$830,"月次予定")</f>
        <v>4384337</v>
      </c>
      <c r="D20" s="20">
        <f t="shared" si="0"/>
        <v>-579971</v>
      </c>
      <c r="E20" s="20">
        <f t="shared" si="1"/>
        <v>-5370319</v>
      </c>
      <c r="F20" s="21">
        <f>SUMIFS(未払予定一覧!$O$4:$O$830,未払予定一覧!$N$4:$N$830,A20,未払予定一覧!$A$4:$A$830,"リゾート",未払予定一覧!$B$4:$B$830,"カード枠回復")</f>
        <v>0</v>
      </c>
      <c r="G20" s="122">
        <f t="shared" si="2"/>
        <v>-100319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SUMIFS(入金入力!$E$4:$E$580,入金入力!$B$4:$B$580,A21,入金入力!$A$4:$A$580,"リゾート")+SUMIFS(入金予測!$E$4:$E$603,入金予測!$A$4:$A$603,A21,入金予測!$B$4:$B$603,"リゾート")</f>
        <v>0</v>
      </c>
      <c r="C21" s="20">
        <f>SUMIFS(未払予定一覧!$O$4:$O$830,未払予定一覧!$N$4:$N$830,A21,未払予定一覧!$A$4:$A$830,"リゾート",未払予定一覧!$B$4:$B$830,"未払繰越")+SUMIFS(未払予定一覧!$O$4:$O$830,未払予定一覧!$N$4:$N$830,A21,未払予定一覧!$A$4:$A$830,"リゾート",未払予定一覧!$B$4:$B$830,"月次予定")</f>
        <v>43896</v>
      </c>
      <c r="D21" s="20">
        <f t="shared" si="0"/>
        <v>-43896</v>
      </c>
      <c r="E21" s="20">
        <f t="shared" si="1"/>
        <v>-5414215</v>
      </c>
      <c r="F21" s="21">
        <f>SUMIFS(未払予定一覧!$O$4:$O$830,未払予定一覧!$N$4:$N$830,A21,未払予定一覧!$A$4:$A$830,"リゾート",未払予定一覧!$B$4:$B$830,"カード枠回復")</f>
        <v>0</v>
      </c>
      <c r="G21" s="122">
        <f t="shared" si="2"/>
        <v>-144215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SUMIFS(入金入力!$E$4:$E$580,入金入力!$B$4:$B$580,A22,入金入力!$A$4:$A$580,"リゾート")+SUMIFS(入金予測!$E$4:$E$603,入金予測!$A$4:$A$603,A22,入金予測!$B$4:$B$603,"リゾート")</f>
        <v>0</v>
      </c>
      <c r="C22" s="20">
        <f>SUMIFS(未払予定一覧!$O$4:$O$830,未払予定一覧!$N$4:$N$830,A22,未払予定一覧!$A$4:$A$830,"リゾート",未払予定一覧!$B$4:$B$830,"未払繰越")+SUMIFS(未払予定一覧!$O$4:$O$830,未払予定一覧!$N$4:$N$830,A22,未払予定一覧!$A$4:$A$830,"リゾート",未払予定一覧!$B$4:$B$830,"月次予定")</f>
        <v>0</v>
      </c>
      <c r="D22" s="20">
        <f t="shared" si="0"/>
        <v>0</v>
      </c>
      <c r="E22" s="20">
        <f t="shared" si="1"/>
        <v>-5414215</v>
      </c>
      <c r="F22" s="21">
        <f>SUMIFS(未払予定一覧!$O$4:$O$830,未払予定一覧!$N$4:$N$830,A22,未払予定一覧!$A$4:$A$830,"リゾート",未払予定一覧!$B$4:$B$830,"カード枠回復")</f>
        <v>0</v>
      </c>
      <c r="G22" s="122">
        <f t="shared" si="2"/>
        <v>-144215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SUMIFS(入金入力!$E$4:$E$580,入金入力!$B$4:$B$580,A23,入金入力!$A$4:$A$580,"リゾート")+SUMIFS(入金予測!$E$4:$E$603,入金予測!$A$4:$A$603,A23,入金予測!$B$4:$B$603,"リゾート")</f>
        <v>0</v>
      </c>
      <c r="C23" s="20">
        <f>SUMIFS(未払予定一覧!$O$4:$O$830,未払予定一覧!$N$4:$N$830,A23,未払予定一覧!$A$4:$A$830,"リゾート",未払予定一覧!$B$4:$B$830,"未払繰越")+SUMIFS(未払予定一覧!$O$4:$O$830,未払予定一覧!$N$4:$N$830,A23,未払予定一覧!$A$4:$A$830,"リゾート",未払予定一覧!$B$4:$B$830,"月次予定")</f>
        <v>865927</v>
      </c>
      <c r="D23" s="20">
        <f t="shared" si="0"/>
        <v>-865927</v>
      </c>
      <c r="E23" s="20">
        <f t="shared" si="1"/>
        <v>-6280142</v>
      </c>
      <c r="F23" s="21">
        <f>SUMIFS(未払予定一覧!$O$4:$O$830,未払予定一覧!$N$4:$N$830,A23,未払予定一覧!$A$4:$A$830,"リゾート",未払予定一覧!$B$4:$B$830,"カード枠回復")</f>
        <v>0</v>
      </c>
      <c r="G23" s="122">
        <f t="shared" si="2"/>
        <v>-1010142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SUMIFS(入金入力!$E$4:$E$580,入金入力!$B$4:$B$580,A24,入金入力!$A$4:$A$580,"リゾート")+SUMIFS(入金予測!$E$4:$E$603,入金予測!$A$4:$A$603,A24,入金予測!$B$4:$B$603,"リゾート")</f>
        <v>0</v>
      </c>
      <c r="C24" s="20">
        <f>SUMIFS(未払予定一覧!$O$4:$O$830,未払予定一覧!$N$4:$N$830,A24,未払予定一覧!$A$4:$A$830,"リゾート",未払予定一覧!$B$4:$B$830,"未払繰越")+SUMIFS(未払予定一覧!$O$4:$O$830,未払予定一覧!$N$4:$N$830,A24,未払予定一覧!$A$4:$A$830,"リゾート",未払予定一覧!$B$4:$B$830,"月次予定")</f>
        <v>0</v>
      </c>
      <c r="D24" s="20">
        <f t="shared" si="0"/>
        <v>0</v>
      </c>
      <c r="E24" s="20">
        <f t="shared" si="1"/>
        <v>-6280142</v>
      </c>
      <c r="F24" s="21">
        <f>SUMIFS(未払予定一覧!$O$4:$O$830,未払予定一覧!$N$4:$N$830,A24,未払予定一覧!$A$4:$A$830,"リゾート",未払予定一覧!$B$4:$B$830,"カード枠回復")</f>
        <v>0</v>
      </c>
      <c r="G24" s="122">
        <f t="shared" si="2"/>
        <v>-1010142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SUMIFS(入金入力!$E$4:$E$580,入金入力!$B$4:$B$580,A25,入金入力!$A$4:$A$580,"リゾート")+SUMIFS(入金予測!$E$4:$E$603,入金予測!$A$4:$A$603,A25,入金予測!$B$4:$B$603,"リゾート")</f>
        <v>5262857.9499999993</v>
      </c>
      <c r="C25" s="20">
        <f>SUMIFS(未払予定一覧!$O$4:$O$830,未払予定一覧!$N$4:$N$830,A25,未払予定一覧!$A$4:$A$830,"リゾート",未払予定一覧!$B$4:$B$830,"未払繰越")+SUMIFS(未払予定一覧!$O$4:$O$830,未払予定一覧!$N$4:$N$830,A25,未払予定一覧!$A$4:$A$830,"リゾート",未払予定一覧!$B$4:$B$830,"月次予定")</f>
        <v>189434</v>
      </c>
      <c r="D25" s="20">
        <f t="shared" si="0"/>
        <v>5073423.9499999993</v>
      </c>
      <c r="E25" s="20">
        <f t="shared" si="1"/>
        <v>-1206718.0500000007</v>
      </c>
      <c r="F25" s="21">
        <f>SUMIFS(未払予定一覧!$O$4:$O$830,未払予定一覧!$N$4:$N$830,A25,未払予定一覧!$A$4:$A$830,"リゾート",未払予定一覧!$B$4:$B$830,"カード枠回復")</f>
        <v>0</v>
      </c>
      <c r="G25" s="122">
        <f t="shared" si="2"/>
        <v>4063281.9499999993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SUMIFS(入金入力!$E$4:$E$580,入金入力!$B$4:$B$580,A26,入金入力!$A$4:$A$580,"リゾート")+SUMIFS(入金予測!$E$4:$E$603,入金予測!$A$4:$A$603,A26,入金予測!$B$4:$B$603,"リゾート")</f>
        <v>0</v>
      </c>
      <c r="C26" s="20">
        <f>SUMIFS(未払予定一覧!$O$4:$O$830,未払予定一覧!$N$4:$N$830,A26,未払予定一覧!$A$4:$A$830,"リゾート",未払予定一覧!$B$4:$B$830,"未払繰越")+SUMIFS(未払予定一覧!$O$4:$O$830,未払予定一覧!$N$4:$N$830,A26,未払予定一覧!$A$4:$A$830,"リゾート",未払予定一覧!$B$4:$B$830,"月次予定")</f>
        <v>0</v>
      </c>
      <c r="D26" s="20">
        <f t="shared" si="0"/>
        <v>0</v>
      </c>
      <c r="E26" s="20">
        <f t="shared" si="1"/>
        <v>-1206718.0500000007</v>
      </c>
      <c r="F26" s="21">
        <f>SUMIFS(未払予定一覧!$O$4:$O$830,未払予定一覧!$N$4:$N$830,A26,未払予定一覧!$A$4:$A$830,"リゾート",未払予定一覧!$B$4:$B$830,"カード枠回復")</f>
        <v>0</v>
      </c>
      <c r="G26" s="122">
        <f t="shared" si="2"/>
        <v>4063281.9499999993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SUMIFS(入金入力!$E$4:$E$580,入金入力!$B$4:$B$580,A27,入金入力!$A$4:$A$580,"リゾート")+SUMIFS(入金予測!$E$4:$E$603,入金予測!$A$4:$A$603,A27,入金予測!$B$4:$B$603,"リゾート")</f>
        <v>0</v>
      </c>
      <c r="C27" s="20">
        <f>SUMIFS(未払予定一覧!$O$4:$O$830,未払予定一覧!$N$4:$N$830,A27,未払予定一覧!$A$4:$A$830,"リゾート",未払予定一覧!$B$4:$B$830,"未払繰越")+SUMIFS(未払予定一覧!$O$4:$O$830,未払予定一覧!$N$4:$N$830,A27,未払予定一覧!$A$4:$A$830,"リゾート",未払予定一覧!$B$4:$B$830,"月次予定")</f>
        <v>0</v>
      </c>
      <c r="D27" s="20">
        <f t="shared" si="0"/>
        <v>0</v>
      </c>
      <c r="E27" s="20">
        <f t="shared" si="1"/>
        <v>-1206718.0500000007</v>
      </c>
      <c r="F27" s="21">
        <f>SUMIFS(未払予定一覧!$O$4:$O$830,未払予定一覧!$N$4:$N$830,A27,未払予定一覧!$A$4:$A$830,"リゾート",未払予定一覧!$B$4:$B$830,"カード枠回復")</f>
        <v>0</v>
      </c>
      <c r="G27" s="122">
        <f t="shared" si="2"/>
        <v>4063281.9499999993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SUMIFS(入金入力!$E$4:$E$580,入金入力!$B$4:$B$580,A28,入金入力!$A$4:$A$580,"リゾート")+SUMIFS(入金予測!$E$4:$E$603,入金予測!$A$4:$A$603,A28,入金予測!$B$4:$B$603,"リゾート")</f>
        <v>0</v>
      </c>
      <c r="C28" s="20">
        <f>SUMIFS(未払予定一覧!$O$4:$O$830,未払予定一覧!$N$4:$N$830,A28,未払予定一覧!$A$4:$A$830,"リゾート",未払予定一覧!$B$4:$B$830,"未払繰越")+SUMIFS(未払予定一覧!$O$4:$O$830,未払予定一覧!$N$4:$N$830,A28,未払予定一覧!$A$4:$A$830,"リゾート",未払予定一覧!$B$4:$B$830,"月次予定")</f>
        <v>0</v>
      </c>
      <c r="D28" s="20">
        <f t="shared" si="0"/>
        <v>0</v>
      </c>
      <c r="E28" s="20">
        <f t="shared" si="1"/>
        <v>-1206718.0500000007</v>
      </c>
      <c r="F28" s="21">
        <f>SUMIFS(未払予定一覧!$O$4:$O$830,未払予定一覧!$N$4:$N$830,A28,未払予定一覧!$A$4:$A$830,"リゾート",未払予定一覧!$B$4:$B$830,"カード枠回復")</f>
        <v>0</v>
      </c>
      <c r="G28" s="122">
        <f t="shared" si="2"/>
        <v>4063281.9499999993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SUMIFS(入金入力!$E$4:$E$580,入金入力!$B$4:$B$580,A29,入金入力!$A$4:$A$580,"リゾート")+SUMIFS(入金予測!$E$4:$E$603,入金予測!$A$4:$A$603,A29,入金予測!$B$4:$B$603,"リゾート")</f>
        <v>0</v>
      </c>
      <c r="C29" s="20">
        <f>SUMIFS(未払予定一覧!$O$4:$O$830,未払予定一覧!$N$4:$N$830,A29,未払予定一覧!$A$4:$A$830,"リゾート",未払予定一覧!$B$4:$B$830,"未払繰越")+SUMIFS(未払予定一覧!$O$4:$O$830,未払予定一覧!$N$4:$N$830,A29,未払予定一覧!$A$4:$A$830,"リゾート",未払予定一覧!$B$4:$B$830,"月次予定")</f>
        <v>608628</v>
      </c>
      <c r="D29" s="20">
        <f t="shared" si="0"/>
        <v>-608628</v>
      </c>
      <c r="E29" s="20">
        <f t="shared" si="1"/>
        <v>-1815346.0500000007</v>
      </c>
      <c r="F29" s="21">
        <f>SUMIFS(未払予定一覧!$O$4:$O$830,未払予定一覧!$N$4:$N$830,A29,未払予定一覧!$A$4:$A$830,"リゾート",未払予定一覧!$B$4:$B$830,"カード枠回復")</f>
        <v>0</v>
      </c>
      <c r="G29" s="122">
        <f t="shared" si="2"/>
        <v>3454653.9499999993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SUMIFS(入金入力!$E$4:$E$580,入金入力!$B$4:$B$580,A30,入金入力!$A$4:$A$580,"リゾート")+SUMIFS(入金予測!$E$4:$E$603,入金予測!$A$4:$A$603,A30,入金予測!$B$4:$B$603,"リゾート")</f>
        <v>1421676</v>
      </c>
      <c r="C30" s="20">
        <f>SUMIFS(未払予定一覧!$O$4:$O$830,未払予定一覧!$N$4:$N$830,A30,未払予定一覧!$A$4:$A$830,"リゾート",未払予定一覧!$B$4:$B$830,"未払繰越")+SUMIFS(未払予定一覧!$O$4:$O$830,未払予定一覧!$N$4:$N$830,A30,未払予定一覧!$A$4:$A$830,"リゾート",未払予定一覧!$B$4:$B$830,"月次予定")</f>
        <v>11043496</v>
      </c>
      <c r="D30" s="20">
        <f t="shared" si="0"/>
        <v>-9621820</v>
      </c>
      <c r="E30" s="20">
        <f t="shared" si="1"/>
        <v>-11437166.050000001</v>
      </c>
      <c r="F30" s="21">
        <f>SUMIFS(未払予定一覧!$O$4:$O$830,未払予定一覧!$N$4:$N$830,A30,未払予定一覧!$A$4:$A$830,"リゾート",未払予定一覧!$B$4:$B$830,"カード枠回復")</f>
        <v>0</v>
      </c>
      <c r="G30" s="122">
        <f t="shared" si="2"/>
        <v>-6167166.0500000007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SUMIFS(入金入力!$E$4:$E$580,入金入力!$B$4:$B$580,A31,入金入力!$A$4:$A$580,"リゾート")+SUMIFS(入金予測!$E$4:$E$603,入金予測!$A$4:$A$603,A31,入金予測!$B$4:$B$603,"リゾート")</f>
        <v>1990010</v>
      </c>
      <c r="C31" s="20">
        <f>SUMIFS(未払予定一覧!$O$4:$O$830,未払予定一覧!$N$4:$N$830,A31,未払予定一覧!$A$4:$A$830,"リゾート",未払予定一覧!$B$4:$B$830,"未払繰越")+SUMIFS(未払予定一覧!$O$4:$O$830,未払予定一覧!$N$4:$N$830,A31,未払予定一覧!$A$4:$A$830,"リゾート",未払予定一覧!$B$4:$B$830,"月次予定")</f>
        <v>0</v>
      </c>
      <c r="D31" s="20">
        <f t="shared" si="0"/>
        <v>1990010</v>
      </c>
      <c r="E31" s="20">
        <f t="shared" si="1"/>
        <v>-9447156.0500000007</v>
      </c>
      <c r="F31" s="21">
        <f>SUMIFS(未払予定一覧!$O$4:$O$830,未払予定一覧!$N$4:$N$830,A31,未払予定一覧!$A$4:$A$830,"リゾート",未払予定一覧!$B$4:$B$830,"カード枠回復")</f>
        <v>0</v>
      </c>
      <c r="G31" s="122">
        <f t="shared" si="2"/>
        <v>-4177156.0500000007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SUMIFS(入金入力!$E$4:$E$580,入金入力!$B$4:$B$580,A32,入金入力!$A$4:$A$580,"リゾート")+SUMIFS(入金予測!$E$4:$E$603,入金予測!$A$4:$A$603,A32,入金予測!$B$4:$B$603,"リゾート")</f>
        <v>0</v>
      </c>
      <c r="C32" s="20">
        <f>SUMIFS(未払予定一覧!$O$4:$O$830,未払予定一覧!$N$4:$N$830,A32,未払予定一覧!$A$4:$A$830,"リゾート",未払予定一覧!$B$4:$B$830,"未払繰越")+SUMIFS(未払予定一覧!$O$4:$O$830,未払予定一覧!$N$4:$N$830,A32,未払予定一覧!$A$4:$A$830,"リゾート",未払予定一覧!$B$4:$B$830,"月次予定")</f>
        <v>944225</v>
      </c>
      <c r="D32" s="20">
        <f t="shared" si="0"/>
        <v>-944225</v>
      </c>
      <c r="E32" s="20">
        <f t="shared" si="1"/>
        <v>-10391381.050000001</v>
      </c>
      <c r="F32" s="21">
        <f>SUMIFS(未払予定一覧!$O$4:$O$830,未払予定一覧!$N$4:$N$830,A32,未払予定一覧!$A$4:$A$830,"リゾート",未払予定一覧!$B$4:$B$830,"カード枠回復")</f>
        <v>0</v>
      </c>
      <c r="G32" s="122">
        <f t="shared" si="2"/>
        <v>-5121381.0500000007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SUMIFS(入金入力!$E$4:$E$580,入金入力!$B$4:$B$580,A33,入金入力!$A$4:$A$580,"リゾート")+SUMIFS(入金予測!$E$4:$E$603,入金予測!$A$4:$A$603,A33,入金予測!$B$4:$B$603,"リゾート")</f>
        <v>0</v>
      </c>
      <c r="C33" s="20"/>
      <c r="D33" s="20">
        <f t="shared" si="0"/>
        <v>0</v>
      </c>
      <c r="E33" s="20">
        <f t="shared" si="1"/>
        <v>-10391381.050000001</v>
      </c>
      <c r="F33" s="21">
        <f>SUMIFS(未払予定一覧!$O$4:$O$830,未払予定一覧!$N$4:$N$830,A33,未払予定一覧!$A$4:$A$830,"リゾート",未払予定一覧!$B$4:$B$830,"カード枠回復")</f>
        <v>0</v>
      </c>
      <c r="G33" s="122">
        <f t="shared" si="2"/>
        <v>-5121381.0500000007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SUMIFS(入金入力!$E$4:$E$580,入金入力!$B$4:$B$580,A34,入金入力!$A$4:$A$580,"リゾート")+SUMIFS(入金予測!$E$4:$E$603,入金予測!$A$4:$A$603,A34,入金予測!$B$4:$B$603,"リゾート")</f>
        <v>4631177</v>
      </c>
      <c r="C34" s="20">
        <f>SUMIFS(未払予定一覧!$O$4:$O$830,未払予定一覧!$N$4:$N$830,A34,未払予定一覧!$A$4:$A$830,"リゾート",未払予定一覧!$B$4:$B$830,"未払繰越")+SUMIFS(未払予定一覧!$O$4:$O$830,未払予定一覧!$N$4:$N$830,A34,未払予定一覧!$A$4:$A$830,"リゾート",未払予定一覧!$B$4:$B$830,"月次予定")</f>
        <v>6415375</v>
      </c>
      <c r="D34" s="20">
        <f t="shared" si="0"/>
        <v>-1784198</v>
      </c>
      <c r="E34" s="20">
        <f t="shared" si="1"/>
        <v>-12175579.050000001</v>
      </c>
      <c r="F34" s="21">
        <f>SUMIFS(未払予定一覧!$O$4:$O$830,未払予定一覧!$N$4:$N$830,A34,未払予定一覧!$A$4:$A$830,"リゾート",未払予定一覧!$B$4:$B$830,"カード枠回復")</f>
        <v>0</v>
      </c>
      <c r="G34" s="122">
        <f t="shared" si="2"/>
        <v>-6905579.0500000007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SUMIFS(入金入力!$E$4:$E$580,入金入力!$B$4:$B$580,A35,入金入力!$A$4:$A$580,"リゾート")+SUMIFS(入金予測!$E$4:$E$603,入金予測!$A$4:$A$603,A35,入金予測!$B$4:$B$603,"リゾート")</f>
        <v>0</v>
      </c>
      <c r="C35" s="20">
        <f>SUMIFS(未払予定一覧!$O$4:$O$830,未払予定一覧!$N$4:$N$830,A35,未払予定一覧!$A$4:$A$830,"リゾート",未払予定一覧!$B$4:$B$830,"未払繰越")+SUMIFS(未払予定一覧!$O$4:$O$830,未払予定一覧!$N$4:$N$830,A35,未払予定一覧!$A$4:$A$830,"リゾート",未払予定一覧!$B$4:$B$830,"月次予定")</f>
        <v>2673495</v>
      </c>
      <c r="D35" s="20">
        <f t="shared" si="0"/>
        <v>-2673495</v>
      </c>
      <c r="E35" s="20">
        <f t="shared" si="1"/>
        <v>-14849074.050000001</v>
      </c>
      <c r="F35" s="21">
        <f>SUMIFS(未払予定一覧!$O$4:$O$830,未払予定一覧!$N$4:$N$830,A35,未払予定一覧!$A$4:$A$830,"リゾート",未払予定一覧!$B$4:$B$830,"カード枠回復")</f>
        <v>0</v>
      </c>
      <c r="G35" s="122">
        <f t="shared" si="2"/>
        <v>-9579074.0500000007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SUMIFS(入金入力!$E$4:$E$580,入金入力!$B$4:$B$580,A36,入金入力!$A$4:$A$580,"リゾート")+SUMIFS(入金予測!$E$4:$E$603,入金予測!$A$4:$A$603,A36,入金予測!$B$4:$B$603,"リゾート")</f>
        <v>0</v>
      </c>
      <c r="C36" s="20">
        <f>SUMIFS(未払予定一覧!$O$4:$O$830,未払予定一覧!$N$4:$N$830,A36,未払予定一覧!$A$4:$A$830,"リゾート",未払予定一覧!$B$4:$B$830,"未払繰越")+SUMIFS(未払予定一覧!$O$4:$O$830,未払予定一覧!$N$4:$N$830,A36,未払予定一覧!$A$4:$A$830,"リゾート",未払予定一覧!$B$4:$B$830,"月次予定")</f>
        <v>170000</v>
      </c>
      <c r="D36" s="20">
        <f t="shared" si="0"/>
        <v>-170000</v>
      </c>
      <c r="E36" s="20">
        <f t="shared" si="1"/>
        <v>-15019074.050000001</v>
      </c>
      <c r="F36" s="21">
        <f>SUMIFS(未払予定一覧!$O$4:$O$830,未払予定一覧!$N$4:$N$830,A36,未払予定一覧!$A$4:$A$830,"リゾート",未払予定一覧!$B$4:$B$830,"カード枠回復")</f>
        <v>0</v>
      </c>
      <c r="G36" s="122">
        <f t="shared" si="2"/>
        <v>-9749074.0500000007</v>
      </c>
      <c r="H36" s="125" t="s">
        <v>689</v>
      </c>
    </row>
    <row r="37" spans="1:8" ht="15" customHeight="1">
      <c r="A37" s="23" t="s">
        <v>690</v>
      </c>
      <c r="B37" s="24">
        <f>SUM(B5:B36)</f>
        <v>24503947.949999999</v>
      </c>
      <c r="C37" s="24">
        <f>SUM(C5:C36)</f>
        <v>34253022</v>
      </c>
      <c r="D37" s="24">
        <f t="shared" si="0"/>
        <v>-15019074.050000001</v>
      </c>
      <c r="E37" s="24">
        <f>E36</f>
        <v>-15019074.050000001</v>
      </c>
      <c r="F37" s="24">
        <f>SUM(F5:F36)</f>
        <v>5270000</v>
      </c>
      <c r="G37" s="24">
        <f>G36</f>
        <v>-9749074.0500000007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SUMIFS(入金入力!$E$4:$E$580,入金入力!$B$4:$B$580,A40,入金入力!$A$4:$A$580,"リゾート")+SUMIFS(入金予測!$E$4:$E$603,入金予測!$A$4:$A$603,A40,入金予測!$B$4:$B$603,"リゾート")</f>
        <v>0</v>
      </c>
      <c r="C40" s="20">
        <f>SUMIFS(未払予定一覧!$O$4:$O$830,未払予定一覧!$N$4:$N$830,A40,未払予定一覧!$A$4:$A$830,"リゾート",未払予定一覧!$B$4:$B$830,"未払繰越")+SUMIFS(未払予定一覧!$O$4:$O$830,未払予定一覧!$N$4:$N$830,A40,未払予定一覧!$A$4:$A$830,"リゾート",未払予定一覧!$B$4:$B$830,"月次予定")</f>
        <v>0</v>
      </c>
      <c r="D40" s="20">
        <f t="shared" ref="D40:D70" si="3">B40-C40-F40</f>
        <v>0</v>
      </c>
      <c r="E40" s="20">
        <f>E37+D40</f>
        <v>-15019074.050000001</v>
      </c>
      <c r="F40" s="21">
        <f>SUMIFS(未払予定一覧!$O$4:$O$830,未払予定一覧!$N$4:$N$830,A40,未払予定一覧!$A$4:$A$830,"リゾート",未払予定一覧!$B$4:$B$830,"カード枠回復")</f>
        <v>0</v>
      </c>
      <c r="G40" s="122">
        <f>G37+D40+F40</f>
        <v>-9749074.0500000007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SUMIFS(入金入力!$E$4:$E$580,入金入力!$B$4:$B$580,A41,入金入力!$A$4:$A$580,"リゾート")+SUMIFS(入金予測!$E$4:$E$603,入金予測!$A$4:$A$603,A41,入金予測!$B$4:$B$603,"リゾート")</f>
        <v>0</v>
      </c>
      <c r="C41" s="20">
        <f>SUMIFS(未払予定一覧!$O$4:$O$830,未払予定一覧!$N$4:$N$830,A41,未払予定一覧!$A$4:$A$830,"リゾート",未払予定一覧!$B$4:$B$830,"未払繰越")+SUMIFS(未払予定一覧!$O$4:$O$830,未払予定一覧!$N$4:$N$830,A41,未払予定一覧!$A$4:$A$830,"リゾート",未払予定一覧!$B$4:$B$830,"月次予定")</f>
        <v>0</v>
      </c>
      <c r="D41" s="20">
        <f t="shared" si="3"/>
        <v>0</v>
      </c>
      <c r="E41" s="20">
        <f t="shared" ref="E41:E69" si="4">E40+D41</f>
        <v>-15019074.050000001</v>
      </c>
      <c r="F41" s="21">
        <f>SUMIFS(未払予定一覧!$O$4:$O$830,未払予定一覧!$N$4:$N$830,A41,未払予定一覧!$A$4:$A$830,"リゾート",未払予定一覧!$B$4:$B$830,"カード枠回復")</f>
        <v>0</v>
      </c>
      <c r="G41" s="122">
        <f t="shared" ref="G41:G69" si="5">G40+D41+F41</f>
        <v>-9749074.0500000007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SUMIFS(入金入力!$E$4:$E$580,入金入力!$B$4:$B$580,A42,入金入力!$A$4:$A$580,"リゾート")+SUMIFS(入金予測!$E$4:$E$603,入金予測!$A$4:$A$603,A42,入金予測!$B$4:$B$603,"リゾート")</f>
        <v>0</v>
      </c>
      <c r="C42" s="20">
        <f>SUMIFS(未払予定一覧!$O$4:$O$830,未払予定一覧!$N$4:$N$830,A42,未払予定一覧!$A$4:$A$830,"リゾート",未払予定一覧!$B$4:$B$830,"未払繰越")+SUMIFS(未払予定一覧!$O$4:$O$830,未払予定一覧!$N$4:$N$830,A42,未払予定一覧!$A$4:$A$830,"リゾート",未払予定一覧!$B$4:$B$830,"月次予定")</f>
        <v>800000</v>
      </c>
      <c r="D42" s="20">
        <f t="shared" si="3"/>
        <v>-800000</v>
      </c>
      <c r="E42" s="20">
        <f t="shared" si="4"/>
        <v>-15819074.050000001</v>
      </c>
      <c r="F42" s="21">
        <f>SUMIFS(未払予定一覧!$O$4:$O$830,未払予定一覧!$N$4:$N$830,A42,未払予定一覧!$A$4:$A$830,"リゾート",未払予定一覧!$B$4:$B$830,"カード枠回復")</f>
        <v>0</v>
      </c>
      <c r="G42" s="122">
        <f t="shared" si="5"/>
        <v>-10549074.050000001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SUMIFS(入金入力!$E$4:$E$580,入金入力!$B$4:$B$580,A43,入金入力!$A$4:$A$580,"リゾート")+SUMIFS(入金予測!$E$4:$E$603,入金予測!$A$4:$A$603,A43,入金予測!$B$4:$B$603,"リゾート")</f>
        <v>0</v>
      </c>
      <c r="C43" s="20">
        <f>SUMIFS(未払予定一覧!$O$4:$O$830,未払予定一覧!$N$4:$N$830,A43,未払予定一覧!$A$4:$A$830,"リゾート",未払予定一覧!$B$4:$B$830,"未払繰越")+SUMIFS(未払予定一覧!$O$4:$O$830,未払予定一覧!$N$4:$N$830,A43,未払予定一覧!$A$4:$A$830,"リゾート",未払予定一覧!$B$4:$B$830,"月次予定")</f>
        <v>0</v>
      </c>
      <c r="D43" s="20">
        <f t="shared" si="3"/>
        <v>0</v>
      </c>
      <c r="E43" s="20">
        <f t="shared" si="4"/>
        <v>-15819074.050000001</v>
      </c>
      <c r="F43" s="21">
        <f>SUMIFS(未払予定一覧!$O$4:$O$830,未払予定一覧!$N$4:$N$830,A43,未払予定一覧!$A$4:$A$830,"リゾート",未払予定一覧!$B$4:$B$830,"カード枠回復")</f>
        <v>0</v>
      </c>
      <c r="G43" s="122">
        <f t="shared" si="5"/>
        <v>-10549074.050000001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SUMIFS(入金入力!$E$4:$E$580,入金入力!$B$4:$B$580,A44,入金入力!$A$4:$A$580,"リゾート")+SUMIFS(入金予測!$E$4:$E$603,入金予測!$A$4:$A$603,A44,入金予測!$B$4:$B$603,"リゾート")</f>
        <v>0</v>
      </c>
      <c r="C44" s="20">
        <f>SUMIFS(未払予定一覧!$O$4:$O$830,未払予定一覧!$N$4:$N$830,A44,未払予定一覧!$A$4:$A$830,"リゾート",未払予定一覧!$B$4:$B$830,"未払繰越")+SUMIFS(未払予定一覧!$O$4:$O$830,未払予定一覧!$N$4:$N$830,A44,未払予定一覧!$A$4:$A$830,"リゾート",未払予定一覧!$B$4:$B$830,"月次予定")</f>
        <v>0</v>
      </c>
      <c r="D44" s="20">
        <f t="shared" si="3"/>
        <v>0</v>
      </c>
      <c r="E44" s="20">
        <f t="shared" si="4"/>
        <v>-15819074.050000001</v>
      </c>
      <c r="F44" s="21">
        <f>SUMIFS(未払予定一覧!$O$4:$O$830,未払予定一覧!$N$4:$N$830,A44,未払予定一覧!$A$4:$A$830,"リゾート",未払予定一覧!$B$4:$B$830,"カード枠回復")</f>
        <v>0</v>
      </c>
      <c r="G44" s="122">
        <f t="shared" si="5"/>
        <v>-10549074.050000001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SUMIFS(入金入力!$E$4:$E$580,入金入力!$B$4:$B$580,A45,入金入力!$A$4:$A$580,"リゾート")+SUMIFS(入金予測!$E$4:$E$603,入金予測!$A$4:$A$603,A45,入金予測!$B$4:$B$603,"リゾート")</f>
        <v>0</v>
      </c>
      <c r="C45" s="20">
        <f>SUMIFS(未払予定一覧!$O$4:$O$830,未払予定一覧!$N$4:$N$830,A45,未払予定一覧!$A$4:$A$830,"リゾート",未払予定一覧!$B$4:$B$830,"未払繰越")+SUMIFS(未払予定一覧!$O$4:$O$830,未払予定一覧!$N$4:$N$830,A45,未払予定一覧!$A$4:$A$830,"リゾート",未払予定一覧!$B$4:$B$830,"月次予定")</f>
        <v>380771</v>
      </c>
      <c r="D45" s="20">
        <f t="shared" si="3"/>
        <v>-380771</v>
      </c>
      <c r="E45" s="20">
        <f t="shared" si="4"/>
        <v>-16199845.050000001</v>
      </c>
      <c r="F45" s="21">
        <f>SUMIFS(未払予定一覧!$O$4:$O$830,未払予定一覧!$N$4:$N$830,A45,未払予定一覧!$A$4:$A$830,"リゾート",未払予定一覧!$B$4:$B$830,"カード枠回復")</f>
        <v>0</v>
      </c>
      <c r="G45" s="122">
        <f t="shared" si="5"/>
        <v>-10929845.050000001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SUMIFS(入金入力!$E$4:$E$580,入金入力!$B$4:$B$580,A46,入金入力!$A$4:$A$580,"リゾート")+SUMIFS(入金予測!$E$4:$E$603,入金予測!$A$4:$A$603,A46,入金予測!$B$4:$B$603,"リゾート")</f>
        <v>0</v>
      </c>
      <c r="C46" s="20">
        <f>SUMIFS(未払予定一覧!$O$4:$O$830,未払予定一覧!$N$4:$N$830,A46,未払予定一覧!$A$4:$A$830,"リゾート",未払予定一覧!$B$4:$B$830,"未払繰越")+SUMIFS(未払予定一覧!$O$4:$O$830,未払予定一覧!$N$4:$N$830,A46,未払予定一覧!$A$4:$A$830,"リゾート",未払予定一覧!$B$4:$B$830,"月次予定")</f>
        <v>0</v>
      </c>
      <c r="D46" s="20">
        <f t="shared" si="3"/>
        <v>0</v>
      </c>
      <c r="E46" s="20">
        <f t="shared" si="4"/>
        <v>-16199845.050000001</v>
      </c>
      <c r="F46" s="21">
        <f>SUMIFS(未払予定一覧!$O$4:$O$830,未払予定一覧!$N$4:$N$830,A46,未払予定一覧!$A$4:$A$830,"リゾート",未払予定一覧!$B$4:$B$830,"カード枠回復")</f>
        <v>0</v>
      </c>
      <c r="G46" s="122">
        <f t="shared" si="5"/>
        <v>-10929845.050000001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SUMIFS(入金入力!$E$4:$E$580,入金入力!$B$4:$B$580,A47,入金入力!$A$4:$A$580,"リゾート")+SUMIFS(入金予測!$E$4:$E$603,入金予測!$A$4:$A$603,A47,入金予測!$B$4:$B$603,"リゾート")</f>
        <v>0</v>
      </c>
      <c r="C47" s="20">
        <f>SUMIFS(未払予定一覧!$O$4:$O$830,未払予定一覧!$N$4:$N$830,A47,未払予定一覧!$A$4:$A$830,"リゾート",未払予定一覧!$B$4:$B$830,"未払繰越")+SUMIFS(未払予定一覧!$O$4:$O$830,未払予定一覧!$N$4:$N$830,A47,未払予定一覧!$A$4:$A$830,"リゾート",未払予定一覧!$B$4:$B$830,"月次予定")</f>
        <v>22550</v>
      </c>
      <c r="D47" s="20">
        <f t="shared" si="3"/>
        <v>-22550</v>
      </c>
      <c r="E47" s="20">
        <f t="shared" si="4"/>
        <v>-16222395.050000001</v>
      </c>
      <c r="F47" s="21">
        <f>SUMIFS(未払予定一覧!$O$4:$O$830,未払予定一覧!$N$4:$N$830,A47,未払予定一覧!$A$4:$A$830,"リゾート",未払予定一覧!$B$4:$B$830,"カード枠回復")</f>
        <v>0</v>
      </c>
      <c r="G47" s="122">
        <f t="shared" si="5"/>
        <v>-10952395.050000001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SUMIFS(入金入力!$E$4:$E$580,入金入力!$B$4:$B$580,A48,入金入力!$A$4:$A$580,"リゾート")+SUMIFS(入金予測!$E$4:$E$603,入金予測!$A$4:$A$603,A48,入金予測!$B$4:$B$603,"リゾート")</f>
        <v>0</v>
      </c>
      <c r="C48" s="20">
        <f>SUMIFS(未払予定一覧!$O$4:$O$830,未払予定一覧!$N$4:$N$830,A48,未払予定一覧!$A$4:$A$830,"リゾート",未払予定一覧!$B$4:$B$830,"未払繰越")+SUMIFS(未払予定一覧!$O$4:$O$830,未払予定一覧!$N$4:$N$830,A48,未払予定一覧!$A$4:$A$830,"リゾート",未払予定一覧!$B$4:$B$830,"月次予定")</f>
        <v>880</v>
      </c>
      <c r="D48" s="20">
        <f t="shared" si="3"/>
        <v>-880</v>
      </c>
      <c r="E48" s="20">
        <f t="shared" si="4"/>
        <v>-16223275.050000001</v>
      </c>
      <c r="F48" s="21">
        <f>SUMIFS(未払予定一覧!$O$4:$O$830,未払予定一覧!$N$4:$N$830,A48,未払予定一覧!$A$4:$A$830,"リゾート",未払予定一覧!$B$4:$B$830,"カード枠回復")</f>
        <v>0</v>
      </c>
      <c r="G48" s="122">
        <f t="shared" si="5"/>
        <v>-10953275.050000001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SUMIFS(入金入力!$E$4:$E$580,入金入力!$B$4:$B$580,A49,入金入力!$A$4:$A$580,"リゾート")+SUMIFS(入金予測!$E$4:$E$603,入金予測!$A$4:$A$603,A49,入金予測!$B$4:$B$603,"リゾート")</f>
        <v>21886344.75</v>
      </c>
      <c r="C49" s="20">
        <f>SUMIFS(未払予定一覧!$O$4:$O$830,未払予定一覧!$N$4:$N$830,A49,未払予定一覧!$A$4:$A$830,"リゾート",未払予定一覧!$B$4:$B$830,"未払繰越")+SUMIFS(未払予定一覧!$O$4:$O$830,未払予定一覧!$N$4:$N$830,A49,未払予定一覧!$A$4:$A$830,"リゾート",未払予定一覧!$B$4:$B$830,"月次予定")</f>
        <v>28197</v>
      </c>
      <c r="D49" s="20">
        <f t="shared" si="3"/>
        <v>21858147.75</v>
      </c>
      <c r="E49" s="20">
        <f t="shared" si="4"/>
        <v>5634872.6999999993</v>
      </c>
      <c r="F49" s="21">
        <f>SUMIFS(未払予定一覧!$O$4:$O$830,未払予定一覧!$N$4:$N$830,A49,未払予定一覧!$A$4:$A$830,"リゾート",未払予定一覧!$B$4:$B$830,"カード枠回復")</f>
        <v>0</v>
      </c>
      <c r="G49" s="122">
        <f t="shared" si="5"/>
        <v>10904872.699999999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SUMIFS(入金入力!$E$4:$E$580,入金入力!$B$4:$B$580,A50,入金入力!$A$4:$A$580,"リゾート")+SUMIFS(入金予測!$E$4:$E$603,入金予測!$A$4:$A$603,A50,入金予測!$B$4:$B$603,"リゾート")</f>
        <v>0</v>
      </c>
      <c r="C50" s="20">
        <f>SUMIFS(未払予定一覧!$O$4:$O$830,未払予定一覧!$N$4:$N$830,A50,未払予定一覧!$A$4:$A$830,"リゾート",未払予定一覧!$B$4:$B$830,"未払繰越")+SUMIFS(未払予定一覧!$O$4:$O$830,未払予定一覧!$N$4:$N$830,A50,未払予定一覧!$A$4:$A$830,"リゾート",未払予定一覧!$B$4:$B$830,"月次予定")</f>
        <v>0</v>
      </c>
      <c r="D50" s="20">
        <f t="shared" si="3"/>
        <v>0</v>
      </c>
      <c r="E50" s="20">
        <f t="shared" si="4"/>
        <v>5634872.6999999993</v>
      </c>
      <c r="F50" s="21">
        <f>SUMIFS(未払予定一覧!$O$4:$O$830,未払予定一覧!$N$4:$N$830,A50,未払予定一覧!$A$4:$A$830,"リゾート",未払予定一覧!$B$4:$B$830,"カード枠回復")</f>
        <v>0</v>
      </c>
      <c r="G50" s="122">
        <f t="shared" si="5"/>
        <v>10904872.699999999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SUMIFS(入金入力!$E$4:$E$580,入金入力!$B$4:$B$580,A51,入金入力!$A$4:$A$580,"リゾート")+SUMIFS(入金予測!$E$4:$E$603,入金予測!$A$4:$A$603,A51,入金予測!$B$4:$B$603,"リゾート")</f>
        <v>0</v>
      </c>
      <c r="C51" s="20">
        <f>SUMIFS(未払予定一覧!$O$4:$O$830,未払予定一覧!$N$4:$N$830,A51,未払予定一覧!$A$4:$A$830,"リゾート",未払予定一覧!$B$4:$B$830,"未払繰越")+SUMIFS(未払予定一覧!$O$4:$O$830,未払予定一覧!$N$4:$N$830,A51,未払予定一覧!$A$4:$A$830,"リゾート",未払予定一覧!$B$4:$B$830,"月次予定")</f>
        <v>0</v>
      </c>
      <c r="D51" s="20">
        <f t="shared" si="3"/>
        <v>0</v>
      </c>
      <c r="E51" s="20">
        <f t="shared" si="4"/>
        <v>5634872.6999999993</v>
      </c>
      <c r="F51" s="21">
        <f>SUMIFS(未払予定一覧!$O$4:$O$830,未払予定一覧!$N$4:$N$830,A51,未払予定一覧!$A$4:$A$830,"リゾート",未払予定一覧!$B$4:$B$830,"カード枠回復")</f>
        <v>0</v>
      </c>
      <c r="G51" s="122">
        <f t="shared" si="5"/>
        <v>10904872.699999999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SUMIFS(入金入力!$E$4:$E$580,入金入力!$B$4:$B$580,A52,入金入力!$A$4:$A$580,"リゾート")+SUMIFS(入金予測!$E$4:$E$603,入金予測!$A$4:$A$603,A52,入金予測!$B$4:$B$603,"リゾート")</f>
        <v>0</v>
      </c>
      <c r="C52" s="20">
        <f>SUMIFS(未払予定一覧!$O$4:$O$830,未払予定一覧!$N$4:$N$830,A52,未払予定一覧!$A$4:$A$830,"リゾート",未払予定一覧!$B$4:$B$830,"未払繰越")+SUMIFS(未払予定一覧!$O$4:$O$830,未払予定一覧!$N$4:$N$830,A52,未払予定一覧!$A$4:$A$830,"リゾート",未払予定一覧!$B$4:$B$830,"月次予定")</f>
        <v>114777</v>
      </c>
      <c r="D52" s="20">
        <f t="shared" si="3"/>
        <v>-114777</v>
      </c>
      <c r="E52" s="20">
        <f t="shared" si="4"/>
        <v>5520095.6999999993</v>
      </c>
      <c r="F52" s="21">
        <f>SUMIFS(未払予定一覧!$O$4:$O$830,未払予定一覧!$N$4:$N$830,A52,未払予定一覧!$A$4:$A$830,"リゾート",未払予定一覧!$B$4:$B$830,"カード枠回復")</f>
        <v>0</v>
      </c>
      <c r="G52" s="122">
        <f t="shared" si="5"/>
        <v>10790095.699999999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SUMIFS(入金入力!$E$4:$E$580,入金入力!$B$4:$B$580,A53,入金入力!$A$4:$A$580,"リゾート")+SUMIFS(入金予測!$E$4:$E$603,入金予測!$A$4:$A$603,A53,入金予測!$B$4:$B$603,"リゾート")</f>
        <v>0</v>
      </c>
      <c r="C53" s="20">
        <f>SUMIFS(未払予定一覧!$O$4:$O$830,未払予定一覧!$N$4:$N$830,A53,未払予定一覧!$A$4:$A$830,"リゾート",未払予定一覧!$B$4:$B$830,"未払繰越")+SUMIFS(未払予定一覧!$O$4:$O$830,未払予定一覧!$N$4:$N$830,A53,未払予定一覧!$A$4:$A$830,"リゾート",未払予定一覧!$B$4:$B$830,"月次予定")</f>
        <v>0</v>
      </c>
      <c r="D53" s="20">
        <f t="shared" si="3"/>
        <v>0</v>
      </c>
      <c r="E53" s="20">
        <f t="shared" si="4"/>
        <v>5520095.6999999993</v>
      </c>
      <c r="F53" s="21">
        <f>SUMIFS(未払予定一覧!$O$4:$O$830,未払予定一覧!$N$4:$N$830,A53,未払予定一覧!$A$4:$A$830,"リゾート",未払予定一覧!$B$4:$B$830,"カード枠回復")</f>
        <v>0</v>
      </c>
      <c r="G53" s="122">
        <f t="shared" si="5"/>
        <v>10790095.699999999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SUMIFS(入金入力!$E$4:$E$580,入金入力!$B$4:$B$580,A54,入金入力!$A$4:$A$580,"リゾート")+SUMIFS(入金予測!$E$4:$E$603,入金予測!$A$4:$A$603,A54,入金予測!$B$4:$B$603,"リゾート")</f>
        <v>789000</v>
      </c>
      <c r="C54" s="20">
        <f>SUMIFS(未払予定一覧!$O$4:$O$830,未払予定一覧!$N$4:$N$830,A54,未払予定一覧!$A$4:$A$830,"リゾート",未払予定一覧!$B$4:$B$830,"未払繰越")+SUMIFS(未払予定一覧!$O$4:$O$830,未払予定一覧!$N$4:$N$830,A54,未払予定一覧!$A$4:$A$830,"リゾート",未払予定一覧!$B$4:$B$830,"月次予定")</f>
        <v>1008975</v>
      </c>
      <c r="D54" s="20">
        <f t="shared" si="3"/>
        <v>-219975</v>
      </c>
      <c r="E54" s="20">
        <f t="shared" si="4"/>
        <v>5300120.6999999993</v>
      </c>
      <c r="F54" s="21">
        <f>SUMIFS(未払予定一覧!$O$4:$O$830,未払予定一覧!$N$4:$N$830,A54,未払予定一覧!$A$4:$A$830,"リゾート",未払予定一覧!$B$4:$B$830,"カード枠回復")</f>
        <v>0</v>
      </c>
      <c r="G54" s="122">
        <f t="shared" si="5"/>
        <v>10570120.699999999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SUMIFS(入金入力!$E$4:$E$580,入金入力!$B$4:$B$580,A55,入金入力!$A$4:$A$580,"リゾート")+SUMIFS(入金予測!$E$4:$E$603,入金予測!$A$4:$A$603,A55,入金予測!$B$4:$B$603,"リゾート")</f>
        <v>0</v>
      </c>
      <c r="C55" s="20">
        <f>SUMIFS(未払予定一覧!$O$4:$O$830,未払予定一覧!$N$4:$N$830,A55,未払予定一覧!$A$4:$A$830,"リゾート",未払予定一覧!$B$4:$B$830,"未払繰越")+SUMIFS(未払予定一覧!$O$4:$O$830,未払予定一覧!$N$4:$N$830,A55,未払予定一覧!$A$4:$A$830,"リゾート",未払予定一覧!$B$4:$B$830,"月次予定")</f>
        <v>0</v>
      </c>
      <c r="D55" s="20">
        <f t="shared" si="3"/>
        <v>0</v>
      </c>
      <c r="E55" s="20">
        <f t="shared" si="4"/>
        <v>5300120.6999999993</v>
      </c>
      <c r="F55" s="21">
        <f>SUMIFS(未払予定一覧!$O$4:$O$830,未払予定一覧!$N$4:$N$830,A55,未払予定一覧!$A$4:$A$830,"リゾート",未払予定一覧!$B$4:$B$830,"カード枠回復")</f>
        <v>0</v>
      </c>
      <c r="G55" s="122">
        <f t="shared" si="5"/>
        <v>10570120.699999999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SUMIFS(入金入力!$E$4:$E$580,入金入力!$B$4:$B$580,A56,入金入力!$A$4:$A$580,"リゾート")+SUMIFS(入金予測!$E$4:$E$603,入金予測!$A$4:$A$603,A56,入金予測!$B$4:$B$603,"リゾート")</f>
        <v>0</v>
      </c>
      <c r="C56" s="20">
        <f>SUMIFS(未払予定一覧!$O$4:$O$830,未払予定一覧!$N$4:$N$830,A56,未払予定一覧!$A$4:$A$830,"リゾート",未払予定一覧!$B$4:$B$830,"未払繰越")+SUMIFS(未払予定一覧!$O$4:$O$830,未払予定一覧!$N$4:$N$830,A56,未払予定一覧!$A$4:$A$830,"リゾート",未払予定一覧!$B$4:$B$830,"月次予定")</f>
        <v>0</v>
      </c>
      <c r="D56" s="20">
        <f t="shared" si="3"/>
        <v>0</v>
      </c>
      <c r="E56" s="20">
        <f t="shared" si="4"/>
        <v>5300120.6999999993</v>
      </c>
      <c r="F56" s="21">
        <f>SUMIFS(未払予定一覧!$O$4:$O$830,未払予定一覧!$N$4:$N$830,A56,未払予定一覧!$A$4:$A$830,"リゾート",未払予定一覧!$B$4:$B$830,"カード枠回復")</f>
        <v>0</v>
      </c>
      <c r="G56" s="122">
        <f t="shared" si="5"/>
        <v>10570120.699999999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SUMIFS(入金入力!$E$4:$E$580,入金入力!$B$4:$B$580,A57,入金入力!$A$4:$A$580,"リゾート")+SUMIFS(入金予測!$E$4:$E$603,入金予測!$A$4:$A$603,A57,入金予測!$B$4:$B$603,"リゾート")</f>
        <v>0</v>
      </c>
      <c r="C57" s="20">
        <f>SUMIFS(未払予定一覧!$O$4:$O$830,未払予定一覧!$N$4:$N$830,A57,未払予定一覧!$A$4:$A$830,"リゾート",未払予定一覧!$B$4:$B$830,"未払繰越")+SUMIFS(未払予定一覧!$O$4:$O$830,未払予定一覧!$N$4:$N$830,A57,未払予定一覧!$A$4:$A$830,"リゾート",未払予定一覧!$B$4:$B$830,"月次予定")</f>
        <v>0</v>
      </c>
      <c r="D57" s="20">
        <f t="shared" si="3"/>
        <v>0</v>
      </c>
      <c r="E57" s="20">
        <f t="shared" si="4"/>
        <v>5300120.6999999993</v>
      </c>
      <c r="F57" s="21">
        <f>SUMIFS(未払予定一覧!$O$4:$O$830,未払予定一覧!$N$4:$N$830,A57,未払予定一覧!$A$4:$A$830,"リゾート",未払予定一覧!$B$4:$B$830,"カード枠回復")</f>
        <v>0</v>
      </c>
      <c r="G57" s="122">
        <f t="shared" si="5"/>
        <v>10570120.699999999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SUMIFS(入金入力!$E$4:$E$580,入金入力!$B$4:$B$580,A58,入金入力!$A$4:$A$580,"リゾート")+SUMIFS(入金予測!$E$4:$E$603,入金予測!$A$4:$A$603,A58,入金予測!$B$4:$B$603,"リゾート")</f>
        <v>0</v>
      </c>
      <c r="C58" s="20">
        <f>SUMIFS(未払予定一覧!$O$4:$O$830,未払予定一覧!$N$4:$N$830,A58,未払予定一覧!$A$4:$A$830,"リゾート",未払予定一覧!$B$4:$B$830,"未払繰越")+SUMIFS(未払予定一覧!$O$4:$O$830,未払予定一覧!$N$4:$N$830,A58,未払予定一覧!$A$4:$A$830,"リゾート",未払予定一覧!$B$4:$B$830,"月次予定")</f>
        <v>0</v>
      </c>
      <c r="D58" s="20">
        <f t="shared" si="3"/>
        <v>0</v>
      </c>
      <c r="E58" s="20">
        <f t="shared" si="4"/>
        <v>5300120.6999999993</v>
      </c>
      <c r="F58" s="21">
        <f>SUMIFS(未払予定一覧!$O$4:$O$830,未払予定一覧!$N$4:$N$830,A58,未払予定一覧!$A$4:$A$830,"リゾート",未払予定一覧!$B$4:$B$830,"カード枠回復")</f>
        <v>0</v>
      </c>
      <c r="G58" s="122">
        <f t="shared" si="5"/>
        <v>10570120.699999999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SUMIFS(入金入力!$E$4:$E$580,入金入力!$B$4:$B$580,A59,入金入力!$A$4:$A$580,"リゾート")+SUMIFS(入金予測!$E$4:$E$603,入金予測!$A$4:$A$603,A59,入金予測!$B$4:$B$603,"リゾート")</f>
        <v>2920518.75</v>
      </c>
      <c r="C59" s="20">
        <f>SUMIFS(未払予定一覧!$O$4:$O$830,未払予定一覧!$N$4:$N$830,A59,未払予定一覧!$A$4:$A$830,"リゾート",未払予定一覧!$B$4:$B$830,"未払繰越")+SUMIFS(未払予定一覧!$O$4:$O$830,未払予定一覧!$N$4:$N$830,A59,未払予定一覧!$A$4:$A$830,"リゾート",未払予定一覧!$B$4:$B$830,"月次予定")</f>
        <v>0</v>
      </c>
      <c r="D59" s="20">
        <f t="shared" si="3"/>
        <v>2920518.75</v>
      </c>
      <c r="E59" s="20">
        <f t="shared" si="4"/>
        <v>8220639.4499999993</v>
      </c>
      <c r="F59" s="21">
        <f>SUMIFS(未払予定一覧!$O$4:$O$830,未払予定一覧!$N$4:$N$830,A59,未払予定一覧!$A$4:$A$830,"リゾート",未払予定一覧!$B$4:$B$830,"カード枠回復")</f>
        <v>0</v>
      </c>
      <c r="G59" s="122">
        <f t="shared" si="5"/>
        <v>13490639.449999999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SUMIFS(入金入力!$E$4:$E$580,入金入力!$B$4:$B$580,A60,入金入力!$A$4:$A$580,"リゾート")+SUMIFS(入金予測!$E$4:$E$603,入金予測!$A$4:$A$603,A60,入金予測!$B$4:$B$603,"リゾート")</f>
        <v>0</v>
      </c>
      <c r="C60" s="20">
        <f>SUMIFS(未払予定一覧!$O$4:$O$830,未払予定一覧!$N$4:$N$830,A60,未払予定一覧!$A$4:$A$830,"リゾート",未払予定一覧!$B$4:$B$830,"未払繰越")+SUMIFS(未払予定一覧!$O$4:$O$830,未払予定一覧!$N$4:$N$830,A60,未払予定一覧!$A$4:$A$830,"リゾート",未払予定一覧!$B$4:$B$830,"月次予定")</f>
        <v>0</v>
      </c>
      <c r="D60" s="20">
        <f t="shared" si="3"/>
        <v>0</v>
      </c>
      <c r="E60" s="20">
        <f t="shared" si="4"/>
        <v>8220639.4499999993</v>
      </c>
      <c r="F60" s="21">
        <f>SUMIFS(未払予定一覧!$O$4:$O$830,未払予定一覧!$N$4:$N$830,A60,未払予定一覧!$A$4:$A$830,"リゾート",未払予定一覧!$B$4:$B$830,"カード枠回復")</f>
        <v>0</v>
      </c>
      <c r="G60" s="122">
        <f t="shared" si="5"/>
        <v>13490639.449999999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SUMIFS(入金入力!$E$4:$E$580,入金入力!$B$4:$B$580,A61,入金入力!$A$4:$A$580,"リゾート")+SUMIFS(入金予測!$E$4:$E$603,入金予測!$A$4:$A$603,A61,入金予測!$B$4:$B$603,"リゾート")</f>
        <v>0</v>
      </c>
      <c r="C61" s="20">
        <f>SUMIFS(未払予定一覧!$O$4:$O$830,未払予定一覧!$N$4:$N$830,A61,未払予定一覧!$A$4:$A$830,"リゾート",未払予定一覧!$B$4:$B$830,"未払繰越")+SUMIFS(未払予定一覧!$O$4:$O$830,未払予定一覧!$N$4:$N$830,A61,未払予定一覧!$A$4:$A$830,"リゾート",未払予定一覧!$B$4:$B$830,"月次予定")</f>
        <v>0</v>
      </c>
      <c r="D61" s="20">
        <f t="shared" si="3"/>
        <v>0</v>
      </c>
      <c r="E61" s="20">
        <f t="shared" si="4"/>
        <v>8220639.4499999993</v>
      </c>
      <c r="F61" s="21">
        <f>SUMIFS(未払予定一覧!$O$4:$O$830,未払予定一覧!$N$4:$N$830,A61,未払予定一覧!$A$4:$A$830,"リゾート",未払予定一覧!$B$4:$B$830,"カード枠回復")</f>
        <v>0</v>
      </c>
      <c r="G61" s="122">
        <f t="shared" si="5"/>
        <v>13490639.449999999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SUMIFS(入金入力!$E$4:$E$580,入金入力!$B$4:$B$580,A62,入金入力!$A$4:$A$580,"リゾート")+SUMIFS(入金予測!$E$4:$E$603,入金予測!$A$4:$A$603,A62,入金予測!$B$4:$B$603,"リゾート")</f>
        <v>0</v>
      </c>
      <c r="C62" s="20">
        <f>SUMIFS(未払予定一覧!$O$4:$O$830,未払予定一覧!$N$4:$N$830,A62,未払予定一覧!$A$4:$A$830,"リゾート",未払予定一覧!$B$4:$B$830,"未払繰越")+SUMIFS(未払予定一覧!$O$4:$O$830,未払予定一覧!$N$4:$N$830,A62,未払予定一覧!$A$4:$A$830,"リゾート",未払予定一覧!$B$4:$B$830,"月次予定")</f>
        <v>0</v>
      </c>
      <c r="D62" s="20">
        <f t="shared" si="3"/>
        <v>0</v>
      </c>
      <c r="E62" s="20">
        <f t="shared" si="4"/>
        <v>8220639.4499999993</v>
      </c>
      <c r="F62" s="21">
        <f>SUMIFS(未払予定一覧!$O$4:$O$830,未払予定一覧!$N$4:$N$830,A62,未払予定一覧!$A$4:$A$830,"リゾート",未払予定一覧!$B$4:$B$830,"カード枠回復")</f>
        <v>0</v>
      </c>
      <c r="G62" s="122">
        <f t="shared" si="5"/>
        <v>13490639.449999999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SUMIFS(入金入力!$E$4:$E$580,入金入力!$B$4:$B$580,A63,入金入力!$A$4:$A$580,"リゾート")+SUMIFS(入金予測!$E$4:$E$603,入金予測!$A$4:$A$603,A63,入金予測!$B$4:$B$603,"リゾート")</f>
        <v>0</v>
      </c>
      <c r="C63" s="20">
        <f>SUMIFS(未払予定一覧!$O$4:$O$830,未払予定一覧!$N$4:$N$830,A63,未払予定一覧!$A$4:$A$830,"リゾート",未払予定一覧!$B$4:$B$830,"未払繰越")+SUMIFS(未払予定一覧!$O$4:$O$830,未払予定一覧!$N$4:$N$830,A63,未払予定一覧!$A$4:$A$830,"リゾート",未払予定一覧!$B$4:$B$830,"月次予定")</f>
        <v>608628</v>
      </c>
      <c r="D63" s="20">
        <f t="shared" si="3"/>
        <v>-608628</v>
      </c>
      <c r="E63" s="20">
        <f t="shared" si="4"/>
        <v>7612011.4499999993</v>
      </c>
      <c r="F63" s="21">
        <f>SUMIFS(未払予定一覧!$O$4:$O$830,未払予定一覧!$N$4:$N$830,A63,未払予定一覧!$A$4:$A$830,"リゾート",未払予定一覧!$B$4:$B$830,"カード枠回復")</f>
        <v>0</v>
      </c>
      <c r="G63" s="122">
        <f t="shared" si="5"/>
        <v>12882011.449999999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SUMIFS(入金入力!$E$4:$E$580,入金入力!$B$4:$B$580,A64,入金入力!$A$4:$A$580,"リゾート")+SUMIFS(入金予測!$E$4:$E$603,入金予測!$A$4:$A$603,A64,入金予測!$B$4:$B$603,"リゾート")</f>
        <v>0</v>
      </c>
      <c r="C64" s="20">
        <f>SUMIFS(未払予定一覧!$O$4:$O$830,未払予定一覧!$N$4:$N$830,A64,未払予定一覧!$A$4:$A$830,"リゾート",未払予定一覧!$B$4:$B$830,"未払繰越")+SUMIFS(未払予定一覧!$O$4:$O$830,未払予定一覧!$N$4:$N$830,A64,未払予定一覧!$A$4:$A$830,"リゾート",未払予定一覧!$B$4:$B$830,"月次予定")</f>
        <v>10795122</v>
      </c>
      <c r="D64" s="20">
        <f t="shared" si="3"/>
        <v>-10795122</v>
      </c>
      <c r="E64" s="20">
        <f t="shared" si="4"/>
        <v>-3183110.5500000007</v>
      </c>
      <c r="F64" s="21">
        <f>SUMIFS(未払予定一覧!$O$4:$O$830,未払予定一覧!$N$4:$N$830,A64,未払予定一覧!$A$4:$A$830,"リゾート",未払予定一覧!$B$4:$B$830,"カード枠回復")</f>
        <v>0</v>
      </c>
      <c r="G64" s="122">
        <f t="shared" si="5"/>
        <v>2086889.4499999993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SUMIFS(入金入力!$E$4:$E$580,入金入力!$B$4:$B$580,A65,入金入力!$A$4:$A$580,"リゾート")+SUMIFS(入金予測!$E$4:$E$603,入金予測!$A$4:$A$603,A65,入金予測!$B$4:$B$603,"リゾート")</f>
        <v>0</v>
      </c>
      <c r="C65" s="20">
        <f>SUMIFS(未払予定一覧!$O$4:$O$830,未払予定一覧!$N$4:$N$830,A65,未払予定一覧!$A$4:$A$830,"リゾート",未払予定一覧!$B$4:$B$830,"未払繰越")+SUMIFS(未払予定一覧!$O$4:$O$830,未払予定一覧!$N$4:$N$830,A65,未払予定一覧!$A$4:$A$830,"リゾート",未払予定一覧!$B$4:$B$830,"月次予定")</f>
        <v>0</v>
      </c>
      <c r="D65" s="20">
        <f t="shared" si="3"/>
        <v>0</v>
      </c>
      <c r="E65" s="20">
        <f t="shared" si="4"/>
        <v>-3183110.5500000007</v>
      </c>
      <c r="F65" s="21">
        <f>SUMIFS(未払予定一覧!$O$4:$O$830,未払予定一覧!$N$4:$N$830,A65,未払予定一覧!$A$4:$A$830,"リゾート",未払予定一覧!$B$4:$B$830,"カード枠回復")</f>
        <v>0</v>
      </c>
      <c r="G65" s="122">
        <f t="shared" si="5"/>
        <v>2086889.4499999993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SUMIFS(入金入力!$E$4:$E$580,入金入力!$B$4:$B$580,A66,入金入力!$A$4:$A$580,"リゾート")+SUMIFS(入金予測!$E$4:$E$603,入金予測!$A$4:$A$603,A66,入金予測!$B$4:$B$603,"リゾート")</f>
        <v>0</v>
      </c>
      <c r="C66" s="20">
        <f>SUMIFS(未払予定一覧!$O$4:$O$830,未払予定一覧!$N$4:$N$830,A66,未払予定一覧!$A$4:$A$830,"リゾート",未払予定一覧!$B$4:$B$830,"未払繰越")+SUMIFS(未払予定一覧!$O$4:$O$830,未払予定一覧!$N$4:$N$830,A66,未払予定一覧!$A$4:$A$830,"リゾート",未払予定一覧!$B$4:$B$830,"月次予定")</f>
        <v>944225</v>
      </c>
      <c r="D66" s="20">
        <f t="shared" si="3"/>
        <v>-944225</v>
      </c>
      <c r="E66" s="20">
        <f t="shared" si="4"/>
        <v>-4127335.5500000007</v>
      </c>
      <c r="F66" s="21">
        <f>SUMIFS(未払予定一覧!$O$4:$O$830,未払予定一覧!$N$4:$N$830,A66,未払予定一覧!$A$4:$A$830,"リゾート",未払予定一覧!$B$4:$B$830,"カード枠回復")</f>
        <v>0</v>
      </c>
      <c r="G66" s="122">
        <f t="shared" si="5"/>
        <v>1142664.4499999993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SUMIFS(入金入力!$E$4:$E$580,入金入力!$B$4:$B$580,A67,入金入力!$A$4:$A$580,"リゾート")+SUMIFS(入金予測!$E$4:$E$603,入金予測!$A$4:$A$603,A67,入金予測!$B$4:$B$603,"リゾート")</f>
        <v>0</v>
      </c>
      <c r="C67" s="20">
        <f>SUMIFS(未払予定一覧!$O$4:$O$830,未払予定一覧!$N$4:$N$830,A67,未払予定一覧!$A$4:$A$830,"リゾート",未払予定一覧!$B$4:$B$830,"未払繰越")+SUMIFS(未払予定一覧!$O$4:$O$830,未払予定一覧!$N$4:$N$830,A67,未払予定一覧!$A$4:$A$830,"リゾート",未払予定一覧!$B$4:$B$830,"月次予定")</f>
        <v>13282890</v>
      </c>
      <c r="D67" s="20">
        <f t="shared" si="3"/>
        <v>-13282890</v>
      </c>
      <c r="E67" s="20">
        <f t="shared" si="4"/>
        <v>-17410225.550000001</v>
      </c>
      <c r="F67" s="21">
        <f>SUMIFS(未払予定一覧!$O$4:$O$830,未払予定一覧!$N$4:$N$830,A67,未払予定一覧!$A$4:$A$830,"リゾート",未払予定一覧!$B$4:$B$830,"カード枠回復")</f>
        <v>0</v>
      </c>
      <c r="G67" s="122">
        <f t="shared" si="5"/>
        <v>-12140225.550000001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SUMIFS(入金入力!$E$4:$E$580,入金入力!$B$4:$B$580,A68,入金入力!$A$4:$A$580,"リゾート")+SUMIFS(入金予測!$E$4:$E$603,入金予測!$A$4:$A$603,A68,入金予測!$B$4:$B$603,"リゾート")</f>
        <v>0</v>
      </c>
      <c r="C68" s="20">
        <f>SUMIFS(未払予定一覧!$O$4:$O$830,未払予定一覧!$N$4:$N$830,A68,未払予定一覧!$A$4:$A$830,"リゾート",未払予定一覧!$B$4:$B$830,"未払繰越")+SUMIFS(未払予定一覧!$O$4:$O$830,未払予定一覧!$N$4:$N$830,A68,未払予定一覧!$A$4:$A$830,"リゾート",未払予定一覧!$B$4:$B$830,"月次予定")</f>
        <v>0</v>
      </c>
      <c r="D68" s="20">
        <f t="shared" si="3"/>
        <v>0</v>
      </c>
      <c r="E68" s="20">
        <f t="shared" si="4"/>
        <v>-17410225.550000001</v>
      </c>
      <c r="F68" s="21">
        <f>SUMIFS(未払予定一覧!$O$4:$O$830,未払予定一覧!$N$4:$N$830,A68,未払予定一覧!$A$4:$A$830,"リゾート",未払予定一覧!$B$4:$B$830,"カード枠回復")</f>
        <v>0</v>
      </c>
      <c r="G68" s="122">
        <f t="shared" si="5"/>
        <v>-12140225.550000001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SUMIFS(入金入力!$E$4:$E$580,入金入力!$B$4:$B$580,A69,入金入力!$A$4:$A$580,"リゾート")+SUMIFS(入金予測!$E$4:$E$603,入金予測!$A$4:$A$603,A69,入金予測!$B$4:$B$603,"リゾート")</f>
        <v>0</v>
      </c>
      <c r="C69" s="20">
        <f>SUMIFS(未払予定一覧!$O$4:$O$830,未払予定一覧!$N$4:$N$830,A69,未払予定一覧!$A$4:$A$830,"リゾート",未払予定一覧!$B$4:$B$830,"未払繰越")+SUMIFS(未払予定一覧!$O$4:$O$830,未払予定一覧!$N$4:$N$830,A69,未払予定一覧!$A$4:$A$830,"リゾート",未払予定一覧!$B$4:$B$830,"月次予定")</f>
        <v>2753695</v>
      </c>
      <c r="D69" s="20">
        <f t="shared" si="3"/>
        <v>-2753695</v>
      </c>
      <c r="E69" s="20">
        <f t="shared" si="4"/>
        <v>-20163920.550000001</v>
      </c>
      <c r="F69" s="21">
        <f>SUMIFS(未払予定一覧!$O$4:$O$830,未払予定一覧!$N$4:$N$830,A69,未払予定一覧!$A$4:$A$830,"リゾート",未払予定一覧!$B$4:$B$830,"カード枠回復")</f>
        <v>0</v>
      </c>
      <c r="G69" s="122">
        <f t="shared" si="5"/>
        <v>-14893920.550000001</v>
      </c>
      <c r="H69" s="123"/>
    </row>
    <row r="70" spans="1:8" ht="15" customHeight="1">
      <c r="A70" s="23" t="s">
        <v>693</v>
      </c>
      <c r="B70" s="24">
        <f>SUM(B40:B69)</f>
        <v>25595863.5</v>
      </c>
      <c r="C70" s="24">
        <f>SUM(C40:C69)</f>
        <v>30740710</v>
      </c>
      <c r="D70" s="24">
        <f t="shared" si="3"/>
        <v>-5144846.5</v>
      </c>
      <c r="E70" s="24">
        <f>E69</f>
        <v>-20163920.550000001</v>
      </c>
      <c r="F70" s="24">
        <f>SUM(F40:F69)</f>
        <v>0</v>
      </c>
      <c r="G70" s="24">
        <f>G69</f>
        <v>-14893920.550000001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SUMIFS(入金入力!$E$4:$E$580,入金入力!$B$4:$B$580,A73,入金入力!$A$4:$A$580,"リゾート")+SUMIFS(入金予測!$E$4:$E$603,入金予測!$A$4:$A$603,A73,入金予測!$B$4:$B$603,"リゾート")</f>
        <v>0</v>
      </c>
      <c r="C73" s="20">
        <f>SUMIFS(未払予定一覧!$O$4:$O$830,未払予定一覧!$N$4:$N$830,A73,未払予定一覧!$A$4:$A$830,"リゾート",未払予定一覧!$B$4:$B$830,"未払繰越")+SUMIFS(未払予定一覧!$O$4:$O$830,未払予定一覧!$N$4:$N$830,A73,未払予定一覧!$A$4:$A$830,"リゾート",未払予定一覧!$B$4:$B$830,"月次予定")</f>
        <v>0</v>
      </c>
      <c r="D73" s="20">
        <f t="shared" ref="D73:D104" si="6">B73-C73-F73</f>
        <v>0</v>
      </c>
      <c r="E73" s="20">
        <f>E70+D73</f>
        <v>-20163920.550000001</v>
      </c>
      <c r="F73" s="21">
        <f>SUMIFS(未払予定一覧!$O$4:$O$830,未払予定一覧!$N$4:$N$830,A73,未払予定一覧!$A$4:$A$830,"リゾート",未払予定一覧!$B$4:$B$830,"カード枠回復")</f>
        <v>0</v>
      </c>
      <c r="G73" s="122">
        <f>G70+D73+F73</f>
        <v>-14893920.550000001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SUMIFS(入金入力!$E$4:$E$580,入金入力!$B$4:$B$580,A74,入金入力!$A$4:$A$580,"リゾート")+SUMIFS(入金予測!$E$4:$E$603,入金予測!$A$4:$A$603,A74,入金予測!$B$4:$B$603,"リゾート")</f>
        <v>0</v>
      </c>
      <c r="C74" s="20">
        <f>SUMIFS(未払予定一覧!$O$4:$O$830,未払予定一覧!$N$4:$N$830,A74,未払予定一覧!$A$4:$A$830,"リゾート",未払予定一覧!$B$4:$B$830,"未払繰越")+SUMIFS(未払予定一覧!$O$4:$O$830,未払予定一覧!$N$4:$N$830,A74,未払予定一覧!$A$4:$A$830,"リゾート",未払予定一覧!$B$4:$B$830,"月次予定")</f>
        <v>0</v>
      </c>
      <c r="D74" s="20">
        <f t="shared" si="6"/>
        <v>0</v>
      </c>
      <c r="E74" s="20">
        <f t="shared" ref="E74:E103" si="7">E73+D74</f>
        <v>-20163920.550000001</v>
      </c>
      <c r="F74" s="21">
        <f>SUMIFS(未払予定一覧!$O$4:$O$830,未払予定一覧!$N$4:$N$830,A74,未払予定一覧!$A$4:$A$830,"リゾート",未払予定一覧!$B$4:$B$830,"カード枠回復")</f>
        <v>0</v>
      </c>
      <c r="G74" s="122">
        <f t="shared" ref="G74:G103" si="8">G73+D74+F74</f>
        <v>-14893920.550000001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SUMIFS(入金入力!$E$4:$E$580,入金入力!$B$4:$B$580,A75,入金入力!$A$4:$A$580,"リゾート")+SUMIFS(入金予測!$E$4:$E$603,入金予測!$A$4:$A$603,A75,入金予測!$B$4:$B$603,"リゾート")</f>
        <v>0</v>
      </c>
      <c r="C75" s="20">
        <f>SUMIFS(未払予定一覧!$O$4:$O$830,未払予定一覧!$N$4:$N$830,A75,未払予定一覧!$A$4:$A$830,"リゾート",未払予定一覧!$B$4:$B$830,"未払繰越")+SUMIFS(未払予定一覧!$O$4:$O$830,未払予定一覧!$N$4:$N$830,A75,未払予定一覧!$A$4:$A$830,"リゾート",未払予定一覧!$B$4:$B$830,"月次予定")</f>
        <v>800000</v>
      </c>
      <c r="D75" s="20">
        <f t="shared" si="6"/>
        <v>-800000</v>
      </c>
      <c r="E75" s="20">
        <f t="shared" si="7"/>
        <v>-20963920.550000001</v>
      </c>
      <c r="F75" s="21">
        <f>SUMIFS(未払予定一覧!$O$4:$O$830,未払予定一覧!$N$4:$N$830,A75,未払予定一覧!$A$4:$A$830,"リゾート",未払予定一覧!$B$4:$B$830,"カード枠回復")</f>
        <v>0</v>
      </c>
      <c r="G75" s="122">
        <f t="shared" si="8"/>
        <v>-15693920.550000001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SUMIFS(入金入力!$E$4:$E$580,入金入力!$B$4:$B$580,A76,入金入力!$A$4:$A$580,"リゾート")+SUMIFS(入金予測!$E$4:$E$603,入金予測!$A$4:$A$603,A76,入金予測!$B$4:$B$603,"リゾート")</f>
        <v>0</v>
      </c>
      <c r="C76" s="20">
        <f>SUMIFS(未払予定一覧!$O$4:$O$830,未払予定一覧!$N$4:$N$830,A76,未払予定一覧!$A$4:$A$830,"リゾート",未払予定一覧!$B$4:$B$830,"未払繰越")+SUMIFS(未払予定一覧!$O$4:$O$830,未払予定一覧!$N$4:$N$830,A76,未払予定一覧!$A$4:$A$830,"リゾート",未払予定一覧!$B$4:$B$830,"月次予定")</f>
        <v>0</v>
      </c>
      <c r="D76" s="20">
        <f t="shared" si="6"/>
        <v>0</v>
      </c>
      <c r="E76" s="20">
        <f t="shared" si="7"/>
        <v>-20963920.550000001</v>
      </c>
      <c r="F76" s="21">
        <f>SUMIFS(未払予定一覧!$O$4:$O$830,未払予定一覧!$N$4:$N$830,A76,未払予定一覧!$A$4:$A$830,"リゾート",未払予定一覧!$B$4:$B$830,"カード枠回復")</f>
        <v>0</v>
      </c>
      <c r="G76" s="122">
        <f t="shared" si="8"/>
        <v>-15693920.550000001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SUMIFS(入金入力!$E$4:$E$580,入金入力!$B$4:$B$580,A77,入金入力!$A$4:$A$580,"リゾート")+SUMIFS(入金予測!$E$4:$E$603,入金予測!$A$4:$A$603,A77,入金予測!$B$4:$B$603,"リゾート")</f>
        <v>0</v>
      </c>
      <c r="C77" s="20">
        <f>SUMIFS(未払予定一覧!$O$4:$O$830,未払予定一覧!$N$4:$N$830,A77,未払予定一覧!$A$4:$A$830,"リゾート",未払予定一覧!$B$4:$B$830,"未払繰越")+SUMIFS(未払予定一覧!$O$4:$O$830,未払予定一覧!$N$4:$N$830,A77,未払予定一覧!$A$4:$A$830,"リゾート",未払予定一覧!$B$4:$B$830,"月次予定")</f>
        <v>0</v>
      </c>
      <c r="D77" s="20">
        <f t="shared" si="6"/>
        <v>0</v>
      </c>
      <c r="E77" s="20">
        <f t="shared" si="7"/>
        <v>-20963920.550000001</v>
      </c>
      <c r="F77" s="21">
        <f>SUMIFS(未払予定一覧!$O$4:$O$830,未払予定一覧!$N$4:$N$830,A77,未払予定一覧!$A$4:$A$830,"リゾート",未払予定一覧!$B$4:$B$830,"カード枠回復")</f>
        <v>0</v>
      </c>
      <c r="G77" s="122">
        <f t="shared" si="8"/>
        <v>-15693920.550000001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SUMIFS(入金入力!$E$4:$E$580,入金入力!$B$4:$B$580,A78,入金入力!$A$4:$A$580,"リゾート")+SUMIFS(入金予測!$E$4:$E$603,入金予測!$A$4:$A$603,A78,入金予測!$B$4:$B$603,"リゾート")</f>
        <v>0</v>
      </c>
      <c r="C78" s="20">
        <f>SUMIFS(未払予定一覧!$O$4:$O$830,未払予定一覧!$N$4:$N$830,A78,未払予定一覧!$A$4:$A$830,"リゾート",未払予定一覧!$B$4:$B$830,"未払繰越")+SUMIFS(未払予定一覧!$O$4:$O$830,未払予定一覧!$N$4:$N$830,A78,未払予定一覧!$A$4:$A$830,"リゾート",未払予定一覧!$B$4:$B$830,"月次予定")</f>
        <v>380771</v>
      </c>
      <c r="D78" s="20">
        <f t="shared" si="6"/>
        <v>-380771</v>
      </c>
      <c r="E78" s="20">
        <f t="shared" si="7"/>
        <v>-21344691.550000001</v>
      </c>
      <c r="F78" s="21">
        <f>SUMIFS(未払予定一覧!$O$4:$O$830,未払予定一覧!$N$4:$N$830,A78,未払予定一覧!$A$4:$A$830,"リゾート",未払予定一覧!$B$4:$B$830,"カード枠回復")</f>
        <v>0</v>
      </c>
      <c r="G78" s="122">
        <f t="shared" si="8"/>
        <v>-16074691.550000001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SUMIFS(入金入力!$E$4:$E$580,入金入力!$B$4:$B$580,A79,入金入力!$A$4:$A$580,"リゾート")+SUMIFS(入金予測!$E$4:$E$603,入金予測!$A$4:$A$603,A79,入金予測!$B$4:$B$603,"リゾート")</f>
        <v>0</v>
      </c>
      <c r="C79" s="20">
        <f>SUMIFS(未払予定一覧!$O$4:$O$830,未払予定一覧!$N$4:$N$830,A79,未払予定一覧!$A$4:$A$830,"リゾート",未払予定一覧!$B$4:$B$830,"未払繰越")+SUMIFS(未払予定一覧!$O$4:$O$830,未払予定一覧!$N$4:$N$830,A79,未払予定一覧!$A$4:$A$830,"リゾート",未払予定一覧!$B$4:$B$830,"月次予定")</f>
        <v>0</v>
      </c>
      <c r="D79" s="20">
        <f t="shared" si="6"/>
        <v>0</v>
      </c>
      <c r="E79" s="20">
        <f t="shared" si="7"/>
        <v>-21344691.550000001</v>
      </c>
      <c r="F79" s="21">
        <f>SUMIFS(未払予定一覧!$O$4:$O$830,未払予定一覧!$N$4:$N$830,A79,未払予定一覧!$A$4:$A$830,"リゾート",未払予定一覧!$B$4:$B$830,"カード枠回復")</f>
        <v>0</v>
      </c>
      <c r="G79" s="122">
        <f t="shared" si="8"/>
        <v>-16074691.550000001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SUMIFS(入金入力!$E$4:$E$580,入金入力!$B$4:$B$580,A80,入金入力!$A$4:$A$580,"リゾート")+SUMIFS(入金予測!$E$4:$E$603,入金予測!$A$4:$A$603,A80,入金予測!$B$4:$B$603,"リゾート")</f>
        <v>0</v>
      </c>
      <c r="C80" s="20">
        <f>SUMIFS(未払予定一覧!$O$4:$O$830,未払予定一覧!$N$4:$N$830,A80,未払予定一覧!$A$4:$A$830,"リゾート",未払予定一覧!$B$4:$B$830,"未払繰越")+SUMIFS(未払予定一覧!$O$4:$O$830,未払予定一覧!$N$4:$N$830,A80,未払予定一覧!$A$4:$A$830,"リゾート",未払予定一覧!$B$4:$B$830,"月次予定")</f>
        <v>22550</v>
      </c>
      <c r="D80" s="20">
        <f t="shared" si="6"/>
        <v>-22550</v>
      </c>
      <c r="E80" s="20">
        <f t="shared" si="7"/>
        <v>-21367241.550000001</v>
      </c>
      <c r="F80" s="21">
        <f>SUMIFS(未払予定一覧!$O$4:$O$830,未払予定一覧!$N$4:$N$830,A80,未払予定一覧!$A$4:$A$830,"リゾート",未払予定一覧!$B$4:$B$830,"カード枠回復")</f>
        <v>0</v>
      </c>
      <c r="G80" s="122">
        <f t="shared" si="8"/>
        <v>-16097241.550000001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SUMIFS(入金入力!$E$4:$E$580,入金入力!$B$4:$B$580,A81,入金入力!$A$4:$A$580,"リゾート")+SUMIFS(入金予測!$E$4:$E$603,入金予測!$A$4:$A$603,A81,入金予測!$B$4:$B$603,"リゾート")</f>
        <v>0</v>
      </c>
      <c r="C81" s="20">
        <f>SUMIFS(未払予定一覧!$O$4:$O$830,未払予定一覧!$N$4:$N$830,A81,未払予定一覧!$A$4:$A$830,"リゾート",未払予定一覧!$B$4:$B$830,"未払繰越")+SUMIFS(未払予定一覧!$O$4:$O$830,未払予定一覧!$N$4:$N$830,A81,未払予定一覧!$A$4:$A$830,"リゾート",未払予定一覧!$B$4:$B$830,"月次予定")</f>
        <v>880</v>
      </c>
      <c r="D81" s="20">
        <f t="shared" si="6"/>
        <v>-880</v>
      </c>
      <c r="E81" s="20">
        <f t="shared" si="7"/>
        <v>-21368121.550000001</v>
      </c>
      <c r="F81" s="21">
        <f>SUMIFS(未払予定一覧!$O$4:$O$830,未払予定一覧!$N$4:$N$830,A81,未払予定一覧!$A$4:$A$830,"リゾート",未払予定一覧!$B$4:$B$830,"カード枠回復")</f>
        <v>0</v>
      </c>
      <c r="G81" s="122">
        <f t="shared" si="8"/>
        <v>-16098121.550000001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SUMIFS(入金入力!$E$4:$E$580,入金入力!$B$4:$B$580,A82,入金入力!$A$4:$A$580,"リゾート")+SUMIFS(入金予測!$E$4:$E$603,入金予測!$A$4:$A$603,A82,入金予測!$B$4:$B$603,"リゾート")</f>
        <v>14602593.75</v>
      </c>
      <c r="C82" s="20">
        <f>SUMIFS(未払予定一覧!$O$4:$O$830,未払予定一覧!$N$4:$N$830,A82,未払予定一覧!$A$4:$A$830,"リゾート",未払予定一覧!$B$4:$B$830,"未払繰越")+SUMIFS(未払予定一覧!$O$4:$O$830,未払予定一覧!$N$4:$N$830,A82,未払予定一覧!$A$4:$A$830,"リゾート",未払予定一覧!$B$4:$B$830,"月次予定")</f>
        <v>28197</v>
      </c>
      <c r="D82" s="20">
        <f t="shared" si="6"/>
        <v>14574396.75</v>
      </c>
      <c r="E82" s="20">
        <f t="shared" si="7"/>
        <v>-6793724.8000000007</v>
      </c>
      <c r="F82" s="21">
        <f>SUMIFS(未払予定一覧!$O$4:$O$830,未払予定一覧!$N$4:$N$830,A82,未払予定一覧!$A$4:$A$830,"リゾート",未払予定一覧!$B$4:$B$830,"カード枠回復")</f>
        <v>0</v>
      </c>
      <c r="G82" s="122">
        <f t="shared" si="8"/>
        <v>-1523724.8000000007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SUMIFS(入金入力!$E$4:$E$580,入金入力!$B$4:$B$580,A83,入金入力!$A$4:$A$580,"リゾート")+SUMIFS(入金予測!$E$4:$E$603,入金予測!$A$4:$A$603,A83,入金予測!$B$4:$B$603,"リゾート")</f>
        <v>0</v>
      </c>
      <c r="C83" s="20">
        <f>SUMIFS(未払予定一覧!$O$4:$O$830,未払予定一覧!$N$4:$N$830,A83,未払予定一覧!$A$4:$A$830,"リゾート",未払予定一覧!$B$4:$B$830,"未払繰越")+SUMIFS(未払予定一覧!$O$4:$O$830,未払予定一覧!$N$4:$N$830,A83,未払予定一覧!$A$4:$A$830,"リゾート",未払予定一覧!$B$4:$B$830,"月次予定")</f>
        <v>0</v>
      </c>
      <c r="D83" s="20">
        <f t="shared" si="6"/>
        <v>0</v>
      </c>
      <c r="E83" s="20">
        <f t="shared" si="7"/>
        <v>-6793724.8000000007</v>
      </c>
      <c r="F83" s="21">
        <f>SUMIFS(未払予定一覧!$O$4:$O$830,未払予定一覧!$N$4:$N$830,A83,未払予定一覧!$A$4:$A$830,"リゾート",未払予定一覧!$B$4:$B$830,"カード枠回復")</f>
        <v>0</v>
      </c>
      <c r="G83" s="122">
        <f t="shared" si="8"/>
        <v>-1523724.8000000007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SUMIFS(入金入力!$E$4:$E$580,入金入力!$B$4:$B$580,A84,入金入力!$A$4:$A$580,"リゾート")+SUMIFS(入金予測!$E$4:$E$603,入金予測!$A$4:$A$603,A84,入金予測!$B$4:$B$603,"リゾート")</f>
        <v>0</v>
      </c>
      <c r="C84" s="20">
        <f>SUMIFS(未払予定一覧!$O$4:$O$830,未払予定一覧!$N$4:$N$830,A84,未払予定一覧!$A$4:$A$830,"リゾート",未払予定一覧!$B$4:$B$830,"未払繰越")+SUMIFS(未払予定一覧!$O$4:$O$830,未払予定一覧!$N$4:$N$830,A84,未払予定一覧!$A$4:$A$830,"リゾート",未払予定一覧!$B$4:$B$830,"月次予定")</f>
        <v>0</v>
      </c>
      <c r="D84" s="20">
        <f t="shared" si="6"/>
        <v>0</v>
      </c>
      <c r="E84" s="20">
        <f t="shared" si="7"/>
        <v>-6793724.8000000007</v>
      </c>
      <c r="F84" s="21">
        <f>SUMIFS(未払予定一覧!$O$4:$O$830,未払予定一覧!$N$4:$N$830,A84,未払予定一覧!$A$4:$A$830,"リゾート",未払予定一覧!$B$4:$B$830,"カード枠回復")</f>
        <v>0</v>
      </c>
      <c r="G84" s="122">
        <f t="shared" si="8"/>
        <v>-1523724.8000000007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SUMIFS(入金入力!$E$4:$E$580,入金入力!$B$4:$B$580,A85,入金入力!$A$4:$A$580,"リゾート")+SUMIFS(入金予測!$E$4:$E$603,入金予測!$A$4:$A$603,A85,入金予測!$B$4:$B$603,"リゾート")</f>
        <v>0</v>
      </c>
      <c r="C85" s="20">
        <f>SUMIFS(未払予定一覧!$O$4:$O$830,未払予定一覧!$N$4:$N$830,A85,未払予定一覧!$A$4:$A$830,"リゾート",未払予定一覧!$B$4:$B$830,"未払繰越")+SUMIFS(未払予定一覧!$O$4:$O$830,未払予定一覧!$N$4:$N$830,A85,未払予定一覧!$A$4:$A$830,"リゾート",未払予定一覧!$B$4:$B$830,"月次予定")</f>
        <v>114777</v>
      </c>
      <c r="D85" s="20">
        <f t="shared" si="6"/>
        <v>-114777</v>
      </c>
      <c r="E85" s="20">
        <f t="shared" si="7"/>
        <v>-6908501.8000000007</v>
      </c>
      <c r="F85" s="21">
        <f>SUMIFS(未払予定一覧!$O$4:$O$830,未払予定一覧!$N$4:$N$830,A85,未払予定一覧!$A$4:$A$830,"リゾート",未払予定一覧!$B$4:$B$830,"カード枠回復")</f>
        <v>0</v>
      </c>
      <c r="G85" s="122">
        <f t="shared" si="8"/>
        <v>-1638501.8000000007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SUMIFS(入金入力!$E$4:$E$580,入金入力!$B$4:$B$580,A86,入金入力!$A$4:$A$580,"リゾート")+SUMIFS(入金予測!$E$4:$E$603,入金予測!$A$4:$A$603,A86,入金予測!$B$4:$B$603,"リゾート")</f>
        <v>0</v>
      </c>
      <c r="C86" s="20">
        <f>SUMIFS(未払予定一覧!$O$4:$O$830,未払予定一覧!$N$4:$N$830,A86,未払予定一覧!$A$4:$A$830,"リゾート",未払予定一覧!$B$4:$B$830,"未払繰越")+SUMIFS(未払予定一覧!$O$4:$O$830,未払予定一覧!$N$4:$N$830,A86,未払予定一覧!$A$4:$A$830,"リゾート",未払予定一覧!$B$4:$B$830,"月次予定")</f>
        <v>0</v>
      </c>
      <c r="D86" s="20">
        <f t="shared" si="6"/>
        <v>0</v>
      </c>
      <c r="E86" s="20">
        <f t="shared" si="7"/>
        <v>-6908501.8000000007</v>
      </c>
      <c r="F86" s="21">
        <f>SUMIFS(未払予定一覧!$O$4:$O$830,未払予定一覧!$N$4:$N$830,A86,未払予定一覧!$A$4:$A$830,"リゾート",未払予定一覧!$B$4:$B$830,"カード枠回復")</f>
        <v>0</v>
      </c>
      <c r="G86" s="122">
        <f t="shared" si="8"/>
        <v>-1638501.8000000007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SUMIFS(入金入力!$E$4:$E$580,入金入力!$B$4:$B$580,A87,入金入力!$A$4:$A$580,"リゾート")+SUMIFS(入金予測!$E$4:$E$603,入金予測!$A$4:$A$603,A87,入金予測!$B$4:$B$603,"リゾート")</f>
        <v>1388954</v>
      </c>
      <c r="C87" s="20">
        <f>SUMIFS(未払予定一覧!$O$4:$O$830,未払予定一覧!$N$4:$N$830,A87,未払予定一覧!$A$4:$A$830,"リゾート",未払予定一覧!$B$4:$B$830,"未払繰越")+SUMIFS(未払予定一覧!$O$4:$O$830,未払予定一覧!$N$4:$N$830,A87,未払予定一覧!$A$4:$A$830,"リゾート",未払予定一覧!$B$4:$B$830,"月次予定")</f>
        <v>1008975</v>
      </c>
      <c r="D87" s="20">
        <f t="shared" si="6"/>
        <v>379979</v>
      </c>
      <c r="E87" s="20">
        <f t="shared" si="7"/>
        <v>-6528522.8000000007</v>
      </c>
      <c r="F87" s="21">
        <f>SUMIFS(未払予定一覧!$O$4:$O$830,未払予定一覧!$N$4:$N$830,A87,未払予定一覧!$A$4:$A$830,"リゾート",未払予定一覧!$B$4:$B$830,"カード枠回復")</f>
        <v>0</v>
      </c>
      <c r="G87" s="122">
        <f t="shared" si="8"/>
        <v>-1258522.8000000007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SUMIFS(入金入力!$E$4:$E$580,入金入力!$B$4:$B$580,A88,入金入力!$A$4:$A$580,"リゾート")+SUMIFS(入金予測!$E$4:$E$603,入金予測!$A$4:$A$603,A88,入金予測!$B$4:$B$603,"リゾート")</f>
        <v>0</v>
      </c>
      <c r="C88" s="20">
        <f>SUMIFS(未払予定一覧!$O$4:$O$830,未払予定一覧!$N$4:$N$830,A88,未払予定一覧!$A$4:$A$830,"リゾート",未払予定一覧!$B$4:$B$830,"未払繰越")+SUMIFS(未払予定一覧!$O$4:$O$830,未払予定一覧!$N$4:$N$830,A88,未払予定一覧!$A$4:$A$830,"リゾート",未払予定一覧!$B$4:$B$830,"月次予定")</f>
        <v>0</v>
      </c>
      <c r="D88" s="20">
        <f t="shared" si="6"/>
        <v>0</v>
      </c>
      <c r="E88" s="20">
        <f t="shared" si="7"/>
        <v>-6528522.8000000007</v>
      </c>
      <c r="F88" s="21">
        <f>SUMIFS(未払予定一覧!$O$4:$O$830,未払予定一覧!$N$4:$N$830,A88,未払予定一覧!$A$4:$A$830,"リゾート",未払予定一覧!$B$4:$B$830,"カード枠回復")</f>
        <v>0</v>
      </c>
      <c r="G88" s="122">
        <f t="shared" si="8"/>
        <v>-1258522.8000000007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SUMIFS(入金入力!$E$4:$E$580,入金入力!$B$4:$B$580,A89,入金入力!$A$4:$A$580,"リゾート")+SUMIFS(入金予測!$E$4:$E$603,入金予測!$A$4:$A$603,A89,入金予測!$B$4:$B$603,"リゾート")</f>
        <v>0</v>
      </c>
      <c r="C89" s="20">
        <f>SUMIFS(未払予定一覧!$O$4:$O$830,未払予定一覧!$N$4:$N$830,A89,未払予定一覧!$A$4:$A$830,"リゾート",未払予定一覧!$B$4:$B$830,"未払繰越")+SUMIFS(未払予定一覧!$O$4:$O$830,未払予定一覧!$N$4:$N$830,A89,未払予定一覧!$A$4:$A$830,"リゾート",未払予定一覧!$B$4:$B$830,"月次予定")</f>
        <v>0</v>
      </c>
      <c r="D89" s="20">
        <f t="shared" si="6"/>
        <v>0</v>
      </c>
      <c r="E89" s="20">
        <f t="shared" si="7"/>
        <v>-6528522.8000000007</v>
      </c>
      <c r="F89" s="21">
        <f>SUMIFS(未払予定一覧!$O$4:$O$830,未払予定一覧!$N$4:$N$830,A89,未払予定一覧!$A$4:$A$830,"リゾート",未払予定一覧!$B$4:$B$830,"カード枠回復")</f>
        <v>0</v>
      </c>
      <c r="G89" s="122">
        <f t="shared" si="8"/>
        <v>-1258522.8000000007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SUMIFS(入金入力!$E$4:$E$580,入金入力!$B$4:$B$580,A90,入金入力!$A$4:$A$580,"リゾート")+SUMIFS(入金予測!$E$4:$E$603,入金予測!$A$4:$A$603,A90,入金予測!$B$4:$B$603,"リゾート")</f>
        <v>0</v>
      </c>
      <c r="C90" s="20">
        <f>SUMIFS(未払予定一覧!$O$4:$O$830,未払予定一覧!$N$4:$N$830,A90,未払予定一覧!$A$4:$A$830,"リゾート",未払予定一覧!$B$4:$B$830,"未払繰越")+SUMIFS(未払予定一覧!$O$4:$O$830,未払予定一覧!$N$4:$N$830,A90,未払予定一覧!$A$4:$A$830,"リゾート",未払予定一覧!$B$4:$B$830,"月次予定")</f>
        <v>0</v>
      </c>
      <c r="D90" s="20">
        <f t="shared" si="6"/>
        <v>0</v>
      </c>
      <c r="E90" s="20">
        <f t="shared" si="7"/>
        <v>-6528522.8000000007</v>
      </c>
      <c r="F90" s="21">
        <f>SUMIFS(未払予定一覧!$O$4:$O$830,未払予定一覧!$N$4:$N$830,A90,未払予定一覧!$A$4:$A$830,"リゾート",未払予定一覧!$B$4:$B$830,"カード枠回復")</f>
        <v>0</v>
      </c>
      <c r="G90" s="122">
        <f t="shared" si="8"/>
        <v>-1258522.8000000007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SUMIFS(入金入力!$E$4:$E$580,入金入力!$B$4:$B$580,A91,入金入力!$A$4:$A$580,"リゾート")+SUMIFS(入金予測!$E$4:$E$603,入金予測!$A$4:$A$603,A91,入金予測!$B$4:$B$603,"リゾート")</f>
        <v>0</v>
      </c>
      <c r="C91" s="20">
        <f>SUMIFS(未払予定一覧!$O$4:$O$830,未払予定一覧!$N$4:$N$830,A91,未払予定一覧!$A$4:$A$830,"リゾート",未払予定一覧!$B$4:$B$830,"未払繰越")+SUMIFS(未払予定一覧!$O$4:$O$830,未払予定一覧!$N$4:$N$830,A91,未払予定一覧!$A$4:$A$830,"リゾート",未払予定一覧!$B$4:$B$830,"月次予定")</f>
        <v>0</v>
      </c>
      <c r="D91" s="20">
        <f t="shared" si="6"/>
        <v>0</v>
      </c>
      <c r="E91" s="20">
        <f t="shared" si="7"/>
        <v>-6528522.8000000007</v>
      </c>
      <c r="F91" s="21">
        <f>SUMIFS(未払予定一覧!$O$4:$O$830,未払予定一覧!$N$4:$N$830,A91,未払予定一覧!$A$4:$A$830,"リゾート",未払予定一覧!$B$4:$B$830,"カード枠回復")</f>
        <v>0</v>
      </c>
      <c r="G91" s="122">
        <f t="shared" si="8"/>
        <v>-1258522.8000000007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SUMIFS(入金入力!$E$4:$E$580,入金入力!$B$4:$B$580,A92,入金入力!$A$4:$A$580,"リゾート")+SUMIFS(入金予測!$E$4:$E$603,入金予測!$A$4:$A$603,A92,入金予測!$B$4:$B$603,"リゾート")</f>
        <v>4347531.75</v>
      </c>
      <c r="C92" s="20">
        <f>SUMIFS(未払予定一覧!$O$4:$O$830,未払予定一覧!$N$4:$N$830,A92,未払予定一覧!$A$4:$A$830,"リゾート",未払予定一覧!$B$4:$B$830,"未払繰越")+SUMIFS(未払予定一覧!$O$4:$O$830,未払予定一覧!$N$4:$N$830,A92,未払予定一覧!$A$4:$A$830,"リゾート",未払予定一覧!$B$4:$B$830,"月次予定")</f>
        <v>0</v>
      </c>
      <c r="D92" s="20">
        <f t="shared" si="6"/>
        <v>4347531.75</v>
      </c>
      <c r="E92" s="20">
        <f t="shared" si="7"/>
        <v>-2180991.0500000007</v>
      </c>
      <c r="F92" s="21">
        <f>SUMIFS(未払予定一覧!$O$4:$O$830,未払予定一覧!$N$4:$N$830,A92,未払予定一覧!$A$4:$A$830,"リゾート",未払予定一覧!$B$4:$B$830,"カード枠回復")</f>
        <v>0</v>
      </c>
      <c r="G92" s="122">
        <f t="shared" si="8"/>
        <v>3089008.9499999993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SUMIFS(入金入力!$E$4:$E$580,入金入力!$B$4:$B$580,A93,入金入力!$A$4:$A$580,"リゾート")+SUMIFS(入金予測!$E$4:$E$603,入金予測!$A$4:$A$603,A93,入金予測!$B$4:$B$603,"リゾート")</f>
        <v>0</v>
      </c>
      <c r="C93" s="20">
        <f>SUMIFS(未払予定一覧!$O$4:$O$830,未払予定一覧!$N$4:$N$830,A93,未払予定一覧!$A$4:$A$830,"リゾート",未払予定一覧!$B$4:$B$830,"未払繰越")+SUMIFS(未払予定一覧!$O$4:$O$830,未払予定一覧!$N$4:$N$830,A93,未払予定一覧!$A$4:$A$830,"リゾート",未払予定一覧!$B$4:$B$830,"月次予定")</f>
        <v>0</v>
      </c>
      <c r="D93" s="20">
        <f t="shared" si="6"/>
        <v>0</v>
      </c>
      <c r="E93" s="20">
        <f t="shared" si="7"/>
        <v>-2180991.0500000007</v>
      </c>
      <c r="F93" s="21">
        <f>SUMIFS(未払予定一覧!$O$4:$O$830,未払予定一覧!$N$4:$N$830,A93,未払予定一覧!$A$4:$A$830,"リゾート",未払予定一覧!$B$4:$B$830,"カード枠回復")</f>
        <v>0</v>
      </c>
      <c r="G93" s="122">
        <f t="shared" si="8"/>
        <v>3089008.9499999993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SUMIFS(入金入力!$E$4:$E$580,入金入力!$B$4:$B$580,A94,入金入力!$A$4:$A$580,"リゾート")+SUMIFS(入金予測!$E$4:$E$603,入金予測!$A$4:$A$603,A94,入金予測!$B$4:$B$603,"リゾート")</f>
        <v>0</v>
      </c>
      <c r="C94" s="20">
        <f>SUMIFS(未払予定一覧!$O$4:$O$830,未払予定一覧!$N$4:$N$830,A94,未払予定一覧!$A$4:$A$830,"リゾート",未払予定一覧!$B$4:$B$830,"未払繰越")+SUMIFS(未払予定一覧!$O$4:$O$830,未払予定一覧!$N$4:$N$830,A94,未払予定一覧!$A$4:$A$830,"リゾート",未払予定一覧!$B$4:$B$830,"月次予定")</f>
        <v>0</v>
      </c>
      <c r="D94" s="20">
        <f t="shared" si="6"/>
        <v>0</v>
      </c>
      <c r="E94" s="20">
        <f t="shared" si="7"/>
        <v>-2180991.0500000007</v>
      </c>
      <c r="F94" s="21">
        <f>SUMIFS(未払予定一覧!$O$4:$O$830,未払予定一覧!$N$4:$N$830,A94,未払予定一覧!$A$4:$A$830,"リゾート",未払予定一覧!$B$4:$B$830,"カード枠回復")</f>
        <v>0</v>
      </c>
      <c r="G94" s="122">
        <f t="shared" si="8"/>
        <v>3089008.9499999993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SUMIFS(入金入力!$E$4:$E$580,入金入力!$B$4:$B$580,A95,入金入力!$A$4:$A$580,"リゾート")+SUMIFS(入金予測!$E$4:$E$603,入金予測!$A$4:$A$603,A95,入金予測!$B$4:$B$603,"リゾート")</f>
        <v>0</v>
      </c>
      <c r="C95" s="20">
        <f>SUMIFS(未払予定一覧!$O$4:$O$830,未払予定一覧!$N$4:$N$830,A95,未払予定一覧!$A$4:$A$830,"リゾート",未払予定一覧!$B$4:$B$830,"未払繰越")+SUMIFS(未払予定一覧!$O$4:$O$830,未払予定一覧!$N$4:$N$830,A95,未払予定一覧!$A$4:$A$830,"リゾート",未払予定一覧!$B$4:$B$830,"月次予定")</f>
        <v>0</v>
      </c>
      <c r="D95" s="20">
        <f t="shared" si="6"/>
        <v>0</v>
      </c>
      <c r="E95" s="20">
        <f t="shared" si="7"/>
        <v>-2180991.0500000007</v>
      </c>
      <c r="F95" s="21">
        <f>SUMIFS(未払予定一覧!$O$4:$O$830,未払予定一覧!$N$4:$N$830,A95,未払予定一覧!$A$4:$A$830,"リゾート",未払予定一覧!$B$4:$B$830,"カード枠回復")</f>
        <v>0</v>
      </c>
      <c r="G95" s="122">
        <f t="shared" si="8"/>
        <v>3089008.9499999993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SUMIFS(入金入力!$E$4:$E$580,入金入力!$B$4:$B$580,A96,入金入力!$A$4:$A$580,"リゾート")+SUMIFS(入金予測!$E$4:$E$603,入金予測!$A$4:$A$603,A96,入金予測!$B$4:$B$603,"リゾート")</f>
        <v>0</v>
      </c>
      <c r="C96" s="20">
        <f>SUMIFS(未払予定一覧!$O$4:$O$830,未払予定一覧!$N$4:$N$830,A96,未払予定一覧!$A$4:$A$830,"リゾート",未払予定一覧!$B$4:$B$830,"未払繰越")+SUMIFS(未払予定一覧!$O$4:$O$830,未払予定一覧!$N$4:$N$830,A96,未払予定一覧!$A$4:$A$830,"リゾート",未払予定一覧!$B$4:$B$830,"月次予定")</f>
        <v>608628</v>
      </c>
      <c r="D96" s="20">
        <f t="shared" si="6"/>
        <v>-608628</v>
      </c>
      <c r="E96" s="20">
        <f t="shared" si="7"/>
        <v>-2789619.0500000007</v>
      </c>
      <c r="F96" s="21">
        <f>SUMIFS(未払予定一覧!$O$4:$O$830,未払予定一覧!$N$4:$N$830,A96,未払予定一覧!$A$4:$A$830,"リゾート",未払予定一覧!$B$4:$B$830,"カード枠回復")</f>
        <v>0</v>
      </c>
      <c r="G96" s="122">
        <f t="shared" si="8"/>
        <v>2480380.9499999993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SUMIFS(入金入力!$E$4:$E$580,入金入力!$B$4:$B$580,A97,入金入力!$A$4:$A$580,"リゾート")+SUMIFS(入金予測!$E$4:$E$603,入金予測!$A$4:$A$603,A97,入金予測!$B$4:$B$603,"リゾート")</f>
        <v>2918179.3000000003</v>
      </c>
      <c r="C97" s="20">
        <f>SUMIFS(未払予定一覧!$O$4:$O$830,未払予定一覧!$N$4:$N$830,A97,未払予定一覧!$A$4:$A$830,"リゾート",未払予定一覧!$B$4:$B$830,"未払繰越")+SUMIFS(未払予定一覧!$O$4:$O$830,未払予定一覧!$N$4:$N$830,A97,未払予定一覧!$A$4:$A$830,"リゾート",未払予定一覧!$B$4:$B$830,"月次予定")</f>
        <v>11117708</v>
      </c>
      <c r="D97" s="20">
        <f t="shared" si="6"/>
        <v>-8199528.6999999993</v>
      </c>
      <c r="E97" s="20">
        <f t="shared" si="7"/>
        <v>-10989147.75</v>
      </c>
      <c r="F97" s="21">
        <f>SUMIFS(未払予定一覧!$O$4:$O$830,未払予定一覧!$N$4:$N$830,A97,未払予定一覧!$A$4:$A$830,"リゾート",未払予定一覧!$B$4:$B$830,"カード枠回復")</f>
        <v>0</v>
      </c>
      <c r="G97" s="122">
        <f t="shared" si="8"/>
        <v>-5719147.75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SUMIFS(入金入力!$E$4:$E$580,入金入力!$B$4:$B$580,A98,入金入力!$A$4:$A$580,"リゾート")+SUMIFS(入金予測!$E$4:$E$603,入金予測!$A$4:$A$603,A98,入金予測!$B$4:$B$603,"リゾート")</f>
        <v>0</v>
      </c>
      <c r="C98" s="20">
        <f>SUMIFS(未払予定一覧!$O$4:$O$830,未払予定一覧!$N$4:$N$830,A98,未払予定一覧!$A$4:$A$830,"リゾート",未払予定一覧!$B$4:$B$830,"未払繰越")+SUMIFS(未払予定一覧!$O$4:$O$830,未払予定一覧!$N$4:$N$830,A98,未払予定一覧!$A$4:$A$830,"リゾート",未払予定一覧!$B$4:$B$830,"月次予定")</f>
        <v>0</v>
      </c>
      <c r="D98" s="20">
        <f t="shared" si="6"/>
        <v>0</v>
      </c>
      <c r="E98" s="20">
        <f t="shared" si="7"/>
        <v>-10989147.75</v>
      </c>
      <c r="F98" s="21">
        <f>SUMIFS(未払予定一覧!$O$4:$O$830,未払予定一覧!$N$4:$N$830,A98,未払予定一覧!$A$4:$A$830,"リゾート",未払予定一覧!$B$4:$B$830,"カード枠回復")</f>
        <v>0</v>
      </c>
      <c r="G98" s="122">
        <f t="shared" si="8"/>
        <v>-5719147.75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SUMIFS(入金入力!$E$4:$E$580,入金入力!$B$4:$B$580,A99,入金入力!$A$4:$A$580,"リゾート")+SUMIFS(入金予測!$E$4:$E$603,入金予測!$A$4:$A$603,A99,入金予測!$B$4:$B$603,"リゾート")</f>
        <v>0</v>
      </c>
      <c r="C99" s="20">
        <f>SUMIFS(未払予定一覧!$O$4:$O$830,未払予定一覧!$N$4:$N$830,A99,未払予定一覧!$A$4:$A$830,"リゾート",未払予定一覧!$B$4:$B$830,"未払繰越")+SUMIFS(未払予定一覧!$O$4:$O$830,未払予定一覧!$N$4:$N$830,A99,未払予定一覧!$A$4:$A$830,"リゾート",未払予定一覧!$B$4:$B$830,"月次予定")</f>
        <v>944225</v>
      </c>
      <c r="D99" s="20">
        <f t="shared" si="6"/>
        <v>-944225</v>
      </c>
      <c r="E99" s="20">
        <f t="shared" si="7"/>
        <v>-11933372.75</v>
      </c>
      <c r="F99" s="21">
        <f>SUMIFS(未払予定一覧!$O$4:$O$830,未払予定一覧!$N$4:$N$830,A99,未払予定一覧!$A$4:$A$830,"リゾート",未払予定一覧!$B$4:$B$830,"カード枠回復")</f>
        <v>0</v>
      </c>
      <c r="G99" s="122">
        <f t="shared" si="8"/>
        <v>-6663372.75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SUMIFS(入金入力!$E$4:$E$580,入金入力!$B$4:$B$580,A100,入金入力!$A$4:$A$580,"リゾート")+SUMIFS(入金予測!$E$4:$E$603,入金予測!$A$4:$A$603,A100,入金予測!$B$4:$B$603,"リゾート")</f>
        <v>0</v>
      </c>
      <c r="C100" s="20">
        <f>SUMIFS(未払予定一覧!$O$4:$O$830,未払予定一覧!$N$4:$N$830,A100,未払予定一覧!$A$4:$A$830,"リゾート",未払予定一覧!$B$4:$B$830,"未払繰越")+SUMIFS(未払予定一覧!$O$4:$O$830,未払予定一覧!$N$4:$N$830,A100,未払予定一覧!$A$4:$A$830,"リゾート",未払予定一覧!$B$4:$B$830,"月次予定")</f>
        <v>10251761</v>
      </c>
      <c r="D100" s="20">
        <f t="shared" si="6"/>
        <v>-10251761</v>
      </c>
      <c r="E100" s="20">
        <f t="shared" si="7"/>
        <v>-22185133.75</v>
      </c>
      <c r="F100" s="21">
        <f>SUMIFS(未払予定一覧!$O$4:$O$830,未払予定一覧!$N$4:$N$830,A100,未払予定一覧!$A$4:$A$830,"リゾート",未払予定一覧!$B$4:$B$830,"カード枠回復")</f>
        <v>0</v>
      </c>
      <c r="G100" s="122">
        <f t="shared" si="8"/>
        <v>-16915133.75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SUMIFS(入金入力!$E$4:$E$580,入金入力!$B$4:$B$580,A101,入金入力!$A$4:$A$580,"リゾート")+SUMIFS(入金予測!$E$4:$E$603,入金予測!$A$4:$A$603,A101,入金予測!$B$4:$B$603,"リゾート")</f>
        <v>0</v>
      </c>
      <c r="C101" s="20">
        <f>SUMIFS(未払予定一覧!$O$4:$O$830,未払予定一覧!$N$4:$N$830,A101,未払予定一覧!$A$4:$A$830,"リゾート",未払予定一覧!$B$4:$B$830,"未払繰越")+SUMIFS(未払予定一覧!$O$4:$O$830,未払予定一覧!$N$4:$N$830,A101,未払予定一覧!$A$4:$A$830,"リゾート",未払予定一覧!$B$4:$B$830,"月次予定")</f>
        <v>0</v>
      </c>
      <c r="D101" s="20">
        <f t="shared" si="6"/>
        <v>0</v>
      </c>
      <c r="E101" s="20">
        <f t="shared" si="7"/>
        <v>-22185133.75</v>
      </c>
      <c r="F101" s="21">
        <f>SUMIFS(未払予定一覧!$O$4:$O$830,未払予定一覧!$N$4:$N$830,A101,未払予定一覧!$A$4:$A$830,"リゾート",未払予定一覧!$B$4:$B$830,"カード枠回復")</f>
        <v>0</v>
      </c>
      <c r="G101" s="122">
        <f t="shared" si="8"/>
        <v>-16915133.75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SUMIFS(入金入力!$E$4:$E$580,入金入力!$B$4:$B$580,A102,入金入力!$A$4:$A$580,"リゾート")+SUMIFS(入金予測!$E$4:$E$603,入金予測!$A$4:$A$603,A102,入金予測!$B$4:$B$603,"リゾート")</f>
        <v>0</v>
      </c>
      <c r="C102" s="20">
        <f>SUMIFS(未払予定一覧!$O$4:$O$830,未払予定一覧!$N$4:$N$830,A102,未払予定一覧!$A$4:$A$830,"リゾート",未払予定一覧!$B$4:$B$830,"未払繰越")+SUMIFS(未払予定一覧!$O$4:$O$830,未払予定一覧!$N$4:$N$830,A102,未払予定一覧!$A$4:$A$830,"リゾート",未払予定一覧!$B$4:$B$830,"月次予定")</f>
        <v>2583695</v>
      </c>
      <c r="D102" s="20">
        <f t="shared" si="6"/>
        <v>-2583695</v>
      </c>
      <c r="E102" s="20">
        <f t="shared" si="7"/>
        <v>-24768828.75</v>
      </c>
      <c r="F102" s="21">
        <f>SUMIFS(未払予定一覧!$O$4:$O$830,未払予定一覧!$N$4:$N$830,A102,未払予定一覧!$A$4:$A$830,"リゾート",未払予定一覧!$B$4:$B$830,"カード枠回復")</f>
        <v>0</v>
      </c>
      <c r="G102" s="122">
        <f t="shared" si="8"/>
        <v>-19498828.75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SUMIFS(入金入力!$E$4:$E$580,入金入力!$B$4:$B$580,A103,入金入力!$A$4:$A$580,"リゾート")+SUMIFS(入金予測!$E$4:$E$603,入金予測!$A$4:$A$603,A103,入金予測!$B$4:$B$603,"リゾート")</f>
        <v>0</v>
      </c>
      <c r="C103" s="20">
        <f>SUMIFS(未払予定一覧!$O$4:$O$830,未払予定一覧!$N$4:$N$830,A103,未払予定一覧!$A$4:$A$830,"リゾート",未払予定一覧!$B$4:$B$830,"未払繰越")+SUMIFS(未払予定一覧!$O$4:$O$830,未払予定一覧!$N$4:$N$830,A103,未払予定一覧!$A$4:$A$830,"リゾート",未払予定一覧!$B$4:$B$830,"月次予定")</f>
        <v>170000</v>
      </c>
      <c r="D103" s="20">
        <f t="shared" si="6"/>
        <v>-170000</v>
      </c>
      <c r="E103" s="20">
        <f t="shared" si="7"/>
        <v>-24938828.75</v>
      </c>
      <c r="F103" s="21">
        <f>SUMIFS(未払予定一覧!$O$4:$O$830,未払予定一覧!$N$4:$N$830,A103,未払予定一覧!$A$4:$A$830,"リゾート",未払予定一覧!$B$4:$B$830,"カード枠回復")</f>
        <v>0</v>
      </c>
      <c r="G103" s="122">
        <f t="shared" si="8"/>
        <v>-19668828.75</v>
      </c>
      <c r="H103" s="123"/>
    </row>
    <row r="104" spans="1:8" ht="15" customHeight="1">
      <c r="A104" s="23" t="s">
        <v>695</v>
      </c>
      <c r="B104" s="24">
        <f>SUM(B73:B103)</f>
        <v>23257258.800000001</v>
      </c>
      <c r="C104" s="24">
        <f>SUM(C73:C103)</f>
        <v>28032167</v>
      </c>
      <c r="D104" s="24">
        <f t="shared" si="6"/>
        <v>-4774908.1999999993</v>
      </c>
      <c r="E104" s="24">
        <f>E103</f>
        <v>-24938828.75</v>
      </c>
      <c r="F104" s="24">
        <f>SUM(F73:F103)</f>
        <v>0</v>
      </c>
      <c r="G104" s="24">
        <f>G103</f>
        <v>-19668828.75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SUMIFS(入金入力!$E$4:$E$580,入金入力!$B$4:$B$580,A107,入金入力!$A$4:$A$580,"リゾート")+SUMIFS(入金予測!$E$4:$E$603,入金予測!$A$4:$A$603,A107,入金予測!$B$4:$B$603,"リゾート")</f>
        <v>0</v>
      </c>
      <c r="C107" s="20">
        <f>SUMIFS(未払予定一覧!$O$4:$O$830,未払予定一覧!$N$4:$N$830,A107,未払予定一覧!$A$4:$A$830,"リゾート",未払予定一覧!$B$4:$B$830,"未払繰越")+SUMIFS(未払予定一覧!$O$4:$O$830,未払予定一覧!$N$4:$N$830,A107,未払予定一覧!$A$4:$A$830,"リゾート",未払予定一覧!$B$4:$B$830,"月次予定")</f>
        <v>0</v>
      </c>
      <c r="D107" s="20">
        <f t="shared" ref="D107:D138" si="9">B107-C107-F107</f>
        <v>0</v>
      </c>
      <c r="E107" s="20">
        <f>E104+D107</f>
        <v>-24938828.75</v>
      </c>
      <c r="F107" s="21">
        <f>SUMIFS(未払予定一覧!$O$4:$O$830,未払予定一覧!$N$4:$N$830,A107,未払予定一覧!$A$4:$A$830,"リゾート",未払予定一覧!$B$4:$B$830,"カード枠回復")</f>
        <v>0</v>
      </c>
      <c r="G107" s="122">
        <f>G104+D107+F107</f>
        <v>-19668828.75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SUMIFS(入金入力!$E$4:$E$580,入金入力!$B$4:$B$580,A108,入金入力!$A$4:$A$580,"リゾート")+SUMIFS(入金予測!$E$4:$E$603,入金予測!$A$4:$A$603,A108,入金予測!$B$4:$B$603,"リゾート")</f>
        <v>0</v>
      </c>
      <c r="C108" s="20">
        <f>SUMIFS(未払予定一覧!$O$4:$O$830,未払予定一覧!$N$4:$N$830,A108,未払予定一覧!$A$4:$A$830,"リゾート",未払予定一覧!$B$4:$B$830,"未払繰越")+SUMIFS(未払予定一覧!$O$4:$O$830,未払予定一覧!$N$4:$N$830,A108,未払予定一覧!$A$4:$A$830,"リゾート",未払予定一覧!$B$4:$B$830,"月次予定")</f>
        <v>0</v>
      </c>
      <c r="D108" s="20">
        <f t="shared" si="9"/>
        <v>0</v>
      </c>
      <c r="E108" s="20">
        <f t="shared" ref="E108:E137" si="10">E107+D108</f>
        <v>-24938828.75</v>
      </c>
      <c r="F108" s="21">
        <f>SUMIFS(未払予定一覧!$O$4:$O$830,未払予定一覧!$N$4:$N$830,A108,未払予定一覧!$A$4:$A$830,"リゾート",未払予定一覧!$B$4:$B$830,"カード枠回復")</f>
        <v>0</v>
      </c>
      <c r="G108" s="122">
        <f t="shared" ref="G108:G137" si="11">G107+D108+F108</f>
        <v>-19668828.75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SUMIFS(入金入力!$E$4:$E$580,入金入力!$B$4:$B$580,A109,入金入力!$A$4:$A$580,"リゾート")+SUMIFS(入金予測!$E$4:$E$603,入金予測!$A$4:$A$603,A109,入金予測!$B$4:$B$603,"リゾート")</f>
        <v>0</v>
      </c>
      <c r="C109" s="20">
        <f>SUMIFS(未払予定一覧!$O$4:$O$830,未払予定一覧!$N$4:$N$830,A109,未払予定一覧!$A$4:$A$830,"リゾート",未払予定一覧!$B$4:$B$830,"未払繰越")+SUMIFS(未払予定一覧!$O$4:$O$830,未払予定一覧!$N$4:$N$830,A109,未払予定一覧!$A$4:$A$830,"リゾート",未払予定一覧!$B$4:$B$830,"月次予定")</f>
        <v>800000</v>
      </c>
      <c r="D109" s="20">
        <f t="shared" si="9"/>
        <v>-800000</v>
      </c>
      <c r="E109" s="20">
        <f t="shared" si="10"/>
        <v>-25738828.75</v>
      </c>
      <c r="F109" s="21">
        <f>SUMIFS(未払予定一覧!$O$4:$O$830,未払予定一覧!$N$4:$N$830,A109,未払予定一覧!$A$4:$A$830,"リゾート",未払予定一覧!$B$4:$B$830,"カード枠回復")</f>
        <v>0</v>
      </c>
      <c r="G109" s="122">
        <f t="shared" si="11"/>
        <v>-20468828.75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SUMIFS(入金入力!$E$4:$E$580,入金入力!$B$4:$B$580,A110,入金入力!$A$4:$A$580,"リゾート")+SUMIFS(入金予測!$E$4:$E$603,入金予測!$A$4:$A$603,A110,入金予測!$B$4:$B$603,"リゾート")</f>
        <v>0</v>
      </c>
      <c r="C110" s="20">
        <f>SUMIFS(未払予定一覧!$O$4:$O$830,未払予定一覧!$N$4:$N$830,A110,未払予定一覧!$A$4:$A$830,"リゾート",未払予定一覧!$B$4:$B$830,"未払繰越")+SUMIFS(未払予定一覧!$O$4:$O$830,未払予定一覧!$N$4:$N$830,A110,未払予定一覧!$A$4:$A$830,"リゾート",未払予定一覧!$B$4:$B$830,"月次予定")</f>
        <v>0</v>
      </c>
      <c r="D110" s="20">
        <f t="shared" si="9"/>
        <v>0</v>
      </c>
      <c r="E110" s="20">
        <f t="shared" si="10"/>
        <v>-25738828.75</v>
      </c>
      <c r="F110" s="21">
        <f>SUMIFS(未払予定一覧!$O$4:$O$830,未払予定一覧!$N$4:$N$830,A110,未払予定一覧!$A$4:$A$830,"リゾート",未払予定一覧!$B$4:$B$830,"カード枠回復")</f>
        <v>0</v>
      </c>
      <c r="G110" s="122">
        <f t="shared" si="11"/>
        <v>-20468828.75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SUMIFS(入金入力!$E$4:$E$580,入金入力!$B$4:$B$580,A111,入金入力!$A$4:$A$580,"リゾート")+SUMIFS(入金予測!$E$4:$E$603,入金予測!$A$4:$A$603,A111,入金予測!$B$4:$B$603,"リゾート")</f>
        <v>0</v>
      </c>
      <c r="C111" s="20">
        <f>SUMIFS(未払予定一覧!$O$4:$O$830,未払予定一覧!$N$4:$N$830,A111,未払予定一覧!$A$4:$A$830,"リゾート",未払予定一覧!$B$4:$B$830,"未払繰越")+SUMIFS(未払予定一覧!$O$4:$O$830,未払予定一覧!$N$4:$N$830,A111,未払予定一覧!$A$4:$A$830,"リゾート",未払予定一覧!$B$4:$B$830,"月次予定")</f>
        <v>0</v>
      </c>
      <c r="D111" s="20">
        <f t="shared" si="9"/>
        <v>0</v>
      </c>
      <c r="E111" s="20">
        <f t="shared" si="10"/>
        <v>-25738828.75</v>
      </c>
      <c r="F111" s="21">
        <f>SUMIFS(未払予定一覧!$O$4:$O$830,未払予定一覧!$N$4:$N$830,A111,未払予定一覧!$A$4:$A$830,"リゾート",未払予定一覧!$B$4:$B$830,"カード枠回復")</f>
        <v>0</v>
      </c>
      <c r="G111" s="122">
        <f t="shared" si="11"/>
        <v>-20468828.75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SUMIFS(入金入力!$E$4:$E$580,入金入力!$B$4:$B$580,A112,入金入力!$A$4:$A$580,"リゾート")+SUMIFS(入金予測!$E$4:$E$603,入金予測!$A$4:$A$603,A112,入金予測!$B$4:$B$603,"リゾート")</f>
        <v>0</v>
      </c>
      <c r="C112" s="20">
        <f>SUMIFS(未払予定一覧!$O$4:$O$830,未払予定一覧!$N$4:$N$830,A112,未払予定一覧!$A$4:$A$830,"リゾート",未払予定一覧!$B$4:$B$830,"未払繰越")+SUMIFS(未払予定一覧!$O$4:$O$830,未払予定一覧!$N$4:$N$830,A112,未払予定一覧!$A$4:$A$830,"リゾート",未払予定一覧!$B$4:$B$830,"月次予定")</f>
        <v>380771</v>
      </c>
      <c r="D112" s="20">
        <f t="shared" si="9"/>
        <v>-380771</v>
      </c>
      <c r="E112" s="20">
        <f t="shared" si="10"/>
        <v>-26119599.75</v>
      </c>
      <c r="F112" s="21">
        <f>SUMIFS(未払予定一覧!$O$4:$O$830,未払予定一覧!$N$4:$N$830,A112,未払予定一覧!$A$4:$A$830,"リゾート",未払予定一覧!$B$4:$B$830,"カード枠回復")</f>
        <v>0</v>
      </c>
      <c r="G112" s="122">
        <f t="shared" si="11"/>
        <v>-20849599.75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SUMIFS(入金入力!$E$4:$E$580,入金入力!$B$4:$B$580,A113,入金入力!$A$4:$A$580,"リゾート")+SUMIFS(入金予測!$E$4:$E$603,入金予測!$A$4:$A$603,A113,入金予測!$B$4:$B$603,"リゾート")</f>
        <v>0</v>
      </c>
      <c r="C113" s="20">
        <f>SUMIFS(未払予定一覧!$O$4:$O$830,未払予定一覧!$N$4:$N$830,A113,未払予定一覧!$A$4:$A$830,"リゾート",未払予定一覧!$B$4:$B$830,"未払繰越")+SUMIFS(未払予定一覧!$O$4:$O$830,未払予定一覧!$N$4:$N$830,A113,未払予定一覧!$A$4:$A$830,"リゾート",未払予定一覧!$B$4:$B$830,"月次予定")</f>
        <v>0</v>
      </c>
      <c r="D113" s="20">
        <f t="shared" si="9"/>
        <v>0</v>
      </c>
      <c r="E113" s="20">
        <f t="shared" si="10"/>
        <v>-26119599.75</v>
      </c>
      <c r="F113" s="21">
        <f>SUMIFS(未払予定一覧!$O$4:$O$830,未払予定一覧!$N$4:$N$830,A113,未払予定一覧!$A$4:$A$830,"リゾート",未払予定一覧!$B$4:$B$830,"カード枠回復")</f>
        <v>0</v>
      </c>
      <c r="G113" s="122">
        <f t="shared" si="11"/>
        <v>-20849599.75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SUMIFS(入金入力!$E$4:$E$580,入金入力!$B$4:$B$580,A114,入金入力!$A$4:$A$580,"リゾート")+SUMIFS(入金予測!$E$4:$E$603,入金予測!$A$4:$A$603,A114,入金予測!$B$4:$B$603,"リゾート")</f>
        <v>0</v>
      </c>
      <c r="C114" s="20">
        <f>SUMIFS(未払予定一覧!$O$4:$O$830,未払予定一覧!$N$4:$N$830,A114,未払予定一覧!$A$4:$A$830,"リゾート",未払予定一覧!$B$4:$B$830,"未払繰越")+SUMIFS(未払予定一覧!$O$4:$O$830,未払予定一覧!$N$4:$N$830,A114,未払予定一覧!$A$4:$A$830,"リゾート",未払予定一覧!$B$4:$B$830,"月次予定")</f>
        <v>22550</v>
      </c>
      <c r="D114" s="20">
        <f t="shared" si="9"/>
        <v>-22550</v>
      </c>
      <c r="E114" s="20">
        <f t="shared" si="10"/>
        <v>-26142149.75</v>
      </c>
      <c r="F114" s="21">
        <f>SUMIFS(未払予定一覧!$O$4:$O$830,未払予定一覧!$N$4:$N$830,A114,未払予定一覧!$A$4:$A$830,"リゾート",未払予定一覧!$B$4:$B$830,"カード枠回復")</f>
        <v>0</v>
      </c>
      <c r="G114" s="122">
        <f t="shared" si="11"/>
        <v>-20872149.75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SUMIFS(入金入力!$E$4:$E$580,入金入力!$B$4:$B$580,A115,入金入力!$A$4:$A$580,"リゾート")+SUMIFS(入金予測!$E$4:$E$603,入金予測!$A$4:$A$603,A115,入金予測!$B$4:$B$603,"リゾート")</f>
        <v>0</v>
      </c>
      <c r="C115" s="20">
        <f>SUMIFS(未払予定一覧!$O$4:$O$830,未払予定一覧!$N$4:$N$830,A115,未払予定一覧!$A$4:$A$830,"リゾート",未払予定一覧!$B$4:$B$830,"未払繰越")+SUMIFS(未払予定一覧!$O$4:$O$830,未払予定一覧!$N$4:$N$830,A115,未払予定一覧!$A$4:$A$830,"リゾート",未払予定一覧!$B$4:$B$830,"月次予定")</f>
        <v>880</v>
      </c>
      <c r="D115" s="20">
        <f t="shared" si="9"/>
        <v>-880</v>
      </c>
      <c r="E115" s="20">
        <f t="shared" si="10"/>
        <v>-26143029.75</v>
      </c>
      <c r="F115" s="21">
        <f>SUMIFS(未払予定一覧!$O$4:$O$830,未払予定一覧!$N$4:$N$830,A115,未払予定一覧!$A$4:$A$830,"リゾート",未払予定一覧!$B$4:$B$830,"カード枠回復")</f>
        <v>0</v>
      </c>
      <c r="G115" s="122">
        <f t="shared" si="11"/>
        <v>-20873029.75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SUMIFS(入金入力!$E$4:$E$580,入金入力!$B$4:$B$580,A116,入金入力!$A$4:$A$580,"リゾート")+SUMIFS(入金予測!$E$4:$E$603,入金予測!$A$4:$A$603,A116,入金予測!$B$4:$B$603,"リゾート")</f>
        <v>21737658.75</v>
      </c>
      <c r="C116" s="20">
        <f>SUMIFS(未払予定一覧!$O$4:$O$830,未払予定一覧!$N$4:$N$830,A116,未払予定一覧!$A$4:$A$830,"リゾート",未払予定一覧!$B$4:$B$830,"未払繰越")+SUMIFS(未払予定一覧!$O$4:$O$830,未払予定一覧!$N$4:$N$830,A116,未払予定一覧!$A$4:$A$830,"リゾート",未払予定一覧!$B$4:$B$830,"月次予定")</f>
        <v>28197</v>
      </c>
      <c r="D116" s="20">
        <f t="shared" si="9"/>
        <v>21709461.75</v>
      </c>
      <c r="E116" s="20">
        <f t="shared" si="10"/>
        <v>-4433568</v>
      </c>
      <c r="F116" s="21">
        <f>SUMIFS(未払予定一覧!$O$4:$O$830,未払予定一覧!$N$4:$N$830,A116,未払予定一覧!$A$4:$A$830,"リゾート",未払予定一覧!$B$4:$B$830,"カード枠回復")</f>
        <v>0</v>
      </c>
      <c r="G116" s="122">
        <f t="shared" si="11"/>
        <v>836432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SUMIFS(入金入力!$E$4:$E$580,入金入力!$B$4:$B$580,A117,入金入力!$A$4:$A$580,"リゾート")+SUMIFS(入金予測!$E$4:$E$603,入金予測!$A$4:$A$603,A117,入金予測!$B$4:$B$603,"リゾート")</f>
        <v>0</v>
      </c>
      <c r="C117" s="20">
        <f>SUMIFS(未払予定一覧!$O$4:$O$830,未払予定一覧!$N$4:$N$830,A117,未払予定一覧!$A$4:$A$830,"リゾート",未払予定一覧!$B$4:$B$830,"未払繰越")+SUMIFS(未払予定一覧!$O$4:$O$830,未払予定一覧!$N$4:$N$830,A117,未払予定一覧!$A$4:$A$830,"リゾート",未払予定一覧!$B$4:$B$830,"月次予定")</f>
        <v>0</v>
      </c>
      <c r="D117" s="20">
        <f t="shared" si="9"/>
        <v>0</v>
      </c>
      <c r="E117" s="20">
        <f t="shared" si="10"/>
        <v>-4433568</v>
      </c>
      <c r="F117" s="21">
        <f>SUMIFS(未払予定一覧!$O$4:$O$830,未払予定一覧!$N$4:$N$830,A117,未払予定一覧!$A$4:$A$830,"リゾート",未払予定一覧!$B$4:$B$830,"カード枠回復")</f>
        <v>0</v>
      </c>
      <c r="G117" s="122">
        <f t="shared" si="11"/>
        <v>836432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SUMIFS(入金入力!$E$4:$E$580,入金入力!$B$4:$B$580,A118,入金入力!$A$4:$A$580,"リゾート")+SUMIFS(入金予測!$E$4:$E$603,入金予測!$A$4:$A$603,A118,入金予測!$B$4:$B$603,"リゾート")</f>
        <v>0</v>
      </c>
      <c r="C118" s="20">
        <f>SUMIFS(未払予定一覧!$O$4:$O$830,未払予定一覧!$N$4:$N$830,A118,未払予定一覧!$A$4:$A$830,"リゾート",未払予定一覧!$B$4:$B$830,"未払繰越")+SUMIFS(未払予定一覧!$O$4:$O$830,未払予定一覧!$N$4:$N$830,A118,未払予定一覧!$A$4:$A$830,"リゾート",未払予定一覧!$B$4:$B$830,"月次予定")</f>
        <v>0</v>
      </c>
      <c r="D118" s="20">
        <f t="shared" si="9"/>
        <v>0</v>
      </c>
      <c r="E118" s="20">
        <f t="shared" si="10"/>
        <v>-4433568</v>
      </c>
      <c r="F118" s="21">
        <f>SUMIFS(未払予定一覧!$O$4:$O$830,未払予定一覧!$N$4:$N$830,A118,未払予定一覧!$A$4:$A$830,"リゾート",未払予定一覧!$B$4:$B$830,"カード枠回復")</f>
        <v>0</v>
      </c>
      <c r="G118" s="122">
        <f t="shared" si="11"/>
        <v>836432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SUMIFS(入金入力!$E$4:$E$580,入金入力!$B$4:$B$580,A119,入金入力!$A$4:$A$580,"リゾート")+SUMIFS(入金予測!$E$4:$E$603,入金予測!$A$4:$A$603,A119,入金予測!$B$4:$B$603,"リゾート")</f>
        <v>0</v>
      </c>
      <c r="C119" s="20">
        <f>SUMIFS(未払予定一覧!$O$4:$O$830,未払予定一覧!$N$4:$N$830,A119,未払予定一覧!$A$4:$A$830,"リゾート",未払予定一覧!$B$4:$B$830,"未払繰越")+SUMIFS(未払予定一覧!$O$4:$O$830,未払予定一覧!$N$4:$N$830,A119,未払予定一覧!$A$4:$A$830,"リゾート",未払予定一覧!$B$4:$B$830,"月次予定")</f>
        <v>114777</v>
      </c>
      <c r="D119" s="20">
        <f t="shared" si="9"/>
        <v>-114777</v>
      </c>
      <c r="E119" s="20">
        <f t="shared" si="10"/>
        <v>-4548345</v>
      </c>
      <c r="F119" s="21">
        <f>SUMIFS(未払予定一覧!$O$4:$O$830,未払予定一覧!$N$4:$N$830,A119,未払予定一覧!$A$4:$A$830,"リゾート",未払予定一覧!$B$4:$B$830,"カード枠回復")</f>
        <v>0</v>
      </c>
      <c r="G119" s="122">
        <f t="shared" si="11"/>
        <v>721655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SUMIFS(入金入力!$E$4:$E$580,入金入力!$B$4:$B$580,A120,入金入力!$A$4:$A$580,"リゾート")+SUMIFS(入金予測!$E$4:$E$603,入金予測!$A$4:$A$603,A120,入金予測!$B$4:$B$603,"リゾート")</f>
        <v>0</v>
      </c>
      <c r="C120" s="20">
        <f>SUMIFS(未払予定一覧!$O$4:$O$830,未払予定一覧!$N$4:$N$830,A120,未払予定一覧!$A$4:$A$830,"リゾート",未払予定一覧!$B$4:$B$830,"未払繰越")+SUMIFS(未払予定一覧!$O$4:$O$830,未払予定一覧!$N$4:$N$830,A120,未払予定一覧!$A$4:$A$830,"リゾート",未払予定一覧!$B$4:$B$830,"月次予定")</f>
        <v>0</v>
      </c>
      <c r="D120" s="20">
        <f t="shared" si="9"/>
        <v>0</v>
      </c>
      <c r="E120" s="20">
        <f t="shared" si="10"/>
        <v>-4548345</v>
      </c>
      <c r="F120" s="21">
        <f>SUMIFS(未払予定一覧!$O$4:$O$830,未払予定一覧!$N$4:$N$830,A120,未払予定一覧!$A$4:$A$830,"リゾート",未払予定一覧!$B$4:$B$830,"カード枠回復")</f>
        <v>0</v>
      </c>
      <c r="G120" s="122">
        <f t="shared" si="11"/>
        <v>721655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SUMIFS(入金入力!$E$4:$E$580,入金入力!$B$4:$B$580,A121,入金入力!$A$4:$A$580,"リゾート")+SUMIFS(入金予測!$E$4:$E$603,入金予測!$A$4:$A$603,A121,入金予測!$B$4:$B$603,"リゾート")</f>
        <v>1138566</v>
      </c>
      <c r="C121" s="20">
        <f>SUMIFS(未払予定一覧!$O$4:$O$830,未払予定一覧!$N$4:$N$830,A121,未払予定一覧!$A$4:$A$830,"リゾート",未払予定一覧!$B$4:$B$830,"未払繰越")+SUMIFS(未払予定一覧!$O$4:$O$830,未払予定一覧!$N$4:$N$830,A121,未払予定一覧!$A$4:$A$830,"リゾート",未払予定一覧!$B$4:$B$830,"月次予定")</f>
        <v>1008975</v>
      </c>
      <c r="D121" s="20">
        <f t="shared" si="9"/>
        <v>129591</v>
      </c>
      <c r="E121" s="20">
        <f t="shared" si="10"/>
        <v>-4418754</v>
      </c>
      <c r="F121" s="21">
        <f>SUMIFS(未払予定一覧!$O$4:$O$830,未払予定一覧!$N$4:$N$830,A121,未払予定一覧!$A$4:$A$830,"リゾート",未払予定一覧!$B$4:$B$830,"カード枠回復")</f>
        <v>0</v>
      </c>
      <c r="G121" s="122">
        <f t="shared" si="11"/>
        <v>851246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SUMIFS(入金入力!$E$4:$E$580,入金入力!$B$4:$B$580,A122,入金入力!$A$4:$A$580,"リゾート")+SUMIFS(入金予測!$E$4:$E$603,入金予測!$A$4:$A$603,A122,入金予測!$B$4:$B$603,"リゾート")</f>
        <v>0</v>
      </c>
      <c r="C122" s="20">
        <f>SUMIFS(未払予定一覧!$O$4:$O$830,未払予定一覧!$N$4:$N$830,A122,未払予定一覧!$A$4:$A$830,"リゾート",未払予定一覧!$B$4:$B$830,"未払繰越")+SUMIFS(未払予定一覧!$O$4:$O$830,未払予定一覧!$N$4:$N$830,A122,未払予定一覧!$A$4:$A$830,"リゾート",未払予定一覧!$B$4:$B$830,"月次予定")</f>
        <v>0</v>
      </c>
      <c r="D122" s="20">
        <f t="shared" si="9"/>
        <v>0</v>
      </c>
      <c r="E122" s="20">
        <f t="shared" si="10"/>
        <v>-4418754</v>
      </c>
      <c r="F122" s="21">
        <f>SUMIFS(未払予定一覧!$O$4:$O$830,未払予定一覧!$N$4:$N$830,A122,未払予定一覧!$A$4:$A$830,"リゾート",未払予定一覧!$B$4:$B$830,"カード枠回復")</f>
        <v>0</v>
      </c>
      <c r="G122" s="122">
        <f t="shared" si="11"/>
        <v>851246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SUMIFS(入金入力!$E$4:$E$580,入金入力!$B$4:$B$580,A123,入金入力!$A$4:$A$580,"リゾート")+SUMIFS(入金予測!$E$4:$E$603,入金予測!$A$4:$A$603,A123,入金予測!$B$4:$B$603,"リゾート")</f>
        <v>0</v>
      </c>
      <c r="C123" s="20">
        <f>SUMIFS(未払予定一覧!$O$4:$O$830,未払予定一覧!$N$4:$N$830,A123,未払予定一覧!$A$4:$A$830,"リゾート",未払予定一覧!$B$4:$B$830,"未払繰越")+SUMIFS(未払予定一覧!$O$4:$O$830,未払予定一覧!$N$4:$N$830,A123,未払予定一覧!$A$4:$A$830,"リゾート",未払予定一覧!$B$4:$B$830,"月次予定")</f>
        <v>0</v>
      </c>
      <c r="D123" s="20">
        <f t="shared" si="9"/>
        <v>0</v>
      </c>
      <c r="E123" s="20">
        <f t="shared" si="10"/>
        <v>-4418754</v>
      </c>
      <c r="F123" s="21">
        <f>SUMIFS(未払予定一覧!$O$4:$O$830,未払予定一覧!$N$4:$N$830,A123,未払予定一覧!$A$4:$A$830,"リゾート",未払予定一覧!$B$4:$B$830,"カード枠回復")</f>
        <v>0</v>
      </c>
      <c r="G123" s="122">
        <f t="shared" si="11"/>
        <v>851246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SUMIFS(入金入力!$E$4:$E$580,入金入力!$B$4:$B$580,A124,入金入力!$A$4:$A$580,"リゾート")+SUMIFS(入金予測!$E$4:$E$603,入金予測!$A$4:$A$603,A124,入金予測!$B$4:$B$603,"リゾート")</f>
        <v>0</v>
      </c>
      <c r="C124" s="20">
        <f>SUMIFS(未払予定一覧!$O$4:$O$830,未払予定一覧!$N$4:$N$830,A124,未払予定一覧!$A$4:$A$830,"リゾート",未払予定一覧!$B$4:$B$830,"未払繰越")+SUMIFS(未払予定一覧!$O$4:$O$830,未払予定一覧!$N$4:$N$830,A124,未払予定一覧!$A$4:$A$830,"リゾート",未払予定一覧!$B$4:$B$830,"月次予定")</f>
        <v>0</v>
      </c>
      <c r="D124" s="20">
        <f t="shared" si="9"/>
        <v>0</v>
      </c>
      <c r="E124" s="20">
        <f t="shared" si="10"/>
        <v>-4418754</v>
      </c>
      <c r="F124" s="21">
        <f>SUMIFS(未払予定一覧!$O$4:$O$830,未払予定一覧!$N$4:$N$830,A124,未払予定一覧!$A$4:$A$830,"リゾート",未払予定一覧!$B$4:$B$830,"カード枠回復")</f>
        <v>0</v>
      </c>
      <c r="G124" s="122">
        <f t="shared" si="11"/>
        <v>851246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SUMIFS(入金入力!$E$4:$E$580,入金入力!$B$4:$B$580,A125,入金入力!$A$4:$A$580,"リゾート")+SUMIFS(入金予測!$E$4:$E$603,入金予測!$A$4:$A$603,A125,入金予測!$B$4:$B$603,"リゾート")</f>
        <v>0</v>
      </c>
      <c r="C125" s="20">
        <f>SUMIFS(未払予定一覧!$O$4:$O$830,未払予定一覧!$N$4:$N$830,A125,未払予定一覧!$A$4:$A$830,"リゾート",未払予定一覧!$B$4:$B$830,"未払繰越")+SUMIFS(未払予定一覧!$O$4:$O$830,未払予定一覧!$N$4:$N$830,A125,未払予定一覧!$A$4:$A$830,"リゾート",未払予定一覧!$B$4:$B$830,"月次予定")</f>
        <v>0</v>
      </c>
      <c r="D125" s="20">
        <f t="shared" si="9"/>
        <v>0</v>
      </c>
      <c r="E125" s="20">
        <f t="shared" si="10"/>
        <v>-4418754</v>
      </c>
      <c r="F125" s="21">
        <f>SUMIFS(未払予定一覧!$O$4:$O$830,未払予定一覧!$N$4:$N$830,A125,未払予定一覧!$A$4:$A$830,"リゾート",未払予定一覧!$B$4:$B$830,"カード枠回復")</f>
        <v>0</v>
      </c>
      <c r="G125" s="122">
        <f t="shared" si="11"/>
        <v>851246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SUMIFS(入金入力!$E$4:$E$580,入金入力!$B$4:$B$580,A126,入金入力!$A$4:$A$580,"リゾート")+SUMIFS(入金予測!$E$4:$E$603,入金予測!$A$4:$A$603,A126,入金予測!$B$4:$B$603,"リゾート")</f>
        <v>5887357.9500000002</v>
      </c>
      <c r="C126" s="20">
        <f>SUMIFS(未払予定一覧!$O$4:$O$830,未払予定一覧!$N$4:$N$830,A126,未払予定一覧!$A$4:$A$830,"リゾート",未払予定一覧!$B$4:$B$830,"未払繰越")+SUMIFS(未払予定一覧!$O$4:$O$830,未払予定一覧!$N$4:$N$830,A126,未払予定一覧!$A$4:$A$830,"リゾート",未払予定一覧!$B$4:$B$830,"月次予定")</f>
        <v>0</v>
      </c>
      <c r="D126" s="20">
        <f t="shared" si="9"/>
        <v>5887357.9500000002</v>
      </c>
      <c r="E126" s="20">
        <f t="shared" si="10"/>
        <v>1468603.9500000002</v>
      </c>
      <c r="F126" s="21">
        <f>SUMIFS(未払予定一覧!$O$4:$O$830,未払予定一覧!$N$4:$N$830,A126,未払予定一覧!$A$4:$A$830,"リゾート",未払予定一覧!$B$4:$B$830,"カード枠回復")</f>
        <v>0</v>
      </c>
      <c r="G126" s="122">
        <f t="shared" si="11"/>
        <v>6738603.9500000002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SUMIFS(入金入力!$E$4:$E$580,入金入力!$B$4:$B$580,A127,入金入力!$A$4:$A$580,"リゾート")+SUMIFS(入金予測!$E$4:$E$603,入金予測!$A$4:$A$603,A127,入金予測!$B$4:$B$603,"リゾート")</f>
        <v>0</v>
      </c>
      <c r="C127" s="20">
        <f>SUMIFS(未払予定一覧!$O$4:$O$830,未払予定一覧!$N$4:$N$830,A127,未払予定一覧!$A$4:$A$830,"リゾート",未払予定一覧!$B$4:$B$830,"未払繰越")+SUMIFS(未払予定一覧!$O$4:$O$830,未払予定一覧!$N$4:$N$830,A127,未払予定一覧!$A$4:$A$830,"リゾート",未払予定一覧!$B$4:$B$830,"月次予定")</f>
        <v>0</v>
      </c>
      <c r="D127" s="20">
        <f t="shared" si="9"/>
        <v>0</v>
      </c>
      <c r="E127" s="20">
        <f t="shared" si="10"/>
        <v>1468603.9500000002</v>
      </c>
      <c r="F127" s="21">
        <f>SUMIFS(未払予定一覧!$O$4:$O$830,未払予定一覧!$N$4:$N$830,A127,未払予定一覧!$A$4:$A$830,"リゾート",未払予定一覧!$B$4:$B$830,"カード枠回復")</f>
        <v>0</v>
      </c>
      <c r="G127" s="122">
        <f t="shared" si="11"/>
        <v>6738603.9500000002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SUMIFS(入金入力!$E$4:$E$580,入金入力!$B$4:$B$580,A128,入金入力!$A$4:$A$580,"リゾート")+SUMIFS(入金予測!$E$4:$E$603,入金予測!$A$4:$A$603,A128,入金予測!$B$4:$B$603,"リゾート")</f>
        <v>0</v>
      </c>
      <c r="C128" s="20">
        <f>SUMIFS(未払予定一覧!$O$4:$O$830,未払予定一覧!$N$4:$N$830,A128,未払予定一覧!$A$4:$A$830,"リゾート",未払予定一覧!$B$4:$B$830,"未払繰越")+SUMIFS(未払予定一覧!$O$4:$O$830,未払予定一覧!$N$4:$N$830,A128,未払予定一覧!$A$4:$A$830,"リゾート",未払予定一覧!$B$4:$B$830,"月次予定")</f>
        <v>0</v>
      </c>
      <c r="D128" s="20">
        <f t="shared" si="9"/>
        <v>0</v>
      </c>
      <c r="E128" s="20">
        <f t="shared" si="10"/>
        <v>1468603.9500000002</v>
      </c>
      <c r="F128" s="21">
        <f>SUMIFS(未払予定一覧!$O$4:$O$830,未払予定一覧!$N$4:$N$830,A128,未払予定一覧!$A$4:$A$830,"リゾート",未払予定一覧!$B$4:$B$830,"カード枠回復")</f>
        <v>0</v>
      </c>
      <c r="G128" s="122">
        <f t="shared" si="11"/>
        <v>6738603.9500000002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SUMIFS(入金入力!$E$4:$E$580,入金入力!$B$4:$B$580,A129,入金入力!$A$4:$A$580,"リゾート")+SUMIFS(入金予測!$E$4:$E$603,入金予測!$A$4:$A$603,A129,入金予測!$B$4:$B$603,"リゾート")</f>
        <v>0</v>
      </c>
      <c r="C129" s="20">
        <f>SUMIFS(未払予定一覧!$O$4:$O$830,未払予定一覧!$N$4:$N$830,A129,未払予定一覧!$A$4:$A$830,"リゾート",未払予定一覧!$B$4:$B$830,"未払繰越")+SUMIFS(未払予定一覧!$O$4:$O$830,未払予定一覧!$N$4:$N$830,A129,未払予定一覧!$A$4:$A$830,"リゾート",未払予定一覧!$B$4:$B$830,"月次予定")</f>
        <v>0</v>
      </c>
      <c r="D129" s="20">
        <f t="shared" si="9"/>
        <v>0</v>
      </c>
      <c r="E129" s="20">
        <f t="shared" si="10"/>
        <v>1468603.9500000002</v>
      </c>
      <c r="F129" s="21">
        <f>SUMIFS(未払予定一覧!$O$4:$O$830,未払予定一覧!$N$4:$N$830,A129,未払予定一覧!$A$4:$A$830,"リゾート",未払予定一覧!$B$4:$B$830,"カード枠回復")</f>
        <v>0</v>
      </c>
      <c r="G129" s="122">
        <f t="shared" si="11"/>
        <v>6738603.9500000002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SUMIFS(入金入力!$E$4:$E$580,入金入力!$B$4:$B$580,A130,入金入力!$A$4:$A$580,"リゾート")+SUMIFS(入金予測!$E$4:$E$603,入金予測!$A$4:$A$603,A130,入金予測!$B$4:$B$603,"リゾート")</f>
        <v>0</v>
      </c>
      <c r="C130" s="20">
        <f>SUMIFS(未払予定一覧!$O$4:$O$830,未払予定一覧!$N$4:$N$830,A130,未払予定一覧!$A$4:$A$830,"リゾート",未払予定一覧!$B$4:$B$830,"未払繰越")+SUMIFS(未払予定一覧!$O$4:$O$830,未払予定一覧!$N$4:$N$830,A130,未払予定一覧!$A$4:$A$830,"リゾート",未払予定一覧!$B$4:$B$830,"月次予定")</f>
        <v>608628</v>
      </c>
      <c r="D130" s="20">
        <f t="shared" si="9"/>
        <v>-608628</v>
      </c>
      <c r="E130" s="20">
        <f t="shared" si="10"/>
        <v>859975.95000000019</v>
      </c>
      <c r="F130" s="21">
        <f>SUMIFS(未払予定一覧!$O$4:$O$830,未払予定一覧!$N$4:$N$830,A130,未払予定一覧!$A$4:$A$830,"リゾート",未払予定一覧!$B$4:$B$830,"カード枠回復")</f>
        <v>0</v>
      </c>
      <c r="G130" s="122">
        <f t="shared" si="11"/>
        <v>6129975.9500000002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SUMIFS(入金入力!$E$4:$E$580,入金入力!$B$4:$B$580,A131,入金入力!$A$4:$A$580,"リゾート")+SUMIFS(入金予測!$E$4:$E$603,入金予測!$A$4:$A$603,A131,入金予測!$B$4:$B$603,"リゾート")</f>
        <v>1947012.5000000002</v>
      </c>
      <c r="C131" s="20">
        <f>SUMIFS(未払予定一覧!$O$4:$O$830,未払予定一覧!$N$4:$N$830,A131,未払予定一覧!$A$4:$A$830,"リゾート",未払予定一覧!$B$4:$B$830,"未払繰越")+SUMIFS(未払予定一覧!$O$4:$O$830,未払予定一覧!$N$4:$N$830,A131,未払予定一覧!$A$4:$A$830,"リゾート",未払予定一覧!$B$4:$B$830,"月次予定")</f>
        <v>11329552</v>
      </c>
      <c r="D131" s="20">
        <f t="shared" si="9"/>
        <v>-9382539.5</v>
      </c>
      <c r="E131" s="20">
        <f t="shared" si="10"/>
        <v>-8522563.5500000007</v>
      </c>
      <c r="F131" s="21">
        <f>SUMIFS(未払予定一覧!$O$4:$O$830,未払予定一覧!$N$4:$N$830,A131,未払予定一覧!$A$4:$A$830,"リゾート",未払予定一覧!$B$4:$B$830,"カード枠回復")</f>
        <v>0</v>
      </c>
      <c r="G131" s="122">
        <f t="shared" si="11"/>
        <v>-3252563.55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SUMIFS(入金入力!$E$4:$E$580,入金入力!$B$4:$B$580,A132,入金入力!$A$4:$A$580,"リゾート")+SUMIFS(入金予測!$E$4:$E$603,入金予測!$A$4:$A$603,A132,入金予測!$B$4:$B$603,"リゾート")</f>
        <v>0</v>
      </c>
      <c r="C132" s="20">
        <f>SUMIFS(未払予定一覧!$O$4:$O$830,未払予定一覧!$N$4:$N$830,A132,未払予定一覧!$A$4:$A$830,"リゾート",未払予定一覧!$B$4:$B$830,"未払繰越")+SUMIFS(未払予定一覧!$O$4:$O$830,未払予定一覧!$N$4:$N$830,A132,未払予定一覧!$A$4:$A$830,"リゾート",未払予定一覧!$B$4:$B$830,"月次予定")</f>
        <v>0</v>
      </c>
      <c r="D132" s="20">
        <f t="shared" si="9"/>
        <v>0</v>
      </c>
      <c r="E132" s="20">
        <f t="shared" si="10"/>
        <v>-8522563.5500000007</v>
      </c>
      <c r="F132" s="21">
        <f>SUMIFS(未払予定一覧!$O$4:$O$830,未払予定一覧!$N$4:$N$830,A132,未払予定一覧!$A$4:$A$830,"リゾート",未払予定一覧!$B$4:$B$830,"カード枠回復")</f>
        <v>0</v>
      </c>
      <c r="G132" s="122">
        <f t="shared" si="11"/>
        <v>-3252563.55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SUMIFS(入金入力!$E$4:$E$580,入金入力!$B$4:$B$580,A133,入金入力!$A$4:$A$580,"リゾート")+SUMIFS(入金予測!$E$4:$E$603,入金予測!$A$4:$A$603,A133,入金予測!$B$4:$B$603,"リゾート")</f>
        <v>0</v>
      </c>
      <c r="C133" s="20">
        <f>SUMIFS(未払予定一覧!$O$4:$O$830,未払予定一覧!$N$4:$N$830,A133,未払予定一覧!$A$4:$A$830,"リゾート",未払予定一覧!$B$4:$B$830,"未払繰越")+SUMIFS(未払予定一覧!$O$4:$O$830,未払予定一覧!$N$4:$N$830,A133,未払予定一覧!$A$4:$A$830,"リゾート",未払予定一覧!$B$4:$B$830,"月次予定")</f>
        <v>944225</v>
      </c>
      <c r="D133" s="20">
        <f t="shared" si="9"/>
        <v>-944225</v>
      </c>
      <c r="E133" s="20">
        <f t="shared" si="10"/>
        <v>-9466788.5500000007</v>
      </c>
      <c r="F133" s="21">
        <f>SUMIFS(未払予定一覧!$O$4:$O$830,未払予定一覧!$N$4:$N$830,A133,未払予定一覧!$A$4:$A$830,"リゾート",未払予定一覧!$B$4:$B$830,"カード枠回復")</f>
        <v>0</v>
      </c>
      <c r="G133" s="122">
        <f t="shared" si="11"/>
        <v>-4196788.55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SUMIFS(入金入力!$E$4:$E$580,入金入力!$B$4:$B$580,A134,入金入力!$A$4:$A$580,"リゾート")+SUMIFS(入金予測!$E$4:$E$603,入金予測!$A$4:$A$603,A134,入金予測!$B$4:$B$603,"リゾート")</f>
        <v>0</v>
      </c>
      <c r="C134" s="20">
        <f>SUMIFS(未払予定一覧!$O$4:$O$830,未払予定一覧!$N$4:$N$830,A134,未払予定一覧!$A$4:$A$830,"リゾート",未払予定一覧!$B$4:$B$830,"未払繰越")+SUMIFS(未払予定一覧!$O$4:$O$830,未払予定一覧!$N$4:$N$830,A134,未払予定一覧!$A$4:$A$830,"リゾート",未払予定一覧!$B$4:$B$830,"月次予定")</f>
        <v>11175155</v>
      </c>
      <c r="D134" s="20">
        <f t="shared" si="9"/>
        <v>-11175155</v>
      </c>
      <c r="E134" s="20">
        <f t="shared" si="10"/>
        <v>-20641943.550000001</v>
      </c>
      <c r="F134" s="21">
        <f>SUMIFS(未払予定一覧!$O$4:$O$830,未払予定一覧!$N$4:$N$830,A134,未払予定一覧!$A$4:$A$830,"リゾート",未払予定一覧!$B$4:$B$830,"カード枠回復")</f>
        <v>0</v>
      </c>
      <c r="G134" s="122">
        <f t="shared" si="11"/>
        <v>-15371943.550000001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SUMIFS(入金入力!$E$4:$E$580,入金入力!$B$4:$B$580,A135,入金入力!$A$4:$A$580,"リゾート")+SUMIFS(入金予測!$E$4:$E$603,入金予測!$A$4:$A$603,A135,入金予測!$B$4:$B$603,"リゾート")</f>
        <v>0</v>
      </c>
      <c r="C135" s="20">
        <f>SUMIFS(未払予定一覧!$O$4:$O$830,未払予定一覧!$N$4:$N$830,A135,未払予定一覧!$A$4:$A$830,"リゾート",未払予定一覧!$B$4:$B$830,"未払繰越")+SUMIFS(未払予定一覧!$O$4:$O$830,未払予定一覧!$N$4:$N$830,A135,未払予定一覧!$A$4:$A$830,"リゾート",未払予定一覧!$B$4:$B$830,"月次予定")</f>
        <v>0</v>
      </c>
      <c r="D135" s="20">
        <f t="shared" si="9"/>
        <v>0</v>
      </c>
      <c r="E135" s="20">
        <f t="shared" si="10"/>
        <v>-20641943.550000001</v>
      </c>
      <c r="F135" s="21">
        <f>SUMIFS(未払予定一覧!$O$4:$O$830,未払予定一覧!$N$4:$N$830,A135,未払予定一覧!$A$4:$A$830,"リゾート",未払予定一覧!$B$4:$B$830,"カード枠回復")</f>
        <v>0</v>
      </c>
      <c r="G135" s="122">
        <f t="shared" si="11"/>
        <v>-15371943.550000001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SUMIFS(入金入力!$E$4:$E$580,入金入力!$B$4:$B$580,A136,入金入力!$A$4:$A$580,"リゾート")+SUMIFS(入金予測!$E$4:$E$603,入金予測!$A$4:$A$603,A136,入金予測!$B$4:$B$603,"リゾート")</f>
        <v>0</v>
      </c>
      <c r="C136" s="20">
        <f>SUMIFS(未払予定一覧!$O$4:$O$830,未払予定一覧!$N$4:$N$830,A136,未払予定一覧!$A$4:$A$830,"リゾート",未払予定一覧!$B$4:$B$830,"未払繰越")+SUMIFS(未払予定一覧!$O$4:$O$830,未払予定一覧!$N$4:$N$830,A136,未払予定一覧!$A$4:$A$830,"リゾート",未払予定一覧!$B$4:$B$830,"月次予定")</f>
        <v>2583695</v>
      </c>
      <c r="D136" s="20">
        <f t="shared" si="9"/>
        <v>-2583695</v>
      </c>
      <c r="E136" s="20">
        <f t="shared" si="10"/>
        <v>-23225638.550000001</v>
      </c>
      <c r="F136" s="21">
        <f>SUMIFS(未払予定一覧!$O$4:$O$830,未払予定一覧!$N$4:$N$830,A136,未払予定一覧!$A$4:$A$830,"リゾート",未払予定一覧!$B$4:$B$830,"カード枠回復")</f>
        <v>0</v>
      </c>
      <c r="G136" s="122">
        <f t="shared" si="11"/>
        <v>-17955638.550000001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SUMIFS(入金入力!$E$4:$E$580,入金入力!$B$4:$B$580,A137,入金入力!$A$4:$A$580,"リゾート")+SUMIFS(入金予測!$E$4:$E$603,入金予測!$A$4:$A$603,A137,入金予測!$B$4:$B$603,"リゾート")</f>
        <v>0</v>
      </c>
      <c r="C137" s="20">
        <f>SUMIFS(未払予定一覧!$O$4:$O$830,未払予定一覧!$N$4:$N$830,A137,未払予定一覧!$A$4:$A$830,"リゾート",未払予定一覧!$B$4:$B$830,"未払繰越")+SUMIFS(未払予定一覧!$O$4:$O$830,未払予定一覧!$N$4:$N$830,A137,未払予定一覧!$A$4:$A$830,"リゾート",未払予定一覧!$B$4:$B$830,"月次予定")</f>
        <v>170000</v>
      </c>
      <c r="D137" s="20">
        <f t="shared" si="9"/>
        <v>-170000</v>
      </c>
      <c r="E137" s="20">
        <f t="shared" si="10"/>
        <v>-23395638.550000001</v>
      </c>
      <c r="F137" s="21">
        <f>SUMIFS(未払予定一覧!$O$4:$O$830,未払予定一覧!$N$4:$N$830,A137,未払予定一覧!$A$4:$A$830,"リゾート",未払予定一覧!$B$4:$B$830,"カード枠回復")</f>
        <v>0</v>
      </c>
      <c r="G137" s="122">
        <f t="shared" si="11"/>
        <v>-18125638.550000001</v>
      </c>
      <c r="H137" s="123"/>
    </row>
    <row r="138" spans="1:8" ht="15" customHeight="1">
      <c r="A138" s="23" t="s">
        <v>697</v>
      </c>
      <c r="B138" s="24">
        <f>SUM(B107:B137)</f>
        <v>30710595.199999999</v>
      </c>
      <c r="C138" s="24">
        <f>SUM(C107:C137)</f>
        <v>29167405</v>
      </c>
      <c r="D138" s="24">
        <f t="shared" si="9"/>
        <v>1543190.1999999993</v>
      </c>
      <c r="E138" s="24">
        <f>E137</f>
        <v>-23395638.550000001</v>
      </c>
      <c r="F138" s="24">
        <f>SUM(F107:F137)</f>
        <v>0</v>
      </c>
      <c r="G138" s="24">
        <f>G137</f>
        <v>-18125638.550000001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8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48" t="s">
        <v>699</v>
      </c>
      <c r="B1" s="148"/>
      <c r="C1" s="148"/>
      <c r="D1" s="148"/>
      <c r="E1" s="148"/>
      <c r="F1" s="148"/>
      <c r="G1" s="148"/>
      <c r="H1" s="148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SUMIFS(入金入力!$E$4:$E$580,入金入力!$B$4:$B$580,A5,入金入力!$A$4:$A$580,"モーテル")+SUMIFS(入金予測!$E$4:$E$603,入金予測!$A$4:$A$603,A5,入金予測!$B$4:$B$603,"モーテル")</f>
        <v>1541830</v>
      </c>
      <c r="C5" s="20">
        <f>SUMIFS(未払予定一覧!$O$4:$O$830,未払予定一覧!$N$4:$N$830,A5,未払予定一覧!$A$4:$A$830,"モーテル",未払予定一覧!$B$4:$B$830,"未払繰越")+SUMIFS(未払予定一覧!$O$4:$O$830,未払予定一覧!$N$4:$N$830,A5,未払予定一覧!$A$4:$A$830,"モーテル",未払予定一覧!$B$4:$B$830,"月次予定")</f>
        <v>0</v>
      </c>
      <c r="D5" s="20">
        <f t="shared" ref="D5:D37" si="0">B5-C5-F5</f>
        <v>1541830</v>
      </c>
      <c r="E5" s="20">
        <f>D5</f>
        <v>1541830</v>
      </c>
      <c r="F5" s="21">
        <f>SUMIFS(未払予定一覧!$O$4:$O$830,未払予定一覧!$N$4:$N$830,A5,未払予定一覧!$A$4:$A$830,"モーテル",未払予定一覧!$B$4:$B$830,"カード枠回復")</f>
        <v>0</v>
      </c>
      <c r="G5" s="122">
        <f>D5+F5</f>
        <v>1541830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SUMIFS(入金入力!$E$4:$E$580,入金入力!$B$4:$B$580,A6,入金入力!$A$4:$A$580,"モーテル")+SUMIFS(入金予測!$E$4:$E$603,入金予測!$A$4:$A$603,A6,入金予測!$B$4:$B$603,"モーテル")</f>
        <v>0</v>
      </c>
      <c r="C6" s="20">
        <f>SUMIFS(未払予定一覧!$O$4:$O$830,未払予定一覧!$N$4:$N$830,A6,未払予定一覧!$A$4:$A$830,"モーテル",未払予定一覧!$B$4:$B$830,"未払繰越")+SUMIFS(未払予定一覧!$O$4:$O$830,未払予定一覧!$N$4:$N$830,A6,未払予定一覧!$A$4:$A$830,"モーテル",未払予定一覧!$B$4:$B$830,"月次予定")</f>
        <v>0</v>
      </c>
      <c r="D6" s="20">
        <f t="shared" si="0"/>
        <v>0</v>
      </c>
      <c r="E6" s="20">
        <f t="shared" ref="E6:E36" si="1">E5+D6</f>
        <v>1541830</v>
      </c>
      <c r="F6" s="21">
        <f>SUMIFS(未払予定一覧!$O$4:$O$830,未払予定一覧!$N$4:$N$830,A6,未払予定一覧!$A$4:$A$830,"モーテル",未払予定一覧!$B$4:$B$830,"カード枠回復")</f>
        <v>0</v>
      </c>
      <c r="G6" s="122">
        <f t="shared" ref="G6:G36" si="2">G5+D6+F6</f>
        <v>1541830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SUMIFS(入金入力!$E$4:$E$580,入金入力!$B$4:$B$580,A7,入金入力!$A$4:$A$580,"モーテル")+SUMIFS(入金予測!$E$4:$E$603,入金予測!$A$4:$A$603,A7,入金予測!$B$4:$B$603,"モーテル")</f>
        <v>58677</v>
      </c>
      <c r="C7" s="20">
        <f>SUMIFS(未払予定一覧!$O$4:$O$830,未払予定一覧!$N$4:$N$830,A7,未払予定一覧!$A$4:$A$830,"モーテル",未払予定一覧!$B$4:$B$830,"未払繰越")+SUMIFS(未払予定一覧!$O$4:$O$830,未払予定一覧!$N$4:$N$830,A7,未払予定一覧!$A$4:$A$830,"モーテル",未払予定一覧!$B$4:$B$830,"月次予定")</f>
        <v>0</v>
      </c>
      <c r="D7" s="20">
        <f t="shared" si="0"/>
        <v>58677</v>
      </c>
      <c r="E7" s="20">
        <f t="shared" si="1"/>
        <v>1600507</v>
      </c>
      <c r="F7" s="21">
        <f>SUMIFS(未払予定一覧!$O$4:$O$830,未払予定一覧!$N$4:$N$830,A7,未払予定一覧!$A$4:$A$830,"モーテル",未払予定一覧!$B$4:$B$830,"カード枠回復")</f>
        <v>0</v>
      </c>
      <c r="G7" s="122">
        <f t="shared" si="2"/>
        <v>1600507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SUMIFS(入金入力!$E$4:$E$580,入金入力!$B$4:$B$580,A8,入金入力!$A$4:$A$580,"モーテル")+SUMIFS(入金予測!$E$4:$E$603,入金予測!$A$4:$A$603,A8,入金予測!$B$4:$B$603,"モーテル")</f>
        <v>217127</v>
      </c>
      <c r="C8" s="20">
        <f>SUMIFS(未払予定一覧!$O$4:$O$830,未払予定一覧!$N$4:$N$830,A8,未払予定一覧!$A$4:$A$830,"モーテル",未払予定一覧!$B$4:$B$830,"未払繰越")+SUMIFS(未払予定一覧!$O$4:$O$830,未払予定一覧!$N$4:$N$830,A8,未払予定一覧!$A$4:$A$830,"モーテル",未払予定一覧!$B$4:$B$830,"月次予定")</f>
        <v>0</v>
      </c>
      <c r="D8" s="20">
        <f t="shared" si="0"/>
        <v>217127</v>
      </c>
      <c r="E8" s="20">
        <f t="shared" si="1"/>
        <v>1817634</v>
      </c>
      <c r="F8" s="21">
        <f>SUMIFS(未払予定一覧!$O$4:$O$830,未払予定一覧!$N$4:$N$830,A8,未払予定一覧!$A$4:$A$830,"モーテル",未払予定一覧!$B$4:$B$830,"カード枠回復")</f>
        <v>0</v>
      </c>
      <c r="G8" s="122">
        <f t="shared" si="2"/>
        <v>1817634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SUMIFS(入金入力!$E$4:$E$580,入金入力!$B$4:$B$580,A9,入金入力!$A$4:$A$580,"モーテル")+SUMIFS(入金予測!$E$4:$E$603,入金予測!$A$4:$A$603,A9,入金予測!$B$4:$B$603,"モーテル")</f>
        <v>0</v>
      </c>
      <c r="C9" s="20">
        <f>SUMIFS(未払予定一覧!$O$4:$O$830,未払予定一覧!$N$4:$N$830,A9,未払予定一覧!$A$4:$A$830,"モーテル",未払予定一覧!$B$4:$B$830,"未払繰越")+SUMIFS(未払予定一覧!$O$4:$O$830,未払予定一覧!$N$4:$N$830,A9,未払予定一覧!$A$4:$A$830,"モーテル",未払予定一覧!$B$4:$B$830,"月次予定")</f>
        <v>0</v>
      </c>
      <c r="D9" s="20">
        <f t="shared" si="0"/>
        <v>0</v>
      </c>
      <c r="E9" s="20">
        <f t="shared" si="1"/>
        <v>1817634</v>
      </c>
      <c r="F9" s="21">
        <f>SUMIFS(未払予定一覧!$O$4:$O$830,未払予定一覧!$N$4:$N$830,A9,未払予定一覧!$A$4:$A$830,"モーテル",未払予定一覧!$B$4:$B$830,"カード枠回復")</f>
        <v>0</v>
      </c>
      <c r="G9" s="122">
        <f t="shared" si="2"/>
        <v>1817634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SUMIFS(入金入力!$E$4:$E$580,入金入力!$B$4:$B$580,A10,入金入力!$A$4:$A$580,"モーテル")+SUMIFS(入金予測!$E$4:$E$603,入金予測!$A$4:$A$603,A10,入金予測!$B$4:$B$603,"モーテル")</f>
        <v>0</v>
      </c>
      <c r="C10" s="20">
        <f>SUMIFS(未払予定一覧!$O$4:$O$830,未払予定一覧!$N$4:$N$830,A10,未払予定一覧!$A$4:$A$830,"モーテル",未払予定一覧!$B$4:$B$830,"未払繰越")+SUMIFS(未払予定一覧!$O$4:$O$830,未払予定一覧!$N$4:$N$830,A10,未払予定一覧!$A$4:$A$830,"モーテル",未払予定一覧!$B$4:$B$830,"月次予定")</f>
        <v>0</v>
      </c>
      <c r="D10" s="20">
        <f t="shared" si="0"/>
        <v>0</v>
      </c>
      <c r="E10" s="20">
        <f t="shared" si="1"/>
        <v>1817634</v>
      </c>
      <c r="F10" s="21">
        <f>SUMIFS(未払予定一覧!$O$4:$O$830,未払予定一覧!$N$4:$N$830,A10,未払予定一覧!$A$4:$A$830,"モーテル",未払予定一覧!$B$4:$B$830,"カード枠回復")</f>
        <v>0</v>
      </c>
      <c r="G10" s="122">
        <f t="shared" si="2"/>
        <v>1817634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SUMIFS(入金入力!$E$4:$E$580,入金入力!$B$4:$B$580,A11,入金入力!$A$4:$A$580,"モーテル")+SUMIFS(入金予測!$E$4:$E$603,入金予測!$A$4:$A$603,A11,入金予測!$B$4:$B$603,"モーテル")</f>
        <v>0</v>
      </c>
      <c r="C11" s="20">
        <f>SUMIFS(未払予定一覧!$O$4:$O$830,未払予定一覧!$N$4:$N$830,A11,未払予定一覧!$A$4:$A$830,"モーテル",未払予定一覧!$B$4:$B$830,"未払繰越")+SUMIFS(未払予定一覧!$O$4:$O$830,未払予定一覧!$N$4:$N$830,A11,未払予定一覧!$A$4:$A$830,"モーテル",未払予定一覧!$B$4:$B$830,"月次予定")</f>
        <v>0</v>
      </c>
      <c r="D11" s="20">
        <f t="shared" si="0"/>
        <v>0</v>
      </c>
      <c r="E11" s="20">
        <f t="shared" si="1"/>
        <v>1817634</v>
      </c>
      <c r="F11" s="21">
        <f>SUMIFS(未払予定一覧!$O$4:$O$830,未払予定一覧!$N$4:$N$830,A11,未払予定一覧!$A$4:$A$830,"モーテル",未払予定一覧!$B$4:$B$830,"カード枠回復")</f>
        <v>0</v>
      </c>
      <c r="G11" s="122">
        <f t="shared" si="2"/>
        <v>1817634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SUMIFS(入金入力!$E$4:$E$580,入金入力!$B$4:$B$580,A12,入金入力!$A$4:$A$580,"モーテル")+SUMIFS(入金予測!$E$4:$E$603,入金予測!$A$4:$A$603,A12,入金予測!$B$4:$B$603,"モーテル")</f>
        <v>496117</v>
      </c>
      <c r="C12" s="20">
        <f>SUMIFS(未払予定一覧!$O$4:$O$830,未払予定一覧!$N$4:$N$830,A12,未払予定一覧!$A$4:$A$830,"モーテル",未払予定一覧!$B$4:$B$830,"未払繰越")+SUMIFS(未払予定一覧!$O$4:$O$830,未払予定一覧!$N$4:$N$830,A12,未払予定一覧!$A$4:$A$830,"モーテル",未払予定一覧!$B$4:$B$830,"月次予定")</f>
        <v>0</v>
      </c>
      <c r="D12" s="20">
        <f t="shared" si="0"/>
        <v>496117</v>
      </c>
      <c r="E12" s="20">
        <f t="shared" si="1"/>
        <v>2313751</v>
      </c>
      <c r="F12" s="21">
        <f>SUMIFS(未払予定一覧!$O$4:$O$830,未払予定一覧!$N$4:$N$830,A12,未払予定一覧!$A$4:$A$830,"モーテル",未払予定一覧!$B$4:$B$830,"カード枠回復")</f>
        <v>0</v>
      </c>
      <c r="G12" s="122">
        <f t="shared" si="2"/>
        <v>2313751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SUMIFS(入金入力!$E$4:$E$580,入金入力!$B$4:$B$580,A13,入金入力!$A$4:$A$580,"モーテル")+SUMIFS(入金予測!$E$4:$E$603,入金予測!$A$4:$A$603,A13,入金予測!$B$4:$B$603,"モーテル")</f>
        <v>85963</v>
      </c>
      <c r="C13" s="20">
        <f>SUMIFS(未払予定一覧!$O$4:$O$830,未払予定一覧!$N$4:$N$830,A13,未払予定一覧!$A$4:$A$830,"モーテル",未払予定一覧!$B$4:$B$830,"未払繰越")+SUMIFS(未払予定一覧!$O$4:$O$830,未払予定一覧!$N$4:$N$830,A13,未払予定一覧!$A$4:$A$830,"モーテル",未払予定一覧!$B$4:$B$830,"月次予定")</f>
        <v>0</v>
      </c>
      <c r="D13" s="20">
        <f t="shared" si="0"/>
        <v>85963</v>
      </c>
      <c r="E13" s="20">
        <f t="shared" si="1"/>
        <v>2399714</v>
      </c>
      <c r="F13" s="21">
        <f>SUMIFS(未払予定一覧!$O$4:$O$830,未払予定一覧!$N$4:$N$830,A13,未払予定一覧!$A$4:$A$830,"モーテル",未払予定一覧!$B$4:$B$830,"カード枠回復")</f>
        <v>0</v>
      </c>
      <c r="G13" s="122">
        <f t="shared" si="2"/>
        <v>2399714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SUMIFS(入金入力!$E$4:$E$580,入金入力!$B$4:$B$580,A14,入金入力!$A$4:$A$580,"モーテル")+SUMIFS(入金予測!$E$4:$E$603,入金予測!$A$4:$A$603,A14,入金予測!$B$4:$B$603,"モーテル")</f>
        <v>0</v>
      </c>
      <c r="C14" s="20">
        <f>SUMIFS(未払予定一覧!$O$4:$O$830,未払予定一覧!$N$4:$N$830,A14,未払予定一覧!$A$4:$A$830,"モーテル",未払予定一覧!$B$4:$B$830,"未払繰越")+SUMIFS(未払予定一覧!$O$4:$O$830,未払予定一覧!$N$4:$N$830,A14,未払予定一覧!$A$4:$A$830,"モーテル",未払予定一覧!$B$4:$B$830,"月次予定")</f>
        <v>0</v>
      </c>
      <c r="D14" s="20">
        <f t="shared" si="0"/>
        <v>0</v>
      </c>
      <c r="E14" s="20">
        <f t="shared" si="1"/>
        <v>2399714</v>
      </c>
      <c r="F14" s="21">
        <f>SUMIFS(未払予定一覧!$O$4:$O$830,未払予定一覧!$N$4:$N$830,A14,未払予定一覧!$A$4:$A$830,"モーテル",未払予定一覧!$B$4:$B$830,"カード枠回復")</f>
        <v>0</v>
      </c>
      <c r="G14" s="122">
        <f t="shared" si="2"/>
        <v>2399714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SUMIFS(入金入力!$E$4:$E$580,入金入力!$B$4:$B$580,A15,入金入力!$A$4:$A$580,"モーテル")+SUMIFS(入金予測!$E$4:$E$603,入金予測!$A$4:$A$603,A15,入金予測!$B$4:$B$603,"モーテル")</f>
        <v>0</v>
      </c>
      <c r="C15" s="20">
        <f>SUMIFS(未払予定一覧!$O$4:$O$830,未払予定一覧!$N$4:$N$830,A15,未払予定一覧!$A$4:$A$830,"モーテル",未払予定一覧!$B$4:$B$830,"未払繰越")+SUMIFS(未払予定一覧!$O$4:$O$830,未払予定一覧!$N$4:$N$830,A15,未払予定一覧!$A$4:$A$830,"モーテル",未払予定一覧!$B$4:$B$830,"月次予定")</f>
        <v>0</v>
      </c>
      <c r="D15" s="20">
        <f t="shared" si="0"/>
        <v>0</v>
      </c>
      <c r="E15" s="20">
        <f t="shared" si="1"/>
        <v>2399714</v>
      </c>
      <c r="F15" s="21">
        <f>SUMIFS(未払予定一覧!$O$4:$O$830,未払予定一覧!$N$4:$N$830,A15,未払予定一覧!$A$4:$A$830,"モーテル",未払予定一覧!$B$4:$B$830,"カード枠回復")</f>
        <v>0</v>
      </c>
      <c r="G15" s="122">
        <f t="shared" si="2"/>
        <v>2399714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SUMIFS(入金入力!$E$4:$E$580,入金入力!$B$4:$B$580,A16,入金入力!$A$4:$A$580,"モーテル")+SUMIFS(入金予測!$E$4:$E$603,入金予測!$A$4:$A$603,A16,入金予測!$B$4:$B$603,"モーテル")</f>
        <v>0</v>
      </c>
      <c r="C16" s="20">
        <f>SUMIFS(未払予定一覧!$O$4:$O$830,未払予定一覧!$N$4:$N$830,A16,未払予定一覧!$A$4:$A$830,"モーテル",未払予定一覧!$B$4:$B$830,"未払繰越")+SUMIFS(未払予定一覧!$O$4:$O$830,未払予定一覧!$N$4:$N$830,A16,未払予定一覧!$A$4:$A$830,"モーテル",未払予定一覧!$B$4:$B$830,"月次予定")</f>
        <v>144004</v>
      </c>
      <c r="D16" s="20">
        <f t="shared" si="0"/>
        <v>-144004</v>
      </c>
      <c r="E16" s="20">
        <f t="shared" si="1"/>
        <v>2255710</v>
      </c>
      <c r="F16" s="21">
        <f>SUMIFS(未払予定一覧!$O$4:$O$830,未払予定一覧!$N$4:$N$830,A16,未払予定一覧!$A$4:$A$830,"モーテル",未払予定一覧!$B$4:$B$830,"カード枠回復")</f>
        <v>0</v>
      </c>
      <c r="G16" s="122">
        <f t="shared" si="2"/>
        <v>2255710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SUMIFS(入金入力!$E$4:$E$580,入金入力!$B$4:$B$580,A17,入金入力!$A$4:$A$580,"モーテル")+SUMIFS(入金予測!$E$4:$E$603,入金予測!$A$4:$A$603,A17,入金予測!$B$4:$B$603,"モーテル")</f>
        <v>0</v>
      </c>
      <c r="C17" s="20">
        <f>SUMIFS(未払予定一覧!$O$4:$O$830,未払予定一覧!$N$4:$N$830,A17,未払予定一覧!$A$4:$A$830,"モーテル",未払予定一覧!$B$4:$B$830,"未払繰越")+SUMIFS(未払予定一覧!$O$4:$O$830,未払予定一覧!$N$4:$N$830,A17,未払予定一覧!$A$4:$A$830,"モーテル",未払予定一覧!$B$4:$B$830,"月次予定")</f>
        <v>0</v>
      </c>
      <c r="D17" s="20">
        <f t="shared" si="0"/>
        <v>0</v>
      </c>
      <c r="E17" s="20">
        <f t="shared" si="1"/>
        <v>2255710</v>
      </c>
      <c r="F17" s="21">
        <f>SUMIFS(未払予定一覧!$O$4:$O$830,未払予定一覧!$N$4:$N$830,A17,未払予定一覧!$A$4:$A$830,"モーテル",未払予定一覧!$B$4:$B$830,"カード枠回復")</f>
        <v>0</v>
      </c>
      <c r="G17" s="122">
        <f t="shared" si="2"/>
        <v>2255710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SUMIFS(入金入力!$E$4:$E$580,入金入力!$B$4:$B$580,A18,入金入力!$A$4:$A$580,"モーテル")+SUMIFS(入金予測!$E$4:$E$603,入金予測!$A$4:$A$603,A18,入金予測!$B$4:$B$603,"モーテル")</f>
        <v>0</v>
      </c>
      <c r="C18" s="20">
        <f>SUMIFS(未払予定一覧!$O$4:$O$830,未払予定一覧!$N$4:$N$830,A18,未払予定一覧!$A$4:$A$830,"モーテル",未払予定一覧!$B$4:$B$830,"未払繰越")+SUMIFS(未払予定一覧!$O$4:$O$830,未払予定一覧!$N$4:$N$830,A18,未払予定一覧!$A$4:$A$830,"モーテル",未払予定一覧!$B$4:$B$830,"月次予定")</f>
        <v>0</v>
      </c>
      <c r="D18" s="20">
        <f t="shared" si="0"/>
        <v>0</v>
      </c>
      <c r="E18" s="20">
        <f t="shared" si="1"/>
        <v>2255710</v>
      </c>
      <c r="F18" s="21">
        <f>SUMIFS(未払予定一覧!$O$4:$O$830,未払予定一覧!$N$4:$N$830,A18,未払予定一覧!$A$4:$A$830,"モーテル",未払予定一覧!$B$4:$B$830,"カード枠回復")</f>
        <v>0</v>
      </c>
      <c r="G18" s="122">
        <f t="shared" si="2"/>
        <v>2255710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SUMIFS(入金入力!$E$4:$E$580,入金入力!$B$4:$B$580,A19,入金入力!$A$4:$A$580,"モーテル")+SUMIFS(入金予測!$E$4:$E$603,入金予測!$A$4:$A$603,A19,入金予測!$B$4:$B$603,"モーテル")</f>
        <v>0</v>
      </c>
      <c r="C19" s="20">
        <f>SUMIFS(未払予定一覧!$O$4:$O$830,未払予定一覧!$N$4:$N$830,A19,未払予定一覧!$A$4:$A$830,"モーテル",未払予定一覧!$B$4:$B$830,"未払繰越")+SUMIFS(未払予定一覧!$O$4:$O$830,未払予定一覧!$N$4:$N$830,A19,未払予定一覧!$A$4:$A$830,"モーテル",未払予定一覧!$B$4:$B$830,"月次予定")</f>
        <v>0</v>
      </c>
      <c r="D19" s="20">
        <f t="shared" si="0"/>
        <v>0</v>
      </c>
      <c r="E19" s="20">
        <f t="shared" si="1"/>
        <v>2255710</v>
      </c>
      <c r="F19" s="21">
        <f>SUMIFS(未払予定一覧!$O$4:$O$830,未払予定一覧!$N$4:$N$830,A19,未払予定一覧!$A$4:$A$830,"モーテル",未払予定一覧!$B$4:$B$830,"カード枠回復")</f>
        <v>0</v>
      </c>
      <c r="G19" s="122">
        <f t="shared" si="2"/>
        <v>2255710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SUMIFS(入金入力!$E$4:$E$580,入金入力!$B$4:$B$580,A20,入金入力!$A$4:$A$580,"モーテル")+SUMIFS(入金予測!$E$4:$E$603,入金予測!$A$4:$A$603,A20,入金予測!$B$4:$B$603,"モーテル")</f>
        <v>825830</v>
      </c>
      <c r="C20" s="20">
        <f>SUMIFS(未払予定一覧!$O$4:$O$830,未払予定一覧!$N$4:$N$830,A20,未払予定一覧!$A$4:$A$830,"モーテル",未払予定一覧!$B$4:$B$830,"未払繰越")+SUMIFS(未払予定一覧!$O$4:$O$830,未払予定一覧!$N$4:$N$830,A20,未払予定一覧!$A$4:$A$830,"モーテル",未払予定一覧!$B$4:$B$830,"月次予定")</f>
        <v>1391864</v>
      </c>
      <c r="D20" s="20">
        <f t="shared" si="0"/>
        <v>-566034</v>
      </c>
      <c r="E20" s="20">
        <f t="shared" si="1"/>
        <v>1689676</v>
      </c>
      <c r="F20" s="21">
        <f>SUMIFS(未払予定一覧!$O$4:$O$830,未払予定一覧!$N$4:$N$830,A20,未払予定一覧!$A$4:$A$830,"モーテル",未払予定一覧!$B$4:$B$830,"カード枠回復")</f>
        <v>0</v>
      </c>
      <c r="G20" s="122">
        <f t="shared" si="2"/>
        <v>1689676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SUMIFS(入金入力!$E$4:$E$580,入金入力!$B$4:$B$580,A21,入金入力!$A$4:$A$580,"モーテル")+SUMIFS(入金予測!$E$4:$E$603,入金予測!$A$4:$A$603,A21,入金予測!$B$4:$B$603,"モーテル")</f>
        <v>0</v>
      </c>
      <c r="C21" s="20">
        <f>SUMIFS(未払予定一覧!$O$4:$O$830,未払予定一覧!$N$4:$N$830,A21,未払予定一覧!$A$4:$A$830,"モーテル",未払予定一覧!$B$4:$B$830,"未払繰越")+SUMIFS(未払予定一覧!$O$4:$O$830,未払予定一覧!$N$4:$N$830,A21,未払予定一覧!$A$4:$A$830,"モーテル",未払予定一覧!$B$4:$B$830,"月次予定")</f>
        <v>0</v>
      </c>
      <c r="D21" s="20">
        <f t="shared" si="0"/>
        <v>0</v>
      </c>
      <c r="E21" s="20">
        <f t="shared" si="1"/>
        <v>1689676</v>
      </c>
      <c r="F21" s="21">
        <f>SUMIFS(未払予定一覧!$O$4:$O$830,未払予定一覧!$N$4:$N$830,A21,未払予定一覧!$A$4:$A$830,"モーテル",未払予定一覧!$B$4:$B$830,"カード枠回復")</f>
        <v>0</v>
      </c>
      <c r="G21" s="122">
        <f t="shared" si="2"/>
        <v>1689676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SUMIFS(入金入力!$E$4:$E$580,入金入力!$B$4:$B$580,A22,入金入力!$A$4:$A$580,"モーテル")+SUMIFS(入金予測!$E$4:$E$603,入金予測!$A$4:$A$603,A22,入金予測!$B$4:$B$603,"モーテル")</f>
        <v>0</v>
      </c>
      <c r="C22" s="20">
        <f>SUMIFS(未払予定一覧!$O$4:$O$830,未払予定一覧!$N$4:$N$830,A22,未払予定一覧!$A$4:$A$830,"モーテル",未払予定一覧!$B$4:$B$830,"未払繰越")+SUMIFS(未払予定一覧!$O$4:$O$830,未払予定一覧!$N$4:$N$830,A22,未払予定一覧!$A$4:$A$830,"モーテル",未払予定一覧!$B$4:$B$830,"月次予定")</f>
        <v>0</v>
      </c>
      <c r="D22" s="20">
        <f t="shared" si="0"/>
        <v>0</v>
      </c>
      <c r="E22" s="20">
        <f t="shared" si="1"/>
        <v>1689676</v>
      </c>
      <c r="F22" s="21">
        <f>SUMIFS(未払予定一覧!$O$4:$O$830,未払予定一覧!$N$4:$N$830,A22,未払予定一覧!$A$4:$A$830,"モーテル",未払予定一覧!$B$4:$B$830,"カード枠回復")</f>
        <v>0</v>
      </c>
      <c r="G22" s="122">
        <f t="shared" si="2"/>
        <v>1689676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SUMIFS(入金入力!$E$4:$E$580,入金入力!$B$4:$B$580,A23,入金入力!$A$4:$A$580,"モーテル")+SUMIFS(入金予測!$E$4:$E$603,入金予測!$A$4:$A$603,A23,入金予測!$B$4:$B$603,"モーテル")</f>
        <v>0</v>
      </c>
      <c r="C23" s="20">
        <f>SUMIFS(未払予定一覧!$O$4:$O$830,未払予定一覧!$N$4:$N$830,A23,未払予定一覧!$A$4:$A$830,"モーテル",未払予定一覧!$B$4:$B$830,"未払繰越")+SUMIFS(未払予定一覧!$O$4:$O$830,未払予定一覧!$N$4:$N$830,A23,未払予定一覧!$A$4:$A$830,"モーテル",未払予定一覧!$B$4:$B$830,"月次予定")</f>
        <v>0</v>
      </c>
      <c r="D23" s="20">
        <f t="shared" si="0"/>
        <v>0</v>
      </c>
      <c r="E23" s="20">
        <f t="shared" si="1"/>
        <v>1689676</v>
      </c>
      <c r="F23" s="21">
        <f>SUMIFS(未払予定一覧!$O$4:$O$830,未払予定一覧!$N$4:$N$830,A23,未払予定一覧!$A$4:$A$830,"モーテル",未払予定一覧!$B$4:$B$830,"カード枠回復")</f>
        <v>0</v>
      </c>
      <c r="G23" s="122">
        <f t="shared" si="2"/>
        <v>1689676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SUMIFS(入金入力!$E$4:$E$580,入金入力!$B$4:$B$580,A24,入金入力!$A$4:$A$580,"モーテル")+SUMIFS(入金予測!$E$4:$E$603,入金予測!$A$4:$A$603,A24,入金予測!$B$4:$B$603,"モーテル")</f>
        <v>0</v>
      </c>
      <c r="C24" s="20">
        <f>SUMIFS(未払予定一覧!$O$4:$O$830,未払予定一覧!$N$4:$N$830,A24,未払予定一覧!$A$4:$A$830,"モーテル",未払予定一覧!$B$4:$B$830,"未払繰越")+SUMIFS(未払予定一覧!$O$4:$O$830,未払予定一覧!$N$4:$N$830,A24,未払予定一覧!$A$4:$A$830,"モーテル",未払予定一覧!$B$4:$B$830,"月次予定")</f>
        <v>0</v>
      </c>
      <c r="D24" s="20">
        <f t="shared" si="0"/>
        <v>0</v>
      </c>
      <c r="E24" s="20">
        <f t="shared" si="1"/>
        <v>1689676</v>
      </c>
      <c r="F24" s="21">
        <f>SUMIFS(未払予定一覧!$O$4:$O$830,未払予定一覧!$N$4:$N$830,A24,未払予定一覧!$A$4:$A$830,"モーテル",未払予定一覧!$B$4:$B$830,"カード枠回復")</f>
        <v>0</v>
      </c>
      <c r="G24" s="122">
        <f t="shared" si="2"/>
        <v>1689676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SUMIFS(入金入力!$E$4:$E$580,入金入力!$B$4:$B$580,A25,入金入力!$A$4:$A$580,"モーテル")+SUMIFS(入金予測!$E$4:$E$603,入金予測!$A$4:$A$603,A25,入金予測!$B$4:$B$603,"モーテル")</f>
        <v>1504411.3</v>
      </c>
      <c r="C25" s="20">
        <f>SUMIFS(未払予定一覧!$O$4:$O$830,未払予定一覧!$N$4:$N$830,A25,未払予定一覧!$A$4:$A$830,"モーテル",未払予定一覧!$B$4:$B$830,"未払繰越")+SUMIFS(未払予定一覧!$O$4:$O$830,未払予定一覧!$N$4:$N$830,A25,未払予定一覧!$A$4:$A$830,"モーテル",未払予定一覧!$B$4:$B$830,"月次予定")</f>
        <v>10026</v>
      </c>
      <c r="D25" s="20">
        <f t="shared" si="0"/>
        <v>1494385.3</v>
      </c>
      <c r="E25" s="20">
        <f t="shared" si="1"/>
        <v>3184061.3</v>
      </c>
      <c r="F25" s="21">
        <f>SUMIFS(未払予定一覧!$O$4:$O$830,未払予定一覧!$N$4:$N$830,A25,未払予定一覧!$A$4:$A$830,"モーテル",未払予定一覧!$B$4:$B$830,"カード枠回復")</f>
        <v>0</v>
      </c>
      <c r="G25" s="122">
        <f t="shared" si="2"/>
        <v>3184061.3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SUMIFS(入金入力!$E$4:$E$580,入金入力!$B$4:$B$580,A26,入金入力!$A$4:$A$580,"モーテル")+SUMIFS(入金予測!$E$4:$E$603,入金予測!$A$4:$A$603,A26,入金予測!$B$4:$B$603,"モーテル")</f>
        <v>0</v>
      </c>
      <c r="C26" s="20">
        <f>SUMIFS(未払予定一覧!$O$4:$O$830,未払予定一覧!$N$4:$N$830,A26,未払予定一覧!$A$4:$A$830,"モーテル",未払予定一覧!$B$4:$B$830,"未払繰越")+SUMIFS(未払予定一覧!$O$4:$O$830,未払予定一覧!$N$4:$N$830,A26,未払予定一覧!$A$4:$A$830,"モーテル",未払予定一覧!$B$4:$B$830,"月次予定")</f>
        <v>0</v>
      </c>
      <c r="D26" s="20">
        <f t="shared" si="0"/>
        <v>0</v>
      </c>
      <c r="E26" s="20">
        <f t="shared" si="1"/>
        <v>3184061.3</v>
      </c>
      <c r="F26" s="21">
        <f>SUMIFS(未払予定一覧!$O$4:$O$830,未払予定一覧!$N$4:$N$830,A26,未払予定一覧!$A$4:$A$830,"モーテル",未払予定一覧!$B$4:$B$830,"カード枠回復")</f>
        <v>0</v>
      </c>
      <c r="G26" s="122">
        <f t="shared" si="2"/>
        <v>3184061.3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SUMIFS(入金入力!$E$4:$E$580,入金入力!$B$4:$B$580,A27,入金入力!$A$4:$A$580,"モーテル")+SUMIFS(入金予測!$E$4:$E$603,入金予測!$A$4:$A$603,A27,入金予測!$B$4:$B$603,"モーテル")</f>
        <v>0</v>
      </c>
      <c r="C27" s="20">
        <f>SUMIFS(未払予定一覧!$O$4:$O$830,未払予定一覧!$N$4:$N$830,A27,未払予定一覧!$A$4:$A$830,"モーテル",未払予定一覧!$B$4:$B$830,"未払繰越")+SUMIFS(未払予定一覧!$O$4:$O$830,未払予定一覧!$N$4:$N$830,A27,未払予定一覧!$A$4:$A$830,"モーテル",未払予定一覧!$B$4:$B$830,"月次予定")</f>
        <v>0</v>
      </c>
      <c r="D27" s="20">
        <f t="shared" si="0"/>
        <v>0</v>
      </c>
      <c r="E27" s="20">
        <f t="shared" si="1"/>
        <v>3184061.3</v>
      </c>
      <c r="F27" s="21">
        <f>SUMIFS(未払予定一覧!$O$4:$O$830,未払予定一覧!$N$4:$N$830,A27,未払予定一覧!$A$4:$A$830,"モーテル",未払予定一覧!$B$4:$B$830,"カード枠回復")</f>
        <v>0</v>
      </c>
      <c r="G27" s="122">
        <f t="shared" si="2"/>
        <v>3184061.3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SUMIFS(入金入力!$E$4:$E$580,入金入力!$B$4:$B$580,A28,入金入力!$A$4:$A$580,"モーテル")+SUMIFS(入金予測!$E$4:$E$603,入金予測!$A$4:$A$603,A28,入金予測!$B$4:$B$603,"モーテル")</f>
        <v>0</v>
      </c>
      <c r="C28" s="20">
        <f>SUMIFS(未払予定一覧!$O$4:$O$830,未払予定一覧!$N$4:$N$830,A28,未払予定一覧!$A$4:$A$830,"モーテル",未払予定一覧!$B$4:$B$830,"未払繰越")+SUMIFS(未払予定一覧!$O$4:$O$830,未払予定一覧!$N$4:$N$830,A28,未払予定一覧!$A$4:$A$830,"モーテル",未払予定一覧!$B$4:$B$830,"月次予定")</f>
        <v>0</v>
      </c>
      <c r="D28" s="20">
        <f t="shared" si="0"/>
        <v>0</v>
      </c>
      <c r="E28" s="20">
        <f t="shared" si="1"/>
        <v>3184061.3</v>
      </c>
      <c r="F28" s="21">
        <f>SUMIFS(未払予定一覧!$O$4:$O$830,未払予定一覧!$N$4:$N$830,A28,未払予定一覧!$A$4:$A$830,"モーテル",未払予定一覧!$B$4:$B$830,"カード枠回復")</f>
        <v>0</v>
      </c>
      <c r="G28" s="122">
        <f t="shared" si="2"/>
        <v>3184061.3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SUMIFS(入金入力!$E$4:$E$580,入金入力!$B$4:$B$580,A29,入金入力!$A$4:$A$580,"モーテル")+SUMIFS(入金予測!$E$4:$E$603,入金予測!$A$4:$A$603,A29,入金予測!$B$4:$B$603,"モーテル")</f>
        <v>0</v>
      </c>
      <c r="C29" s="20">
        <f>SUMIFS(未払予定一覧!$O$4:$O$830,未払予定一覧!$N$4:$N$830,A29,未払予定一覧!$A$4:$A$830,"モーテル",未払予定一覧!$B$4:$B$830,"未払繰越")+SUMIFS(未払予定一覧!$O$4:$O$830,未払予定一覧!$N$4:$N$830,A29,未払予定一覧!$A$4:$A$830,"モーテル",未払予定一覧!$B$4:$B$830,"月次予定")</f>
        <v>0</v>
      </c>
      <c r="D29" s="20">
        <f t="shared" si="0"/>
        <v>0</v>
      </c>
      <c r="E29" s="20">
        <f t="shared" si="1"/>
        <v>3184061.3</v>
      </c>
      <c r="F29" s="21">
        <f>SUMIFS(未払予定一覧!$O$4:$O$830,未払予定一覧!$N$4:$N$830,A29,未払予定一覧!$A$4:$A$830,"モーテル",未払予定一覧!$B$4:$B$830,"カード枠回復")</f>
        <v>0</v>
      </c>
      <c r="G29" s="122">
        <f t="shared" si="2"/>
        <v>3184061.3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SUMIFS(入金入力!$E$4:$E$580,入金入力!$B$4:$B$580,A30,入金入力!$A$4:$A$580,"モーテル")+SUMIFS(入金予測!$E$4:$E$603,入金予測!$A$4:$A$603,A30,入金予測!$B$4:$B$603,"モーテル")</f>
        <v>517796</v>
      </c>
      <c r="C30" s="20">
        <f>SUMIFS(未払予定一覧!$O$4:$O$830,未払予定一覧!$N$4:$N$830,A30,未払予定一覧!$A$4:$A$830,"モーテル",未払予定一覧!$B$4:$B$830,"未払繰越")+SUMIFS(未払予定一覧!$O$4:$O$830,未払予定一覧!$N$4:$N$830,A30,未払予定一覧!$A$4:$A$830,"モーテル",未払予定一覧!$B$4:$B$830,"月次予定")</f>
        <v>185173</v>
      </c>
      <c r="D30" s="20">
        <f t="shared" si="0"/>
        <v>332623</v>
      </c>
      <c r="E30" s="20">
        <f t="shared" si="1"/>
        <v>3516684.3</v>
      </c>
      <c r="F30" s="21">
        <f>SUMIFS(未払予定一覧!$O$4:$O$830,未払予定一覧!$N$4:$N$830,A30,未払予定一覧!$A$4:$A$830,"モーテル",未払予定一覧!$B$4:$B$830,"カード枠回復")</f>
        <v>0</v>
      </c>
      <c r="G30" s="122">
        <f t="shared" si="2"/>
        <v>3516684.3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SUMIFS(入金入力!$E$4:$E$580,入金入力!$B$4:$B$580,A31,入金入力!$A$4:$A$580,"モーテル")+SUMIFS(入金予測!$E$4:$E$603,入金予測!$A$4:$A$603,A31,入金予測!$B$4:$B$603,"モーテル")</f>
        <v>0</v>
      </c>
      <c r="C31" s="20">
        <f>SUMIFS(未払予定一覧!$O$4:$O$830,未払予定一覧!$N$4:$N$830,A31,未払予定一覧!$A$4:$A$830,"モーテル",未払予定一覧!$B$4:$B$830,"未払繰越")+SUMIFS(未払予定一覧!$O$4:$O$830,未払予定一覧!$N$4:$N$830,A31,未払予定一覧!$A$4:$A$830,"モーテル",未払予定一覧!$B$4:$B$830,"月次予定")</f>
        <v>0</v>
      </c>
      <c r="D31" s="20">
        <f t="shared" si="0"/>
        <v>0</v>
      </c>
      <c r="E31" s="20">
        <f t="shared" si="1"/>
        <v>3516684.3</v>
      </c>
      <c r="F31" s="21">
        <f>SUMIFS(未払予定一覧!$O$4:$O$830,未払予定一覧!$N$4:$N$830,A31,未払予定一覧!$A$4:$A$830,"モーテル",未払予定一覧!$B$4:$B$830,"カード枠回復")</f>
        <v>0</v>
      </c>
      <c r="G31" s="122">
        <f t="shared" si="2"/>
        <v>3516684.3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SUMIFS(入金入力!$E$4:$E$580,入金入力!$B$4:$B$580,A32,入金入力!$A$4:$A$580,"モーテル")+SUMIFS(入金予測!$E$4:$E$603,入金予測!$A$4:$A$603,A32,入金予測!$B$4:$B$603,"モーテル")</f>
        <v>1102275</v>
      </c>
      <c r="C32" s="20">
        <f>SUMIFS(未払予定一覧!$O$4:$O$830,未払予定一覧!$N$4:$N$830,A32,未払予定一覧!$A$4:$A$830,"モーテル",未払予定一覧!$B$4:$B$830,"未払繰越")+SUMIFS(未払予定一覧!$O$4:$O$830,未払予定一覧!$N$4:$N$830,A32,未払予定一覧!$A$4:$A$830,"モーテル",未払予定一覧!$B$4:$B$830,"月次予定")</f>
        <v>0</v>
      </c>
      <c r="D32" s="20">
        <f t="shared" si="0"/>
        <v>1102275</v>
      </c>
      <c r="E32" s="20">
        <f t="shared" si="1"/>
        <v>4618959.3</v>
      </c>
      <c r="F32" s="21">
        <f>SUMIFS(未払予定一覧!$O$4:$O$830,未払予定一覧!$N$4:$N$830,A32,未払予定一覧!$A$4:$A$830,"モーテル",未払予定一覧!$B$4:$B$830,"カード枠回復")</f>
        <v>0</v>
      </c>
      <c r="G32" s="122">
        <f t="shared" si="2"/>
        <v>4618959.3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SUMIFS(入金入力!$E$4:$E$580,入金入力!$B$4:$B$580,A33,入金入力!$A$4:$A$580,"モーテル")+SUMIFS(入金予測!$E$4:$E$603,入金予測!$A$4:$A$603,A33,入金予測!$B$4:$B$603,"モーテル")</f>
        <v>0</v>
      </c>
      <c r="C33" s="20">
        <f>SUMIFS(未払予定一覧!$O$4:$O$830,未払予定一覧!$N$4:$N$830,A33,未払予定一覧!$A$4:$A$830,"モーテル",未払予定一覧!$B$4:$B$830,"未払繰越")+SUMIFS(未払予定一覧!$O$4:$O$830,未払予定一覧!$N$4:$N$830,A33,未払予定一覧!$A$4:$A$830,"モーテル",未払予定一覧!$B$4:$B$830,"月次予定")</f>
        <v>0</v>
      </c>
      <c r="D33" s="20">
        <f t="shared" si="0"/>
        <v>0</v>
      </c>
      <c r="E33" s="20">
        <f t="shared" si="1"/>
        <v>4618959.3</v>
      </c>
      <c r="F33" s="21">
        <f>SUMIFS(未払予定一覧!$O$4:$O$830,未払予定一覧!$N$4:$N$830,A33,未払予定一覧!$A$4:$A$830,"モーテル",未払予定一覧!$B$4:$B$830,"カード枠回復")</f>
        <v>0</v>
      </c>
      <c r="G33" s="122">
        <f t="shared" si="2"/>
        <v>4618959.3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SUMIFS(入金入力!$E$4:$E$580,入金入力!$B$4:$B$580,A34,入金入力!$A$4:$A$580,"モーテル")+SUMIFS(入金予測!$E$4:$E$603,入金予測!$A$4:$A$603,A34,入金予測!$B$4:$B$603,"モーテル")</f>
        <v>0</v>
      </c>
      <c r="C34" s="20">
        <f>SUMIFS(未払予定一覧!$O$4:$O$830,未払予定一覧!$N$4:$N$830,A34,未払予定一覧!$A$4:$A$830,"モーテル",未払予定一覧!$B$4:$B$830,"未払繰越")+SUMIFS(未払予定一覧!$O$4:$O$830,未払予定一覧!$N$4:$N$830,A34,未払予定一覧!$A$4:$A$830,"モーテル",未払予定一覧!$B$4:$B$830,"月次予定")</f>
        <v>267847</v>
      </c>
      <c r="D34" s="20">
        <f t="shared" si="0"/>
        <v>-267847</v>
      </c>
      <c r="E34" s="20">
        <f t="shared" si="1"/>
        <v>4351112.3</v>
      </c>
      <c r="F34" s="21">
        <f>SUMIFS(未払予定一覧!$O$4:$O$830,未払予定一覧!$N$4:$N$830,A34,未払予定一覧!$A$4:$A$830,"モーテル",未払予定一覧!$B$4:$B$830,"カード枠回復")</f>
        <v>0</v>
      </c>
      <c r="G34" s="122">
        <f t="shared" si="2"/>
        <v>4351112.3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SUMIFS(入金入力!$E$4:$E$580,入金入力!$B$4:$B$580,A35,入金入力!$A$4:$A$580,"モーテル")+SUMIFS(入金予測!$E$4:$E$603,入金予測!$A$4:$A$603,A35,入金予測!$B$4:$B$603,"モーテル")</f>
        <v>0</v>
      </c>
      <c r="C35" s="20">
        <f>SUMIFS(未払予定一覧!$O$4:$O$830,未払予定一覧!$N$4:$N$830,A35,未払予定一覧!$A$4:$A$830,"モーテル",未払予定一覧!$B$4:$B$830,"未払繰越")+SUMIFS(未払予定一覧!$O$4:$O$830,未払予定一覧!$N$4:$N$830,A35,未払予定一覧!$A$4:$A$830,"モーテル",未払予定一覧!$B$4:$B$830,"月次予定")</f>
        <v>0</v>
      </c>
      <c r="D35" s="20">
        <f t="shared" si="0"/>
        <v>0</v>
      </c>
      <c r="E35" s="20">
        <f t="shared" si="1"/>
        <v>4351112.3</v>
      </c>
      <c r="F35" s="21">
        <f>SUMIFS(未払予定一覧!$O$4:$O$830,未払予定一覧!$N$4:$N$830,A35,未払予定一覧!$A$4:$A$830,"モーテル",未払予定一覧!$B$4:$B$830,"カード枠回復")</f>
        <v>0</v>
      </c>
      <c r="G35" s="122">
        <f t="shared" si="2"/>
        <v>4351112.3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SUMIFS(入金入力!$E$4:$E$580,入金入力!$B$4:$B$580,A36,入金入力!$A$4:$A$580,"モーテル")+SUMIFS(入金予測!$E$4:$E$603,入金予測!$A$4:$A$603,A36,入金予測!$B$4:$B$603,"モーテル")</f>
        <v>1696012</v>
      </c>
      <c r="C36" s="20">
        <f>SUMIFS(未払予定一覧!$O$4:$O$830,未払予定一覧!$N$4:$N$830,A36,未払予定一覧!$A$4:$A$830,"モーテル",未払予定一覧!$B$4:$B$830,"未払繰越")+SUMIFS(未払予定一覧!$O$4:$O$830,未払予定一覧!$N$4:$N$830,A36,未払予定一覧!$A$4:$A$830,"モーテル",未払予定一覧!$B$4:$B$830,"月次予定")</f>
        <v>0</v>
      </c>
      <c r="D36" s="20">
        <f t="shared" si="0"/>
        <v>1696012</v>
      </c>
      <c r="E36" s="20">
        <f t="shared" si="1"/>
        <v>6047124.2999999998</v>
      </c>
      <c r="F36" s="21">
        <f>SUMIFS(未払予定一覧!$O$4:$O$830,未払予定一覧!$N$4:$N$830,A36,未払予定一覧!$A$4:$A$830,"モーテル",未払予定一覧!$B$4:$B$830,"カード枠回復")</f>
        <v>0</v>
      </c>
      <c r="G36" s="122">
        <f t="shared" si="2"/>
        <v>6047124.2999999998</v>
      </c>
      <c r="H36" s="125" t="s">
        <v>689</v>
      </c>
    </row>
    <row r="37" spans="1:8" ht="15" customHeight="1">
      <c r="A37" s="23" t="s">
        <v>690</v>
      </c>
      <c r="B37" s="24">
        <f>SUM(B5:B36)</f>
        <v>8046038.2999999998</v>
      </c>
      <c r="C37" s="24">
        <f>SUM(C5:C36)</f>
        <v>1998914</v>
      </c>
      <c r="D37" s="24">
        <f t="shared" si="0"/>
        <v>6047124.2999999998</v>
      </c>
      <c r="E37" s="24">
        <f>E36</f>
        <v>6047124.2999999998</v>
      </c>
      <c r="F37" s="24">
        <f>SUM(F5:F36)</f>
        <v>0</v>
      </c>
      <c r="G37" s="24">
        <f>G36</f>
        <v>6047124.2999999998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SUMIFS(入金入力!$E$4:$E$580,入金入力!$B$4:$B$580,A40,入金入力!$A$4:$A$580,"モーテル")+SUMIFS(入金予測!$E$4:$E$603,入金予測!$A$4:$A$603,A40,入金予測!$B$4:$B$603,"モーテル")</f>
        <v>0</v>
      </c>
      <c r="C40" s="20">
        <f>SUMIFS(未払予定一覧!$O$4:$O$830,未払予定一覧!$N$4:$N$830,A40,未払予定一覧!$A$4:$A$830,"モーテル",未払予定一覧!$B$4:$B$830,"未払繰越")+SUMIFS(未払予定一覧!$O$4:$O$830,未払予定一覧!$N$4:$N$830,A40,未払予定一覧!$A$4:$A$830,"モーテル",未払予定一覧!$B$4:$B$830,"月次予定")</f>
        <v>0</v>
      </c>
      <c r="D40" s="20">
        <f t="shared" ref="D40:D70" si="3">B40-C40-F40</f>
        <v>0</v>
      </c>
      <c r="E40" s="20">
        <f>E37+D40</f>
        <v>6047124.2999999998</v>
      </c>
      <c r="F40" s="21">
        <f>SUMIFS(未払予定一覧!$O$4:$O$830,未払予定一覧!$N$4:$N$830,A40,未払予定一覧!$A$4:$A$830,"モーテル",未払予定一覧!$B$4:$B$830,"カード枠回復")</f>
        <v>0</v>
      </c>
      <c r="G40" s="122">
        <f>G37+D40+F40</f>
        <v>6047124.2999999998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SUMIFS(入金入力!$E$4:$E$580,入金入力!$B$4:$B$580,A41,入金入力!$A$4:$A$580,"モーテル")+SUMIFS(入金予測!$E$4:$E$603,入金予測!$A$4:$A$603,A41,入金予測!$B$4:$B$603,"モーテル")</f>
        <v>0</v>
      </c>
      <c r="C41" s="20">
        <f>SUMIFS(未払予定一覧!$O$4:$O$830,未払予定一覧!$N$4:$N$830,A41,未払予定一覧!$A$4:$A$830,"モーテル",未払予定一覧!$B$4:$B$830,"未払繰越")+SUMIFS(未払予定一覧!$O$4:$O$830,未払予定一覧!$N$4:$N$830,A41,未払予定一覧!$A$4:$A$830,"モーテル",未払予定一覧!$B$4:$B$830,"月次予定")</f>
        <v>0</v>
      </c>
      <c r="D41" s="20">
        <f t="shared" si="3"/>
        <v>0</v>
      </c>
      <c r="E41" s="20">
        <f t="shared" ref="E41:E69" si="4">E40+D41</f>
        <v>6047124.2999999998</v>
      </c>
      <c r="F41" s="21">
        <f>SUMIFS(未払予定一覧!$O$4:$O$830,未払予定一覧!$N$4:$N$830,A41,未払予定一覧!$A$4:$A$830,"モーテル",未払予定一覧!$B$4:$B$830,"カード枠回復")</f>
        <v>0</v>
      </c>
      <c r="G41" s="122">
        <f t="shared" ref="G41:G69" si="5">G40+D41+F41</f>
        <v>6047124.2999999998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SUMIFS(入金入力!$E$4:$E$580,入金入力!$B$4:$B$580,A42,入金入力!$A$4:$A$580,"モーテル")+SUMIFS(入金予測!$E$4:$E$603,入金予測!$A$4:$A$603,A42,入金予測!$B$4:$B$603,"モーテル")</f>
        <v>0</v>
      </c>
      <c r="C42" s="20">
        <f>SUMIFS(未払予定一覧!$O$4:$O$830,未払予定一覧!$N$4:$N$830,A42,未払予定一覧!$A$4:$A$830,"モーテル",未払予定一覧!$B$4:$B$830,"未払繰越")+SUMIFS(未払予定一覧!$O$4:$O$830,未払予定一覧!$N$4:$N$830,A42,未払予定一覧!$A$4:$A$830,"モーテル",未払予定一覧!$B$4:$B$830,"月次予定")</f>
        <v>0</v>
      </c>
      <c r="D42" s="20">
        <f t="shared" si="3"/>
        <v>0</v>
      </c>
      <c r="E42" s="20">
        <f t="shared" si="4"/>
        <v>6047124.2999999998</v>
      </c>
      <c r="F42" s="21">
        <f>SUMIFS(未払予定一覧!$O$4:$O$830,未払予定一覧!$N$4:$N$830,A42,未払予定一覧!$A$4:$A$830,"モーテル",未払予定一覧!$B$4:$B$830,"カード枠回復")</f>
        <v>0</v>
      </c>
      <c r="G42" s="122">
        <f t="shared" si="5"/>
        <v>6047124.2999999998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SUMIFS(入金入力!$E$4:$E$580,入金入力!$B$4:$B$580,A43,入金入力!$A$4:$A$580,"モーテル")+SUMIFS(入金予測!$E$4:$E$603,入金予測!$A$4:$A$603,A43,入金予測!$B$4:$B$603,"モーテル")</f>
        <v>0</v>
      </c>
      <c r="C43" s="20">
        <f>SUMIFS(未払予定一覧!$O$4:$O$830,未払予定一覧!$N$4:$N$830,A43,未払予定一覧!$A$4:$A$830,"モーテル",未払予定一覧!$B$4:$B$830,"未払繰越")+SUMIFS(未払予定一覧!$O$4:$O$830,未払予定一覧!$N$4:$N$830,A43,未払予定一覧!$A$4:$A$830,"モーテル",未払予定一覧!$B$4:$B$830,"月次予定")</f>
        <v>0</v>
      </c>
      <c r="D43" s="20">
        <f t="shared" si="3"/>
        <v>0</v>
      </c>
      <c r="E43" s="20">
        <f t="shared" si="4"/>
        <v>6047124.2999999998</v>
      </c>
      <c r="F43" s="21">
        <f>SUMIFS(未払予定一覧!$O$4:$O$830,未払予定一覧!$N$4:$N$830,A43,未払予定一覧!$A$4:$A$830,"モーテル",未払予定一覧!$B$4:$B$830,"カード枠回復")</f>
        <v>0</v>
      </c>
      <c r="G43" s="122">
        <f t="shared" si="5"/>
        <v>6047124.2999999998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SUMIFS(入金入力!$E$4:$E$580,入金入力!$B$4:$B$580,A44,入金入力!$A$4:$A$580,"モーテル")+SUMIFS(入金予測!$E$4:$E$603,入金予測!$A$4:$A$603,A44,入金予測!$B$4:$B$603,"モーテル")</f>
        <v>0</v>
      </c>
      <c r="C44" s="20">
        <f>SUMIFS(未払予定一覧!$O$4:$O$830,未払予定一覧!$N$4:$N$830,A44,未払予定一覧!$A$4:$A$830,"モーテル",未払予定一覧!$B$4:$B$830,"未払繰越")+SUMIFS(未払予定一覧!$O$4:$O$830,未払予定一覧!$N$4:$N$830,A44,未払予定一覧!$A$4:$A$830,"モーテル",未払予定一覧!$B$4:$B$830,"月次予定")</f>
        <v>0</v>
      </c>
      <c r="D44" s="20">
        <f t="shared" si="3"/>
        <v>0</v>
      </c>
      <c r="E44" s="20">
        <f t="shared" si="4"/>
        <v>6047124.2999999998</v>
      </c>
      <c r="F44" s="21">
        <f>SUMIFS(未払予定一覧!$O$4:$O$830,未払予定一覧!$N$4:$N$830,A44,未払予定一覧!$A$4:$A$830,"モーテル",未払予定一覧!$B$4:$B$830,"カード枠回復")</f>
        <v>0</v>
      </c>
      <c r="G44" s="122">
        <f t="shared" si="5"/>
        <v>6047124.2999999998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SUMIFS(入金入力!$E$4:$E$580,入金入力!$B$4:$B$580,A45,入金入力!$A$4:$A$580,"モーテル")+SUMIFS(入金予測!$E$4:$E$603,入金予測!$A$4:$A$603,A45,入金予測!$B$4:$B$603,"モーテル")</f>
        <v>0</v>
      </c>
      <c r="C45" s="20">
        <f>SUMIFS(未払予定一覧!$O$4:$O$830,未払予定一覧!$N$4:$N$830,A45,未払予定一覧!$A$4:$A$830,"モーテル",未払予定一覧!$B$4:$B$830,"未払繰越")+SUMIFS(未払予定一覧!$O$4:$O$830,未払予定一覧!$N$4:$N$830,A45,未払予定一覧!$A$4:$A$830,"モーテル",未払予定一覧!$B$4:$B$830,"月次予定")</f>
        <v>0</v>
      </c>
      <c r="D45" s="20">
        <f t="shared" si="3"/>
        <v>0</v>
      </c>
      <c r="E45" s="20">
        <f t="shared" si="4"/>
        <v>6047124.2999999998</v>
      </c>
      <c r="F45" s="21">
        <f>SUMIFS(未払予定一覧!$O$4:$O$830,未払予定一覧!$N$4:$N$830,A45,未払予定一覧!$A$4:$A$830,"モーテル",未払予定一覧!$B$4:$B$830,"カード枠回復")</f>
        <v>0</v>
      </c>
      <c r="G45" s="122">
        <f t="shared" si="5"/>
        <v>6047124.2999999998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SUMIFS(入金入力!$E$4:$E$580,入金入力!$B$4:$B$580,A46,入金入力!$A$4:$A$580,"モーテル")+SUMIFS(入金予測!$E$4:$E$603,入金予測!$A$4:$A$603,A46,入金予測!$B$4:$B$603,"モーテル")</f>
        <v>0</v>
      </c>
      <c r="C46" s="20">
        <f>SUMIFS(未払予定一覧!$O$4:$O$830,未払予定一覧!$N$4:$N$830,A46,未払予定一覧!$A$4:$A$830,"モーテル",未払予定一覧!$B$4:$B$830,"未払繰越")+SUMIFS(未払予定一覧!$O$4:$O$830,未払予定一覧!$N$4:$N$830,A46,未払予定一覧!$A$4:$A$830,"モーテル",未払予定一覧!$B$4:$B$830,"月次予定")</f>
        <v>0</v>
      </c>
      <c r="D46" s="20">
        <f t="shared" si="3"/>
        <v>0</v>
      </c>
      <c r="E46" s="20">
        <f t="shared" si="4"/>
        <v>6047124.2999999998</v>
      </c>
      <c r="F46" s="21">
        <f>SUMIFS(未払予定一覧!$O$4:$O$830,未払予定一覧!$N$4:$N$830,A46,未払予定一覧!$A$4:$A$830,"モーテル",未払予定一覧!$B$4:$B$830,"カード枠回復")</f>
        <v>0</v>
      </c>
      <c r="G46" s="122">
        <f t="shared" si="5"/>
        <v>6047124.2999999998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SUMIFS(入金入力!$E$4:$E$580,入金入力!$B$4:$B$580,A47,入金入力!$A$4:$A$580,"モーテル")+SUMIFS(入金予測!$E$4:$E$603,入金予測!$A$4:$A$603,A47,入金予測!$B$4:$B$603,"モーテル")</f>
        <v>0</v>
      </c>
      <c r="C47" s="20">
        <f>SUMIFS(未払予定一覧!$O$4:$O$830,未払予定一覧!$N$4:$N$830,A47,未払予定一覧!$A$4:$A$830,"モーテル",未払予定一覧!$B$4:$B$830,"未払繰越")+SUMIFS(未払予定一覧!$O$4:$O$830,未払予定一覧!$N$4:$N$830,A47,未払予定一覧!$A$4:$A$830,"モーテル",未払予定一覧!$B$4:$B$830,"月次予定")</f>
        <v>0</v>
      </c>
      <c r="D47" s="20">
        <f t="shared" si="3"/>
        <v>0</v>
      </c>
      <c r="E47" s="20">
        <f t="shared" si="4"/>
        <v>6047124.2999999998</v>
      </c>
      <c r="F47" s="21">
        <f>SUMIFS(未払予定一覧!$O$4:$O$830,未払予定一覧!$N$4:$N$830,A47,未払予定一覧!$A$4:$A$830,"モーテル",未払予定一覧!$B$4:$B$830,"カード枠回復")</f>
        <v>0</v>
      </c>
      <c r="G47" s="122">
        <f t="shared" si="5"/>
        <v>6047124.2999999998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SUMIFS(入金入力!$E$4:$E$580,入金入力!$B$4:$B$580,A48,入金入力!$A$4:$A$580,"モーテル")+SUMIFS(入金予測!$E$4:$E$603,入金予測!$A$4:$A$603,A48,入金予測!$B$4:$B$603,"モーテル")</f>
        <v>0</v>
      </c>
      <c r="C48" s="20">
        <f>SUMIFS(未払予定一覧!$O$4:$O$830,未払予定一覧!$N$4:$N$830,A48,未払予定一覧!$A$4:$A$830,"モーテル",未払予定一覧!$B$4:$B$830,"未払繰越")+SUMIFS(未払予定一覧!$O$4:$O$830,未払予定一覧!$N$4:$N$830,A48,未払予定一覧!$A$4:$A$830,"モーテル",未払予定一覧!$B$4:$B$830,"月次予定")</f>
        <v>0</v>
      </c>
      <c r="D48" s="20">
        <f t="shared" si="3"/>
        <v>0</v>
      </c>
      <c r="E48" s="20">
        <f t="shared" si="4"/>
        <v>6047124.2999999998</v>
      </c>
      <c r="F48" s="21">
        <f>SUMIFS(未払予定一覧!$O$4:$O$830,未払予定一覧!$N$4:$N$830,A48,未払予定一覧!$A$4:$A$830,"モーテル",未払予定一覧!$B$4:$B$830,"カード枠回復")</f>
        <v>0</v>
      </c>
      <c r="G48" s="122">
        <f t="shared" si="5"/>
        <v>6047124.2999999998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SUMIFS(入金入力!$E$4:$E$580,入金入力!$B$4:$B$580,A49,入金入力!$A$4:$A$580,"モーテル")+SUMIFS(入金予測!$E$4:$E$603,入金予測!$A$4:$A$603,A49,入金予測!$B$4:$B$603,"モーテル")</f>
        <v>4280686.5</v>
      </c>
      <c r="C49" s="20">
        <f>SUMIFS(未払予定一覧!$O$4:$O$830,未払予定一覧!$N$4:$N$830,A49,未払予定一覧!$A$4:$A$830,"モーテル",未払予定一覧!$B$4:$B$830,"未払繰越")+SUMIFS(未払予定一覧!$O$4:$O$830,未払予定一覧!$N$4:$N$830,A49,未払予定一覧!$A$4:$A$830,"モーテル",未払予定一覧!$B$4:$B$830,"月次予定")</f>
        <v>0</v>
      </c>
      <c r="D49" s="20">
        <f t="shared" si="3"/>
        <v>4280686.5</v>
      </c>
      <c r="E49" s="20">
        <f t="shared" si="4"/>
        <v>10327810.800000001</v>
      </c>
      <c r="F49" s="21">
        <f>SUMIFS(未払予定一覧!$O$4:$O$830,未払予定一覧!$N$4:$N$830,A49,未払予定一覧!$A$4:$A$830,"モーテル",未払予定一覧!$B$4:$B$830,"カード枠回復")</f>
        <v>0</v>
      </c>
      <c r="G49" s="122">
        <f t="shared" si="5"/>
        <v>10327810.800000001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SUMIFS(入金入力!$E$4:$E$580,入金入力!$B$4:$B$580,A50,入金入力!$A$4:$A$580,"モーテル")+SUMIFS(入金予測!$E$4:$E$603,入金予測!$A$4:$A$603,A50,入金予測!$B$4:$B$603,"モーテル")</f>
        <v>0</v>
      </c>
      <c r="C50" s="20">
        <f>SUMIFS(未払予定一覧!$O$4:$O$830,未払予定一覧!$N$4:$N$830,A50,未払予定一覧!$A$4:$A$830,"モーテル",未払予定一覧!$B$4:$B$830,"未払繰越")+SUMIFS(未払予定一覧!$O$4:$O$830,未払予定一覧!$N$4:$N$830,A50,未払予定一覧!$A$4:$A$830,"モーテル",未払予定一覧!$B$4:$B$830,"月次予定")</f>
        <v>0</v>
      </c>
      <c r="D50" s="20">
        <f t="shared" si="3"/>
        <v>0</v>
      </c>
      <c r="E50" s="20">
        <f t="shared" si="4"/>
        <v>10327810.800000001</v>
      </c>
      <c r="F50" s="21">
        <f>SUMIFS(未払予定一覧!$O$4:$O$830,未払予定一覧!$N$4:$N$830,A50,未払予定一覧!$A$4:$A$830,"モーテル",未払予定一覧!$B$4:$B$830,"カード枠回復")</f>
        <v>0</v>
      </c>
      <c r="G50" s="122">
        <f t="shared" si="5"/>
        <v>10327810.800000001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SUMIFS(入金入力!$E$4:$E$580,入金入力!$B$4:$B$580,A51,入金入力!$A$4:$A$580,"モーテル")+SUMIFS(入金予測!$E$4:$E$603,入金予測!$A$4:$A$603,A51,入金予測!$B$4:$B$603,"モーテル")</f>
        <v>0</v>
      </c>
      <c r="C51" s="20">
        <f>SUMIFS(未払予定一覧!$O$4:$O$830,未払予定一覧!$N$4:$N$830,A51,未払予定一覧!$A$4:$A$830,"モーテル",未払予定一覧!$B$4:$B$830,"未払繰越")+SUMIFS(未払予定一覧!$O$4:$O$830,未払予定一覧!$N$4:$N$830,A51,未払予定一覧!$A$4:$A$830,"モーテル",未払予定一覧!$B$4:$B$830,"月次予定")</f>
        <v>0</v>
      </c>
      <c r="D51" s="20">
        <f t="shared" si="3"/>
        <v>0</v>
      </c>
      <c r="E51" s="20">
        <f t="shared" si="4"/>
        <v>10327810.800000001</v>
      </c>
      <c r="F51" s="21">
        <f>SUMIFS(未払予定一覧!$O$4:$O$830,未払予定一覧!$N$4:$N$830,A51,未払予定一覧!$A$4:$A$830,"モーテル",未払予定一覧!$B$4:$B$830,"カード枠回復")</f>
        <v>0</v>
      </c>
      <c r="G51" s="122">
        <f t="shared" si="5"/>
        <v>10327810.800000001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SUMIFS(入金入力!$E$4:$E$580,入金入力!$B$4:$B$580,A52,入金入力!$A$4:$A$580,"モーテル")+SUMIFS(入金予測!$E$4:$E$603,入金予測!$A$4:$A$603,A52,入金予測!$B$4:$B$603,"モーテル")</f>
        <v>0</v>
      </c>
      <c r="C52" s="20">
        <f>SUMIFS(未払予定一覧!$O$4:$O$830,未払予定一覧!$N$4:$N$830,A52,未払予定一覧!$A$4:$A$830,"モーテル",未払予定一覧!$B$4:$B$830,"未払繰越")+SUMIFS(未払予定一覧!$O$4:$O$830,未払予定一覧!$N$4:$N$830,A52,未払予定一覧!$A$4:$A$830,"モーテル",未払予定一覧!$B$4:$B$830,"月次予定")</f>
        <v>0</v>
      </c>
      <c r="D52" s="20">
        <f t="shared" si="3"/>
        <v>0</v>
      </c>
      <c r="E52" s="20">
        <f t="shared" si="4"/>
        <v>10327810.800000001</v>
      </c>
      <c r="F52" s="21">
        <f>SUMIFS(未払予定一覧!$O$4:$O$830,未払予定一覧!$N$4:$N$830,A52,未払予定一覧!$A$4:$A$830,"モーテル",未払予定一覧!$B$4:$B$830,"カード枠回復")</f>
        <v>0</v>
      </c>
      <c r="G52" s="122">
        <f t="shared" si="5"/>
        <v>10327810.800000001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SUMIFS(入金入力!$E$4:$E$580,入金入力!$B$4:$B$580,A53,入金入力!$A$4:$A$580,"モーテル")+SUMIFS(入金予測!$E$4:$E$603,入金予測!$A$4:$A$603,A53,入金予測!$B$4:$B$603,"モーテル")</f>
        <v>0</v>
      </c>
      <c r="C53" s="20">
        <f>SUMIFS(未払予定一覧!$O$4:$O$830,未払予定一覧!$N$4:$N$830,A53,未払予定一覧!$A$4:$A$830,"モーテル",未払予定一覧!$B$4:$B$830,"未払繰越")+SUMIFS(未払予定一覧!$O$4:$O$830,未払予定一覧!$N$4:$N$830,A53,未払予定一覧!$A$4:$A$830,"モーテル",未払予定一覧!$B$4:$B$830,"月次予定")</f>
        <v>0</v>
      </c>
      <c r="D53" s="20">
        <f t="shared" si="3"/>
        <v>0</v>
      </c>
      <c r="E53" s="20">
        <f t="shared" si="4"/>
        <v>10327810.800000001</v>
      </c>
      <c r="F53" s="21">
        <f>SUMIFS(未払予定一覧!$O$4:$O$830,未払予定一覧!$N$4:$N$830,A53,未払予定一覧!$A$4:$A$830,"モーテル",未払予定一覧!$B$4:$B$830,"カード枠回復")</f>
        <v>0</v>
      </c>
      <c r="G53" s="122">
        <f t="shared" si="5"/>
        <v>10327810.800000001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SUMIFS(入金入力!$E$4:$E$580,入金入力!$B$4:$B$580,A54,入金入力!$A$4:$A$580,"モーテル")+SUMIFS(入金予測!$E$4:$E$603,入金予測!$A$4:$A$603,A54,入金予測!$B$4:$B$603,"モーテル")</f>
        <v>0</v>
      </c>
      <c r="C54" s="20">
        <f>SUMIFS(未払予定一覧!$O$4:$O$830,未払予定一覧!$N$4:$N$830,A54,未払予定一覧!$A$4:$A$830,"モーテル",未払予定一覧!$B$4:$B$830,"未払繰越")+SUMIFS(未払予定一覧!$O$4:$O$830,未払予定一覧!$N$4:$N$830,A54,未払予定一覧!$A$4:$A$830,"モーテル",未払予定一覧!$B$4:$B$830,"月次予定")</f>
        <v>0</v>
      </c>
      <c r="D54" s="20">
        <f t="shared" si="3"/>
        <v>0</v>
      </c>
      <c r="E54" s="20">
        <f t="shared" si="4"/>
        <v>10327810.800000001</v>
      </c>
      <c r="F54" s="21">
        <f>SUMIFS(未払予定一覧!$O$4:$O$830,未払予定一覧!$N$4:$N$830,A54,未払予定一覧!$A$4:$A$830,"モーテル",未払予定一覧!$B$4:$B$830,"カード枠回復")</f>
        <v>0</v>
      </c>
      <c r="G54" s="122">
        <f t="shared" si="5"/>
        <v>10327810.800000001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SUMIFS(入金入力!$E$4:$E$580,入金入力!$B$4:$B$580,A55,入金入力!$A$4:$A$580,"モーテル")+SUMIFS(入金予測!$E$4:$E$603,入金予測!$A$4:$A$603,A55,入金予測!$B$4:$B$603,"モーテル")</f>
        <v>0</v>
      </c>
      <c r="C55" s="20">
        <f>SUMIFS(未払予定一覧!$O$4:$O$830,未払予定一覧!$N$4:$N$830,A55,未払予定一覧!$A$4:$A$830,"モーテル",未払予定一覧!$B$4:$B$830,"未払繰越")+SUMIFS(未払予定一覧!$O$4:$O$830,未払予定一覧!$N$4:$N$830,A55,未払予定一覧!$A$4:$A$830,"モーテル",未払予定一覧!$B$4:$B$830,"月次予定")</f>
        <v>0</v>
      </c>
      <c r="D55" s="20">
        <f t="shared" si="3"/>
        <v>0</v>
      </c>
      <c r="E55" s="20">
        <f t="shared" si="4"/>
        <v>10327810.800000001</v>
      </c>
      <c r="F55" s="21">
        <f>SUMIFS(未払予定一覧!$O$4:$O$830,未払予定一覧!$N$4:$N$830,A55,未払予定一覧!$A$4:$A$830,"モーテル",未払予定一覧!$B$4:$B$830,"カード枠回復")</f>
        <v>0</v>
      </c>
      <c r="G55" s="122">
        <f t="shared" si="5"/>
        <v>10327810.800000001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SUMIFS(入金入力!$E$4:$E$580,入金入力!$B$4:$B$580,A56,入金入力!$A$4:$A$580,"モーテル")+SUMIFS(入金予測!$E$4:$E$603,入金予測!$A$4:$A$603,A56,入金予測!$B$4:$B$603,"モーテル")</f>
        <v>0</v>
      </c>
      <c r="C56" s="20">
        <f>SUMIFS(未払予定一覧!$O$4:$O$830,未払予定一覧!$N$4:$N$830,A56,未払予定一覧!$A$4:$A$830,"モーテル",未払予定一覧!$B$4:$B$830,"未払繰越")+SUMIFS(未払予定一覧!$O$4:$O$830,未払予定一覧!$N$4:$N$830,A56,未払予定一覧!$A$4:$A$830,"モーテル",未払予定一覧!$B$4:$B$830,"月次予定")</f>
        <v>0</v>
      </c>
      <c r="D56" s="20">
        <f t="shared" si="3"/>
        <v>0</v>
      </c>
      <c r="E56" s="20">
        <f t="shared" si="4"/>
        <v>10327810.800000001</v>
      </c>
      <c r="F56" s="21">
        <f>SUMIFS(未払予定一覧!$O$4:$O$830,未払予定一覧!$N$4:$N$830,A56,未払予定一覧!$A$4:$A$830,"モーテル",未払予定一覧!$B$4:$B$830,"カード枠回復")</f>
        <v>0</v>
      </c>
      <c r="G56" s="122">
        <f t="shared" si="5"/>
        <v>10327810.800000001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SUMIFS(入金入力!$E$4:$E$580,入金入力!$B$4:$B$580,A57,入金入力!$A$4:$A$580,"モーテル")+SUMIFS(入金予測!$E$4:$E$603,入金予測!$A$4:$A$603,A57,入金予測!$B$4:$B$603,"モーテル")</f>
        <v>0</v>
      </c>
      <c r="C57" s="20">
        <f>SUMIFS(未払予定一覧!$O$4:$O$830,未払予定一覧!$N$4:$N$830,A57,未払予定一覧!$A$4:$A$830,"モーテル",未払予定一覧!$B$4:$B$830,"未払繰越")+SUMIFS(未払予定一覧!$O$4:$O$830,未払予定一覧!$N$4:$N$830,A57,未払予定一覧!$A$4:$A$830,"モーテル",未払予定一覧!$B$4:$B$830,"月次予定")</f>
        <v>0</v>
      </c>
      <c r="D57" s="20">
        <f t="shared" si="3"/>
        <v>0</v>
      </c>
      <c r="E57" s="20">
        <f t="shared" si="4"/>
        <v>10327810.800000001</v>
      </c>
      <c r="F57" s="21">
        <f>SUMIFS(未払予定一覧!$O$4:$O$830,未払予定一覧!$N$4:$N$830,A57,未払予定一覧!$A$4:$A$830,"モーテル",未払予定一覧!$B$4:$B$830,"カード枠回復")</f>
        <v>0</v>
      </c>
      <c r="G57" s="122">
        <f t="shared" si="5"/>
        <v>10327810.800000001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SUMIFS(入金入力!$E$4:$E$580,入金入力!$B$4:$B$580,A58,入金入力!$A$4:$A$580,"モーテル")+SUMIFS(入金予測!$E$4:$E$603,入金予測!$A$4:$A$603,A58,入金予測!$B$4:$B$603,"モーテル")</f>
        <v>0</v>
      </c>
      <c r="C58" s="20">
        <f>SUMIFS(未払予定一覧!$O$4:$O$830,未払予定一覧!$N$4:$N$830,A58,未払予定一覧!$A$4:$A$830,"モーテル",未払予定一覧!$B$4:$B$830,"未払繰越")+SUMIFS(未払予定一覧!$O$4:$O$830,未払予定一覧!$N$4:$N$830,A58,未払予定一覧!$A$4:$A$830,"モーテル",未払予定一覧!$B$4:$B$830,"月次予定")</f>
        <v>0</v>
      </c>
      <c r="D58" s="20">
        <f t="shared" si="3"/>
        <v>0</v>
      </c>
      <c r="E58" s="20">
        <f t="shared" si="4"/>
        <v>10327810.800000001</v>
      </c>
      <c r="F58" s="21">
        <f>SUMIFS(未払予定一覧!$O$4:$O$830,未払予定一覧!$N$4:$N$830,A58,未払予定一覧!$A$4:$A$830,"モーテル",未払予定一覧!$B$4:$B$830,"カード枠回復")</f>
        <v>0</v>
      </c>
      <c r="G58" s="122">
        <f t="shared" si="5"/>
        <v>10327810.800000001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SUMIFS(入金入力!$E$4:$E$580,入金入力!$B$4:$B$580,A59,入金入力!$A$4:$A$580,"モーテル")+SUMIFS(入金予測!$E$4:$E$603,入金予測!$A$4:$A$603,A59,入金予測!$B$4:$B$603,"モーテル")</f>
        <v>473108.7</v>
      </c>
      <c r="C59" s="20">
        <f>SUMIFS(未払予定一覧!$O$4:$O$830,未払予定一覧!$N$4:$N$830,A59,未払予定一覧!$A$4:$A$830,"モーテル",未払予定一覧!$B$4:$B$830,"未払繰越")+SUMIFS(未払予定一覧!$O$4:$O$830,未払予定一覧!$N$4:$N$830,A59,未払予定一覧!$A$4:$A$830,"モーテル",未払予定一覧!$B$4:$B$830,"月次予定")</f>
        <v>0</v>
      </c>
      <c r="D59" s="20">
        <f t="shared" si="3"/>
        <v>473108.7</v>
      </c>
      <c r="E59" s="20">
        <f t="shared" si="4"/>
        <v>10800919.5</v>
      </c>
      <c r="F59" s="21">
        <f>SUMIFS(未払予定一覧!$O$4:$O$830,未払予定一覧!$N$4:$N$830,A59,未払予定一覧!$A$4:$A$830,"モーテル",未払予定一覧!$B$4:$B$830,"カード枠回復")</f>
        <v>0</v>
      </c>
      <c r="G59" s="122">
        <f t="shared" si="5"/>
        <v>10800919.5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SUMIFS(入金入力!$E$4:$E$580,入金入力!$B$4:$B$580,A60,入金入力!$A$4:$A$580,"モーテル")+SUMIFS(入金予測!$E$4:$E$603,入金予測!$A$4:$A$603,A60,入金予測!$B$4:$B$603,"モーテル")</f>
        <v>0</v>
      </c>
      <c r="C60" s="20">
        <f>SUMIFS(未払予定一覧!$O$4:$O$830,未払予定一覧!$N$4:$N$830,A60,未払予定一覧!$A$4:$A$830,"モーテル",未払予定一覧!$B$4:$B$830,"未払繰越")+SUMIFS(未払予定一覧!$O$4:$O$830,未払予定一覧!$N$4:$N$830,A60,未払予定一覧!$A$4:$A$830,"モーテル",未払予定一覧!$B$4:$B$830,"月次予定")</f>
        <v>0</v>
      </c>
      <c r="D60" s="20">
        <f t="shared" si="3"/>
        <v>0</v>
      </c>
      <c r="E60" s="20">
        <f t="shared" si="4"/>
        <v>10800919.5</v>
      </c>
      <c r="F60" s="21">
        <f>SUMIFS(未払予定一覧!$O$4:$O$830,未払予定一覧!$N$4:$N$830,A60,未払予定一覧!$A$4:$A$830,"モーテル",未払予定一覧!$B$4:$B$830,"カード枠回復")</f>
        <v>0</v>
      </c>
      <c r="G60" s="122">
        <f t="shared" si="5"/>
        <v>10800919.5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SUMIFS(入金入力!$E$4:$E$580,入金入力!$B$4:$B$580,A61,入金入力!$A$4:$A$580,"モーテル")+SUMIFS(入金予測!$E$4:$E$603,入金予測!$A$4:$A$603,A61,入金予測!$B$4:$B$603,"モーテル")</f>
        <v>0</v>
      </c>
      <c r="C61" s="20">
        <f>SUMIFS(未払予定一覧!$O$4:$O$830,未払予定一覧!$N$4:$N$830,A61,未払予定一覧!$A$4:$A$830,"モーテル",未払予定一覧!$B$4:$B$830,"未払繰越")+SUMIFS(未払予定一覧!$O$4:$O$830,未払予定一覧!$N$4:$N$830,A61,未払予定一覧!$A$4:$A$830,"モーテル",未払予定一覧!$B$4:$B$830,"月次予定")</f>
        <v>0</v>
      </c>
      <c r="D61" s="20">
        <f t="shared" si="3"/>
        <v>0</v>
      </c>
      <c r="E61" s="20">
        <f t="shared" si="4"/>
        <v>10800919.5</v>
      </c>
      <c r="F61" s="21">
        <f>SUMIFS(未払予定一覧!$O$4:$O$830,未払予定一覧!$N$4:$N$830,A61,未払予定一覧!$A$4:$A$830,"モーテル",未払予定一覧!$B$4:$B$830,"カード枠回復")</f>
        <v>0</v>
      </c>
      <c r="G61" s="122">
        <f t="shared" si="5"/>
        <v>10800919.5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SUMIFS(入金入力!$E$4:$E$580,入金入力!$B$4:$B$580,A62,入金入力!$A$4:$A$580,"モーテル")+SUMIFS(入金予測!$E$4:$E$603,入金予測!$A$4:$A$603,A62,入金予測!$B$4:$B$603,"モーテル")</f>
        <v>0</v>
      </c>
      <c r="C62" s="20">
        <f>SUMIFS(未払予定一覧!$O$4:$O$830,未払予定一覧!$N$4:$N$830,A62,未払予定一覧!$A$4:$A$830,"モーテル",未払予定一覧!$B$4:$B$830,"未払繰越")+SUMIFS(未払予定一覧!$O$4:$O$830,未払予定一覧!$N$4:$N$830,A62,未払予定一覧!$A$4:$A$830,"モーテル",未払予定一覧!$B$4:$B$830,"月次予定")</f>
        <v>0</v>
      </c>
      <c r="D62" s="20">
        <f t="shared" si="3"/>
        <v>0</v>
      </c>
      <c r="E62" s="20">
        <f t="shared" si="4"/>
        <v>10800919.5</v>
      </c>
      <c r="F62" s="21">
        <f>SUMIFS(未払予定一覧!$O$4:$O$830,未払予定一覧!$N$4:$N$830,A62,未払予定一覧!$A$4:$A$830,"モーテル",未払予定一覧!$B$4:$B$830,"カード枠回復")</f>
        <v>0</v>
      </c>
      <c r="G62" s="122">
        <f t="shared" si="5"/>
        <v>10800919.5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SUMIFS(入金入力!$E$4:$E$580,入金入力!$B$4:$B$580,A63,入金入力!$A$4:$A$580,"モーテル")+SUMIFS(入金予測!$E$4:$E$603,入金予測!$A$4:$A$603,A63,入金予測!$B$4:$B$603,"モーテル")</f>
        <v>0</v>
      </c>
      <c r="C63" s="20">
        <f>SUMIFS(未払予定一覧!$O$4:$O$830,未払予定一覧!$N$4:$N$830,A63,未払予定一覧!$A$4:$A$830,"モーテル",未払予定一覧!$B$4:$B$830,"未払繰越")+SUMIFS(未払予定一覧!$O$4:$O$830,未払予定一覧!$N$4:$N$830,A63,未払予定一覧!$A$4:$A$830,"モーテル",未払予定一覧!$B$4:$B$830,"月次予定")</f>
        <v>0</v>
      </c>
      <c r="D63" s="20">
        <f t="shared" si="3"/>
        <v>0</v>
      </c>
      <c r="E63" s="20">
        <f t="shared" si="4"/>
        <v>10800919.5</v>
      </c>
      <c r="F63" s="21">
        <f>SUMIFS(未払予定一覧!$O$4:$O$830,未払予定一覧!$N$4:$N$830,A63,未払予定一覧!$A$4:$A$830,"モーテル",未払予定一覧!$B$4:$B$830,"カード枠回復")</f>
        <v>0</v>
      </c>
      <c r="G63" s="122">
        <f t="shared" si="5"/>
        <v>10800919.5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SUMIFS(入金入力!$E$4:$E$580,入金入力!$B$4:$B$580,A64,入金入力!$A$4:$A$580,"モーテル")+SUMIFS(入金予測!$E$4:$E$603,入金予測!$A$4:$A$603,A64,入金予測!$B$4:$B$603,"モーテル")</f>
        <v>0</v>
      </c>
      <c r="C64" s="20">
        <f>SUMIFS(未払予定一覧!$O$4:$O$830,未払予定一覧!$N$4:$N$830,A64,未払予定一覧!$A$4:$A$830,"モーテル",未払予定一覧!$B$4:$B$830,"未払繰越")+SUMIFS(未払予定一覧!$O$4:$O$830,未払予定一覧!$N$4:$N$830,A64,未払予定一覧!$A$4:$A$830,"モーテル",未払予定一覧!$B$4:$B$830,"月次予定")</f>
        <v>185173</v>
      </c>
      <c r="D64" s="20">
        <f t="shared" si="3"/>
        <v>-185173</v>
      </c>
      <c r="E64" s="20">
        <f t="shared" si="4"/>
        <v>10615746.5</v>
      </c>
      <c r="F64" s="21">
        <f>SUMIFS(未払予定一覧!$O$4:$O$830,未払予定一覧!$N$4:$N$830,A64,未払予定一覧!$A$4:$A$830,"モーテル",未払予定一覧!$B$4:$B$830,"カード枠回復")</f>
        <v>0</v>
      </c>
      <c r="G64" s="122">
        <f t="shared" si="5"/>
        <v>10615746.5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SUMIFS(入金入力!$E$4:$E$580,入金入力!$B$4:$B$580,A65,入金入力!$A$4:$A$580,"モーテル")+SUMIFS(入金予測!$E$4:$E$603,入金予測!$A$4:$A$603,A65,入金予測!$B$4:$B$603,"モーテル")</f>
        <v>0</v>
      </c>
      <c r="C65" s="20">
        <f>SUMIFS(未払予定一覧!$O$4:$O$830,未払予定一覧!$N$4:$N$830,A65,未払予定一覧!$A$4:$A$830,"モーテル",未払予定一覧!$B$4:$B$830,"未払繰越")+SUMIFS(未払予定一覧!$O$4:$O$830,未払予定一覧!$N$4:$N$830,A65,未払予定一覧!$A$4:$A$830,"モーテル",未払予定一覧!$B$4:$B$830,"月次予定")</f>
        <v>0</v>
      </c>
      <c r="D65" s="20">
        <f t="shared" si="3"/>
        <v>0</v>
      </c>
      <c r="E65" s="20">
        <f t="shared" si="4"/>
        <v>10615746.5</v>
      </c>
      <c r="F65" s="21">
        <f>SUMIFS(未払予定一覧!$O$4:$O$830,未払予定一覧!$N$4:$N$830,A65,未払予定一覧!$A$4:$A$830,"モーテル",未払予定一覧!$B$4:$B$830,"カード枠回復")</f>
        <v>0</v>
      </c>
      <c r="G65" s="122">
        <f t="shared" si="5"/>
        <v>10615746.5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SUMIFS(入金入力!$E$4:$E$580,入金入力!$B$4:$B$580,A66,入金入力!$A$4:$A$580,"モーテル")+SUMIFS(入金予測!$E$4:$E$603,入金予測!$A$4:$A$603,A66,入金予測!$B$4:$B$603,"モーテル")</f>
        <v>0</v>
      </c>
      <c r="C66" s="20">
        <f>SUMIFS(未払予定一覧!$O$4:$O$830,未払予定一覧!$N$4:$N$830,A66,未払予定一覧!$A$4:$A$830,"モーテル",未払予定一覧!$B$4:$B$830,"未払繰越")+SUMIFS(未払予定一覧!$O$4:$O$830,未払予定一覧!$N$4:$N$830,A66,未払予定一覧!$A$4:$A$830,"モーテル",未払予定一覧!$B$4:$B$830,"月次予定")</f>
        <v>0</v>
      </c>
      <c r="D66" s="20">
        <f t="shared" si="3"/>
        <v>0</v>
      </c>
      <c r="E66" s="20">
        <f t="shared" si="4"/>
        <v>10615746.5</v>
      </c>
      <c r="F66" s="21">
        <f>SUMIFS(未払予定一覧!$O$4:$O$830,未払予定一覧!$N$4:$N$830,A66,未払予定一覧!$A$4:$A$830,"モーテル",未払予定一覧!$B$4:$B$830,"カード枠回復")</f>
        <v>0</v>
      </c>
      <c r="G66" s="122">
        <f t="shared" si="5"/>
        <v>10615746.5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SUMIFS(入金入力!$E$4:$E$580,入金入力!$B$4:$B$580,A67,入金入力!$A$4:$A$580,"モーテル")+SUMIFS(入金予測!$E$4:$E$603,入金予測!$A$4:$A$603,A67,入金予測!$B$4:$B$603,"モーテル")</f>
        <v>0</v>
      </c>
      <c r="C67" s="20">
        <f>SUMIFS(未払予定一覧!$O$4:$O$830,未払予定一覧!$N$4:$N$830,A67,未払予定一覧!$A$4:$A$830,"モーテル",未払予定一覧!$B$4:$B$830,"未払繰越")+SUMIFS(未払予定一覧!$O$4:$O$830,未払予定一覧!$N$4:$N$830,A67,未払予定一覧!$A$4:$A$830,"モーテル",未払予定一覧!$B$4:$B$830,"月次予定")</f>
        <v>0</v>
      </c>
      <c r="D67" s="20">
        <f t="shared" si="3"/>
        <v>0</v>
      </c>
      <c r="E67" s="20">
        <f t="shared" si="4"/>
        <v>10615746.5</v>
      </c>
      <c r="F67" s="21">
        <f>SUMIFS(未払予定一覧!$O$4:$O$830,未払予定一覧!$N$4:$N$830,A67,未払予定一覧!$A$4:$A$830,"モーテル",未払予定一覧!$B$4:$B$830,"カード枠回復")</f>
        <v>0</v>
      </c>
      <c r="G67" s="122">
        <f t="shared" si="5"/>
        <v>10615746.5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SUMIFS(入金入力!$E$4:$E$580,入金入力!$B$4:$B$580,A68,入金入力!$A$4:$A$580,"モーテル")+SUMIFS(入金予測!$E$4:$E$603,入金予測!$A$4:$A$603,A68,入金予測!$B$4:$B$603,"モーテル")</f>
        <v>0</v>
      </c>
      <c r="C68" s="20">
        <f>SUMIFS(未払予定一覧!$O$4:$O$830,未払予定一覧!$N$4:$N$830,A68,未払予定一覧!$A$4:$A$830,"モーテル",未払予定一覧!$B$4:$B$830,"未払繰越")+SUMIFS(未払予定一覧!$O$4:$O$830,未払予定一覧!$N$4:$N$830,A68,未払予定一覧!$A$4:$A$830,"モーテル",未払予定一覧!$B$4:$B$830,"月次予定")</f>
        <v>0</v>
      </c>
      <c r="D68" s="20">
        <f t="shared" si="3"/>
        <v>0</v>
      </c>
      <c r="E68" s="20">
        <f t="shared" si="4"/>
        <v>10615746.5</v>
      </c>
      <c r="F68" s="21">
        <f>SUMIFS(未払予定一覧!$O$4:$O$830,未払予定一覧!$N$4:$N$830,A68,未払予定一覧!$A$4:$A$830,"モーテル",未払予定一覧!$B$4:$B$830,"カード枠回復")</f>
        <v>0</v>
      </c>
      <c r="G68" s="122">
        <f t="shared" si="5"/>
        <v>10615746.5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SUMIFS(入金入力!$E$4:$E$580,入金入力!$B$4:$B$580,A69,入金入力!$A$4:$A$580,"モーテル")+SUMIFS(入金予測!$E$4:$E$603,入金予測!$A$4:$A$603,A69,入金予測!$B$4:$B$603,"モーテル")</f>
        <v>0</v>
      </c>
      <c r="C69" s="20">
        <f>SUMIFS(未払予定一覧!$O$4:$O$830,未払予定一覧!$N$4:$N$830,A69,未払予定一覧!$A$4:$A$830,"モーテル",未払予定一覧!$B$4:$B$830,"未払繰越")+SUMIFS(未払予定一覧!$O$4:$O$830,未払予定一覧!$N$4:$N$830,A69,未払予定一覧!$A$4:$A$830,"モーテル",未払予定一覧!$B$4:$B$830,"月次予定")</f>
        <v>0</v>
      </c>
      <c r="D69" s="20">
        <f t="shared" si="3"/>
        <v>0</v>
      </c>
      <c r="E69" s="20">
        <f t="shared" si="4"/>
        <v>10615746.5</v>
      </c>
      <c r="F69" s="21">
        <f>SUMIFS(未払予定一覧!$O$4:$O$830,未払予定一覧!$N$4:$N$830,A69,未払予定一覧!$A$4:$A$830,"モーテル",未払予定一覧!$B$4:$B$830,"カード枠回復")</f>
        <v>0</v>
      </c>
      <c r="G69" s="122">
        <f t="shared" si="5"/>
        <v>10615746.5</v>
      </c>
      <c r="H69" s="123"/>
    </row>
    <row r="70" spans="1:8" ht="15" customHeight="1">
      <c r="A70" s="23" t="s">
        <v>693</v>
      </c>
      <c r="B70" s="24">
        <f>SUM(B40:B69)</f>
        <v>4753795.2</v>
      </c>
      <c r="C70" s="24">
        <f>SUM(C40:C69)</f>
        <v>185173</v>
      </c>
      <c r="D70" s="24">
        <f t="shared" si="3"/>
        <v>4568622.2</v>
      </c>
      <c r="E70" s="24">
        <f>E69</f>
        <v>10615746.5</v>
      </c>
      <c r="F70" s="24">
        <f>SUM(F40:F69)</f>
        <v>0</v>
      </c>
      <c r="G70" s="24">
        <f>G69</f>
        <v>10615746.5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SUMIFS(入金入力!$E$4:$E$580,入金入力!$B$4:$B$580,A73,入金入力!$A$4:$A$580,"モーテル")+SUMIFS(入金予測!$E$4:$E$603,入金予測!$A$4:$A$603,A73,入金予測!$B$4:$B$603,"モーテル")</f>
        <v>0</v>
      </c>
      <c r="C73" s="20">
        <f>SUMIFS(未払予定一覧!$O$4:$O$830,未払予定一覧!$N$4:$N$830,A73,未払予定一覧!$A$4:$A$830,"モーテル",未払予定一覧!$B$4:$B$830,"未払繰越")+SUMIFS(未払予定一覧!$O$4:$O$830,未払予定一覧!$N$4:$N$830,A73,未払予定一覧!$A$4:$A$830,"モーテル",未払予定一覧!$B$4:$B$830,"月次予定")</f>
        <v>0</v>
      </c>
      <c r="D73" s="20">
        <f t="shared" ref="D73:D104" si="6">B73-C73-F73</f>
        <v>0</v>
      </c>
      <c r="E73" s="20">
        <f>E70+D73</f>
        <v>10615746.5</v>
      </c>
      <c r="F73" s="21">
        <f>SUMIFS(未払予定一覧!$O$4:$O$830,未払予定一覧!$N$4:$N$830,A73,未払予定一覧!$A$4:$A$830,"モーテル",未払予定一覧!$B$4:$B$830,"カード枠回復")</f>
        <v>0</v>
      </c>
      <c r="G73" s="122">
        <f>G70+D73+F73</f>
        <v>10615746.5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SUMIFS(入金入力!$E$4:$E$580,入金入力!$B$4:$B$580,A74,入金入力!$A$4:$A$580,"モーテル")+SUMIFS(入金予測!$E$4:$E$603,入金予測!$A$4:$A$603,A74,入金予測!$B$4:$B$603,"モーテル")</f>
        <v>0</v>
      </c>
      <c r="C74" s="20">
        <f>SUMIFS(未払予定一覧!$O$4:$O$830,未払予定一覧!$N$4:$N$830,A74,未払予定一覧!$A$4:$A$830,"モーテル",未払予定一覧!$B$4:$B$830,"未払繰越")+SUMIFS(未払予定一覧!$O$4:$O$830,未払予定一覧!$N$4:$N$830,A74,未払予定一覧!$A$4:$A$830,"モーテル",未払予定一覧!$B$4:$B$830,"月次予定")</f>
        <v>0</v>
      </c>
      <c r="D74" s="20">
        <f t="shared" si="6"/>
        <v>0</v>
      </c>
      <c r="E74" s="20">
        <f t="shared" ref="E74:E103" si="7">E73+D74</f>
        <v>10615746.5</v>
      </c>
      <c r="F74" s="21">
        <f>SUMIFS(未払予定一覧!$O$4:$O$830,未払予定一覧!$N$4:$N$830,A74,未払予定一覧!$A$4:$A$830,"モーテル",未払予定一覧!$B$4:$B$830,"カード枠回復")</f>
        <v>0</v>
      </c>
      <c r="G74" s="122">
        <f t="shared" ref="G74:G103" si="8">G73+D74+F74</f>
        <v>10615746.5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SUMIFS(入金入力!$E$4:$E$580,入金入力!$B$4:$B$580,A75,入金入力!$A$4:$A$580,"モーテル")+SUMIFS(入金予測!$E$4:$E$603,入金予測!$A$4:$A$603,A75,入金予測!$B$4:$B$603,"モーテル")</f>
        <v>0</v>
      </c>
      <c r="C75" s="20">
        <f>SUMIFS(未払予定一覧!$O$4:$O$830,未払予定一覧!$N$4:$N$830,A75,未払予定一覧!$A$4:$A$830,"モーテル",未払予定一覧!$B$4:$B$830,"未払繰越")+SUMIFS(未払予定一覧!$O$4:$O$830,未払予定一覧!$N$4:$N$830,A75,未払予定一覧!$A$4:$A$830,"モーテル",未払予定一覧!$B$4:$B$830,"月次予定")</f>
        <v>0</v>
      </c>
      <c r="D75" s="20">
        <f t="shared" si="6"/>
        <v>0</v>
      </c>
      <c r="E75" s="20">
        <f t="shared" si="7"/>
        <v>10615746.5</v>
      </c>
      <c r="F75" s="21">
        <f>SUMIFS(未払予定一覧!$O$4:$O$830,未払予定一覧!$N$4:$N$830,A75,未払予定一覧!$A$4:$A$830,"モーテル",未払予定一覧!$B$4:$B$830,"カード枠回復")</f>
        <v>0</v>
      </c>
      <c r="G75" s="122">
        <f t="shared" si="8"/>
        <v>10615746.5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SUMIFS(入金入力!$E$4:$E$580,入金入力!$B$4:$B$580,A76,入金入力!$A$4:$A$580,"モーテル")+SUMIFS(入金予測!$E$4:$E$603,入金予測!$A$4:$A$603,A76,入金予測!$B$4:$B$603,"モーテル")</f>
        <v>0</v>
      </c>
      <c r="C76" s="20">
        <f>SUMIFS(未払予定一覧!$O$4:$O$830,未払予定一覧!$N$4:$N$830,A76,未払予定一覧!$A$4:$A$830,"モーテル",未払予定一覧!$B$4:$B$830,"未払繰越")+SUMIFS(未払予定一覧!$O$4:$O$830,未払予定一覧!$N$4:$N$830,A76,未払予定一覧!$A$4:$A$830,"モーテル",未払予定一覧!$B$4:$B$830,"月次予定")</f>
        <v>0</v>
      </c>
      <c r="D76" s="20">
        <f t="shared" si="6"/>
        <v>0</v>
      </c>
      <c r="E76" s="20">
        <f t="shared" si="7"/>
        <v>10615746.5</v>
      </c>
      <c r="F76" s="21">
        <f>SUMIFS(未払予定一覧!$O$4:$O$830,未払予定一覧!$N$4:$N$830,A76,未払予定一覧!$A$4:$A$830,"モーテル",未払予定一覧!$B$4:$B$830,"カード枠回復")</f>
        <v>0</v>
      </c>
      <c r="G76" s="122">
        <f t="shared" si="8"/>
        <v>10615746.5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SUMIFS(入金入力!$E$4:$E$580,入金入力!$B$4:$B$580,A77,入金入力!$A$4:$A$580,"モーテル")+SUMIFS(入金予測!$E$4:$E$603,入金予測!$A$4:$A$603,A77,入金予測!$B$4:$B$603,"モーテル")</f>
        <v>0</v>
      </c>
      <c r="C77" s="20">
        <f>SUMIFS(未払予定一覧!$O$4:$O$830,未払予定一覧!$N$4:$N$830,A77,未払予定一覧!$A$4:$A$830,"モーテル",未払予定一覧!$B$4:$B$830,"未払繰越")+SUMIFS(未払予定一覧!$O$4:$O$830,未払予定一覧!$N$4:$N$830,A77,未払予定一覧!$A$4:$A$830,"モーテル",未払予定一覧!$B$4:$B$830,"月次予定")</f>
        <v>0</v>
      </c>
      <c r="D77" s="20">
        <f t="shared" si="6"/>
        <v>0</v>
      </c>
      <c r="E77" s="20">
        <f t="shared" si="7"/>
        <v>10615746.5</v>
      </c>
      <c r="F77" s="21">
        <f>SUMIFS(未払予定一覧!$O$4:$O$830,未払予定一覧!$N$4:$N$830,A77,未払予定一覧!$A$4:$A$830,"モーテル",未払予定一覧!$B$4:$B$830,"カード枠回復")</f>
        <v>0</v>
      </c>
      <c r="G77" s="122">
        <f t="shared" si="8"/>
        <v>10615746.5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SUMIFS(入金入力!$E$4:$E$580,入金入力!$B$4:$B$580,A78,入金入力!$A$4:$A$580,"モーテル")+SUMIFS(入金予測!$E$4:$E$603,入金予測!$A$4:$A$603,A78,入金予測!$B$4:$B$603,"モーテル")</f>
        <v>0</v>
      </c>
      <c r="C78" s="20">
        <f>SUMIFS(未払予定一覧!$O$4:$O$830,未払予定一覧!$N$4:$N$830,A78,未払予定一覧!$A$4:$A$830,"モーテル",未払予定一覧!$B$4:$B$830,"未払繰越")+SUMIFS(未払予定一覧!$O$4:$O$830,未払予定一覧!$N$4:$N$830,A78,未払予定一覧!$A$4:$A$830,"モーテル",未払予定一覧!$B$4:$B$830,"月次予定")</f>
        <v>0</v>
      </c>
      <c r="D78" s="20">
        <f t="shared" si="6"/>
        <v>0</v>
      </c>
      <c r="E78" s="20">
        <f t="shared" si="7"/>
        <v>10615746.5</v>
      </c>
      <c r="F78" s="21">
        <f>SUMIFS(未払予定一覧!$O$4:$O$830,未払予定一覧!$N$4:$N$830,A78,未払予定一覧!$A$4:$A$830,"モーテル",未払予定一覧!$B$4:$B$830,"カード枠回復")</f>
        <v>0</v>
      </c>
      <c r="G78" s="122">
        <f t="shared" si="8"/>
        <v>10615746.5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SUMIFS(入金入力!$E$4:$E$580,入金入力!$B$4:$B$580,A79,入金入力!$A$4:$A$580,"モーテル")+SUMIFS(入金予測!$E$4:$E$603,入金予測!$A$4:$A$603,A79,入金予測!$B$4:$B$603,"モーテル")</f>
        <v>0</v>
      </c>
      <c r="C79" s="20">
        <f>SUMIFS(未払予定一覧!$O$4:$O$830,未払予定一覧!$N$4:$N$830,A79,未払予定一覧!$A$4:$A$830,"モーテル",未払予定一覧!$B$4:$B$830,"未払繰越")+SUMIFS(未払予定一覧!$O$4:$O$830,未払予定一覧!$N$4:$N$830,A79,未払予定一覧!$A$4:$A$830,"モーテル",未払予定一覧!$B$4:$B$830,"月次予定")</f>
        <v>0</v>
      </c>
      <c r="D79" s="20">
        <f t="shared" si="6"/>
        <v>0</v>
      </c>
      <c r="E79" s="20">
        <f t="shared" si="7"/>
        <v>10615746.5</v>
      </c>
      <c r="F79" s="21">
        <f>SUMIFS(未払予定一覧!$O$4:$O$830,未払予定一覧!$N$4:$N$830,A79,未払予定一覧!$A$4:$A$830,"モーテル",未払予定一覧!$B$4:$B$830,"カード枠回復")</f>
        <v>0</v>
      </c>
      <c r="G79" s="122">
        <f t="shared" si="8"/>
        <v>10615746.5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SUMIFS(入金入力!$E$4:$E$580,入金入力!$B$4:$B$580,A80,入金入力!$A$4:$A$580,"モーテル")+SUMIFS(入金予測!$E$4:$E$603,入金予測!$A$4:$A$603,A80,入金予測!$B$4:$B$603,"モーテル")</f>
        <v>0</v>
      </c>
      <c r="C80" s="20">
        <f>SUMIFS(未払予定一覧!$O$4:$O$830,未払予定一覧!$N$4:$N$830,A80,未払予定一覧!$A$4:$A$830,"モーテル",未払予定一覧!$B$4:$B$830,"未払繰越")+SUMIFS(未払予定一覧!$O$4:$O$830,未払予定一覧!$N$4:$N$830,A80,未払予定一覧!$A$4:$A$830,"モーテル",未払予定一覧!$B$4:$B$830,"月次予定")</f>
        <v>0</v>
      </c>
      <c r="D80" s="20">
        <f t="shared" si="6"/>
        <v>0</v>
      </c>
      <c r="E80" s="20">
        <f t="shared" si="7"/>
        <v>10615746.5</v>
      </c>
      <c r="F80" s="21">
        <f>SUMIFS(未払予定一覧!$O$4:$O$830,未払予定一覧!$N$4:$N$830,A80,未払予定一覧!$A$4:$A$830,"モーテル",未払予定一覧!$B$4:$B$830,"カード枠回復")</f>
        <v>0</v>
      </c>
      <c r="G80" s="122">
        <f t="shared" si="8"/>
        <v>10615746.5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SUMIFS(入金入力!$E$4:$E$580,入金入力!$B$4:$B$580,A81,入金入力!$A$4:$A$580,"モーテル")+SUMIFS(入金予測!$E$4:$E$603,入金予測!$A$4:$A$603,A81,入金予測!$B$4:$B$603,"モーテル")</f>
        <v>0</v>
      </c>
      <c r="C81" s="20">
        <f>SUMIFS(未払予定一覧!$O$4:$O$830,未払予定一覧!$N$4:$N$830,A81,未払予定一覧!$A$4:$A$830,"モーテル",未払予定一覧!$B$4:$B$830,"未払繰越")+SUMIFS(未払予定一覧!$O$4:$O$830,未払予定一覧!$N$4:$N$830,A81,未払予定一覧!$A$4:$A$830,"モーテル",未払予定一覧!$B$4:$B$830,"月次予定")</f>
        <v>0</v>
      </c>
      <c r="D81" s="20">
        <f t="shared" si="6"/>
        <v>0</v>
      </c>
      <c r="E81" s="20">
        <f t="shared" si="7"/>
        <v>10615746.5</v>
      </c>
      <c r="F81" s="21">
        <f>SUMIFS(未払予定一覧!$O$4:$O$830,未払予定一覧!$N$4:$N$830,A81,未払予定一覧!$A$4:$A$830,"モーテル",未払予定一覧!$B$4:$B$830,"カード枠回復")</f>
        <v>0</v>
      </c>
      <c r="G81" s="122">
        <f t="shared" si="8"/>
        <v>10615746.5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SUMIFS(入金入力!$E$4:$E$580,入金入力!$B$4:$B$580,A82,入金入力!$A$4:$A$580,"モーテル")+SUMIFS(入金予測!$E$4:$E$603,入金予測!$A$4:$A$603,A82,入金予測!$B$4:$B$603,"モーテル")</f>
        <v>2365543.5</v>
      </c>
      <c r="C82" s="20">
        <f>SUMIFS(未払予定一覧!$O$4:$O$830,未払予定一覧!$N$4:$N$830,A82,未払予定一覧!$A$4:$A$830,"モーテル",未払予定一覧!$B$4:$B$830,"未払繰越")+SUMIFS(未払予定一覧!$O$4:$O$830,未払予定一覧!$N$4:$N$830,A82,未払予定一覧!$A$4:$A$830,"モーテル",未払予定一覧!$B$4:$B$830,"月次予定")</f>
        <v>0</v>
      </c>
      <c r="D82" s="20">
        <f t="shared" si="6"/>
        <v>2365543.5</v>
      </c>
      <c r="E82" s="20">
        <f t="shared" si="7"/>
        <v>12981290</v>
      </c>
      <c r="F82" s="21">
        <f>SUMIFS(未払予定一覧!$O$4:$O$830,未払予定一覧!$N$4:$N$830,A82,未払予定一覧!$A$4:$A$830,"モーテル",未払予定一覧!$B$4:$B$830,"カード枠回復")</f>
        <v>0</v>
      </c>
      <c r="G82" s="122">
        <f t="shared" si="8"/>
        <v>12981290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SUMIFS(入金入力!$E$4:$E$580,入金入力!$B$4:$B$580,A83,入金入力!$A$4:$A$580,"モーテル")+SUMIFS(入金予測!$E$4:$E$603,入金予測!$A$4:$A$603,A83,入金予測!$B$4:$B$603,"モーテル")</f>
        <v>0</v>
      </c>
      <c r="C83" s="20">
        <f>SUMIFS(未払予定一覧!$O$4:$O$830,未払予定一覧!$N$4:$N$830,A83,未払予定一覧!$A$4:$A$830,"モーテル",未払予定一覧!$B$4:$B$830,"未払繰越")+SUMIFS(未払予定一覧!$O$4:$O$830,未払予定一覧!$N$4:$N$830,A83,未払予定一覧!$A$4:$A$830,"モーテル",未払予定一覧!$B$4:$B$830,"月次予定")</f>
        <v>0</v>
      </c>
      <c r="D83" s="20">
        <f t="shared" si="6"/>
        <v>0</v>
      </c>
      <c r="E83" s="20">
        <f t="shared" si="7"/>
        <v>12981290</v>
      </c>
      <c r="F83" s="21">
        <f>SUMIFS(未払予定一覧!$O$4:$O$830,未払予定一覧!$N$4:$N$830,A83,未払予定一覧!$A$4:$A$830,"モーテル",未払予定一覧!$B$4:$B$830,"カード枠回復")</f>
        <v>0</v>
      </c>
      <c r="G83" s="122">
        <f t="shared" si="8"/>
        <v>12981290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SUMIFS(入金入力!$E$4:$E$580,入金入力!$B$4:$B$580,A84,入金入力!$A$4:$A$580,"モーテル")+SUMIFS(入金予測!$E$4:$E$603,入金予測!$A$4:$A$603,A84,入金予測!$B$4:$B$603,"モーテル")</f>
        <v>0</v>
      </c>
      <c r="C84" s="20">
        <f>SUMIFS(未払予定一覧!$O$4:$O$830,未払予定一覧!$N$4:$N$830,A84,未払予定一覧!$A$4:$A$830,"モーテル",未払予定一覧!$B$4:$B$830,"未払繰越")+SUMIFS(未払予定一覧!$O$4:$O$830,未払予定一覧!$N$4:$N$830,A84,未払予定一覧!$A$4:$A$830,"モーテル",未払予定一覧!$B$4:$B$830,"月次予定")</f>
        <v>0</v>
      </c>
      <c r="D84" s="20">
        <f t="shared" si="6"/>
        <v>0</v>
      </c>
      <c r="E84" s="20">
        <f t="shared" si="7"/>
        <v>12981290</v>
      </c>
      <c r="F84" s="21">
        <f>SUMIFS(未払予定一覧!$O$4:$O$830,未払予定一覧!$N$4:$N$830,A84,未払予定一覧!$A$4:$A$830,"モーテル",未払予定一覧!$B$4:$B$830,"カード枠回復")</f>
        <v>0</v>
      </c>
      <c r="G84" s="122">
        <f t="shared" si="8"/>
        <v>12981290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SUMIFS(入金入力!$E$4:$E$580,入金入力!$B$4:$B$580,A85,入金入力!$A$4:$A$580,"モーテル")+SUMIFS(入金予測!$E$4:$E$603,入金予測!$A$4:$A$603,A85,入金予測!$B$4:$B$603,"モーテル")</f>
        <v>0</v>
      </c>
      <c r="C85" s="20">
        <f>SUMIFS(未払予定一覧!$O$4:$O$830,未払予定一覧!$N$4:$N$830,A85,未払予定一覧!$A$4:$A$830,"モーテル",未払予定一覧!$B$4:$B$830,"未払繰越")+SUMIFS(未払予定一覧!$O$4:$O$830,未払予定一覧!$N$4:$N$830,A85,未払予定一覧!$A$4:$A$830,"モーテル",未払予定一覧!$B$4:$B$830,"月次予定")</f>
        <v>0</v>
      </c>
      <c r="D85" s="20">
        <f t="shared" si="6"/>
        <v>0</v>
      </c>
      <c r="E85" s="20">
        <f t="shared" si="7"/>
        <v>12981290</v>
      </c>
      <c r="F85" s="21">
        <f>SUMIFS(未払予定一覧!$O$4:$O$830,未払予定一覧!$N$4:$N$830,A85,未払予定一覧!$A$4:$A$830,"モーテル",未払予定一覧!$B$4:$B$830,"カード枠回復")</f>
        <v>0</v>
      </c>
      <c r="G85" s="122">
        <f t="shared" si="8"/>
        <v>12981290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SUMIFS(入金入力!$E$4:$E$580,入金入力!$B$4:$B$580,A86,入金入力!$A$4:$A$580,"モーテル")+SUMIFS(入金予測!$E$4:$E$603,入金予測!$A$4:$A$603,A86,入金予測!$B$4:$B$603,"モーテル")</f>
        <v>0</v>
      </c>
      <c r="C86" s="20">
        <f>SUMIFS(未払予定一覧!$O$4:$O$830,未払予定一覧!$N$4:$N$830,A86,未払予定一覧!$A$4:$A$830,"モーテル",未払予定一覧!$B$4:$B$830,"未払繰越")+SUMIFS(未払予定一覧!$O$4:$O$830,未払予定一覧!$N$4:$N$830,A86,未払予定一覧!$A$4:$A$830,"モーテル",未払予定一覧!$B$4:$B$830,"月次予定")</f>
        <v>0</v>
      </c>
      <c r="D86" s="20">
        <f t="shared" si="6"/>
        <v>0</v>
      </c>
      <c r="E86" s="20">
        <f t="shared" si="7"/>
        <v>12981290</v>
      </c>
      <c r="F86" s="21">
        <f>SUMIFS(未払予定一覧!$O$4:$O$830,未払予定一覧!$N$4:$N$830,A86,未払予定一覧!$A$4:$A$830,"モーテル",未払予定一覧!$B$4:$B$830,"カード枠回復")</f>
        <v>0</v>
      </c>
      <c r="G86" s="122">
        <f t="shared" si="8"/>
        <v>12981290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SUMIFS(入金入力!$E$4:$E$580,入金入力!$B$4:$B$580,A87,入金入力!$A$4:$A$580,"モーテル")+SUMIFS(入金予測!$E$4:$E$603,入金予測!$A$4:$A$603,A87,入金予測!$B$4:$B$603,"モーテル")</f>
        <v>0</v>
      </c>
      <c r="C87" s="20">
        <f>SUMIFS(未払予定一覧!$O$4:$O$830,未払予定一覧!$N$4:$N$830,A87,未払予定一覧!$A$4:$A$830,"モーテル",未払予定一覧!$B$4:$B$830,"未払繰越")+SUMIFS(未払予定一覧!$O$4:$O$830,未払予定一覧!$N$4:$N$830,A87,未払予定一覧!$A$4:$A$830,"モーテル",未払予定一覧!$B$4:$B$830,"月次予定")</f>
        <v>0</v>
      </c>
      <c r="D87" s="20">
        <f t="shared" si="6"/>
        <v>0</v>
      </c>
      <c r="E87" s="20">
        <f t="shared" si="7"/>
        <v>12981290</v>
      </c>
      <c r="F87" s="21">
        <f>SUMIFS(未払予定一覧!$O$4:$O$830,未払予定一覧!$N$4:$N$830,A87,未払予定一覧!$A$4:$A$830,"モーテル",未払予定一覧!$B$4:$B$830,"カード枠回復")</f>
        <v>0</v>
      </c>
      <c r="G87" s="122">
        <f t="shared" si="8"/>
        <v>12981290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SUMIFS(入金入力!$E$4:$E$580,入金入力!$B$4:$B$580,A88,入金入力!$A$4:$A$580,"モーテル")+SUMIFS(入金予測!$E$4:$E$603,入金予測!$A$4:$A$603,A88,入金予測!$B$4:$B$603,"モーテル")</f>
        <v>0</v>
      </c>
      <c r="C88" s="20">
        <f>SUMIFS(未払予定一覧!$O$4:$O$830,未払予定一覧!$N$4:$N$830,A88,未払予定一覧!$A$4:$A$830,"モーテル",未払予定一覧!$B$4:$B$830,"未払繰越")+SUMIFS(未払予定一覧!$O$4:$O$830,未払予定一覧!$N$4:$N$830,A88,未払予定一覧!$A$4:$A$830,"モーテル",未払予定一覧!$B$4:$B$830,"月次予定")</f>
        <v>0</v>
      </c>
      <c r="D88" s="20">
        <f t="shared" si="6"/>
        <v>0</v>
      </c>
      <c r="E88" s="20">
        <f t="shared" si="7"/>
        <v>12981290</v>
      </c>
      <c r="F88" s="21">
        <f>SUMIFS(未払予定一覧!$O$4:$O$830,未払予定一覧!$N$4:$N$830,A88,未払予定一覧!$A$4:$A$830,"モーテル",未払予定一覧!$B$4:$B$830,"カード枠回復")</f>
        <v>0</v>
      </c>
      <c r="G88" s="122">
        <f t="shared" si="8"/>
        <v>12981290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SUMIFS(入金入力!$E$4:$E$580,入金入力!$B$4:$B$580,A89,入金入力!$A$4:$A$580,"モーテル")+SUMIFS(入金予測!$E$4:$E$603,入金予測!$A$4:$A$603,A89,入金予測!$B$4:$B$603,"モーテル")</f>
        <v>0</v>
      </c>
      <c r="C89" s="20">
        <f>SUMIFS(未払予定一覧!$O$4:$O$830,未払予定一覧!$N$4:$N$830,A89,未払予定一覧!$A$4:$A$830,"モーテル",未払予定一覧!$B$4:$B$830,"未払繰越")+SUMIFS(未払予定一覧!$O$4:$O$830,未払予定一覧!$N$4:$N$830,A89,未払予定一覧!$A$4:$A$830,"モーテル",未払予定一覧!$B$4:$B$830,"月次予定")</f>
        <v>0</v>
      </c>
      <c r="D89" s="20">
        <f t="shared" si="6"/>
        <v>0</v>
      </c>
      <c r="E89" s="20">
        <f t="shared" si="7"/>
        <v>12981290</v>
      </c>
      <c r="F89" s="21">
        <f>SUMIFS(未払予定一覧!$O$4:$O$830,未払予定一覧!$N$4:$N$830,A89,未払予定一覧!$A$4:$A$830,"モーテル",未払予定一覧!$B$4:$B$830,"カード枠回復")</f>
        <v>0</v>
      </c>
      <c r="G89" s="122">
        <f t="shared" si="8"/>
        <v>12981290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SUMIFS(入金入力!$E$4:$E$580,入金入力!$B$4:$B$580,A90,入金入力!$A$4:$A$580,"モーテル")+SUMIFS(入金予測!$E$4:$E$603,入金予測!$A$4:$A$603,A90,入金予測!$B$4:$B$603,"モーテル")</f>
        <v>0</v>
      </c>
      <c r="C90" s="20">
        <f>SUMIFS(未払予定一覧!$O$4:$O$830,未払予定一覧!$N$4:$N$830,A90,未払予定一覧!$A$4:$A$830,"モーテル",未払予定一覧!$B$4:$B$830,"未払繰越")+SUMIFS(未払予定一覧!$O$4:$O$830,未払予定一覧!$N$4:$N$830,A90,未払予定一覧!$A$4:$A$830,"モーテル",未払予定一覧!$B$4:$B$830,"月次予定")</f>
        <v>0</v>
      </c>
      <c r="D90" s="20">
        <f t="shared" si="6"/>
        <v>0</v>
      </c>
      <c r="E90" s="20">
        <f t="shared" si="7"/>
        <v>12981290</v>
      </c>
      <c r="F90" s="21">
        <f>SUMIFS(未払予定一覧!$O$4:$O$830,未払予定一覧!$N$4:$N$830,A90,未払予定一覧!$A$4:$A$830,"モーテル",未払予定一覧!$B$4:$B$830,"カード枠回復")</f>
        <v>0</v>
      </c>
      <c r="G90" s="122">
        <f t="shared" si="8"/>
        <v>12981290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SUMIFS(入金入力!$E$4:$E$580,入金入力!$B$4:$B$580,A91,入金入力!$A$4:$A$580,"モーテル")+SUMIFS(入金予測!$E$4:$E$603,入金予測!$A$4:$A$603,A91,入金予測!$B$4:$B$603,"モーテル")</f>
        <v>0</v>
      </c>
      <c r="C91" s="20">
        <f>SUMIFS(未払予定一覧!$O$4:$O$830,未払予定一覧!$N$4:$N$830,A91,未払予定一覧!$A$4:$A$830,"モーテル",未払予定一覧!$B$4:$B$830,"未払繰越")+SUMIFS(未払予定一覧!$O$4:$O$830,未払予定一覧!$N$4:$N$830,A91,未払予定一覧!$A$4:$A$830,"モーテル",未払予定一覧!$B$4:$B$830,"月次予定")</f>
        <v>0</v>
      </c>
      <c r="D91" s="20">
        <f t="shared" si="6"/>
        <v>0</v>
      </c>
      <c r="E91" s="20">
        <f t="shared" si="7"/>
        <v>12981290</v>
      </c>
      <c r="F91" s="21">
        <f>SUMIFS(未払予定一覧!$O$4:$O$830,未払予定一覧!$N$4:$N$830,A91,未払予定一覧!$A$4:$A$830,"モーテル",未払予定一覧!$B$4:$B$830,"カード枠回復")</f>
        <v>0</v>
      </c>
      <c r="G91" s="122">
        <f t="shared" si="8"/>
        <v>12981290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SUMIFS(入金入力!$E$4:$E$580,入金入力!$B$4:$B$580,A92,入金入力!$A$4:$A$580,"モーテル")+SUMIFS(入金予測!$E$4:$E$603,入金予測!$A$4:$A$603,A92,入金予測!$B$4:$B$603,"モーテル")</f>
        <v>704006.25</v>
      </c>
      <c r="C92" s="20">
        <f>SUMIFS(未払予定一覧!$O$4:$O$830,未払予定一覧!$N$4:$N$830,A92,未払予定一覧!$A$4:$A$830,"モーテル",未払予定一覧!$B$4:$B$830,"未払繰越")+SUMIFS(未払予定一覧!$O$4:$O$830,未払予定一覧!$N$4:$N$830,A92,未払予定一覧!$A$4:$A$830,"モーテル",未払予定一覧!$B$4:$B$830,"月次予定")</f>
        <v>0</v>
      </c>
      <c r="D92" s="20">
        <f t="shared" si="6"/>
        <v>704006.25</v>
      </c>
      <c r="E92" s="20">
        <f t="shared" si="7"/>
        <v>13685296.25</v>
      </c>
      <c r="F92" s="21">
        <f>SUMIFS(未払予定一覧!$O$4:$O$830,未払予定一覧!$N$4:$N$830,A92,未払予定一覧!$A$4:$A$830,"モーテル",未払予定一覧!$B$4:$B$830,"カード枠回復")</f>
        <v>0</v>
      </c>
      <c r="G92" s="122">
        <f t="shared" si="8"/>
        <v>13685296.25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SUMIFS(入金入力!$E$4:$E$580,入金入力!$B$4:$B$580,A93,入金入力!$A$4:$A$580,"モーテル")+SUMIFS(入金予測!$E$4:$E$603,入金予測!$A$4:$A$603,A93,入金予測!$B$4:$B$603,"モーテル")</f>
        <v>0</v>
      </c>
      <c r="C93" s="20">
        <f>SUMIFS(未払予定一覧!$O$4:$O$830,未払予定一覧!$N$4:$N$830,A93,未払予定一覧!$A$4:$A$830,"モーテル",未払予定一覧!$B$4:$B$830,"未払繰越")+SUMIFS(未払予定一覧!$O$4:$O$830,未払予定一覧!$N$4:$N$830,A93,未払予定一覧!$A$4:$A$830,"モーテル",未払予定一覧!$B$4:$B$830,"月次予定")</f>
        <v>0</v>
      </c>
      <c r="D93" s="20">
        <f t="shared" si="6"/>
        <v>0</v>
      </c>
      <c r="E93" s="20">
        <f t="shared" si="7"/>
        <v>13685296.25</v>
      </c>
      <c r="F93" s="21">
        <f>SUMIFS(未払予定一覧!$O$4:$O$830,未払予定一覧!$N$4:$N$830,A93,未払予定一覧!$A$4:$A$830,"モーテル",未払予定一覧!$B$4:$B$830,"カード枠回復")</f>
        <v>0</v>
      </c>
      <c r="G93" s="122">
        <f t="shared" si="8"/>
        <v>13685296.25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SUMIFS(入金入力!$E$4:$E$580,入金入力!$B$4:$B$580,A94,入金入力!$A$4:$A$580,"モーテル")+SUMIFS(入金予測!$E$4:$E$603,入金予測!$A$4:$A$603,A94,入金予測!$B$4:$B$603,"モーテル")</f>
        <v>0</v>
      </c>
      <c r="C94" s="20">
        <f>SUMIFS(未払予定一覧!$O$4:$O$830,未払予定一覧!$N$4:$N$830,A94,未払予定一覧!$A$4:$A$830,"モーテル",未払予定一覧!$B$4:$B$830,"未払繰越")+SUMIFS(未払予定一覧!$O$4:$O$830,未払予定一覧!$N$4:$N$830,A94,未払予定一覧!$A$4:$A$830,"モーテル",未払予定一覧!$B$4:$B$830,"月次予定")</f>
        <v>0</v>
      </c>
      <c r="D94" s="20">
        <f t="shared" si="6"/>
        <v>0</v>
      </c>
      <c r="E94" s="20">
        <f t="shared" si="7"/>
        <v>13685296.25</v>
      </c>
      <c r="F94" s="21">
        <f>SUMIFS(未払予定一覧!$O$4:$O$830,未払予定一覧!$N$4:$N$830,A94,未払予定一覧!$A$4:$A$830,"モーテル",未払予定一覧!$B$4:$B$830,"カード枠回復")</f>
        <v>0</v>
      </c>
      <c r="G94" s="122">
        <f t="shared" si="8"/>
        <v>13685296.25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SUMIFS(入金入力!$E$4:$E$580,入金入力!$B$4:$B$580,A95,入金入力!$A$4:$A$580,"モーテル")+SUMIFS(入金予測!$E$4:$E$603,入金予測!$A$4:$A$603,A95,入金予測!$B$4:$B$603,"モーテル")</f>
        <v>0</v>
      </c>
      <c r="C95" s="20">
        <f>SUMIFS(未払予定一覧!$O$4:$O$830,未払予定一覧!$N$4:$N$830,A95,未払予定一覧!$A$4:$A$830,"モーテル",未払予定一覧!$B$4:$B$830,"未払繰越")+SUMIFS(未払予定一覧!$O$4:$O$830,未払予定一覧!$N$4:$N$830,A95,未払予定一覧!$A$4:$A$830,"モーテル",未払予定一覧!$B$4:$B$830,"月次予定")</f>
        <v>0</v>
      </c>
      <c r="D95" s="20">
        <f t="shared" si="6"/>
        <v>0</v>
      </c>
      <c r="E95" s="20">
        <f t="shared" si="7"/>
        <v>13685296.25</v>
      </c>
      <c r="F95" s="21">
        <f>SUMIFS(未払予定一覧!$O$4:$O$830,未払予定一覧!$N$4:$N$830,A95,未払予定一覧!$A$4:$A$830,"モーテル",未払予定一覧!$B$4:$B$830,"カード枠回復")</f>
        <v>0</v>
      </c>
      <c r="G95" s="122">
        <f t="shared" si="8"/>
        <v>13685296.25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SUMIFS(入金入力!$E$4:$E$580,入金入力!$B$4:$B$580,A96,入金入力!$A$4:$A$580,"モーテル")+SUMIFS(入金予測!$E$4:$E$603,入金予測!$A$4:$A$603,A96,入金予測!$B$4:$B$603,"モーテル")</f>
        <v>0</v>
      </c>
      <c r="C96" s="20">
        <f>SUMIFS(未払予定一覧!$O$4:$O$830,未払予定一覧!$N$4:$N$830,A96,未払予定一覧!$A$4:$A$830,"モーテル",未払予定一覧!$B$4:$B$830,"未払繰越")+SUMIFS(未払予定一覧!$O$4:$O$830,未払予定一覧!$N$4:$N$830,A96,未払予定一覧!$A$4:$A$830,"モーテル",未払予定一覧!$B$4:$B$830,"月次予定")</f>
        <v>0</v>
      </c>
      <c r="D96" s="20">
        <f t="shared" si="6"/>
        <v>0</v>
      </c>
      <c r="E96" s="20">
        <f t="shared" si="7"/>
        <v>13685296.25</v>
      </c>
      <c r="F96" s="21">
        <f>SUMIFS(未払予定一覧!$O$4:$O$830,未払予定一覧!$N$4:$N$830,A96,未払予定一覧!$A$4:$A$830,"モーテル",未払予定一覧!$B$4:$B$830,"カード枠回復")</f>
        <v>0</v>
      </c>
      <c r="G96" s="122">
        <f t="shared" si="8"/>
        <v>13685296.25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SUMIFS(入金入力!$E$4:$E$580,入金入力!$B$4:$B$580,A97,入金入力!$A$4:$A$580,"モーテル")+SUMIFS(入金予測!$E$4:$E$603,入金予測!$A$4:$A$603,A97,入金予測!$B$4:$B$603,"モーテル")</f>
        <v>570758.19999999995</v>
      </c>
      <c r="C97" s="20">
        <f>SUMIFS(未払予定一覧!$O$4:$O$830,未払予定一覧!$N$4:$N$830,A97,未払予定一覧!$A$4:$A$830,"モーテル",未払予定一覧!$B$4:$B$830,"未払繰越")+SUMIFS(未払予定一覧!$O$4:$O$830,未払予定一覧!$N$4:$N$830,A97,未払予定一覧!$A$4:$A$830,"モーテル",未払予定一覧!$B$4:$B$830,"月次予定")</f>
        <v>185173</v>
      </c>
      <c r="D97" s="20">
        <f t="shared" si="6"/>
        <v>385585.19999999995</v>
      </c>
      <c r="E97" s="20">
        <f t="shared" si="7"/>
        <v>14070881.449999999</v>
      </c>
      <c r="F97" s="21">
        <f>SUMIFS(未払予定一覧!$O$4:$O$830,未払予定一覧!$N$4:$N$830,A97,未払予定一覧!$A$4:$A$830,"モーテル",未払予定一覧!$B$4:$B$830,"カード枠回復")</f>
        <v>0</v>
      </c>
      <c r="G97" s="122">
        <f t="shared" si="8"/>
        <v>14070881.449999999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SUMIFS(入金入力!$E$4:$E$580,入金入力!$B$4:$B$580,A98,入金入力!$A$4:$A$580,"モーテル")+SUMIFS(入金予測!$E$4:$E$603,入金予測!$A$4:$A$603,A98,入金予測!$B$4:$B$603,"モーテル")</f>
        <v>0</v>
      </c>
      <c r="C98" s="20">
        <f>SUMIFS(未払予定一覧!$O$4:$O$830,未払予定一覧!$N$4:$N$830,A98,未払予定一覧!$A$4:$A$830,"モーテル",未払予定一覧!$B$4:$B$830,"未払繰越")+SUMIFS(未払予定一覧!$O$4:$O$830,未払予定一覧!$N$4:$N$830,A98,未払予定一覧!$A$4:$A$830,"モーテル",未払予定一覧!$B$4:$B$830,"月次予定")</f>
        <v>0</v>
      </c>
      <c r="D98" s="20">
        <f t="shared" si="6"/>
        <v>0</v>
      </c>
      <c r="E98" s="20">
        <f t="shared" si="7"/>
        <v>14070881.449999999</v>
      </c>
      <c r="F98" s="21">
        <f>SUMIFS(未払予定一覧!$O$4:$O$830,未払予定一覧!$N$4:$N$830,A98,未払予定一覧!$A$4:$A$830,"モーテル",未払予定一覧!$B$4:$B$830,"カード枠回復")</f>
        <v>0</v>
      </c>
      <c r="G98" s="122">
        <f t="shared" si="8"/>
        <v>14070881.449999999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SUMIFS(入金入力!$E$4:$E$580,入金入力!$B$4:$B$580,A99,入金入力!$A$4:$A$580,"モーテル")+SUMIFS(入金予測!$E$4:$E$603,入金予測!$A$4:$A$603,A99,入金予測!$B$4:$B$603,"モーテル")</f>
        <v>0</v>
      </c>
      <c r="C99" s="20">
        <f>SUMIFS(未払予定一覧!$O$4:$O$830,未払予定一覧!$N$4:$N$830,A99,未払予定一覧!$A$4:$A$830,"モーテル",未払予定一覧!$B$4:$B$830,"未払繰越")+SUMIFS(未払予定一覧!$O$4:$O$830,未払予定一覧!$N$4:$N$830,A99,未払予定一覧!$A$4:$A$830,"モーテル",未払予定一覧!$B$4:$B$830,"月次予定")</f>
        <v>0</v>
      </c>
      <c r="D99" s="20">
        <f t="shared" si="6"/>
        <v>0</v>
      </c>
      <c r="E99" s="20">
        <f t="shared" si="7"/>
        <v>14070881.449999999</v>
      </c>
      <c r="F99" s="21">
        <f>SUMIFS(未払予定一覧!$O$4:$O$830,未払予定一覧!$N$4:$N$830,A99,未払予定一覧!$A$4:$A$830,"モーテル",未払予定一覧!$B$4:$B$830,"カード枠回復")</f>
        <v>0</v>
      </c>
      <c r="G99" s="122">
        <f t="shared" si="8"/>
        <v>14070881.449999999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SUMIFS(入金入力!$E$4:$E$580,入金入力!$B$4:$B$580,A100,入金入力!$A$4:$A$580,"モーテル")+SUMIFS(入金予測!$E$4:$E$603,入金予測!$A$4:$A$603,A100,入金予測!$B$4:$B$603,"モーテル")</f>
        <v>0</v>
      </c>
      <c r="C100" s="20">
        <f>SUMIFS(未払予定一覧!$O$4:$O$830,未払予定一覧!$N$4:$N$830,A100,未払予定一覧!$A$4:$A$830,"モーテル",未払予定一覧!$B$4:$B$830,"未払繰越")+SUMIFS(未払予定一覧!$O$4:$O$830,未払予定一覧!$N$4:$N$830,A100,未払予定一覧!$A$4:$A$830,"モーテル",未払予定一覧!$B$4:$B$830,"月次予定")</f>
        <v>0</v>
      </c>
      <c r="D100" s="20">
        <f t="shared" si="6"/>
        <v>0</v>
      </c>
      <c r="E100" s="20">
        <f t="shared" si="7"/>
        <v>14070881.449999999</v>
      </c>
      <c r="F100" s="21">
        <f>SUMIFS(未払予定一覧!$O$4:$O$830,未払予定一覧!$N$4:$N$830,A100,未払予定一覧!$A$4:$A$830,"モーテル",未払予定一覧!$B$4:$B$830,"カード枠回復")</f>
        <v>0</v>
      </c>
      <c r="G100" s="122">
        <f t="shared" si="8"/>
        <v>14070881.449999999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SUMIFS(入金入力!$E$4:$E$580,入金入力!$B$4:$B$580,A101,入金入力!$A$4:$A$580,"モーテル")+SUMIFS(入金予測!$E$4:$E$603,入金予測!$A$4:$A$603,A101,入金予測!$B$4:$B$603,"モーテル")</f>
        <v>0</v>
      </c>
      <c r="C101" s="20">
        <f>SUMIFS(未払予定一覧!$O$4:$O$830,未払予定一覧!$N$4:$N$830,A101,未払予定一覧!$A$4:$A$830,"モーテル",未払予定一覧!$B$4:$B$830,"未払繰越")+SUMIFS(未払予定一覧!$O$4:$O$830,未払予定一覧!$N$4:$N$830,A101,未払予定一覧!$A$4:$A$830,"モーテル",未払予定一覧!$B$4:$B$830,"月次予定")</f>
        <v>0</v>
      </c>
      <c r="D101" s="20">
        <f t="shared" si="6"/>
        <v>0</v>
      </c>
      <c r="E101" s="20">
        <f t="shared" si="7"/>
        <v>14070881.449999999</v>
      </c>
      <c r="F101" s="21">
        <f>SUMIFS(未払予定一覧!$O$4:$O$830,未払予定一覧!$N$4:$N$830,A101,未払予定一覧!$A$4:$A$830,"モーテル",未払予定一覧!$B$4:$B$830,"カード枠回復")</f>
        <v>0</v>
      </c>
      <c r="G101" s="122">
        <f t="shared" si="8"/>
        <v>14070881.449999999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SUMIFS(入金入力!$E$4:$E$580,入金入力!$B$4:$B$580,A102,入金入力!$A$4:$A$580,"モーテル")+SUMIFS(入金予測!$E$4:$E$603,入金予測!$A$4:$A$603,A102,入金予測!$B$4:$B$603,"モーテル")</f>
        <v>0</v>
      </c>
      <c r="C102" s="20">
        <f>SUMIFS(未払予定一覧!$O$4:$O$830,未払予定一覧!$N$4:$N$830,A102,未払予定一覧!$A$4:$A$830,"モーテル",未払予定一覧!$B$4:$B$830,"未払繰越")+SUMIFS(未払予定一覧!$O$4:$O$830,未払予定一覧!$N$4:$N$830,A102,未払予定一覧!$A$4:$A$830,"モーテル",未払予定一覧!$B$4:$B$830,"月次予定")</f>
        <v>0</v>
      </c>
      <c r="D102" s="20">
        <f t="shared" si="6"/>
        <v>0</v>
      </c>
      <c r="E102" s="20">
        <f t="shared" si="7"/>
        <v>14070881.449999999</v>
      </c>
      <c r="F102" s="21">
        <f>SUMIFS(未払予定一覧!$O$4:$O$830,未払予定一覧!$N$4:$N$830,A102,未払予定一覧!$A$4:$A$830,"モーテル",未払予定一覧!$B$4:$B$830,"カード枠回復")</f>
        <v>0</v>
      </c>
      <c r="G102" s="122">
        <f t="shared" si="8"/>
        <v>14070881.449999999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SUMIFS(入金入力!$E$4:$E$580,入金入力!$B$4:$B$580,A103,入金入力!$A$4:$A$580,"モーテル")+SUMIFS(入金予測!$E$4:$E$603,入金予測!$A$4:$A$603,A103,入金予測!$B$4:$B$603,"モーテル")</f>
        <v>0</v>
      </c>
      <c r="C103" s="20">
        <f>SUMIFS(未払予定一覧!$O$4:$O$830,未払予定一覧!$N$4:$N$830,A103,未払予定一覧!$A$4:$A$830,"モーテル",未払予定一覧!$B$4:$B$830,"未払繰越")+SUMIFS(未払予定一覧!$O$4:$O$830,未払予定一覧!$N$4:$N$830,A103,未払予定一覧!$A$4:$A$830,"モーテル",未払予定一覧!$B$4:$B$830,"月次予定")</f>
        <v>0</v>
      </c>
      <c r="D103" s="20">
        <f t="shared" si="6"/>
        <v>0</v>
      </c>
      <c r="E103" s="20">
        <f t="shared" si="7"/>
        <v>14070881.449999999</v>
      </c>
      <c r="F103" s="21">
        <f>SUMIFS(未払予定一覧!$O$4:$O$830,未払予定一覧!$N$4:$N$830,A103,未払予定一覧!$A$4:$A$830,"モーテル",未払予定一覧!$B$4:$B$830,"カード枠回復")</f>
        <v>0</v>
      </c>
      <c r="G103" s="122">
        <f t="shared" si="8"/>
        <v>14070881.449999999</v>
      </c>
      <c r="H103" s="123"/>
    </row>
    <row r="104" spans="1:8" ht="15" customHeight="1">
      <c r="A104" s="23" t="s">
        <v>695</v>
      </c>
      <c r="B104" s="24">
        <f>SUM(B73:B103)</f>
        <v>3640307.95</v>
      </c>
      <c r="C104" s="24">
        <f>SUM(C73:C103)</f>
        <v>185173</v>
      </c>
      <c r="D104" s="24">
        <f t="shared" si="6"/>
        <v>3455134.95</v>
      </c>
      <c r="E104" s="24">
        <f>E103</f>
        <v>14070881.449999999</v>
      </c>
      <c r="F104" s="24">
        <f>SUM(F73:F103)</f>
        <v>0</v>
      </c>
      <c r="G104" s="24">
        <f>G103</f>
        <v>14070881.449999999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SUMIFS(入金入力!$E$4:$E$580,入金入力!$B$4:$B$580,A107,入金入力!$A$4:$A$580,"モーテル")+SUMIFS(入金予測!$E$4:$E$603,入金予測!$A$4:$A$603,A107,入金予測!$B$4:$B$603,"モーテル")</f>
        <v>0</v>
      </c>
      <c r="C107" s="20">
        <f>SUMIFS(未払予定一覧!$O$4:$O$830,未払予定一覧!$N$4:$N$830,A107,未払予定一覧!$A$4:$A$830,"モーテル",未払予定一覧!$B$4:$B$830,"未払繰越")+SUMIFS(未払予定一覧!$O$4:$O$830,未払予定一覧!$N$4:$N$830,A107,未払予定一覧!$A$4:$A$830,"モーテル",未払予定一覧!$B$4:$B$830,"月次予定")</f>
        <v>0</v>
      </c>
      <c r="D107" s="20">
        <f t="shared" ref="D107:D138" si="9">B107-C107-F107</f>
        <v>0</v>
      </c>
      <c r="E107" s="20">
        <f>E104+D107</f>
        <v>14070881.449999999</v>
      </c>
      <c r="F107" s="21">
        <f>SUMIFS(未払予定一覧!$O$4:$O$830,未払予定一覧!$N$4:$N$830,A107,未払予定一覧!$A$4:$A$830,"モーテル",未払予定一覧!$B$4:$B$830,"カード枠回復")</f>
        <v>0</v>
      </c>
      <c r="G107" s="122">
        <f>G104+D107+F107</f>
        <v>14070881.449999999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SUMIFS(入金入力!$E$4:$E$580,入金入力!$B$4:$B$580,A108,入金入力!$A$4:$A$580,"モーテル")+SUMIFS(入金予測!$E$4:$E$603,入金予測!$A$4:$A$603,A108,入金予測!$B$4:$B$603,"モーテル")</f>
        <v>0</v>
      </c>
      <c r="C108" s="20">
        <f>SUMIFS(未払予定一覧!$O$4:$O$830,未払予定一覧!$N$4:$N$830,A108,未払予定一覧!$A$4:$A$830,"モーテル",未払予定一覧!$B$4:$B$830,"未払繰越")+SUMIFS(未払予定一覧!$O$4:$O$830,未払予定一覧!$N$4:$N$830,A108,未払予定一覧!$A$4:$A$830,"モーテル",未払予定一覧!$B$4:$B$830,"月次予定")</f>
        <v>0</v>
      </c>
      <c r="D108" s="20">
        <f t="shared" si="9"/>
        <v>0</v>
      </c>
      <c r="E108" s="20">
        <f t="shared" ref="E108:E137" si="10">E107+D108</f>
        <v>14070881.449999999</v>
      </c>
      <c r="F108" s="21">
        <f>SUMIFS(未払予定一覧!$O$4:$O$830,未払予定一覧!$N$4:$N$830,A108,未払予定一覧!$A$4:$A$830,"モーテル",未払予定一覧!$B$4:$B$830,"カード枠回復")</f>
        <v>0</v>
      </c>
      <c r="G108" s="122">
        <f t="shared" ref="G108:G137" si="11">G107+D108+F108</f>
        <v>14070881.449999999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SUMIFS(入金入力!$E$4:$E$580,入金入力!$B$4:$B$580,A109,入金入力!$A$4:$A$580,"モーテル")+SUMIFS(入金予測!$E$4:$E$603,入金予測!$A$4:$A$603,A109,入金予測!$B$4:$B$603,"モーテル")</f>
        <v>0</v>
      </c>
      <c r="C109" s="20">
        <f>SUMIFS(未払予定一覧!$O$4:$O$830,未払予定一覧!$N$4:$N$830,A109,未払予定一覧!$A$4:$A$830,"モーテル",未払予定一覧!$B$4:$B$830,"未払繰越")+SUMIFS(未払予定一覧!$O$4:$O$830,未払予定一覧!$N$4:$N$830,A109,未払予定一覧!$A$4:$A$830,"モーテル",未払予定一覧!$B$4:$B$830,"月次予定")</f>
        <v>0</v>
      </c>
      <c r="D109" s="20">
        <f t="shared" si="9"/>
        <v>0</v>
      </c>
      <c r="E109" s="20">
        <f t="shared" si="10"/>
        <v>14070881.449999999</v>
      </c>
      <c r="F109" s="21">
        <f>SUMIFS(未払予定一覧!$O$4:$O$830,未払予定一覧!$N$4:$N$830,A109,未払予定一覧!$A$4:$A$830,"モーテル",未払予定一覧!$B$4:$B$830,"カード枠回復")</f>
        <v>0</v>
      </c>
      <c r="G109" s="122">
        <f t="shared" si="11"/>
        <v>14070881.449999999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SUMIFS(入金入力!$E$4:$E$580,入金入力!$B$4:$B$580,A110,入金入力!$A$4:$A$580,"モーテル")+SUMIFS(入金予測!$E$4:$E$603,入金予測!$A$4:$A$603,A110,入金予測!$B$4:$B$603,"モーテル")</f>
        <v>0</v>
      </c>
      <c r="C110" s="20">
        <f>SUMIFS(未払予定一覧!$O$4:$O$830,未払予定一覧!$N$4:$N$830,A110,未払予定一覧!$A$4:$A$830,"モーテル",未払予定一覧!$B$4:$B$830,"未払繰越")+SUMIFS(未払予定一覧!$O$4:$O$830,未払予定一覧!$N$4:$N$830,A110,未払予定一覧!$A$4:$A$830,"モーテル",未払予定一覧!$B$4:$B$830,"月次予定")</f>
        <v>0</v>
      </c>
      <c r="D110" s="20">
        <f t="shared" si="9"/>
        <v>0</v>
      </c>
      <c r="E110" s="20">
        <f t="shared" si="10"/>
        <v>14070881.449999999</v>
      </c>
      <c r="F110" s="21">
        <f>SUMIFS(未払予定一覧!$O$4:$O$830,未払予定一覧!$N$4:$N$830,A110,未払予定一覧!$A$4:$A$830,"モーテル",未払予定一覧!$B$4:$B$830,"カード枠回復")</f>
        <v>0</v>
      </c>
      <c r="G110" s="122">
        <f t="shared" si="11"/>
        <v>14070881.449999999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SUMIFS(入金入力!$E$4:$E$580,入金入力!$B$4:$B$580,A111,入金入力!$A$4:$A$580,"モーテル")+SUMIFS(入金予測!$E$4:$E$603,入金予測!$A$4:$A$603,A111,入金予測!$B$4:$B$603,"モーテル")</f>
        <v>0</v>
      </c>
      <c r="C111" s="20">
        <f>SUMIFS(未払予定一覧!$O$4:$O$830,未払予定一覧!$N$4:$N$830,A111,未払予定一覧!$A$4:$A$830,"モーテル",未払予定一覧!$B$4:$B$830,"未払繰越")+SUMIFS(未払予定一覧!$O$4:$O$830,未払予定一覧!$N$4:$N$830,A111,未払予定一覧!$A$4:$A$830,"モーテル",未払予定一覧!$B$4:$B$830,"月次予定")</f>
        <v>0</v>
      </c>
      <c r="D111" s="20">
        <f t="shared" si="9"/>
        <v>0</v>
      </c>
      <c r="E111" s="20">
        <f t="shared" si="10"/>
        <v>14070881.449999999</v>
      </c>
      <c r="F111" s="21">
        <f>SUMIFS(未払予定一覧!$O$4:$O$830,未払予定一覧!$N$4:$N$830,A111,未払予定一覧!$A$4:$A$830,"モーテル",未払予定一覧!$B$4:$B$830,"カード枠回復")</f>
        <v>0</v>
      </c>
      <c r="G111" s="122">
        <f t="shared" si="11"/>
        <v>14070881.449999999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SUMIFS(入金入力!$E$4:$E$580,入金入力!$B$4:$B$580,A112,入金入力!$A$4:$A$580,"モーテル")+SUMIFS(入金予測!$E$4:$E$603,入金予測!$A$4:$A$603,A112,入金予測!$B$4:$B$603,"モーテル")</f>
        <v>0</v>
      </c>
      <c r="C112" s="20">
        <f>SUMIFS(未払予定一覧!$O$4:$O$830,未払予定一覧!$N$4:$N$830,A112,未払予定一覧!$A$4:$A$830,"モーテル",未払予定一覧!$B$4:$B$830,"未払繰越")+SUMIFS(未払予定一覧!$O$4:$O$830,未払予定一覧!$N$4:$N$830,A112,未払予定一覧!$A$4:$A$830,"モーテル",未払予定一覧!$B$4:$B$830,"月次予定")</f>
        <v>0</v>
      </c>
      <c r="D112" s="20">
        <f t="shared" si="9"/>
        <v>0</v>
      </c>
      <c r="E112" s="20">
        <f t="shared" si="10"/>
        <v>14070881.449999999</v>
      </c>
      <c r="F112" s="21">
        <f>SUMIFS(未払予定一覧!$O$4:$O$830,未払予定一覧!$N$4:$N$830,A112,未払予定一覧!$A$4:$A$830,"モーテル",未払予定一覧!$B$4:$B$830,"カード枠回復")</f>
        <v>0</v>
      </c>
      <c r="G112" s="122">
        <f t="shared" si="11"/>
        <v>14070881.449999999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SUMIFS(入金入力!$E$4:$E$580,入金入力!$B$4:$B$580,A113,入金入力!$A$4:$A$580,"モーテル")+SUMIFS(入金予測!$E$4:$E$603,入金予測!$A$4:$A$603,A113,入金予測!$B$4:$B$603,"モーテル")</f>
        <v>0</v>
      </c>
      <c r="C113" s="20">
        <f>SUMIFS(未払予定一覧!$O$4:$O$830,未払予定一覧!$N$4:$N$830,A113,未払予定一覧!$A$4:$A$830,"モーテル",未払予定一覧!$B$4:$B$830,"未払繰越")+SUMIFS(未払予定一覧!$O$4:$O$830,未払予定一覧!$N$4:$N$830,A113,未払予定一覧!$A$4:$A$830,"モーテル",未払予定一覧!$B$4:$B$830,"月次予定")</f>
        <v>0</v>
      </c>
      <c r="D113" s="20">
        <f t="shared" si="9"/>
        <v>0</v>
      </c>
      <c r="E113" s="20">
        <f t="shared" si="10"/>
        <v>14070881.449999999</v>
      </c>
      <c r="F113" s="21">
        <f>SUMIFS(未払予定一覧!$O$4:$O$830,未払予定一覧!$N$4:$N$830,A113,未払予定一覧!$A$4:$A$830,"モーテル",未払予定一覧!$B$4:$B$830,"カード枠回復")</f>
        <v>0</v>
      </c>
      <c r="G113" s="122">
        <f t="shared" si="11"/>
        <v>14070881.449999999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SUMIFS(入金入力!$E$4:$E$580,入金入力!$B$4:$B$580,A114,入金入力!$A$4:$A$580,"モーテル")+SUMIFS(入金予測!$E$4:$E$603,入金予測!$A$4:$A$603,A114,入金予測!$B$4:$B$603,"モーテル")</f>
        <v>0</v>
      </c>
      <c r="C114" s="20">
        <f>SUMIFS(未払予定一覧!$O$4:$O$830,未払予定一覧!$N$4:$N$830,A114,未払予定一覧!$A$4:$A$830,"モーテル",未払予定一覧!$B$4:$B$830,"未払繰越")+SUMIFS(未払予定一覧!$O$4:$O$830,未払予定一覧!$N$4:$N$830,A114,未払予定一覧!$A$4:$A$830,"モーテル",未払予定一覧!$B$4:$B$830,"月次予定")</f>
        <v>0</v>
      </c>
      <c r="D114" s="20">
        <f t="shared" si="9"/>
        <v>0</v>
      </c>
      <c r="E114" s="20">
        <f t="shared" si="10"/>
        <v>14070881.449999999</v>
      </c>
      <c r="F114" s="21">
        <f>SUMIFS(未払予定一覧!$O$4:$O$830,未払予定一覧!$N$4:$N$830,A114,未払予定一覧!$A$4:$A$830,"モーテル",未払予定一覧!$B$4:$B$830,"カード枠回復")</f>
        <v>0</v>
      </c>
      <c r="G114" s="122">
        <f t="shared" si="11"/>
        <v>14070881.449999999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SUMIFS(入金入力!$E$4:$E$580,入金入力!$B$4:$B$580,A115,入金入力!$A$4:$A$580,"モーテル")+SUMIFS(入金予測!$E$4:$E$603,入金予測!$A$4:$A$603,A115,入金予測!$B$4:$B$603,"モーテル")</f>
        <v>0</v>
      </c>
      <c r="C115" s="20">
        <f>SUMIFS(未払予定一覧!$O$4:$O$830,未払予定一覧!$N$4:$N$830,A115,未払予定一覧!$A$4:$A$830,"モーテル",未払予定一覧!$B$4:$B$830,"未払繰越")+SUMIFS(未払予定一覧!$O$4:$O$830,未払予定一覧!$N$4:$N$830,A115,未払予定一覧!$A$4:$A$830,"モーテル",未払予定一覧!$B$4:$B$830,"月次予定")</f>
        <v>0</v>
      </c>
      <c r="D115" s="20">
        <f t="shared" si="9"/>
        <v>0</v>
      </c>
      <c r="E115" s="20">
        <f t="shared" si="10"/>
        <v>14070881.449999999</v>
      </c>
      <c r="F115" s="21">
        <f>SUMIFS(未払予定一覧!$O$4:$O$830,未払予定一覧!$N$4:$N$830,A115,未払予定一覧!$A$4:$A$830,"モーテル",未払予定一覧!$B$4:$B$830,"カード枠回復")</f>
        <v>0</v>
      </c>
      <c r="G115" s="122">
        <f t="shared" si="11"/>
        <v>14070881.449999999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SUMIFS(入金入力!$E$4:$E$580,入金入力!$B$4:$B$580,A116,入金入力!$A$4:$A$580,"モーテル")+SUMIFS(入金予測!$E$4:$E$603,入金予測!$A$4:$A$603,A116,入金予測!$B$4:$B$603,"モーテル")</f>
        <v>3520031.25</v>
      </c>
      <c r="C116" s="20">
        <f>SUMIFS(未払予定一覧!$O$4:$O$830,未払予定一覧!$N$4:$N$830,A116,未払予定一覧!$A$4:$A$830,"モーテル",未払予定一覧!$B$4:$B$830,"未払繰越")+SUMIFS(未払予定一覧!$O$4:$O$830,未払予定一覧!$N$4:$N$830,A116,未払予定一覧!$A$4:$A$830,"モーテル",未払予定一覧!$B$4:$B$830,"月次予定")</f>
        <v>0</v>
      </c>
      <c r="D116" s="20">
        <f t="shared" si="9"/>
        <v>3520031.25</v>
      </c>
      <c r="E116" s="20">
        <f t="shared" si="10"/>
        <v>17590912.699999999</v>
      </c>
      <c r="F116" s="21">
        <f>SUMIFS(未払予定一覧!$O$4:$O$830,未払予定一覧!$N$4:$N$830,A116,未払予定一覧!$A$4:$A$830,"モーテル",未払予定一覧!$B$4:$B$830,"カード枠回復")</f>
        <v>0</v>
      </c>
      <c r="G116" s="122">
        <f t="shared" si="11"/>
        <v>17590912.699999999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SUMIFS(入金入力!$E$4:$E$580,入金入力!$B$4:$B$580,A117,入金入力!$A$4:$A$580,"モーテル")+SUMIFS(入金予測!$E$4:$E$603,入金予測!$A$4:$A$603,A117,入金予測!$B$4:$B$603,"モーテル")</f>
        <v>0</v>
      </c>
      <c r="C117" s="20">
        <f>SUMIFS(未払予定一覧!$O$4:$O$830,未払予定一覧!$N$4:$N$830,A117,未払予定一覧!$A$4:$A$830,"モーテル",未払予定一覧!$B$4:$B$830,"未払繰越")+SUMIFS(未払予定一覧!$O$4:$O$830,未払予定一覧!$N$4:$N$830,A117,未払予定一覧!$A$4:$A$830,"モーテル",未払予定一覧!$B$4:$B$830,"月次予定")</f>
        <v>0</v>
      </c>
      <c r="D117" s="20">
        <f t="shared" si="9"/>
        <v>0</v>
      </c>
      <c r="E117" s="20">
        <f t="shared" si="10"/>
        <v>17590912.699999999</v>
      </c>
      <c r="F117" s="21">
        <f>SUMIFS(未払予定一覧!$O$4:$O$830,未払予定一覧!$N$4:$N$830,A117,未払予定一覧!$A$4:$A$830,"モーテル",未払予定一覧!$B$4:$B$830,"カード枠回復")</f>
        <v>0</v>
      </c>
      <c r="G117" s="122">
        <f t="shared" si="11"/>
        <v>17590912.699999999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SUMIFS(入金入力!$E$4:$E$580,入金入力!$B$4:$B$580,A118,入金入力!$A$4:$A$580,"モーテル")+SUMIFS(入金予測!$E$4:$E$603,入金予測!$A$4:$A$603,A118,入金予測!$B$4:$B$603,"モーテル")</f>
        <v>0</v>
      </c>
      <c r="C118" s="20">
        <f>SUMIFS(未払予定一覧!$O$4:$O$830,未払予定一覧!$N$4:$N$830,A118,未払予定一覧!$A$4:$A$830,"モーテル",未払予定一覧!$B$4:$B$830,"未払繰越")+SUMIFS(未払予定一覧!$O$4:$O$830,未払予定一覧!$N$4:$N$830,A118,未払予定一覧!$A$4:$A$830,"モーテル",未払予定一覧!$B$4:$B$830,"月次予定")</f>
        <v>0</v>
      </c>
      <c r="D118" s="20">
        <f t="shared" si="9"/>
        <v>0</v>
      </c>
      <c r="E118" s="20">
        <f t="shared" si="10"/>
        <v>17590912.699999999</v>
      </c>
      <c r="F118" s="21">
        <f>SUMIFS(未払予定一覧!$O$4:$O$830,未払予定一覧!$N$4:$N$830,A118,未払予定一覧!$A$4:$A$830,"モーテル",未払予定一覧!$B$4:$B$830,"カード枠回復")</f>
        <v>0</v>
      </c>
      <c r="G118" s="122">
        <f t="shared" si="11"/>
        <v>17590912.699999999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SUMIFS(入金入力!$E$4:$E$580,入金入力!$B$4:$B$580,A119,入金入力!$A$4:$A$580,"モーテル")+SUMIFS(入金予測!$E$4:$E$603,入金予測!$A$4:$A$603,A119,入金予測!$B$4:$B$603,"モーテル")</f>
        <v>0</v>
      </c>
      <c r="C119" s="20">
        <f>SUMIFS(未払予定一覧!$O$4:$O$830,未払予定一覧!$N$4:$N$830,A119,未払予定一覧!$A$4:$A$830,"モーテル",未払予定一覧!$B$4:$B$830,"未払繰越")+SUMIFS(未払予定一覧!$O$4:$O$830,未払予定一覧!$N$4:$N$830,A119,未払予定一覧!$A$4:$A$830,"モーテル",未払予定一覧!$B$4:$B$830,"月次予定")</f>
        <v>0</v>
      </c>
      <c r="D119" s="20">
        <f t="shared" si="9"/>
        <v>0</v>
      </c>
      <c r="E119" s="20">
        <f t="shared" si="10"/>
        <v>17590912.699999999</v>
      </c>
      <c r="F119" s="21">
        <f>SUMIFS(未払予定一覧!$O$4:$O$830,未払予定一覧!$N$4:$N$830,A119,未払予定一覧!$A$4:$A$830,"モーテル",未払予定一覧!$B$4:$B$830,"カード枠回復")</f>
        <v>0</v>
      </c>
      <c r="G119" s="122">
        <f t="shared" si="11"/>
        <v>17590912.699999999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SUMIFS(入金入力!$E$4:$E$580,入金入力!$B$4:$B$580,A120,入金入力!$A$4:$A$580,"モーテル")+SUMIFS(入金予測!$E$4:$E$603,入金予測!$A$4:$A$603,A120,入金予測!$B$4:$B$603,"モーテル")</f>
        <v>0</v>
      </c>
      <c r="C120" s="20">
        <f>SUMIFS(未払予定一覧!$O$4:$O$830,未払予定一覧!$N$4:$N$830,A120,未払予定一覧!$A$4:$A$830,"モーテル",未払予定一覧!$B$4:$B$830,"未払繰越")+SUMIFS(未払予定一覧!$O$4:$O$830,未払予定一覧!$N$4:$N$830,A120,未払予定一覧!$A$4:$A$830,"モーテル",未払予定一覧!$B$4:$B$830,"月次予定")</f>
        <v>0</v>
      </c>
      <c r="D120" s="20">
        <f t="shared" si="9"/>
        <v>0</v>
      </c>
      <c r="E120" s="20">
        <f t="shared" si="10"/>
        <v>17590912.699999999</v>
      </c>
      <c r="F120" s="21">
        <f>SUMIFS(未払予定一覧!$O$4:$O$830,未払予定一覧!$N$4:$N$830,A120,未払予定一覧!$A$4:$A$830,"モーテル",未払予定一覧!$B$4:$B$830,"カード枠回復")</f>
        <v>0</v>
      </c>
      <c r="G120" s="122">
        <f t="shared" si="11"/>
        <v>17590912.699999999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SUMIFS(入金入力!$E$4:$E$580,入金入力!$B$4:$B$580,A121,入金入力!$A$4:$A$580,"モーテル")+SUMIFS(入金予測!$E$4:$E$603,入金予測!$A$4:$A$603,A121,入金予測!$B$4:$B$603,"モーテル")</f>
        <v>0</v>
      </c>
      <c r="C121" s="20">
        <f>SUMIFS(未払予定一覧!$O$4:$O$830,未払予定一覧!$N$4:$N$830,A121,未払予定一覧!$A$4:$A$830,"モーテル",未払予定一覧!$B$4:$B$830,"未払繰越")+SUMIFS(未払予定一覧!$O$4:$O$830,未払予定一覧!$N$4:$N$830,A121,未払予定一覧!$A$4:$A$830,"モーテル",未払予定一覧!$B$4:$B$830,"月次予定")</f>
        <v>0</v>
      </c>
      <c r="D121" s="20">
        <f t="shared" si="9"/>
        <v>0</v>
      </c>
      <c r="E121" s="20">
        <f t="shared" si="10"/>
        <v>17590912.699999999</v>
      </c>
      <c r="F121" s="21">
        <f>SUMIFS(未払予定一覧!$O$4:$O$830,未払予定一覧!$N$4:$N$830,A121,未払予定一覧!$A$4:$A$830,"モーテル",未払予定一覧!$B$4:$B$830,"カード枠回復")</f>
        <v>0</v>
      </c>
      <c r="G121" s="122">
        <f t="shared" si="11"/>
        <v>17590912.699999999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SUMIFS(入金入力!$E$4:$E$580,入金入力!$B$4:$B$580,A122,入金入力!$A$4:$A$580,"モーテル")+SUMIFS(入金予測!$E$4:$E$603,入金予測!$A$4:$A$603,A122,入金予測!$B$4:$B$603,"モーテル")</f>
        <v>0</v>
      </c>
      <c r="C122" s="20">
        <f>SUMIFS(未払予定一覧!$O$4:$O$830,未払予定一覧!$N$4:$N$830,A122,未払予定一覧!$A$4:$A$830,"モーテル",未払予定一覧!$B$4:$B$830,"未払繰越")+SUMIFS(未払予定一覧!$O$4:$O$830,未払予定一覧!$N$4:$N$830,A122,未払予定一覧!$A$4:$A$830,"モーテル",未払予定一覧!$B$4:$B$830,"月次予定")</f>
        <v>0</v>
      </c>
      <c r="D122" s="20">
        <f t="shared" si="9"/>
        <v>0</v>
      </c>
      <c r="E122" s="20">
        <f t="shared" si="10"/>
        <v>17590912.699999999</v>
      </c>
      <c r="F122" s="21">
        <f>SUMIFS(未払予定一覧!$O$4:$O$830,未払予定一覧!$N$4:$N$830,A122,未払予定一覧!$A$4:$A$830,"モーテル",未払予定一覧!$B$4:$B$830,"カード枠回復")</f>
        <v>0</v>
      </c>
      <c r="G122" s="122">
        <f t="shared" si="11"/>
        <v>17590912.699999999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SUMIFS(入金入力!$E$4:$E$580,入金入力!$B$4:$B$580,A123,入金入力!$A$4:$A$580,"モーテル")+SUMIFS(入金予測!$E$4:$E$603,入金予測!$A$4:$A$603,A123,入金予測!$B$4:$B$603,"モーテル")</f>
        <v>0</v>
      </c>
      <c r="C123" s="20">
        <f>SUMIFS(未払予定一覧!$O$4:$O$830,未払予定一覧!$N$4:$N$830,A123,未払予定一覧!$A$4:$A$830,"モーテル",未払予定一覧!$B$4:$B$830,"未払繰越")+SUMIFS(未払予定一覧!$O$4:$O$830,未払予定一覧!$N$4:$N$830,A123,未払予定一覧!$A$4:$A$830,"モーテル",未払予定一覧!$B$4:$B$830,"月次予定")</f>
        <v>0</v>
      </c>
      <c r="D123" s="20">
        <f t="shared" si="9"/>
        <v>0</v>
      </c>
      <c r="E123" s="20">
        <f t="shared" si="10"/>
        <v>17590912.699999999</v>
      </c>
      <c r="F123" s="21">
        <f>SUMIFS(未払予定一覧!$O$4:$O$830,未払予定一覧!$N$4:$N$830,A123,未払予定一覧!$A$4:$A$830,"モーテル",未払予定一覧!$B$4:$B$830,"カード枠回復")</f>
        <v>0</v>
      </c>
      <c r="G123" s="122">
        <f t="shared" si="11"/>
        <v>17590912.699999999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SUMIFS(入金入力!$E$4:$E$580,入金入力!$B$4:$B$580,A124,入金入力!$A$4:$A$580,"モーテル")+SUMIFS(入金予測!$E$4:$E$603,入金予測!$A$4:$A$603,A124,入金予測!$B$4:$B$603,"モーテル")</f>
        <v>0</v>
      </c>
      <c r="C124" s="20">
        <f>SUMIFS(未払予定一覧!$O$4:$O$830,未払予定一覧!$N$4:$N$830,A124,未払予定一覧!$A$4:$A$830,"モーテル",未払予定一覧!$B$4:$B$830,"未払繰越")+SUMIFS(未払予定一覧!$O$4:$O$830,未払予定一覧!$N$4:$N$830,A124,未払予定一覧!$A$4:$A$830,"モーテル",未払予定一覧!$B$4:$B$830,"月次予定")</f>
        <v>0</v>
      </c>
      <c r="D124" s="20">
        <f t="shared" si="9"/>
        <v>0</v>
      </c>
      <c r="E124" s="20">
        <f t="shared" si="10"/>
        <v>17590912.699999999</v>
      </c>
      <c r="F124" s="21">
        <f>SUMIFS(未払予定一覧!$O$4:$O$830,未払予定一覧!$N$4:$N$830,A124,未払予定一覧!$A$4:$A$830,"モーテル",未払予定一覧!$B$4:$B$830,"カード枠回復")</f>
        <v>0</v>
      </c>
      <c r="G124" s="122">
        <f t="shared" si="11"/>
        <v>17590912.699999999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SUMIFS(入金入力!$E$4:$E$580,入金入力!$B$4:$B$580,A125,入金入力!$A$4:$A$580,"モーテル")+SUMIFS(入金予測!$E$4:$E$603,入金予測!$A$4:$A$603,A125,入金予測!$B$4:$B$603,"モーテル")</f>
        <v>0</v>
      </c>
      <c r="C125" s="20">
        <f>SUMIFS(未払予定一覧!$O$4:$O$830,未払予定一覧!$N$4:$N$830,A125,未払予定一覧!$A$4:$A$830,"モーテル",未払予定一覧!$B$4:$B$830,"未払繰越")+SUMIFS(未払予定一覧!$O$4:$O$830,未払予定一覧!$N$4:$N$830,A125,未払予定一覧!$A$4:$A$830,"モーテル",未払予定一覧!$B$4:$B$830,"月次予定")</f>
        <v>0</v>
      </c>
      <c r="D125" s="20">
        <f t="shared" si="9"/>
        <v>0</v>
      </c>
      <c r="E125" s="20">
        <f t="shared" si="10"/>
        <v>17590912.699999999</v>
      </c>
      <c r="F125" s="21">
        <f>SUMIFS(未払予定一覧!$O$4:$O$830,未払予定一覧!$N$4:$N$830,A125,未払予定一覧!$A$4:$A$830,"モーテル",未払予定一覧!$B$4:$B$830,"カード枠回復")</f>
        <v>0</v>
      </c>
      <c r="G125" s="122">
        <f t="shared" si="11"/>
        <v>17590912.699999999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SUMIFS(入金入力!$E$4:$E$580,入金入力!$B$4:$B$580,A126,入金入力!$A$4:$A$580,"モーテル")+SUMIFS(入金予測!$E$4:$E$603,入金予測!$A$4:$A$603,A126,入金予測!$B$4:$B$603,"モーテル")</f>
        <v>1147774.95</v>
      </c>
      <c r="C126" s="20">
        <f>SUMIFS(未払予定一覧!$O$4:$O$830,未払予定一覧!$N$4:$N$830,A126,未払予定一覧!$A$4:$A$830,"モーテル",未払予定一覧!$B$4:$B$830,"未払繰越")+SUMIFS(未払予定一覧!$O$4:$O$830,未払予定一覧!$N$4:$N$830,A126,未払予定一覧!$A$4:$A$830,"モーテル",未払予定一覧!$B$4:$B$830,"月次予定")</f>
        <v>0</v>
      </c>
      <c r="D126" s="20">
        <f t="shared" si="9"/>
        <v>1147774.95</v>
      </c>
      <c r="E126" s="20">
        <f t="shared" si="10"/>
        <v>18738687.649999999</v>
      </c>
      <c r="F126" s="21">
        <f>SUMIFS(未払予定一覧!$O$4:$O$830,未払予定一覧!$N$4:$N$830,A126,未払予定一覧!$A$4:$A$830,"モーテル",未払予定一覧!$B$4:$B$830,"カード枠回復")</f>
        <v>0</v>
      </c>
      <c r="G126" s="122">
        <f t="shared" si="11"/>
        <v>18738687.649999999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SUMIFS(入金入力!$E$4:$E$580,入金入力!$B$4:$B$580,A127,入金入力!$A$4:$A$580,"モーテル")+SUMIFS(入金予測!$E$4:$E$603,入金予測!$A$4:$A$603,A127,入金予測!$B$4:$B$603,"モーテル")</f>
        <v>0</v>
      </c>
      <c r="C127" s="20">
        <f>SUMIFS(未払予定一覧!$O$4:$O$830,未払予定一覧!$N$4:$N$830,A127,未払予定一覧!$A$4:$A$830,"モーテル",未払予定一覧!$B$4:$B$830,"未払繰越")+SUMIFS(未払予定一覧!$O$4:$O$830,未払予定一覧!$N$4:$N$830,A127,未払予定一覧!$A$4:$A$830,"モーテル",未払予定一覧!$B$4:$B$830,"月次予定")</f>
        <v>0</v>
      </c>
      <c r="D127" s="20">
        <f t="shared" si="9"/>
        <v>0</v>
      </c>
      <c r="E127" s="20">
        <f t="shared" si="10"/>
        <v>18738687.649999999</v>
      </c>
      <c r="F127" s="21">
        <f>SUMIFS(未払予定一覧!$O$4:$O$830,未払予定一覧!$N$4:$N$830,A127,未払予定一覧!$A$4:$A$830,"モーテル",未払予定一覧!$B$4:$B$830,"カード枠回復")</f>
        <v>0</v>
      </c>
      <c r="G127" s="122">
        <f t="shared" si="11"/>
        <v>18738687.649999999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SUMIFS(入金入力!$E$4:$E$580,入金入力!$B$4:$B$580,A128,入金入力!$A$4:$A$580,"モーテル")+SUMIFS(入金予測!$E$4:$E$603,入金予測!$A$4:$A$603,A128,入金予測!$B$4:$B$603,"モーテル")</f>
        <v>0</v>
      </c>
      <c r="C128" s="20">
        <f>SUMIFS(未払予定一覧!$O$4:$O$830,未払予定一覧!$N$4:$N$830,A128,未払予定一覧!$A$4:$A$830,"モーテル",未払予定一覧!$B$4:$B$830,"未払繰越")+SUMIFS(未払予定一覧!$O$4:$O$830,未払予定一覧!$N$4:$N$830,A128,未払予定一覧!$A$4:$A$830,"モーテル",未払予定一覧!$B$4:$B$830,"月次予定")</f>
        <v>0</v>
      </c>
      <c r="D128" s="20">
        <f t="shared" si="9"/>
        <v>0</v>
      </c>
      <c r="E128" s="20">
        <f t="shared" si="10"/>
        <v>18738687.649999999</v>
      </c>
      <c r="F128" s="21">
        <f>SUMIFS(未払予定一覧!$O$4:$O$830,未払予定一覧!$N$4:$N$830,A128,未払予定一覧!$A$4:$A$830,"モーテル",未払予定一覧!$B$4:$B$830,"カード枠回復")</f>
        <v>0</v>
      </c>
      <c r="G128" s="122">
        <f t="shared" si="11"/>
        <v>18738687.649999999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SUMIFS(入金入力!$E$4:$E$580,入金入力!$B$4:$B$580,A129,入金入力!$A$4:$A$580,"モーテル")+SUMIFS(入金予測!$E$4:$E$603,入金予測!$A$4:$A$603,A129,入金予測!$B$4:$B$603,"モーテル")</f>
        <v>0</v>
      </c>
      <c r="C129" s="20">
        <f>SUMIFS(未払予定一覧!$O$4:$O$830,未払予定一覧!$N$4:$N$830,A129,未払予定一覧!$A$4:$A$830,"モーテル",未払予定一覧!$B$4:$B$830,"未払繰越")+SUMIFS(未払予定一覧!$O$4:$O$830,未払予定一覧!$N$4:$N$830,A129,未払予定一覧!$A$4:$A$830,"モーテル",未払予定一覧!$B$4:$B$830,"月次予定")</f>
        <v>0</v>
      </c>
      <c r="D129" s="20">
        <f t="shared" si="9"/>
        <v>0</v>
      </c>
      <c r="E129" s="20">
        <f t="shared" si="10"/>
        <v>18738687.649999999</v>
      </c>
      <c r="F129" s="21">
        <f>SUMIFS(未払予定一覧!$O$4:$O$830,未払予定一覧!$N$4:$N$830,A129,未払予定一覧!$A$4:$A$830,"モーテル",未払予定一覧!$B$4:$B$830,"カード枠回復")</f>
        <v>0</v>
      </c>
      <c r="G129" s="122">
        <f t="shared" si="11"/>
        <v>18738687.649999999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SUMIFS(入金入力!$E$4:$E$580,入金入力!$B$4:$B$580,A130,入金入力!$A$4:$A$580,"モーテル")+SUMIFS(入金予測!$E$4:$E$603,入金予測!$A$4:$A$603,A130,入金予測!$B$4:$B$603,"モーテル")</f>
        <v>0</v>
      </c>
      <c r="C130" s="20">
        <f>SUMIFS(未払予定一覧!$O$4:$O$830,未払予定一覧!$N$4:$N$830,A130,未払予定一覧!$A$4:$A$830,"モーテル",未払予定一覧!$B$4:$B$830,"未払繰越")+SUMIFS(未払予定一覧!$O$4:$O$830,未払予定一覧!$N$4:$N$830,A130,未払予定一覧!$A$4:$A$830,"モーテル",未払予定一覧!$B$4:$B$830,"月次予定")</f>
        <v>0</v>
      </c>
      <c r="D130" s="20">
        <f t="shared" si="9"/>
        <v>0</v>
      </c>
      <c r="E130" s="20">
        <f t="shared" si="10"/>
        <v>18738687.649999999</v>
      </c>
      <c r="F130" s="21">
        <f>SUMIFS(未払予定一覧!$O$4:$O$830,未払予定一覧!$N$4:$N$830,A130,未払予定一覧!$A$4:$A$830,"モーテル",未払予定一覧!$B$4:$B$830,"カード枠回復")</f>
        <v>0</v>
      </c>
      <c r="G130" s="122">
        <f t="shared" si="11"/>
        <v>18738687.649999999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SUMIFS(入金入力!$E$4:$E$580,入金入力!$B$4:$B$580,A131,入金入力!$A$4:$A$580,"モーテル")+SUMIFS(入金予測!$E$4:$E$603,入金予測!$A$4:$A$603,A131,入金予測!$B$4:$B$603,"モーテル")</f>
        <v>315405.8</v>
      </c>
      <c r="C131" s="20">
        <f>SUMIFS(未払予定一覧!$O$4:$O$830,未払予定一覧!$N$4:$N$830,A131,未払予定一覧!$A$4:$A$830,"モーテル",未払予定一覧!$B$4:$B$830,"未払繰越")+SUMIFS(未払予定一覧!$O$4:$O$830,未払予定一覧!$N$4:$N$830,A131,未払予定一覧!$A$4:$A$830,"モーテル",未払予定一覧!$B$4:$B$830,"月次予定")</f>
        <v>185173</v>
      </c>
      <c r="D131" s="20">
        <f t="shared" si="9"/>
        <v>130232.79999999999</v>
      </c>
      <c r="E131" s="20">
        <f t="shared" si="10"/>
        <v>18868920.449999999</v>
      </c>
      <c r="F131" s="21">
        <f>SUMIFS(未払予定一覧!$O$4:$O$830,未払予定一覧!$N$4:$N$830,A131,未払予定一覧!$A$4:$A$830,"モーテル",未払予定一覧!$B$4:$B$830,"カード枠回復")</f>
        <v>0</v>
      </c>
      <c r="G131" s="122">
        <f t="shared" si="11"/>
        <v>18868920.449999999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SUMIFS(入金入力!$E$4:$E$580,入金入力!$B$4:$B$580,A132,入金入力!$A$4:$A$580,"モーテル")+SUMIFS(入金予測!$E$4:$E$603,入金予測!$A$4:$A$603,A132,入金予測!$B$4:$B$603,"モーテル")</f>
        <v>0</v>
      </c>
      <c r="C132" s="20">
        <f>SUMIFS(未払予定一覧!$O$4:$O$830,未払予定一覧!$N$4:$N$830,A132,未払予定一覧!$A$4:$A$830,"モーテル",未払予定一覧!$B$4:$B$830,"未払繰越")+SUMIFS(未払予定一覧!$O$4:$O$830,未払予定一覧!$N$4:$N$830,A132,未払予定一覧!$A$4:$A$830,"モーテル",未払予定一覧!$B$4:$B$830,"月次予定")</f>
        <v>0</v>
      </c>
      <c r="D132" s="20">
        <f t="shared" si="9"/>
        <v>0</v>
      </c>
      <c r="E132" s="20">
        <f t="shared" si="10"/>
        <v>18868920.449999999</v>
      </c>
      <c r="F132" s="21">
        <f>SUMIFS(未払予定一覧!$O$4:$O$830,未払予定一覧!$N$4:$N$830,A132,未払予定一覧!$A$4:$A$830,"モーテル",未払予定一覧!$B$4:$B$830,"カード枠回復")</f>
        <v>0</v>
      </c>
      <c r="G132" s="122">
        <f t="shared" si="11"/>
        <v>18868920.449999999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SUMIFS(入金入力!$E$4:$E$580,入金入力!$B$4:$B$580,A133,入金入力!$A$4:$A$580,"モーテル")+SUMIFS(入金予測!$E$4:$E$603,入金予測!$A$4:$A$603,A133,入金予測!$B$4:$B$603,"モーテル")</f>
        <v>0</v>
      </c>
      <c r="C133" s="20">
        <f>SUMIFS(未払予定一覧!$O$4:$O$830,未払予定一覧!$N$4:$N$830,A133,未払予定一覧!$A$4:$A$830,"モーテル",未払予定一覧!$B$4:$B$830,"未払繰越")+SUMIFS(未払予定一覧!$O$4:$O$830,未払予定一覧!$N$4:$N$830,A133,未払予定一覧!$A$4:$A$830,"モーテル",未払予定一覧!$B$4:$B$830,"月次予定")</f>
        <v>0</v>
      </c>
      <c r="D133" s="20">
        <f t="shared" si="9"/>
        <v>0</v>
      </c>
      <c r="E133" s="20">
        <f t="shared" si="10"/>
        <v>18868920.449999999</v>
      </c>
      <c r="F133" s="21">
        <f>SUMIFS(未払予定一覧!$O$4:$O$830,未払予定一覧!$N$4:$N$830,A133,未払予定一覧!$A$4:$A$830,"モーテル",未払予定一覧!$B$4:$B$830,"カード枠回復")</f>
        <v>0</v>
      </c>
      <c r="G133" s="122">
        <f t="shared" si="11"/>
        <v>18868920.449999999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SUMIFS(入金入力!$E$4:$E$580,入金入力!$B$4:$B$580,A134,入金入力!$A$4:$A$580,"モーテル")+SUMIFS(入金予測!$E$4:$E$603,入金予測!$A$4:$A$603,A134,入金予測!$B$4:$B$603,"モーテル")</f>
        <v>0</v>
      </c>
      <c r="C134" s="20">
        <f>SUMIFS(未払予定一覧!$O$4:$O$830,未払予定一覧!$N$4:$N$830,A134,未払予定一覧!$A$4:$A$830,"モーテル",未払予定一覧!$B$4:$B$830,"未払繰越")+SUMIFS(未払予定一覧!$O$4:$O$830,未払予定一覧!$N$4:$N$830,A134,未払予定一覧!$A$4:$A$830,"モーテル",未払予定一覧!$B$4:$B$830,"月次予定")</f>
        <v>0</v>
      </c>
      <c r="D134" s="20">
        <f t="shared" si="9"/>
        <v>0</v>
      </c>
      <c r="E134" s="20">
        <f t="shared" si="10"/>
        <v>18868920.449999999</v>
      </c>
      <c r="F134" s="21">
        <f>SUMIFS(未払予定一覧!$O$4:$O$830,未払予定一覧!$N$4:$N$830,A134,未払予定一覧!$A$4:$A$830,"モーテル",未払予定一覧!$B$4:$B$830,"カード枠回復")</f>
        <v>0</v>
      </c>
      <c r="G134" s="122">
        <f t="shared" si="11"/>
        <v>18868920.449999999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SUMIFS(入金入力!$E$4:$E$580,入金入力!$B$4:$B$580,A135,入金入力!$A$4:$A$580,"モーテル")+SUMIFS(入金予測!$E$4:$E$603,入金予測!$A$4:$A$603,A135,入金予測!$B$4:$B$603,"モーテル")</f>
        <v>0</v>
      </c>
      <c r="C135" s="20">
        <f>SUMIFS(未払予定一覧!$O$4:$O$830,未払予定一覧!$N$4:$N$830,A135,未払予定一覧!$A$4:$A$830,"モーテル",未払予定一覧!$B$4:$B$830,"未払繰越")+SUMIFS(未払予定一覧!$O$4:$O$830,未払予定一覧!$N$4:$N$830,A135,未払予定一覧!$A$4:$A$830,"モーテル",未払予定一覧!$B$4:$B$830,"月次予定")</f>
        <v>0</v>
      </c>
      <c r="D135" s="20">
        <f t="shared" si="9"/>
        <v>0</v>
      </c>
      <c r="E135" s="20">
        <f t="shared" si="10"/>
        <v>18868920.449999999</v>
      </c>
      <c r="F135" s="21">
        <f>SUMIFS(未払予定一覧!$O$4:$O$830,未払予定一覧!$N$4:$N$830,A135,未払予定一覧!$A$4:$A$830,"モーテル",未払予定一覧!$B$4:$B$830,"カード枠回復")</f>
        <v>0</v>
      </c>
      <c r="G135" s="122">
        <f t="shared" si="11"/>
        <v>18868920.449999999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SUMIFS(入金入力!$E$4:$E$580,入金入力!$B$4:$B$580,A136,入金入力!$A$4:$A$580,"モーテル")+SUMIFS(入金予測!$E$4:$E$603,入金予測!$A$4:$A$603,A136,入金予測!$B$4:$B$603,"モーテル")</f>
        <v>0</v>
      </c>
      <c r="C136" s="20">
        <f>SUMIFS(未払予定一覧!$O$4:$O$830,未払予定一覧!$N$4:$N$830,A136,未払予定一覧!$A$4:$A$830,"モーテル",未払予定一覧!$B$4:$B$830,"未払繰越")+SUMIFS(未払予定一覧!$O$4:$O$830,未払予定一覧!$N$4:$N$830,A136,未払予定一覧!$A$4:$A$830,"モーテル",未払予定一覧!$B$4:$B$830,"月次予定")</f>
        <v>0</v>
      </c>
      <c r="D136" s="20">
        <f t="shared" si="9"/>
        <v>0</v>
      </c>
      <c r="E136" s="20">
        <f t="shared" si="10"/>
        <v>18868920.449999999</v>
      </c>
      <c r="F136" s="21">
        <f>SUMIFS(未払予定一覧!$O$4:$O$830,未払予定一覧!$N$4:$N$830,A136,未払予定一覧!$A$4:$A$830,"モーテル",未払予定一覧!$B$4:$B$830,"カード枠回復")</f>
        <v>0</v>
      </c>
      <c r="G136" s="122">
        <f t="shared" si="11"/>
        <v>18868920.449999999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SUMIFS(入金入力!$E$4:$E$580,入金入力!$B$4:$B$580,A137,入金入力!$A$4:$A$580,"モーテル")+SUMIFS(入金予測!$E$4:$E$603,入金予測!$A$4:$A$603,A137,入金予測!$B$4:$B$603,"モーテル")</f>
        <v>0</v>
      </c>
      <c r="C137" s="20">
        <f>SUMIFS(未払予定一覧!$O$4:$O$830,未払予定一覧!$N$4:$N$830,A137,未払予定一覧!$A$4:$A$830,"モーテル",未払予定一覧!$B$4:$B$830,"未払繰越")+SUMIFS(未払予定一覧!$O$4:$O$830,未払予定一覧!$N$4:$N$830,A137,未払予定一覧!$A$4:$A$830,"モーテル",未払予定一覧!$B$4:$B$830,"月次予定")</f>
        <v>0</v>
      </c>
      <c r="D137" s="20">
        <f t="shared" si="9"/>
        <v>0</v>
      </c>
      <c r="E137" s="20">
        <f t="shared" si="10"/>
        <v>18868920.449999999</v>
      </c>
      <c r="F137" s="21">
        <f>SUMIFS(未払予定一覧!$O$4:$O$830,未払予定一覧!$N$4:$N$830,A137,未払予定一覧!$A$4:$A$830,"モーテル",未払予定一覧!$B$4:$B$830,"カード枠回復")</f>
        <v>0</v>
      </c>
      <c r="G137" s="122">
        <f t="shared" si="11"/>
        <v>18868920.449999999</v>
      </c>
      <c r="H137" s="123"/>
    </row>
    <row r="138" spans="1:8" ht="15" customHeight="1">
      <c r="A138" s="23" t="s">
        <v>697</v>
      </c>
      <c r="B138" s="24">
        <f>SUM(B107:B137)</f>
        <v>4983212</v>
      </c>
      <c r="C138" s="24">
        <f>SUM(C107:C137)</f>
        <v>185173</v>
      </c>
      <c r="D138" s="24">
        <f t="shared" si="9"/>
        <v>4798039</v>
      </c>
      <c r="E138" s="24">
        <f>E137</f>
        <v>18868920.449999999</v>
      </c>
      <c r="F138" s="24">
        <f>SUM(F107:F137)</f>
        <v>0</v>
      </c>
      <c r="G138" s="24">
        <f>G137</f>
        <v>18868920.449999999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8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49" t="s">
        <v>700</v>
      </c>
      <c r="B1" s="149"/>
      <c r="C1" s="149"/>
      <c r="D1" s="149"/>
      <c r="E1" s="149"/>
      <c r="F1" s="149"/>
      <c r="G1" s="149"/>
      <c r="H1" s="149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SUMIFS(入金入力!$E$4:$E$580,入金入力!$B$4:$B$580,A5,入金入力!$A$4:$A$580,"ザック")+SUMIFS(入金予測!$E$4:$E$603,入金予測!$A$4:$A$603,A5,入金予測!$B$4:$B$603,"ザック")</f>
        <v>0</v>
      </c>
      <c r="C5" s="20">
        <f>SUMIFS(未払予定一覧!$O$4:$O$830,未払予定一覧!$N$4:$N$830,A5,未払予定一覧!$A$4:$A$830,"ザック",未払予定一覧!$B$4:$B$830,"未払繰越")+SUMIFS(未払予定一覧!$O$4:$O$830,未払予定一覧!$N$4:$N$830,A5,未払予定一覧!$A$4:$A$830,"ザック",未払予定一覧!$B$4:$B$830,"月次予定")</f>
        <v>0</v>
      </c>
      <c r="D5" s="20">
        <f t="shared" ref="D5:D37" si="0">B5-C5-F5</f>
        <v>0</v>
      </c>
      <c r="E5" s="20">
        <f>D5</f>
        <v>0</v>
      </c>
      <c r="F5" s="21">
        <f>SUMIFS(未払予定一覧!$O$4:$O$830,未払予定一覧!$N$4:$N$830,A5,未払予定一覧!$A$4:$A$830,"ザック",未払予定一覧!$B$4:$B$830,"カード枠回復")</f>
        <v>0</v>
      </c>
      <c r="G5" s="122">
        <f>D5+F5</f>
        <v>0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SUMIFS(入金入力!$E$4:$E$580,入金入力!$B$4:$B$580,A6,入金入力!$A$4:$A$580,"ザック")+SUMIFS(入金予測!$E$4:$E$603,入金予測!$A$4:$A$603,A6,入金予測!$B$4:$B$603,"ザック")</f>
        <v>0</v>
      </c>
      <c r="C6" s="20">
        <f>SUMIFS(未払予定一覧!$O$4:$O$830,未払予定一覧!$N$4:$N$830,A6,未払予定一覧!$A$4:$A$830,"ザック",未払予定一覧!$B$4:$B$830,"未払繰越")+SUMIFS(未払予定一覧!$O$4:$O$830,未払予定一覧!$N$4:$N$830,A6,未払予定一覧!$A$4:$A$830,"ザック",未払予定一覧!$B$4:$B$830,"月次予定")</f>
        <v>0</v>
      </c>
      <c r="D6" s="20">
        <f t="shared" si="0"/>
        <v>0</v>
      </c>
      <c r="E6" s="20">
        <f t="shared" ref="E6:E36" si="1">E5+D6</f>
        <v>0</v>
      </c>
      <c r="F6" s="21">
        <f>SUMIFS(未払予定一覧!$O$4:$O$830,未払予定一覧!$N$4:$N$830,A6,未払予定一覧!$A$4:$A$830,"ザック",未払予定一覧!$B$4:$B$830,"カード枠回復")</f>
        <v>0</v>
      </c>
      <c r="G6" s="122">
        <f t="shared" ref="G6:G36" si="2">G5+D6+F6</f>
        <v>0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SUMIFS(入金入力!$E$4:$E$580,入金入力!$B$4:$B$580,A7,入金入力!$A$4:$A$580,"ザック")+SUMIFS(入金予測!$E$4:$E$603,入金予測!$A$4:$A$603,A7,入金予測!$B$4:$B$603,"ザック")</f>
        <v>0</v>
      </c>
      <c r="C7" s="20">
        <f>SUMIFS(未払予定一覧!$O$4:$O$830,未払予定一覧!$N$4:$N$830,A7,未払予定一覧!$A$4:$A$830,"ザック",未払予定一覧!$B$4:$B$830,"未払繰越")+SUMIFS(未払予定一覧!$O$4:$O$830,未払予定一覧!$N$4:$N$830,A7,未払予定一覧!$A$4:$A$830,"ザック",未払予定一覧!$B$4:$B$830,"月次予定")</f>
        <v>0</v>
      </c>
      <c r="D7" s="20">
        <f t="shared" si="0"/>
        <v>0</v>
      </c>
      <c r="E7" s="20">
        <f t="shared" si="1"/>
        <v>0</v>
      </c>
      <c r="F7" s="21">
        <f>SUMIFS(未払予定一覧!$O$4:$O$830,未払予定一覧!$N$4:$N$830,A7,未払予定一覧!$A$4:$A$830,"ザック",未払予定一覧!$B$4:$B$830,"カード枠回復")</f>
        <v>0</v>
      </c>
      <c r="G7" s="122">
        <f t="shared" si="2"/>
        <v>0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SUMIFS(入金入力!$E$4:$E$580,入金入力!$B$4:$B$580,A8,入金入力!$A$4:$A$580,"ザック")+SUMIFS(入金予測!$E$4:$E$603,入金予測!$A$4:$A$603,A8,入金予測!$B$4:$B$603,"ザック")</f>
        <v>0</v>
      </c>
      <c r="C8" s="20">
        <f>SUMIFS(未払予定一覧!$O$4:$O$830,未払予定一覧!$N$4:$N$830,A8,未払予定一覧!$A$4:$A$830,"ザック",未払予定一覧!$B$4:$B$830,"未払繰越")+SUMIFS(未払予定一覧!$O$4:$O$830,未払予定一覧!$N$4:$N$830,A8,未払予定一覧!$A$4:$A$830,"ザック",未払予定一覧!$B$4:$B$830,"月次予定")</f>
        <v>0</v>
      </c>
      <c r="D8" s="20">
        <f t="shared" si="0"/>
        <v>0</v>
      </c>
      <c r="E8" s="20">
        <f t="shared" si="1"/>
        <v>0</v>
      </c>
      <c r="F8" s="21">
        <f>SUMIFS(未払予定一覧!$O$4:$O$830,未払予定一覧!$N$4:$N$830,A8,未払予定一覧!$A$4:$A$830,"ザック",未払予定一覧!$B$4:$B$830,"カード枠回復")</f>
        <v>0</v>
      </c>
      <c r="G8" s="122">
        <f t="shared" si="2"/>
        <v>0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SUMIFS(入金入力!$E$4:$E$580,入金入力!$B$4:$B$580,A9,入金入力!$A$4:$A$580,"ザック")+SUMIFS(入金予測!$E$4:$E$603,入金予測!$A$4:$A$603,A9,入金予測!$B$4:$B$603,"ザック")</f>
        <v>0</v>
      </c>
      <c r="C9" s="20">
        <f>SUMIFS(未払予定一覧!$O$4:$O$830,未払予定一覧!$N$4:$N$830,A9,未払予定一覧!$A$4:$A$830,"ザック",未払予定一覧!$B$4:$B$830,"未払繰越")+SUMIFS(未払予定一覧!$O$4:$O$830,未払予定一覧!$N$4:$N$830,A9,未払予定一覧!$A$4:$A$830,"ザック",未払予定一覧!$B$4:$B$830,"月次予定")</f>
        <v>0</v>
      </c>
      <c r="D9" s="20">
        <f t="shared" si="0"/>
        <v>0</v>
      </c>
      <c r="E9" s="20">
        <f t="shared" si="1"/>
        <v>0</v>
      </c>
      <c r="F9" s="21">
        <f>SUMIFS(未払予定一覧!$O$4:$O$830,未払予定一覧!$N$4:$N$830,A9,未払予定一覧!$A$4:$A$830,"ザック",未払予定一覧!$B$4:$B$830,"カード枠回復")</f>
        <v>0</v>
      </c>
      <c r="G9" s="122">
        <f t="shared" si="2"/>
        <v>0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SUMIFS(入金入力!$E$4:$E$580,入金入力!$B$4:$B$580,A10,入金入力!$A$4:$A$580,"ザック")+SUMIFS(入金予測!$E$4:$E$603,入金予測!$A$4:$A$603,A10,入金予測!$B$4:$B$603,"ザック")</f>
        <v>0</v>
      </c>
      <c r="C10" s="20">
        <f>SUMIFS(未払予定一覧!$O$4:$O$830,未払予定一覧!$N$4:$N$830,A10,未払予定一覧!$A$4:$A$830,"ザック",未払予定一覧!$B$4:$B$830,"未払繰越")+SUMIFS(未払予定一覧!$O$4:$O$830,未払予定一覧!$N$4:$N$830,A10,未払予定一覧!$A$4:$A$830,"ザック",未払予定一覧!$B$4:$B$830,"月次予定")</f>
        <v>0</v>
      </c>
      <c r="D10" s="20">
        <f t="shared" si="0"/>
        <v>0</v>
      </c>
      <c r="E10" s="20">
        <f t="shared" si="1"/>
        <v>0</v>
      </c>
      <c r="F10" s="21">
        <f>SUMIFS(未払予定一覧!$O$4:$O$830,未払予定一覧!$N$4:$N$830,A10,未払予定一覧!$A$4:$A$830,"ザック",未払予定一覧!$B$4:$B$830,"カード枠回復")</f>
        <v>0</v>
      </c>
      <c r="G10" s="122">
        <f t="shared" si="2"/>
        <v>0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SUMIFS(入金入力!$E$4:$E$580,入金入力!$B$4:$B$580,A11,入金入力!$A$4:$A$580,"ザック")+SUMIFS(入金予測!$E$4:$E$603,入金予測!$A$4:$A$603,A11,入金予測!$B$4:$B$603,"ザック")</f>
        <v>0</v>
      </c>
      <c r="C11" s="20">
        <f>SUMIFS(未払予定一覧!$O$4:$O$830,未払予定一覧!$N$4:$N$830,A11,未払予定一覧!$A$4:$A$830,"ザック",未払予定一覧!$B$4:$B$830,"未払繰越")+SUMIFS(未払予定一覧!$O$4:$O$830,未払予定一覧!$N$4:$N$830,A11,未払予定一覧!$A$4:$A$830,"ザック",未払予定一覧!$B$4:$B$830,"月次予定")</f>
        <v>0</v>
      </c>
      <c r="D11" s="20">
        <f t="shared" si="0"/>
        <v>0</v>
      </c>
      <c r="E11" s="20">
        <f t="shared" si="1"/>
        <v>0</v>
      </c>
      <c r="F11" s="21">
        <f>SUMIFS(未払予定一覧!$O$4:$O$830,未払予定一覧!$N$4:$N$830,A11,未払予定一覧!$A$4:$A$830,"ザック",未払予定一覧!$B$4:$B$830,"カード枠回復")</f>
        <v>0</v>
      </c>
      <c r="G11" s="122">
        <f t="shared" si="2"/>
        <v>0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SUMIFS(入金入力!$E$4:$E$580,入金入力!$B$4:$B$580,A12,入金入力!$A$4:$A$580,"ザック")+SUMIFS(入金予測!$E$4:$E$603,入金予測!$A$4:$A$603,A12,入金予測!$B$4:$B$603,"ザック")</f>
        <v>0</v>
      </c>
      <c r="C12" s="20">
        <f>SUMIFS(未払予定一覧!$O$4:$O$830,未払予定一覧!$N$4:$N$830,A12,未払予定一覧!$A$4:$A$830,"ザック",未払予定一覧!$B$4:$B$830,"未払繰越")+SUMIFS(未払予定一覧!$O$4:$O$830,未払予定一覧!$N$4:$N$830,A12,未払予定一覧!$A$4:$A$830,"ザック",未払予定一覧!$B$4:$B$830,"月次予定")</f>
        <v>0</v>
      </c>
      <c r="D12" s="20">
        <f t="shared" si="0"/>
        <v>0</v>
      </c>
      <c r="E12" s="20">
        <f t="shared" si="1"/>
        <v>0</v>
      </c>
      <c r="F12" s="21">
        <f>SUMIFS(未払予定一覧!$O$4:$O$830,未払予定一覧!$N$4:$N$830,A12,未払予定一覧!$A$4:$A$830,"ザック",未払予定一覧!$B$4:$B$830,"カード枠回復")</f>
        <v>0</v>
      </c>
      <c r="G12" s="122">
        <f t="shared" si="2"/>
        <v>0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SUMIFS(入金入力!$E$4:$E$580,入金入力!$B$4:$B$580,A13,入金入力!$A$4:$A$580,"ザック")+SUMIFS(入金予測!$E$4:$E$603,入金予測!$A$4:$A$603,A13,入金予測!$B$4:$B$603,"ザック")</f>
        <v>0</v>
      </c>
      <c r="C13" s="20">
        <f>SUMIFS(未払予定一覧!$O$4:$O$830,未払予定一覧!$N$4:$N$830,A13,未払予定一覧!$A$4:$A$830,"ザック",未払予定一覧!$B$4:$B$830,"未払繰越")+SUMIFS(未払予定一覧!$O$4:$O$830,未払予定一覧!$N$4:$N$830,A13,未払予定一覧!$A$4:$A$830,"ザック",未払予定一覧!$B$4:$B$830,"月次予定")</f>
        <v>0</v>
      </c>
      <c r="D13" s="20">
        <f t="shared" si="0"/>
        <v>0</v>
      </c>
      <c r="E13" s="20">
        <f t="shared" si="1"/>
        <v>0</v>
      </c>
      <c r="F13" s="21">
        <f>SUMIFS(未払予定一覧!$O$4:$O$830,未払予定一覧!$N$4:$N$830,A13,未払予定一覧!$A$4:$A$830,"ザック",未払予定一覧!$B$4:$B$830,"カード枠回復")</f>
        <v>0</v>
      </c>
      <c r="G13" s="122">
        <f t="shared" si="2"/>
        <v>0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SUMIFS(入金入力!$E$4:$E$580,入金入力!$B$4:$B$580,A14,入金入力!$A$4:$A$580,"ザック")+SUMIFS(入金予測!$E$4:$E$603,入金予測!$A$4:$A$603,A14,入金予測!$B$4:$B$603,"ザック")</f>
        <v>0</v>
      </c>
      <c r="C14" s="20">
        <f>SUMIFS(未払予定一覧!$O$4:$O$830,未払予定一覧!$N$4:$N$830,A14,未払予定一覧!$A$4:$A$830,"ザック",未払予定一覧!$B$4:$B$830,"未払繰越")+SUMIFS(未払予定一覧!$O$4:$O$830,未払予定一覧!$N$4:$N$830,A14,未払予定一覧!$A$4:$A$830,"ザック",未払予定一覧!$B$4:$B$830,"月次予定")</f>
        <v>0</v>
      </c>
      <c r="D14" s="20">
        <f t="shared" si="0"/>
        <v>0</v>
      </c>
      <c r="E14" s="20">
        <f t="shared" si="1"/>
        <v>0</v>
      </c>
      <c r="F14" s="21">
        <f>SUMIFS(未払予定一覧!$O$4:$O$830,未払予定一覧!$N$4:$N$830,A14,未払予定一覧!$A$4:$A$830,"ザック",未払予定一覧!$B$4:$B$830,"カード枠回復")</f>
        <v>0</v>
      </c>
      <c r="G14" s="122">
        <f t="shared" si="2"/>
        <v>0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SUMIFS(入金入力!$E$4:$E$580,入金入力!$B$4:$B$580,A15,入金入力!$A$4:$A$580,"ザック")+SUMIFS(入金予測!$E$4:$E$603,入金予測!$A$4:$A$603,A15,入金予測!$B$4:$B$603,"ザック")</f>
        <v>0</v>
      </c>
      <c r="C15" s="20">
        <f>SUMIFS(未払予定一覧!$O$4:$O$830,未払予定一覧!$N$4:$N$830,A15,未払予定一覧!$A$4:$A$830,"ザック",未払予定一覧!$B$4:$B$830,"未払繰越")+SUMIFS(未払予定一覧!$O$4:$O$830,未払予定一覧!$N$4:$N$830,A15,未払予定一覧!$A$4:$A$830,"ザック",未払予定一覧!$B$4:$B$830,"月次予定")</f>
        <v>0</v>
      </c>
      <c r="D15" s="20">
        <f t="shared" si="0"/>
        <v>0</v>
      </c>
      <c r="E15" s="20">
        <f t="shared" si="1"/>
        <v>0</v>
      </c>
      <c r="F15" s="21">
        <f>SUMIFS(未払予定一覧!$O$4:$O$830,未払予定一覧!$N$4:$N$830,A15,未払予定一覧!$A$4:$A$830,"ザック",未払予定一覧!$B$4:$B$830,"カード枠回復")</f>
        <v>0</v>
      </c>
      <c r="G15" s="122">
        <f t="shared" si="2"/>
        <v>0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SUMIFS(入金入力!$E$4:$E$580,入金入力!$B$4:$B$580,A16,入金入力!$A$4:$A$580,"ザック")+SUMIFS(入金予測!$E$4:$E$603,入金予測!$A$4:$A$603,A16,入金予測!$B$4:$B$603,"ザック")</f>
        <v>0</v>
      </c>
      <c r="C16" s="20">
        <f>SUMIFS(未払予定一覧!$O$4:$O$830,未払予定一覧!$N$4:$N$830,A16,未払予定一覧!$A$4:$A$830,"ザック",未払予定一覧!$B$4:$B$830,"未払繰越")+SUMIFS(未払予定一覧!$O$4:$O$830,未払予定一覧!$N$4:$N$830,A16,未払予定一覧!$A$4:$A$830,"ザック",未払予定一覧!$B$4:$B$830,"月次予定")</f>
        <v>0</v>
      </c>
      <c r="D16" s="20">
        <f t="shared" si="0"/>
        <v>0</v>
      </c>
      <c r="E16" s="20">
        <f t="shared" si="1"/>
        <v>0</v>
      </c>
      <c r="F16" s="21">
        <f>SUMIFS(未払予定一覧!$O$4:$O$830,未払予定一覧!$N$4:$N$830,A16,未払予定一覧!$A$4:$A$830,"ザック",未払予定一覧!$B$4:$B$830,"カード枠回復")</f>
        <v>0</v>
      </c>
      <c r="G16" s="122">
        <f t="shared" si="2"/>
        <v>0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SUMIFS(入金入力!$E$4:$E$580,入金入力!$B$4:$B$580,A17,入金入力!$A$4:$A$580,"ザック")+SUMIFS(入金予測!$E$4:$E$603,入金予測!$A$4:$A$603,A17,入金予測!$B$4:$B$603,"ザック")</f>
        <v>0</v>
      </c>
      <c r="C17" s="20">
        <f>SUMIFS(未払予定一覧!$O$4:$O$830,未払予定一覧!$N$4:$N$830,A17,未払予定一覧!$A$4:$A$830,"ザック",未払予定一覧!$B$4:$B$830,"未払繰越")+SUMIFS(未払予定一覧!$O$4:$O$830,未払予定一覧!$N$4:$N$830,A17,未払予定一覧!$A$4:$A$830,"ザック",未払予定一覧!$B$4:$B$830,"月次予定")</f>
        <v>0</v>
      </c>
      <c r="D17" s="20">
        <f t="shared" si="0"/>
        <v>0</v>
      </c>
      <c r="E17" s="20">
        <f t="shared" si="1"/>
        <v>0</v>
      </c>
      <c r="F17" s="21">
        <f>SUMIFS(未払予定一覧!$O$4:$O$830,未払予定一覧!$N$4:$N$830,A17,未払予定一覧!$A$4:$A$830,"ザック",未払予定一覧!$B$4:$B$830,"カード枠回復")</f>
        <v>0</v>
      </c>
      <c r="G17" s="122">
        <f t="shared" si="2"/>
        <v>0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SUMIFS(入金入力!$E$4:$E$580,入金入力!$B$4:$B$580,A18,入金入力!$A$4:$A$580,"ザック")+SUMIFS(入金予測!$E$4:$E$603,入金予測!$A$4:$A$603,A18,入金予測!$B$4:$B$603,"ザック")</f>
        <v>0</v>
      </c>
      <c r="C18" s="20">
        <f>SUMIFS(未払予定一覧!$O$4:$O$830,未払予定一覧!$N$4:$N$830,A18,未払予定一覧!$A$4:$A$830,"ザック",未払予定一覧!$B$4:$B$830,"未払繰越")+SUMIFS(未払予定一覧!$O$4:$O$830,未払予定一覧!$N$4:$N$830,A18,未払予定一覧!$A$4:$A$830,"ザック",未払予定一覧!$B$4:$B$830,"月次予定")</f>
        <v>0</v>
      </c>
      <c r="D18" s="20">
        <f t="shared" si="0"/>
        <v>0</v>
      </c>
      <c r="E18" s="20">
        <f t="shared" si="1"/>
        <v>0</v>
      </c>
      <c r="F18" s="21">
        <f>SUMIFS(未払予定一覧!$O$4:$O$830,未払予定一覧!$N$4:$N$830,A18,未払予定一覧!$A$4:$A$830,"ザック",未払予定一覧!$B$4:$B$830,"カード枠回復")</f>
        <v>0</v>
      </c>
      <c r="G18" s="122">
        <f t="shared" si="2"/>
        <v>0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SUMIFS(入金入力!$E$4:$E$580,入金入力!$B$4:$B$580,A19,入金入力!$A$4:$A$580,"ザック")+SUMIFS(入金予測!$E$4:$E$603,入金予測!$A$4:$A$603,A19,入金予測!$B$4:$B$603,"ザック")</f>
        <v>0</v>
      </c>
      <c r="C19" s="20">
        <f>SUMIFS(未払予定一覧!$O$4:$O$830,未払予定一覧!$N$4:$N$830,A19,未払予定一覧!$A$4:$A$830,"ザック",未払予定一覧!$B$4:$B$830,"未払繰越")+SUMIFS(未払予定一覧!$O$4:$O$830,未払予定一覧!$N$4:$N$830,A19,未払予定一覧!$A$4:$A$830,"ザック",未払予定一覧!$B$4:$B$830,"月次予定")</f>
        <v>0</v>
      </c>
      <c r="D19" s="20">
        <f t="shared" si="0"/>
        <v>0</v>
      </c>
      <c r="E19" s="20">
        <f t="shared" si="1"/>
        <v>0</v>
      </c>
      <c r="F19" s="21">
        <f>SUMIFS(未払予定一覧!$O$4:$O$830,未払予定一覧!$N$4:$N$830,A19,未払予定一覧!$A$4:$A$830,"ザック",未払予定一覧!$B$4:$B$830,"カード枠回復")</f>
        <v>0</v>
      </c>
      <c r="G19" s="122">
        <f t="shared" si="2"/>
        <v>0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SUMIFS(入金入力!$E$4:$E$580,入金入力!$B$4:$B$580,A20,入金入力!$A$4:$A$580,"ザック")+SUMIFS(入金予測!$E$4:$E$603,入金予測!$A$4:$A$603,A20,入金予測!$B$4:$B$603,"ザック")</f>
        <v>0</v>
      </c>
      <c r="C20" s="20">
        <f>SUMIFS(未払予定一覧!$O$4:$O$830,未払予定一覧!$N$4:$N$830,A20,未払予定一覧!$A$4:$A$830,"ザック",未払予定一覧!$B$4:$B$830,"未払繰越")+SUMIFS(未払予定一覧!$O$4:$O$830,未払予定一覧!$N$4:$N$830,A20,未払予定一覧!$A$4:$A$830,"ザック",未払予定一覧!$B$4:$B$830,"月次予定")</f>
        <v>0</v>
      </c>
      <c r="D20" s="20">
        <f t="shared" si="0"/>
        <v>0</v>
      </c>
      <c r="E20" s="20">
        <f t="shared" si="1"/>
        <v>0</v>
      </c>
      <c r="F20" s="21">
        <f>SUMIFS(未払予定一覧!$O$4:$O$830,未払予定一覧!$N$4:$N$830,A20,未払予定一覧!$A$4:$A$830,"ザック",未払予定一覧!$B$4:$B$830,"カード枠回復")</f>
        <v>0</v>
      </c>
      <c r="G20" s="122">
        <f t="shared" si="2"/>
        <v>0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SUMIFS(入金入力!$E$4:$E$580,入金入力!$B$4:$B$580,A21,入金入力!$A$4:$A$580,"ザック")+SUMIFS(入金予測!$E$4:$E$603,入金予測!$A$4:$A$603,A21,入金予測!$B$4:$B$603,"ザック")</f>
        <v>0</v>
      </c>
      <c r="C21" s="20">
        <f>SUMIFS(未払予定一覧!$O$4:$O$830,未払予定一覧!$N$4:$N$830,A21,未払予定一覧!$A$4:$A$830,"ザック",未払予定一覧!$B$4:$B$830,"未払繰越")+SUMIFS(未払予定一覧!$O$4:$O$830,未払予定一覧!$N$4:$N$830,A21,未払予定一覧!$A$4:$A$830,"ザック",未払予定一覧!$B$4:$B$830,"月次予定")</f>
        <v>0</v>
      </c>
      <c r="D21" s="20">
        <f t="shared" si="0"/>
        <v>0</v>
      </c>
      <c r="E21" s="20">
        <f t="shared" si="1"/>
        <v>0</v>
      </c>
      <c r="F21" s="21">
        <f>SUMIFS(未払予定一覧!$O$4:$O$830,未払予定一覧!$N$4:$N$830,A21,未払予定一覧!$A$4:$A$830,"ザック",未払予定一覧!$B$4:$B$830,"カード枠回復")</f>
        <v>0</v>
      </c>
      <c r="G21" s="122">
        <f t="shared" si="2"/>
        <v>0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SUMIFS(入金入力!$E$4:$E$580,入金入力!$B$4:$B$580,A22,入金入力!$A$4:$A$580,"ザック")+SUMIFS(入金予測!$E$4:$E$603,入金予測!$A$4:$A$603,A22,入金予測!$B$4:$B$603,"ザック")</f>
        <v>0</v>
      </c>
      <c r="C22" s="20">
        <f>SUMIFS(未払予定一覧!$O$4:$O$830,未払予定一覧!$N$4:$N$830,A22,未払予定一覧!$A$4:$A$830,"ザック",未払予定一覧!$B$4:$B$830,"未払繰越")+SUMIFS(未払予定一覧!$O$4:$O$830,未払予定一覧!$N$4:$N$830,A22,未払予定一覧!$A$4:$A$830,"ザック",未払予定一覧!$B$4:$B$830,"月次予定")</f>
        <v>0</v>
      </c>
      <c r="D22" s="20">
        <f t="shared" si="0"/>
        <v>0</v>
      </c>
      <c r="E22" s="20">
        <f t="shared" si="1"/>
        <v>0</v>
      </c>
      <c r="F22" s="21">
        <f>SUMIFS(未払予定一覧!$O$4:$O$830,未払予定一覧!$N$4:$N$830,A22,未払予定一覧!$A$4:$A$830,"ザック",未払予定一覧!$B$4:$B$830,"カード枠回復")</f>
        <v>0</v>
      </c>
      <c r="G22" s="122">
        <f t="shared" si="2"/>
        <v>0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SUMIFS(入金入力!$E$4:$E$580,入金入力!$B$4:$B$580,A23,入金入力!$A$4:$A$580,"ザック")+SUMIFS(入金予測!$E$4:$E$603,入金予測!$A$4:$A$603,A23,入金予測!$B$4:$B$603,"ザック")</f>
        <v>0</v>
      </c>
      <c r="C23" s="20">
        <f>SUMIFS(未払予定一覧!$O$4:$O$830,未払予定一覧!$N$4:$N$830,A23,未払予定一覧!$A$4:$A$830,"ザック",未払予定一覧!$B$4:$B$830,"未払繰越")+SUMIFS(未払予定一覧!$O$4:$O$830,未払予定一覧!$N$4:$N$830,A23,未払予定一覧!$A$4:$A$830,"ザック",未払予定一覧!$B$4:$B$830,"月次予定")</f>
        <v>0</v>
      </c>
      <c r="D23" s="20">
        <f t="shared" si="0"/>
        <v>0</v>
      </c>
      <c r="E23" s="20">
        <f t="shared" si="1"/>
        <v>0</v>
      </c>
      <c r="F23" s="21">
        <f>SUMIFS(未払予定一覧!$O$4:$O$830,未払予定一覧!$N$4:$N$830,A23,未払予定一覧!$A$4:$A$830,"ザック",未払予定一覧!$B$4:$B$830,"カード枠回復")</f>
        <v>0</v>
      </c>
      <c r="G23" s="122">
        <f t="shared" si="2"/>
        <v>0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SUMIFS(入金入力!$E$4:$E$580,入金入力!$B$4:$B$580,A24,入金入力!$A$4:$A$580,"ザック")+SUMIFS(入金予測!$E$4:$E$603,入金予測!$A$4:$A$603,A24,入金予測!$B$4:$B$603,"ザック")</f>
        <v>0</v>
      </c>
      <c r="C24" s="20">
        <f>SUMIFS(未払予定一覧!$O$4:$O$830,未払予定一覧!$N$4:$N$830,A24,未払予定一覧!$A$4:$A$830,"ザック",未払予定一覧!$B$4:$B$830,"未払繰越")+SUMIFS(未払予定一覧!$O$4:$O$830,未払予定一覧!$N$4:$N$830,A24,未払予定一覧!$A$4:$A$830,"ザック",未払予定一覧!$B$4:$B$830,"月次予定")</f>
        <v>0</v>
      </c>
      <c r="D24" s="20">
        <f t="shared" si="0"/>
        <v>0</v>
      </c>
      <c r="E24" s="20">
        <f t="shared" si="1"/>
        <v>0</v>
      </c>
      <c r="F24" s="21">
        <f>SUMIFS(未払予定一覧!$O$4:$O$830,未払予定一覧!$N$4:$N$830,A24,未払予定一覧!$A$4:$A$830,"ザック",未払予定一覧!$B$4:$B$830,"カード枠回復")</f>
        <v>0</v>
      </c>
      <c r="G24" s="122">
        <f t="shared" si="2"/>
        <v>0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SUMIFS(入金入力!$E$4:$E$580,入金入力!$B$4:$B$580,A25,入金入力!$A$4:$A$580,"ザック")+SUMIFS(入金予測!$E$4:$E$603,入金予測!$A$4:$A$603,A25,入金予測!$B$4:$B$603,"ザック")</f>
        <v>5441.4</v>
      </c>
      <c r="C25" s="20">
        <f>SUMIFS(未払予定一覧!$O$4:$O$830,未払予定一覧!$N$4:$N$830,A25,未払予定一覧!$A$4:$A$830,"ザック",未払予定一覧!$B$4:$B$830,"未払繰越")+SUMIFS(未払予定一覧!$O$4:$O$830,未払予定一覧!$N$4:$N$830,A25,未払予定一覧!$A$4:$A$830,"ザック",未払予定一覧!$B$4:$B$830,"月次予定")</f>
        <v>0</v>
      </c>
      <c r="D25" s="20">
        <f t="shared" si="0"/>
        <v>5441.4</v>
      </c>
      <c r="E25" s="20">
        <f t="shared" si="1"/>
        <v>5441.4</v>
      </c>
      <c r="F25" s="21">
        <f>SUMIFS(未払予定一覧!$O$4:$O$830,未払予定一覧!$N$4:$N$830,A25,未払予定一覧!$A$4:$A$830,"ザック",未払予定一覧!$B$4:$B$830,"カード枠回復")</f>
        <v>0</v>
      </c>
      <c r="G25" s="122">
        <f t="shared" si="2"/>
        <v>5441.4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SUMIFS(入金入力!$E$4:$E$580,入金入力!$B$4:$B$580,A26,入金入力!$A$4:$A$580,"ザック")+SUMIFS(入金予測!$E$4:$E$603,入金予測!$A$4:$A$603,A26,入金予測!$B$4:$B$603,"ザック")</f>
        <v>0</v>
      </c>
      <c r="C26" s="20">
        <f>SUMIFS(未払予定一覧!$O$4:$O$830,未払予定一覧!$N$4:$N$830,A26,未払予定一覧!$A$4:$A$830,"ザック",未払予定一覧!$B$4:$B$830,"未払繰越")+SUMIFS(未払予定一覧!$O$4:$O$830,未払予定一覧!$N$4:$N$830,A26,未払予定一覧!$A$4:$A$830,"ザック",未払予定一覧!$B$4:$B$830,"月次予定")</f>
        <v>0</v>
      </c>
      <c r="D26" s="20">
        <f t="shared" si="0"/>
        <v>0</v>
      </c>
      <c r="E26" s="20">
        <f t="shared" si="1"/>
        <v>5441.4</v>
      </c>
      <c r="F26" s="21">
        <f>SUMIFS(未払予定一覧!$O$4:$O$830,未払予定一覧!$N$4:$N$830,A26,未払予定一覧!$A$4:$A$830,"ザック",未払予定一覧!$B$4:$B$830,"カード枠回復")</f>
        <v>0</v>
      </c>
      <c r="G26" s="122">
        <f t="shared" si="2"/>
        <v>5441.4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SUMIFS(入金入力!$E$4:$E$580,入金入力!$B$4:$B$580,A27,入金入力!$A$4:$A$580,"ザック")+SUMIFS(入金予測!$E$4:$E$603,入金予測!$A$4:$A$603,A27,入金予測!$B$4:$B$603,"ザック")</f>
        <v>0</v>
      </c>
      <c r="C27" s="20">
        <f>SUMIFS(未払予定一覧!$O$4:$O$830,未払予定一覧!$N$4:$N$830,A27,未払予定一覧!$A$4:$A$830,"ザック",未払予定一覧!$B$4:$B$830,"未払繰越")+SUMIFS(未払予定一覧!$O$4:$O$830,未払予定一覧!$N$4:$N$830,A27,未払予定一覧!$A$4:$A$830,"ザック",未払予定一覧!$B$4:$B$830,"月次予定")</f>
        <v>0</v>
      </c>
      <c r="D27" s="20">
        <f t="shared" si="0"/>
        <v>0</v>
      </c>
      <c r="E27" s="20">
        <f t="shared" si="1"/>
        <v>5441.4</v>
      </c>
      <c r="F27" s="21">
        <f>SUMIFS(未払予定一覧!$O$4:$O$830,未払予定一覧!$N$4:$N$830,A27,未払予定一覧!$A$4:$A$830,"ザック",未払予定一覧!$B$4:$B$830,"カード枠回復")</f>
        <v>0</v>
      </c>
      <c r="G27" s="122">
        <f t="shared" si="2"/>
        <v>5441.4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SUMIFS(入金入力!$E$4:$E$580,入金入力!$B$4:$B$580,A28,入金入力!$A$4:$A$580,"ザック")+SUMIFS(入金予測!$E$4:$E$603,入金予測!$A$4:$A$603,A28,入金予測!$B$4:$B$603,"ザック")</f>
        <v>0</v>
      </c>
      <c r="C28" s="20">
        <f>SUMIFS(未払予定一覧!$O$4:$O$830,未払予定一覧!$N$4:$N$830,A28,未払予定一覧!$A$4:$A$830,"ザック",未払予定一覧!$B$4:$B$830,"未払繰越")+SUMIFS(未払予定一覧!$O$4:$O$830,未払予定一覧!$N$4:$N$830,A28,未払予定一覧!$A$4:$A$830,"ザック",未払予定一覧!$B$4:$B$830,"月次予定")</f>
        <v>0</v>
      </c>
      <c r="D28" s="20">
        <f t="shared" si="0"/>
        <v>0</v>
      </c>
      <c r="E28" s="20">
        <f t="shared" si="1"/>
        <v>5441.4</v>
      </c>
      <c r="F28" s="21">
        <f>SUMIFS(未払予定一覧!$O$4:$O$830,未払予定一覧!$N$4:$N$830,A28,未払予定一覧!$A$4:$A$830,"ザック",未払予定一覧!$B$4:$B$830,"カード枠回復")</f>
        <v>0</v>
      </c>
      <c r="G28" s="122">
        <f t="shared" si="2"/>
        <v>5441.4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SUMIFS(入金入力!$E$4:$E$580,入金入力!$B$4:$B$580,A29,入金入力!$A$4:$A$580,"ザック")+SUMIFS(入金予測!$E$4:$E$603,入金予測!$A$4:$A$603,A29,入金予測!$B$4:$B$603,"ザック")</f>
        <v>0</v>
      </c>
      <c r="C29" s="20">
        <f>SUMIFS(未払予定一覧!$O$4:$O$830,未払予定一覧!$N$4:$N$830,A29,未払予定一覧!$A$4:$A$830,"ザック",未払予定一覧!$B$4:$B$830,"未払繰越")+SUMIFS(未払予定一覧!$O$4:$O$830,未払予定一覧!$N$4:$N$830,A29,未払予定一覧!$A$4:$A$830,"ザック",未払予定一覧!$B$4:$B$830,"月次予定")</f>
        <v>0</v>
      </c>
      <c r="D29" s="20">
        <f t="shared" si="0"/>
        <v>0</v>
      </c>
      <c r="E29" s="20">
        <f t="shared" si="1"/>
        <v>5441.4</v>
      </c>
      <c r="F29" s="21">
        <f>SUMIFS(未払予定一覧!$O$4:$O$830,未払予定一覧!$N$4:$N$830,A29,未払予定一覧!$A$4:$A$830,"ザック",未払予定一覧!$B$4:$B$830,"カード枠回復")</f>
        <v>0</v>
      </c>
      <c r="G29" s="122">
        <f t="shared" si="2"/>
        <v>5441.4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SUMIFS(入金入力!$E$4:$E$580,入金入力!$B$4:$B$580,A30,入金入力!$A$4:$A$580,"ザック")+SUMIFS(入金予測!$E$4:$E$603,入金予測!$A$4:$A$603,A30,入金予測!$B$4:$B$603,"ザック")</f>
        <v>0</v>
      </c>
      <c r="C30" s="20">
        <f>SUMIFS(未払予定一覧!$O$4:$O$830,未払予定一覧!$N$4:$N$830,A30,未払予定一覧!$A$4:$A$830,"ザック",未払予定一覧!$B$4:$B$830,"未払繰越")+SUMIFS(未払予定一覧!$O$4:$O$830,未払予定一覧!$N$4:$N$830,A30,未払予定一覧!$A$4:$A$830,"ザック",未払予定一覧!$B$4:$B$830,"月次予定")</f>
        <v>272000</v>
      </c>
      <c r="D30" s="20">
        <f t="shared" si="0"/>
        <v>-272000</v>
      </c>
      <c r="E30" s="20">
        <f t="shared" si="1"/>
        <v>-266558.59999999998</v>
      </c>
      <c r="F30" s="21">
        <f>SUMIFS(未払予定一覧!$O$4:$O$830,未払予定一覧!$N$4:$N$830,A30,未払予定一覧!$A$4:$A$830,"ザック",未払予定一覧!$B$4:$B$830,"カード枠回復")</f>
        <v>0</v>
      </c>
      <c r="G30" s="122">
        <f t="shared" si="2"/>
        <v>-266558.59999999998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SUMIFS(入金入力!$E$4:$E$580,入金入力!$B$4:$B$580,A31,入金入力!$A$4:$A$580,"ザック")+SUMIFS(入金予測!$E$4:$E$603,入金予測!$A$4:$A$603,A31,入金予測!$B$4:$B$603,"ザック")</f>
        <v>0</v>
      </c>
      <c r="C31" s="20">
        <f>SUMIFS(未払予定一覧!$O$4:$O$830,未払予定一覧!$N$4:$N$830,A31,未払予定一覧!$A$4:$A$830,"ザック",未払予定一覧!$B$4:$B$830,"未払繰越")+SUMIFS(未払予定一覧!$O$4:$O$830,未払予定一覧!$N$4:$N$830,A31,未払予定一覧!$A$4:$A$830,"ザック",未払予定一覧!$B$4:$B$830,"月次予定")</f>
        <v>0</v>
      </c>
      <c r="D31" s="20">
        <f t="shared" si="0"/>
        <v>0</v>
      </c>
      <c r="E31" s="20">
        <f t="shared" si="1"/>
        <v>-266558.59999999998</v>
      </c>
      <c r="F31" s="21">
        <f>SUMIFS(未払予定一覧!$O$4:$O$830,未払予定一覧!$N$4:$N$830,A31,未払予定一覧!$A$4:$A$830,"ザック",未払予定一覧!$B$4:$B$830,"カード枠回復")</f>
        <v>0</v>
      </c>
      <c r="G31" s="122">
        <f t="shared" si="2"/>
        <v>-266558.59999999998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SUMIFS(入金入力!$E$4:$E$580,入金入力!$B$4:$B$580,A32,入金入力!$A$4:$A$580,"ザック")+SUMIFS(入金予測!$E$4:$E$603,入金予測!$A$4:$A$603,A32,入金予測!$B$4:$B$603,"ザック")</f>
        <v>0</v>
      </c>
      <c r="C32" s="20">
        <f>SUMIFS(未払予定一覧!$O$4:$O$830,未払予定一覧!$N$4:$N$830,A32,未払予定一覧!$A$4:$A$830,"ザック",未払予定一覧!$B$4:$B$830,"未払繰越")+SUMIFS(未払予定一覧!$O$4:$O$830,未払予定一覧!$N$4:$N$830,A32,未払予定一覧!$A$4:$A$830,"ザック",未払予定一覧!$B$4:$B$830,"月次予定")</f>
        <v>0</v>
      </c>
      <c r="D32" s="20">
        <f t="shared" si="0"/>
        <v>0</v>
      </c>
      <c r="E32" s="20">
        <f t="shared" si="1"/>
        <v>-266558.59999999998</v>
      </c>
      <c r="F32" s="21">
        <f>SUMIFS(未払予定一覧!$O$4:$O$830,未払予定一覧!$N$4:$N$830,A32,未払予定一覧!$A$4:$A$830,"ザック",未払予定一覧!$B$4:$B$830,"カード枠回復")</f>
        <v>0</v>
      </c>
      <c r="G32" s="122">
        <f t="shared" si="2"/>
        <v>-266558.59999999998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SUMIFS(入金入力!$E$4:$E$580,入金入力!$B$4:$B$580,A33,入金入力!$A$4:$A$580,"ザック")+SUMIFS(入金予測!$E$4:$E$603,入金予測!$A$4:$A$603,A33,入金予測!$B$4:$B$603,"ザック")</f>
        <v>0</v>
      </c>
      <c r="C33" s="20">
        <f>SUMIFS(未払予定一覧!$O$4:$O$830,未払予定一覧!$N$4:$N$830,A33,未払予定一覧!$A$4:$A$830,"ザック",未払予定一覧!$B$4:$B$830,"未払繰越")+SUMIFS(未払予定一覧!$O$4:$O$830,未払予定一覧!$N$4:$N$830,A33,未払予定一覧!$A$4:$A$830,"ザック",未払予定一覧!$B$4:$B$830,"月次予定")</f>
        <v>0</v>
      </c>
      <c r="D33" s="20">
        <f t="shared" si="0"/>
        <v>0</v>
      </c>
      <c r="E33" s="20">
        <f t="shared" si="1"/>
        <v>-266558.59999999998</v>
      </c>
      <c r="F33" s="21">
        <f>SUMIFS(未払予定一覧!$O$4:$O$830,未払予定一覧!$N$4:$N$830,A33,未払予定一覧!$A$4:$A$830,"ザック",未払予定一覧!$B$4:$B$830,"カード枠回復")</f>
        <v>0</v>
      </c>
      <c r="G33" s="122">
        <f t="shared" si="2"/>
        <v>-266558.59999999998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SUMIFS(入金入力!$E$4:$E$580,入金入力!$B$4:$B$580,A34,入金入力!$A$4:$A$580,"ザック")+SUMIFS(入金予測!$E$4:$E$603,入金予測!$A$4:$A$603,A34,入金予測!$B$4:$B$603,"ザック")</f>
        <v>0</v>
      </c>
      <c r="C34" s="20">
        <f>SUMIFS(未払予定一覧!$O$4:$O$830,未払予定一覧!$N$4:$N$830,A34,未払予定一覧!$A$4:$A$830,"ザック",未払予定一覧!$B$4:$B$830,"未払繰越")+SUMIFS(未払予定一覧!$O$4:$O$830,未払予定一覧!$N$4:$N$830,A34,未払予定一覧!$A$4:$A$830,"ザック",未払予定一覧!$B$4:$B$830,"月次予定")</f>
        <v>0</v>
      </c>
      <c r="D34" s="20">
        <f t="shared" si="0"/>
        <v>0</v>
      </c>
      <c r="E34" s="20">
        <f t="shared" si="1"/>
        <v>-266558.59999999998</v>
      </c>
      <c r="F34" s="21">
        <f>SUMIFS(未払予定一覧!$O$4:$O$830,未払予定一覧!$N$4:$N$830,A34,未払予定一覧!$A$4:$A$830,"ザック",未払予定一覧!$B$4:$B$830,"カード枠回復")</f>
        <v>0</v>
      </c>
      <c r="G34" s="122">
        <f t="shared" si="2"/>
        <v>-266558.59999999998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SUMIFS(入金入力!$E$4:$E$580,入金入力!$B$4:$B$580,A35,入金入力!$A$4:$A$580,"ザック")+SUMIFS(入金予測!$E$4:$E$603,入金予測!$A$4:$A$603,A35,入金予測!$B$4:$B$603,"ザック")</f>
        <v>0</v>
      </c>
      <c r="C35" s="20">
        <f>SUMIFS(未払予定一覧!$O$4:$O$830,未払予定一覧!$N$4:$N$830,A35,未払予定一覧!$A$4:$A$830,"ザック",未払予定一覧!$B$4:$B$830,"未払繰越")+SUMIFS(未払予定一覧!$O$4:$O$830,未払予定一覧!$N$4:$N$830,A35,未払予定一覧!$A$4:$A$830,"ザック",未払予定一覧!$B$4:$B$830,"月次予定")</f>
        <v>0</v>
      </c>
      <c r="D35" s="20">
        <f t="shared" si="0"/>
        <v>0</v>
      </c>
      <c r="E35" s="20">
        <f t="shared" si="1"/>
        <v>-266558.59999999998</v>
      </c>
      <c r="F35" s="21">
        <f>SUMIFS(未払予定一覧!$O$4:$O$830,未払予定一覧!$N$4:$N$830,A35,未払予定一覧!$A$4:$A$830,"ザック",未払予定一覧!$B$4:$B$830,"カード枠回復")</f>
        <v>0</v>
      </c>
      <c r="G35" s="122">
        <f t="shared" si="2"/>
        <v>-266558.59999999998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SUMIFS(入金入力!$E$4:$E$580,入金入力!$B$4:$B$580,A36,入金入力!$A$4:$A$580,"ザック")+SUMIFS(入金予測!$E$4:$E$603,入金予測!$A$4:$A$603,A36,入金予測!$B$4:$B$603,"ザック")</f>
        <v>0</v>
      </c>
      <c r="C36" s="20">
        <f>SUMIFS(未払予定一覧!$O$4:$O$830,未払予定一覧!$N$4:$N$830,A36,未払予定一覧!$A$4:$A$830,"ザック",未払予定一覧!$B$4:$B$830,"未払繰越")+SUMIFS(未払予定一覧!$O$4:$O$830,未払予定一覧!$N$4:$N$830,A36,未払予定一覧!$A$4:$A$830,"ザック",未払予定一覧!$B$4:$B$830,"月次予定")</f>
        <v>6050</v>
      </c>
      <c r="D36" s="20">
        <f t="shared" si="0"/>
        <v>-6050</v>
      </c>
      <c r="E36" s="20">
        <f t="shared" si="1"/>
        <v>-272608.59999999998</v>
      </c>
      <c r="F36" s="21">
        <f>SUMIFS(未払予定一覧!$O$4:$O$830,未払予定一覧!$N$4:$N$830,A36,未払予定一覧!$A$4:$A$830,"ザック",未払予定一覧!$B$4:$B$830,"カード枠回復")</f>
        <v>0</v>
      </c>
      <c r="G36" s="122">
        <f t="shared" si="2"/>
        <v>-272608.59999999998</v>
      </c>
      <c r="H36" s="125" t="s">
        <v>689</v>
      </c>
    </row>
    <row r="37" spans="1:8" ht="15" customHeight="1">
      <c r="A37" s="23" t="s">
        <v>690</v>
      </c>
      <c r="B37" s="24">
        <f>SUM(B5:B36)</f>
        <v>5441.4</v>
      </c>
      <c r="C37" s="24">
        <f>SUM(C5:C36)</f>
        <v>278050</v>
      </c>
      <c r="D37" s="24">
        <f t="shared" si="0"/>
        <v>-272608.59999999998</v>
      </c>
      <c r="E37" s="24">
        <f>E36</f>
        <v>-272608.59999999998</v>
      </c>
      <c r="F37" s="24">
        <f>SUM(F5:F36)</f>
        <v>0</v>
      </c>
      <c r="G37" s="24">
        <f>G36</f>
        <v>-272608.59999999998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SUMIFS(入金入力!$E$4:$E$580,入金入力!$B$4:$B$580,A40,入金入力!$A$4:$A$580,"ザック")+SUMIFS(入金予測!$E$4:$E$603,入金予測!$A$4:$A$603,A40,入金予測!$B$4:$B$603,"ザック")</f>
        <v>0</v>
      </c>
      <c r="C40" s="20">
        <f>SUMIFS(未払予定一覧!$O$4:$O$830,未払予定一覧!$N$4:$N$830,A40,未払予定一覧!$A$4:$A$830,"ザック",未払予定一覧!$B$4:$B$830,"未払繰越")+SUMIFS(未払予定一覧!$O$4:$O$830,未払予定一覧!$N$4:$N$830,A40,未払予定一覧!$A$4:$A$830,"ザック",未払予定一覧!$B$4:$B$830,"月次予定")</f>
        <v>0</v>
      </c>
      <c r="D40" s="20">
        <f t="shared" ref="D40:D70" si="3">B40-C40-F40</f>
        <v>0</v>
      </c>
      <c r="E40" s="20">
        <f>E37+D40</f>
        <v>-272608.59999999998</v>
      </c>
      <c r="F40" s="21">
        <f>SUMIFS(未払予定一覧!$O$4:$O$830,未払予定一覧!$N$4:$N$830,A40,未払予定一覧!$A$4:$A$830,"ザック",未払予定一覧!$B$4:$B$830,"カード枠回復")</f>
        <v>0</v>
      </c>
      <c r="G40" s="122">
        <f>G37+D40+F40</f>
        <v>-272608.59999999998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SUMIFS(入金入力!$E$4:$E$580,入金入力!$B$4:$B$580,A41,入金入力!$A$4:$A$580,"ザック")+SUMIFS(入金予測!$E$4:$E$603,入金予測!$A$4:$A$603,A41,入金予測!$B$4:$B$603,"ザック")</f>
        <v>0</v>
      </c>
      <c r="C41" s="20">
        <f>SUMIFS(未払予定一覧!$O$4:$O$830,未払予定一覧!$N$4:$N$830,A41,未払予定一覧!$A$4:$A$830,"ザック",未払予定一覧!$B$4:$B$830,"未払繰越")+SUMIFS(未払予定一覧!$O$4:$O$830,未払予定一覧!$N$4:$N$830,A41,未払予定一覧!$A$4:$A$830,"ザック",未払予定一覧!$B$4:$B$830,"月次予定")</f>
        <v>0</v>
      </c>
      <c r="D41" s="20">
        <f t="shared" si="3"/>
        <v>0</v>
      </c>
      <c r="E41" s="20">
        <f t="shared" ref="E41:E69" si="4">E40+D41</f>
        <v>-272608.59999999998</v>
      </c>
      <c r="F41" s="21">
        <f>SUMIFS(未払予定一覧!$O$4:$O$830,未払予定一覧!$N$4:$N$830,A41,未払予定一覧!$A$4:$A$830,"ザック",未払予定一覧!$B$4:$B$830,"カード枠回復")</f>
        <v>0</v>
      </c>
      <c r="G41" s="122">
        <f t="shared" ref="G41:G69" si="5">G40+D41+F41</f>
        <v>-272608.59999999998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SUMIFS(入金入力!$E$4:$E$580,入金入力!$B$4:$B$580,A42,入金入力!$A$4:$A$580,"ザック")+SUMIFS(入金予測!$E$4:$E$603,入金予測!$A$4:$A$603,A42,入金予測!$B$4:$B$603,"ザック")</f>
        <v>0</v>
      </c>
      <c r="C42" s="20">
        <f>SUMIFS(未払予定一覧!$O$4:$O$830,未払予定一覧!$N$4:$N$830,A42,未払予定一覧!$A$4:$A$830,"ザック",未払予定一覧!$B$4:$B$830,"未払繰越")+SUMIFS(未払予定一覧!$O$4:$O$830,未払予定一覧!$N$4:$N$830,A42,未払予定一覧!$A$4:$A$830,"ザック",未払予定一覧!$B$4:$B$830,"月次予定")</f>
        <v>0</v>
      </c>
      <c r="D42" s="20">
        <f t="shared" si="3"/>
        <v>0</v>
      </c>
      <c r="E42" s="20">
        <f t="shared" si="4"/>
        <v>-272608.59999999998</v>
      </c>
      <c r="F42" s="21">
        <f>SUMIFS(未払予定一覧!$O$4:$O$830,未払予定一覧!$N$4:$N$830,A42,未払予定一覧!$A$4:$A$830,"ザック",未払予定一覧!$B$4:$B$830,"カード枠回復")</f>
        <v>0</v>
      </c>
      <c r="G42" s="122">
        <f t="shared" si="5"/>
        <v>-272608.59999999998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SUMIFS(入金入力!$E$4:$E$580,入金入力!$B$4:$B$580,A43,入金入力!$A$4:$A$580,"ザック")+SUMIFS(入金予測!$E$4:$E$603,入金予測!$A$4:$A$603,A43,入金予測!$B$4:$B$603,"ザック")</f>
        <v>0</v>
      </c>
      <c r="C43" s="20">
        <f>SUMIFS(未払予定一覧!$O$4:$O$830,未払予定一覧!$N$4:$N$830,A43,未払予定一覧!$A$4:$A$830,"ザック",未払予定一覧!$B$4:$B$830,"未払繰越")+SUMIFS(未払予定一覧!$O$4:$O$830,未払予定一覧!$N$4:$N$830,A43,未払予定一覧!$A$4:$A$830,"ザック",未払予定一覧!$B$4:$B$830,"月次予定")</f>
        <v>0</v>
      </c>
      <c r="D43" s="20">
        <f t="shared" si="3"/>
        <v>0</v>
      </c>
      <c r="E43" s="20">
        <f t="shared" si="4"/>
        <v>-272608.59999999998</v>
      </c>
      <c r="F43" s="21">
        <f>SUMIFS(未払予定一覧!$O$4:$O$830,未払予定一覧!$N$4:$N$830,A43,未払予定一覧!$A$4:$A$830,"ザック",未払予定一覧!$B$4:$B$830,"カード枠回復")</f>
        <v>0</v>
      </c>
      <c r="G43" s="122">
        <f t="shared" si="5"/>
        <v>-272608.59999999998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SUMIFS(入金入力!$E$4:$E$580,入金入力!$B$4:$B$580,A44,入金入力!$A$4:$A$580,"ザック")+SUMIFS(入金予測!$E$4:$E$603,入金予測!$A$4:$A$603,A44,入金予測!$B$4:$B$603,"ザック")</f>
        <v>0</v>
      </c>
      <c r="C44" s="20">
        <f>SUMIFS(未払予定一覧!$O$4:$O$830,未払予定一覧!$N$4:$N$830,A44,未払予定一覧!$A$4:$A$830,"ザック",未払予定一覧!$B$4:$B$830,"未払繰越")+SUMIFS(未払予定一覧!$O$4:$O$830,未払予定一覧!$N$4:$N$830,A44,未払予定一覧!$A$4:$A$830,"ザック",未払予定一覧!$B$4:$B$830,"月次予定")</f>
        <v>0</v>
      </c>
      <c r="D44" s="20">
        <f t="shared" si="3"/>
        <v>0</v>
      </c>
      <c r="E44" s="20">
        <f t="shared" si="4"/>
        <v>-272608.59999999998</v>
      </c>
      <c r="F44" s="21">
        <f>SUMIFS(未払予定一覧!$O$4:$O$830,未払予定一覧!$N$4:$N$830,A44,未払予定一覧!$A$4:$A$830,"ザック",未払予定一覧!$B$4:$B$830,"カード枠回復")</f>
        <v>0</v>
      </c>
      <c r="G44" s="122">
        <f t="shared" si="5"/>
        <v>-272608.59999999998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SUMIFS(入金入力!$E$4:$E$580,入金入力!$B$4:$B$580,A45,入金入力!$A$4:$A$580,"ザック")+SUMIFS(入金予測!$E$4:$E$603,入金予測!$A$4:$A$603,A45,入金予測!$B$4:$B$603,"ザック")</f>
        <v>0</v>
      </c>
      <c r="C45" s="20">
        <f>SUMIFS(未払予定一覧!$O$4:$O$830,未払予定一覧!$N$4:$N$830,A45,未払予定一覧!$A$4:$A$830,"ザック",未払予定一覧!$B$4:$B$830,"未払繰越")+SUMIFS(未払予定一覧!$O$4:$O$830,未払予定一覧!$N$4:$N$830,A45,未払予定一覧!$A$4:$A$830,"ザック",未払予定一覧!$B$4:$B$830,"月次予定")</f>
        <v>0</v>
      </c>
      <c r="D45" s="20">
        <f t="shared" si="3"/>
        <v>0</v>
      </c>
      <c r="E45" s="20">
        <f t="shared" si="4"/>
        <v>-272608.59999999998</v>
      </c>
      <c r="F45" s="21">
        <f>SUMIFS(未払予定一覧!$O$4:$O$830,未払予定一覧!$N$4:$N$830,A45,未払予定一覧!$A$4:$A$830,"ザック",未払予定一覧!$B$4:$B$830,"カード枠回復")</f>
        <v>0</v>
      </c>
      <c r="G45" s="122">
        <f t="shared" si="5"/>
        <v>-272608.59999999998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SUMIFS(入金入力!$E$4:$E$580,入金入力!$B$4:$B$580,A46,入金入力!$A$4:$A$580,"ザック")+SUMIFS(入金予測!$E$4:$E$603,入金予測!$A$4:$A$603,A46,入金予測!$B$4:$B$603,"ザック")</f>
        <v>0</v>
      </c>
      <c r="C46" s="20">
        <f>SUMIFS(未払予定一覧!$O$4:$O$830,未払予定一覧!$N$4:$N$830,A46,未払予定一覧!$A$4:$A$830,"ザック",未払予定一覧!$B$4:$B$830,"未払繰越")+SUMIFS(未払予定一覧!$O$4:$O$830,未払予定一覧!$N$4:$N$830,A46,未払予定一覧!$A$4:$A$830,"ザック",未払予定一覧!$B$4:$B$830,"月次予定")</f>
        <v>0</v>
      </c>
      <c r="D46" s="20">
        <f t="shared" si="3"/>
        <v>0</v>
      </c>
      <c r="E46" s="20">
        <f t="shared" si="4"/>
        <v>-272608.59999999998</v>
      </c>
      <c r="F46" s="21">
        <f>SUMIFS(未払予定一覧!$O$4:$O$830,未払予定一覧!$N$4:$N$830,A46,未払予定一覧!$A$4:$A$830,"ザック",未払予定一覧!$B$4:$B$830,"カード枠回復")</f>
        <v>0</v>
      </c>
      <c r="G46" s="122">
        <f t="shared" si="5"/>
        <v>-272608.59999999998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SUMIFS(入金入力!$E$4:$E$580,入金入力!$B$4:$B$580,A47,入金入力!$A$4:$A$580,"ザック")+SUMIFS(入金予測!$E$4:$E$603,入金予測!$A$4:$A$603,A47,入金予測!$B$4:$B$603,"ザック")</f>
        <v>0</v>
      </c>
      <c r="C47" s="20">
        <f>SUMIFS(未払予定一覧!$O$4:$O$830,未払予定一覧!$N$4:$N$830,A47,未払予定一覧!$A$4:$A$830,"ザック",未払予定一覧!$B$4:$B$830,"未払繰越")+SUMIFS(未払予定一覧!$O$4:$O$830,未払予定一覧!$N$4:$N$830,A47,未払予定一覧!$A$4:$A$830,"ザック",未払予定一覧!$B$4:$B$830,"月次予定")</f>
        <v>0</v>
      </c>
      <c r="D47" s="20">
        <f t="shared" si="3"/>
        <v>0</v>
      </c>
      <c r="E47" s="20">
        <f t="shared" si="4"/>
        <v>-272608.59999999998</v>
      </c>
      <c r="F47" s="21">
        <f>SUMIFS(未払予定一覧!$O$4:$O$830,未払予定一覧!$N$4:$N$830,A47,未払予定一覧!$A$4:$A$830,"ザック",未払予定一覧!$B$4:$B$830,"カード枠回復")</f>
        <v>0</v>
      </c>
      <c r="G47" s="122">
        <f t="shared" si="5"/>
        <v>-272608.59999999998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SUMIFS(入金入力!$E$4:$E$580,入金入力!$B$4:$B$580,A48,入金入力!$A$4:$A$580,"ザック")+SUMIFS(入金予測!$E$4:$E$603,入金予測!$A$4:$A$603,A48,入金予測!$B$4:$B$603,"ザック")</f>
        <v>0</v>
      </c>
      <c r="C48" s="20">
        <f>SUMIFS(未払予定一覧!$O$4:$O$830,未払予定一覧!$N$4:$N$830,A48,未払予定一覧!$A$4:$A$830,"ザック",未払予定一覧!$B$4:$B$830,"未払繰越")+SUMIFS(未払予定一覧!$O$4:$O$830,未払予定一覧!$N$4:$N$830,A48,未払予定一覧!$A$4:$A$830,"ザック",未払予定一覧!$B$4:$B$830,"月次予定")</f>
        <v>0</v>
      </c>
      <c r="D48" s="20">
        <f t="shared" si="3"/>
        <v>0</v>
      </c>
      <c r="E48" s="20">
        <f t="shared" si="4"/>
        <v>-272608.59999999998</v>
      </c>
      <c r="F48" s="21">
        <f>SUMIFS(未払予定一覧!$O$4:$O$830,未払予定一覧!$N$4:$N$830,A48,未払予定一覧!$A$4:$A$830,"ザック",未払予定一覧!$B$4:$B$830,"カード枠回復")</f>
        <v>0</v>
      </c>
      <c r="G48" s="122">
        <f t="shared" si="5"/>
        <v>-272608.59999999998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SUMIFS(入金入力!$E$4:$E$580,入金入力!$B$4:$B$580,A49,入金入力!$A$4:$A$580,"ザック")+SUMIFS(入金予測!$E$4:$E$603,入金予測!$A$4:$A$603,A49,入金予測!$B$4:$B$603,"ザック")</f>
        <v>27207</v>
      </c>
      <c r="C49" s="20">
        <f>SUMIFS(未払予定一覧!$O$4:$O$830,未払予定一覧!$N$4:$N$830,A49,未払予定一覧!$A$4:$A$830,"ザック",未払予定一覧!$B$4:$B$830,"未払繰越")+SUMIFS(未払予定一覧!$O$4:$O$830,未払予定一覧!$N$4:$N$830,A49,未払予定一覧!$A$4:$A$830,"ザック",未払予定一覧!$B$4:$B$830,"月次予定")</f>
        <v>0</v>
      </c>
      <c r="D49" s="20">
        <f t="shared" si="3"/>
        <v>27207</v>
      </c>
      <c r="E49" s="20">
        <f t="shared" si="4"/>
        <v>-245401.59999999998</v>
      </c>
      <c r="F49" s="21">
        <f>SUMIFS(未払予定一覧!$O$4:$O$830,未払予定一覧!$N$4:$N$830,A49,未払予定一覧!$A$4:$A$830,"ザック",未払予定一覧!$B$4:$B$830,"カード枠回復")</f>
        <v>0</v>
      </c>
      <c r="G49" s="122">
        <f t="shared" si="5"/>
        <v>-245401.59999999998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SUMIFS(入金入力!$E$4:$E$580,入金入力!$B$4:$B$580,A50,入金入力!$A$4:$A$580,"ザック")+SUMIFS(入金予測!$E$4:$E$603,入金予測!$A$4:$A$603,A50,入金予測!$B$4:$B$603,"ザック")</f>
        <v>0</v>
      </c>
      <c r="C50" s="20">
        <f>SUMIFS(未払予定一覧!$O$4:$O$830,未払予定一覧!$N$4:$N$830,A50,未払予定一覧!$A$4:$A$830,"ザック",未払予定一覧!$B$4:$B$830,"未払繰越")+SUMIFS(未払予定一覧!$O$4:$O$830,未払予定一覧!$N$4:$N$830,A50,未払予定一覧!$A$4:$A$830,"ザック",未払予定一覧!$B$4:$B$830,"月次予定")</f>
        <v>0</v>
      </c>
      <c r="D50" s="20">
        <f t="shared" si="3"/>
        <v>0</v>
      </c>
      <c r="E50" s="20">
        <f t="shared" si="4"/>
        <v>-245401.59999999998</v>
      </c>
      <c r="F50" s="21">
        <f>SUMIFS(未払予定一覧!$O$4:$O$830,未払予定一覧!$N$4:$N$830,A50,未払予定一覧!$A$4:$A$830,"ザック",未払予定一覧!$B$4:$B$830,"カード枠回復")</f>
        <v>0</v>
      </c>
      <c r="G50" s="122">
        <f t="shared" si="5"/>
        <v>-245401.59999999998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SUMIFS(入金入力!$E$4:$E$580,入金入力!$B$4:$B$580,A51,入金入力!$A$4:$A$580,"ザック")+SUMIFS(入金予測!$E$4:$E$603,入金予測!$A$4:$A$603,A51,入金予測!$B$4:$B$603,"ザック")</f>
        <v>0</v>
      </c>
      <c r="C51" s="20">
        <f>SUMIFS(未払予定一覧!$O$4:$O$830,未払予定一覧!$N$4:$N$830,A51,未払予定一覧!$A$4:$A$830,"ザック",未払予定一覧!$B$4:$B$830,"未払繰越")+SUMIFS(未払予定一覧!$O$4:$O$830,未払予定一覧!$N$4:$N$830,A51,未払予定一覧!$A$4:$A$830,"ザック",未払予定一覧!$B$4:$B$830,"月次予定")</f>
        <v>0</v>
      </c>
      <c r="D51" s="20">
        <f t="shared" si="3"/>
        <v>0</v>
      </c>
      <c r="E51" s="20">
        <f t="shared" si="4"/>
        <v>-245401.59999999998</v>
      </c>
      <c r="F51" s="21">
        <f>SUMIFS(未払予定一覧!$O$4:$O$830,未払予定一覧!$N$4:$N$830,A51,未払予定一覧!$A$4:$A$830,"ザック",未払予定一覧!$B$4:$B$830,"カード枠回復")</f>
        <v>0</v>
      </c>
      <c r="G51" s="122">
        <f t="shared" si="5"/>
        <v>-245401.59999999998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SUMIFS(入金入力!$E$4:$E$580,入金入力!$B$4:$B$580,A52,入金入力!$A$4:$A$580,"ザック")+SUMIFS(入金予測!$E$4:$E$603,入金予測!$A$4:$A$603,A52,入金予測!$B$4:$B$603,"ザック")</f>
        <v>0</v>
      </c>
      <c r="C52" s="20">
        <f>SUMIFS(未払予定一覧!$O$4:$O$830,未払予定一覧!$N$4:$N$830,A52,未払予定一覧!$A$4:$A$830,"ザック",未払予定一覧!$B$4:$B$830,"未払繰越")+SUMIFS(未払予定一覧!$O$4:$O$830,未払予定一覧!$N$4:$N$830,A52,未払予定一覧!$A$4:$A$830,"ザック",未払予定一覧!$B$4:$B$830,"月次予定")</f>
        <v>0</v>
      </c>
      <c r="D52" s="20">
        <f t="shared" si="3"/>
        <v>0</v>
      </c>
      <c r="E52" s="20">
        <f t="shared" si="4"/>
        <v>-245401.59999999998</v>
      </c>
      <c r="F52" s="21">
        <f>SUMIFS(未払予定一覧!$O$4:$O$830,未払予定一覧!$N$4:$N$830,A52,未払予定一覧!$A$4:$A$830,"ザック",未払予定一覧!$B$4:$B$830,"カード枠回復")</f>
        <v>0</v>
      </c>
      <c r="G52" s="122">
        <f t="shared" si="5"/>
        <v>-245401.59999999998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SUMIFS(入金入力!$E$4:$E$580,入金入力!$B$4:$B$580,A53,入金入力!$A$4:$A$580,"ザック")+SUMIFS(入金予測!$E$4:$E$603,入金予測!$A$4:$A$603,A53,入金予測!$B$4:$B$603,"ザック")</f>
        <v>0</v>
      </c>
      <c r="C53" s="20">
        <f>SUMIFS(未払予定一覧!$O$4:$O$830,未払予定一覧!$N$4:$N$830,A53,未払予定一覧!$A$4:$A$830,"ザック",未払予定一覧!$B$4:$B$830,"未払繰越")+SUMIFS(未払予定一覧!$O$4:$O$830,未払予定一覧!$N$4:$N$830,A53,未払予定一覧!$A$4:$A$830,"ザック",未払予定一覧!$B$4:$B$830,"月次予定")</f>
        <v>0</v>
      </c>
      <c r="D53" s="20">
        <f t="shared" si="3"/>
        <v>0</v>
      </c>
      <c r="E53" s="20">
        <f t="shared" si="4"/>
        <v>-245401.59999999998</v>
      </c>
      <c r="F53" s="21">
        <f>SUMIFS(未払予定一覧!$O$4:$O$830,未払予定一覧!$N$4:$N$830,A53,未払予定一覧!$A$4:$A$830,"ザック",未払予定一覧!$B$4:$B$830,"カード枠回復")</f>
        <v>0</v>
      </c>
      <c r="G53" s="122">
        <f t="shared" si="5"/>
        <v>-245401.59999999998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SUMIFS(入金入力!$E$4:$E$580,入金入力!$B$4:$B$580,A54,入金入力!$A$4:$A$580,"ザック")+SUMIFS(入金予測!$E$4:$E$603,入金予測!$A$4:$A$603,A54,入金予測!$B$4:$B$603,"ザック")</f>
        <v>0</v>
      </c>
      <c r="C54" s="20">
        <f>SUMIFS(未払予定一覧!$O$4:$O$830,未払予定一覧!$N$4:$N$830,A54,未払予定一覧!$A$4:$A$830,"ザック",未払予定一覧!$B$4:$B$830,"未払繰越")+SUMIFS(未払予定一覧!$O$4:$O$830,未払予定一覧!$N$4:$N$830,A54,未払予定一覧!$A$4:$A$830,"ザック",未払予定一覧!$B$4:$B$830,"月次予定")</f>
        <v>0</v>
      </c>
      <c r="D54" s="20">
        <f t="shared" si="3"/>
        <v>0</v>
      </c>
      <c r="E54" s="20">
        <f t="shared" si="4"/>
        <v>-245401.59999999998</v>
      </c>
      <c r="F54" s="21">
        <f>SUMIFS(未払予定一覧!$O$4:$O$830,未払予定一覧!$N$4:$N$830,A54,未払予定一覧!$A$4:$A$830,"ザック",未払予定一覧!$B$4:$B$830,"カード枠回復")</f>
        <v>0</v>
      </c>
      <c r="G54" s="122">
        <f t="shared" si="5"/>
        <v>-245401.59999999998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SUMIFS(入金入力!$E$4:$E$580,入金入力!$B$4:$B$580,A55,入金入力!$A$4:$A$580,"ザック")+SUMIFS(入金予測!$E$4:$E$603,入金予測!$A$4:$A$603,A55,入金予測!$B$4:$B$603,"ザック")</f>
        <v>0</v>
      </c>
      <c r="C55" s="20">
        <f>SUMIFS(未払予定一覧!$O$4:$O$830,未払予定一覧!$N$4:$N$830,A55,未払予定一覧!$A$4:$A$830,"ザック",未払予定一覧!$B$4:$B$830,"未払繰越")+SUMIFS(未払予定一覧!$O$4:$O$830,未払予定一覧!$N$4:$N$830,A55,未払予定一覧!$A$4:$A$830,"ザック",未払予定一覧!$B$4:$B$830,"月次予定")</f>
        <v>0</v>
      </c>
      <c r="D55" s="20">
        <f t="shared" si="3"/>
        <v>0</v>
      </c>
      <c r="E55" s="20">
        <f t="shared" si="4"/>
        <v>-245401.59999999998</v>
      </c>
      <c r="F55" s="21">
        <f>SUMIFS(未払予定一覧!$O$4:$O$830,未払予定一覧!$N$4:$N$830,A55,未払予定一覧!$A$4:$A$830,"ザック",未払予定一覧!$B$4:$B$830,"カード枠回復")</f>
        <v>0</v>
      </c>
      <c r="G55" s="122">
        <f t="shared" si="5"/>
        <v>-245401.59999999998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SUMIFS(入金入力!$E$4:$E$580,入金入力!$B$4:$B$580,A56,入金入力!$A$4:$A$580,"ザック")+SUMIFS(入金予測!$E$4:$E$603,入金予測!$A$4:$A$603,A56,入金予測!$B$4:$B$603,"ザック")</f>
        <v>0</v>
      </c>
      <c r="C56" s="20">
        <f>SUMIFS(未払予定一覧!$O$4:$O$830,未払予定一覧!$N$4:$N$830,A56,未払予定一覧!$A$4:$A$830,"ザック",未払予定一覧!$B$4:$B$830,"未払繰越")+SUMIFS(未払予定一覧!$O$4:$O$830,未払予定一覧!$N$4:$N$830,A56,未払予定一覧!$A$4:$A$830,"ザック",未払予定一覧!$B$4:$B$830,"月次予定")</f>
        <v>0</v>
      </c>
      <c r="D56" s="20">
        <f t="shared" si="3"/>
        <v>0</v>
      </c>
      <c r="E56" s="20">
        <f t="shared" si="4"/>
        <v>-245401.59999999998</v>
      </c>
      <c r="F56" s="21">
        <f>SUMIFS(未払予定一覧!$O$4:$O$830,未払予定一覧!$N$4:$N$830,A56,未払予定一覧!$A$4:$A$830,"ザック",未払予定一覧!$B$4:$B$830,"カード枠回復")</f>
        <v>0</v>
      </c>
      <c r="G56" s="122">
        <f t="shared" si="5"/>
        <v>-245401.59999999998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SUMIFS(入金入力!$E$4:$E$580,入金入力!$B$4:$B$580,A57,入金入力!$A$4:$A$580,"ザック")+SUMIFS(入金予測!$E$4:$E$603,入金予測!$A$4:$A$603,A57,入金予測!$B$4:$B$603,"ザック")</f>
        <v>0</v>
      </c>
      <c r="C57" s="20">
        <f>SUMIFS(未払予定一覧!$O$4:$O$830,未払予定一覧!$N$4:$N$830,A57,未払予定一覧!$A$4:$A$830,"ザック",未払予定一覧!$B$4:$B$830,"未払繰越")+SUMIFS(未払予定一覧!$O$4:$O$830,未払予定一覧!$N$4:$N$830,A57,未払予定一覧!$A$4:$A$830,"ザック",未払予定一覧!$B$4:$B$830,"月次予定")</f>
        <v>0</v>
      </c>
      <c r="D57" s="20">
        <f t="shared" si="3"/>
        <v>0</v>
      </c>
      <c r="E57" s="20">
        <f t="shared" si="4"/>
        <v>-245401.59999999998</v>
      </c>
      <c r="F57" s="21">
        <f>SUMIFS(未払予定一覧!$O$4:$O$830,未払予定一覧!$N$4:$N$830,A57,未払予定一覧!$A$4:$A$830,"ザック",未払予定一覧!$B$4:$B$830,"カード枠回復")</f>
        <v>0</v>
      </c>
      <c r="G57" s="122">
        <f t="shared" si="5"/>
        <v>-245401.59999999998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SUMIFS(入金入力!$E$4:$E$580,入金入力!$B$4:$B$580,A58,入金入力!$A$4:$A$580,"ザック")+SUMIFS(入金予測!$E$4:$E$603,入金予測!$A$4:$A$603,A58,入金予測!$B$4:$B$603,"ザック")</f>
        <v>0</v>
      </c>
      <c r="C58" s="20">
        <f>SUMIFS(未払予定一覧!$O$4:$O$830,未払予定一覧!$N$4:$N$830,A58,未払予定一覧!$A$4:$A$830,"ザック",未払予定一覧!$B$4:$B$830,"未払繰越")+SUMIFS(未払予定一覧!$O$4:$O$830,未払予定一覧!$N$4:$N$830,A58,未払予定一覧!$A$4:$A$830,"ザック",未払予定一覧!$B$4:$B$830,"月次予定")</f>
        <v>0</v>
      </c>
      <c r="D58" s="20">
        <f t="shared" si="3"/>
        <v>0</v>
      </c>
      <c r="E58" s="20">
        <f t="shared" si="4"/>
        <v>-245401.59999999998</v>
      </c>
      <c r="F58" s="21">
        <f>SUMIFS(未払予定一覧!$O$4:$O$830,未払予定一覧!$N$4:$N$830,A58,未払予定一覧!$A$4:$A$830,"ザック",未払予定一覧!$B$4:$B$830,"カード枠回復")</f>
        <v>0</v>
      </c>
      <c r="G58" s="122">
        <f t="shared" si="5"/>
        <v>-245401.59999999998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SUMIFS(入金入力!$E$4:$E$580,入金入力!$B$4:$B$580,A59,入金入力!$A$4:$A$580,"ザック")+SUMIFS(入金予測!$E$4:$E$603,入金予測!$A$4:$A$603,A59,入金予測!$B$4:$B$603,"ザック")</f>
        <v>0</v>
      </c>
      <c r="C59" s="20">
        <f>SUMIFS(未払予定一覧!$O$4:$O$830,未払予定一覧!$N$4:$N$830,A59,未払予定一覧!$A$4:$A$830,"ザック",未払予定一覧!$B$4:$B$830,"未払繰越")+SUMIFS(未払予定一覧!$O$4:$O$830,未払予定一覧!$N$4:$N$830,A59,未払予定一覧!$A$4:$A$830,"ザック",未払予定一覧!$B$4:$B$830,"月次予定")</f>
        <v>0</v>
      </c>
      <c r="D59" s="20">
        <f t="shared" si="3"/>
        <v>0</v>
      </c>
      <c r="E59" s="20">
        <f t="shared" si="4"/>
        <v>-245401.59999999998</v>
      </c>
      <c r="F59" s="21">
        <f>SUMIFS(未払予定一覧!$O$4:$O$830,未払予定一覧!$N$4:$N$830,A59,未払予定一覧!$A$4:$A$830,"ザック",未払予定一覧!$B$4:$B$830,"カード枠回復")</f>
        <v>0</v>
      </c>
      <c r="G59" s="122">
        <f t="shared" si="5"/>
        <v>-245401.59999999998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SUMIFS(入金入力!$E$4:$E$580,入金入力!$B$4:$B$580,A60,入金入力!$A$4:$A$580,"ザック")+SUMIFS(入金予測!$E$4:$E$603,入金予測!$A$4:$A$603,A60,入金予測!$B$4:$B$603,"ザック")</f>
        <v>0</v>
      </c>
      <c r="C60" s="20">
        <f>SUMIFS(未払予定一覧!$O$4:$O$830,未払予定一覧!$N$4:$N$830,A60,未払予定一覧!$A$4:$A$830,"ザック",未払予定一覧!$B$4:$B$830,"未払繰越")+SUMIFS(未払予定一覧!$O$4:$O$830,未払予定一覧!$N$4:$N$830,A60,未払予定一覧!$A$4:$A$830,"ザック",未払予定一覧!$B$4:$B$830,"月次予定")</f>
        <v>0</v>
      </c>
      <c r="D60" s="20">
        <f t="shared" si="3"/>
        <v>0</v>
      </c>
      <c r="E60" s="20">
        <f t="shared" si="4"/>
        <v>-245401.59999999998</v>
      </c>
      <c r="F60" s="21">
        <f>SUMIFS(未払予定一覧!$O$4:$O$830,未払予定一覧!$N$4:$N$830,A60,未払予定一覧!$A$4:$A$830,"ザック",未払予定一覧!$B$4:$B$830,"カード枠回復")</f>
        <v>0</v>
      </c>
      <c r="G60" s="122">
        <f t="shared" si="5"/>
        <v>-245401.59999999998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SUMIFS(入金入力!$E$4:$E$580,入金入力!$B$4:$B$580,A61,入金入力!$A$4:$A$580,"ザック")+SUMIFS(入金予測!$E$4:$E$603,入金予測!$A$4:$A$603,A61,入金予測!$B$4:$B$603,"ザック")</f>
        <v>0</v>
      </c>
      <c r="C61" s="20">
        <f>SUMIFS(未払予定一覧!$O$4:$O$830,未払予定一覧!$N$4:$N$830,A61,未払予定一覧!$A$4:$A$830,"ザック",未払予定一覧!$B$4:$B$830,"未払繰越")+SUMIFS(未払予定一覧!$O$4:$O$830,未払予定一覧!$N$4:$N$830,A61,未払予定一覧!$A$4:$A$830,"ザック",未払予定一覧!$B$4:$B$830,"月次予定")</f>
        <v>0</v>
      </c>
      <c r="D61" s="20">
        <f t="shared" si="3"/>
        <v>0</v>
      </c>
      <c r="E61" s="20">
        <f t="shared" si="4"/>
        <v>-245401.59999999998</v>
      </c>
      <c r="F61" s="21">
        <f>SUMIFS(未払予定一覧!$O$4:$O$830,未払予定一覧!$N$4:$N$830,A61,未払予定一覧!$A$4:$A$830,"ザック",未払予定一覧!$B$4:$B$830,"カード枠回復")</f>
        <v>0</v>
      </c>
      <c r="G61" s="122">
        <f t="shared" si="5"/>
        <v>-245401.59999999998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SUMIFS(入金入力!$E$4:$E$580,入金入力!$B$4:$B$580,A62,入金入力!$A$4:$A$580,"ザック")+SUMIFS(入金予測!$E$4:$E$603,入金予測!$A$4:$A$603,A62,入金予測!$B$4:$B$603,"ザック")</f>
        <v>0</v>
      </c>
      <c r="C62" s="20">
        <f>SUMIFS(未払予定一覧!$O$4:$O$830,未払予定一覧!$N$4:$N$830,A62,未払予定一覧!$A$4:$A$830,"ザック",未払予定一覧!$B$4:$B$830,"未払繰越")+SUMIFS(未払予定一覧!$O$4:$O$830,未払予定一覧!$N$4:$N$830,A62,未払予定一覧!$A$4:$A$830,"ザック",未払予定一覧!$B$4:$B$830,"月次予定")</f>
        <v>0</v>
      </c>
      <c r="D62" s="20">
        <f t="shared" si="3"/>
        <v>0</v>
      </c>
      <c r="E62" s="20">
        <f t="shared" si="4"/>
        <v>-245401.59999999998</v>
      </c>
      <c r="F62" s="21">
        <f>SUMIFS(未払予定一覧!$O$4:$O$830,未払予定一覧!$N$4:$N$830,A62,未払予定一覧!$A$4:$A$830,"ザック",未払予定一覧!$B$4:$B$830,"カード枠回復")</f>
        <v>0</v>
      </c>
      <c r="G62" s="122">
        <f t="shared" si="5"/>
        <v>-245401.59999999998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SUMIFS(入金入力!$E$4:$E$580,入金入力!$B$4:$B$580,A63,入金入力!$A$4:$A$580,"ザック")+SUMIFS(入金予測!$E$4:$E$603,入金予測!$A$4:$A$603,A63,入金予測!$B$4:$B$603,"ザック")</f>
        <v>0</v>
      </c>
      <c r="C63" s="20">
        <f>SUMIFS(未払予定一覧!$O$4:$O$830,未払予定一覧!$N$4:$N$830,A63,未払予定一覧!$A$4:$A$830,"ザック",未払予定一覧!$B$4:$B$830,"未払繰越")+SUMIFS(未払予定一覧!$O$4:$O$830,未払予定一覧!$N$4:$N$830,A63,未払予定一覧!$A$4:$A$830,"ザック",未払予定一覧!$B$4:$B$830,"月次予定")</f>
        <v>0</v>
      </c>
      <c r="D63" s="20">
        <f t="shared" si="3"/>
        <v>0</v>
      </c>
      <c r="E63" s="20">
        <f t="shared" si="4"/>
        <v>-245401.59999999998</v>
      </c>
      <c r="F63" s="21">
        <f>SUMIFS(未払予定一覧!$O$4:$O$830,未払予定一覧!$N$4:$N$830,A63,未払予定一覧!$A$4:$A$830,"ザック",未払予定一覧!$B$4:$B$830,"カード枠回復")</f>
        <v>0</v>
      </c>
      <c r="G63" s="122">
        <f t="shared" si="5"/>
        <v>-245401.59999999998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SUMIFS(入金入力!$E$4:$E$580,入金入力!$B$4:$B$580,A64,入金入力!$A$4:$A$580,"ザック")+SUMIFS(入金予測!$E$4:$E$603,入金予測!$A$4:$A$603,A64,入金予測!$B$4:$B$603,"ザック")</f>
        <v>0</v>
      </c>
      <c r="C64" s="20">
        <f>SUMIFS(未払予定一覧!$O$4:$O$830,未払予定一覧!$N$4:$N$830,A64,未払予定一覧!$A$4:$A$830,"ザック",未払予定一覧!$B$4:$B$830,"未払繰越")+SUMIFS(未払予定一覧!$O$4:$O$830,未払予定一覧!$N$4:$N$830,A64,未払予定一覧!$A$4:$A$830,"ザック",未払予定一覧!$B$4:$B$830,"月次予定")</f>
        <v>272000</v>
      </c>
      <c r="D64" s="20">
        <f t="shared" si="3"/>
        <v>-272000</v>
      </c>
      <c r="E64" s="20">
        <f t="shared" si="4"/>
        <v>-517401.59999999998</v>
      </c>
      <c r="F64" s="21">
        <f>SUMIFS(未払予定一覧!$O$4:$O$830,未払予定一覧!$N$4:$N$830,A64,未払予定一覧!$A$4:$A$830,"ザック",未払予定一覧!$B$4:$B$830,"カード枠回復")</f>
        <v>0</v>
      </c>
      <c r="G64" s="122">
        <f t="shared" si="5"/>
        <v>-517401.59999999998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SUMIFS(入金入力!$E$4:$E$580,入金入力!$B$4:$B$580,A65,入金入力!$A$4:$A$580,"ザック")+SUMIFS(入金予測!$E$4:$E$603,入金予測!$A$4:$A$603,A65,入金予測!$B$4:$B$603,"ザック")</f>
        <v>0</v>
      </c>
      <c r="C65" s="20">
        <f>SUMIFS(未払予定一覧!$O$4:$O$830,未払予定一覧!$N$4:$N$830,A65,未払予定一覧!$A$4:$A$830,"ザック",未払予定一覧!$B$4:$B$830,"未払繰越")+SUMIFS(未払予定一覧!$O$4:$O$830,未払予定一覧!$N$4:$N$830,A65,未払予定一覧!$A$4:$A$830,"ザック",未払予定一覧!$B$4:$B$830,"月次予定")</f>
        <v>0</v>
      </c>
      <c r="D65" s="20">
        <f t="shared" si="3"/>
        <v>0</v>
      </c>
      <c r="E65" s="20">
        <f t="shared" si="4"/>
        <v>-517401.59999999998</v>
      </c>
      <c r="F65" s="21">
        <f>SUMIFS(未払予定一覧!$O$4:$O$830,未払予定一覧!$N$4:$N$830,A65,未払予定一覧!$A$4:$A$830,"ザック",未払予定一覧!$B$4:$B$830,"カード枠回復")</f>
        <v>0</v>
      </c>
      <c r="G65" s="122">
        <f t="shared" si="5"/>
        <v>-517401.59999999998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SUMIFS(入金入力!$E$4:$E$580,入金入力!$B$4:$B$580,A66,入金入力!$A$4:$A$580,"ザック")+SUMIFS(入金予測!$E$4:$E$603,入金予測!$A$4:$A$603,A66,入金予測!$B$4:$B$603,"ザック")</f>
        <v>0</v>
      </c>
      <c r="C66" s="20">
        <f>SUMIFS(未払予定一覧!$O$4:$O$830,未払予定一覧!$N$4:$N$830,A66,未払予定一覧!$A$4:$A$830,"ザック",未払予定一覧!$B$4:$B$830,"未払繰越")+SUMIFS(未払予定一覧!$O$4:$O$830,未払予定一覧!$N$4:$N$830,A66,未払予定一覧!$A$4:$A$830,"ザック",未払予定一覧!$B$4:$B$830,"月次予定")</f>
        <v>0</v>
      </c>
      <c r="D66" s="20">
        <f t="shared" si="3"/>
        <v>0</v>
      </c>
      <c r="E66" s="20">
        <f t="shared" si="4"/>
        <v>-517401.59999999998</v>
      </c>
      <c r="F66" s="21">
        <f>SUMIFS(未払予定一覧!$O$4:$O$830,未払予定一覧!$N$4:$N$830,A66,未払予定一覧!$A$4:$A$830,"ザック",未払予定一覧!$B$4:$B$830,"カード枠回復")</f>
        <v>0</v>
      </c>
      <c r="G66" s="122">
        <f t="shared" si="5"/>
        <v>-517401.59999999998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SUMIFS(入金入力!$E$4:$E$580,入金入力!$B$4:$B$580,A67,入金入力!$A$4:$A$580,"ザック")+SUMIFS(入金予測!$E$4:$E$603,入金予測!$A$4:$A$603,A67,入金予測!$B$4:$B$603,"ザック")</f>
        <v>0</v>
      </c>
      <c r="C67" s="20">
        <f>SUMIFS(未払予定一覧!$O$4:$O$830,未払予定一覧!$N$4:$N$830,A67,未払予定一覧!$A$4:$A$830,"ザック",未払予定一覧!$B$4:$B$830,"未払繰越")+SUMIFS(未払予定一覧!$O$4:$O$830,未払予定一覧!$N$4:$N$830,A67,未払予定一覧!$A$4:$A$830,"ザック",未払予定一覧!$B$4:$B$830,"月次予定")</f>
        <v>0</v>
      </c>
      <c r="D67" s="20">
        <f t="shared" si="3"/>
        <v>0</v>
      </c>
      <c r="E67" s="20">
        <f t="shared" si="4"/>
        <v>-517401.59999999998</v>
      </c>
      <c r="F67" s="21">
        <f>SUMIFS(未払予定一覧!$O$4:$O$830,未払予定一覧!$N$4:$N$830,A67,未払予定一覧!$A$4:$A$830,"ザック",未払予定一覧!$B$4:$B$830,"カード枠回復")</f>
        <v>0</v>
      </c>
      <c r="G67" s="122">
        <f t="shared" si="5"/>
        <v>-517401.59999999998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SUMIFS(入金入力!$E$4:$E$580,入金入力!$B$4:$B$580,A68,入金入力!$A$4:$A$580,"ザック")+SUMIFS(入金予測!$E$4:$E$603,入金予測!$A$4:$A$603,A68,入金予測!$B$4:$B$603,"ザック")</f>
        <v>0</v>
      </c>
      <c r="C68" s="20">
        <f>SUMIFS(未払予定一覧!$O$4:$O$830,未払予定一覧!$N$4:$N$830,A68,未払予定一覧!$A$4:$A$830,"ザック",未払予定一覧!$B$4:$B$830,"未払繰越")+SUMIFS(未払予定一覧!$O$4:$O$830,未払予定一覧!$N$4:$N$830,A68,未払予定一覧!$A$4:$A$830,"ザック",未払予定一覧!$B$4:$B$830,"月次予定")</f>
        <v>0</v>
      </c>
      <c r="D68" s="20">
        <f t="shared" si="3"/>
        <v>0</v>
      </c>
      <c r="E68" s="20">
        <f t="shared" si="4"/>
        <v>-517401.59999999998</v>
      </c>
      <c r="F68" s="21">
        <f>SUMIFS(未払予定一覧!$O$4:$O$830,未払予定一覧!$N$4:$N$830,A68,未払予定一覧!$A$4:$A$830,"ザック",未払予定一覧!$B$4:$B$830,"カード枠回復")</f>
        <v>0</v>
      </c>
      <c r="G68" s="122">
        <f t="shared" si="5"/>
        <v>-517401.59999999998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SUMIFS(入金入力!$E$4:$E$580,入金入力!$B$4:$B$580,A69,入金入力!$A$4:$A$580,"ザック")+SUMIFS(入金予測!$E$4:$E$603,入金予測!$A$4:$A$603,A69,入金予測!$B$4:$B$603,"ザック")</f>
        <v>0</v>
      </c>
      <c r="C69" s="20">
        <f>SUMIFS(未払予定一覧!$O$4:$O$830,未払予定一覧!$N$4:$N$830,A69,未払予定一覧!$A$4:$A$830,"ザック",未払予定一覧!$B$4:$B$830,"未払繰越")+SUMIFS(未払予定一覧!$O$4:$O$830,未払予定一覧!$N$4:$N$830,A69,未払予定一覧!$A$4:$A$830,"ザック",未払予定一覧!$B$4:$B$830,"月次予定")</f>
        <v>0</v>
      </c>
      <c r="D69" s="20">
        <f t="shared" si="3"/>
        <v>0</v>
      </c>
      <c r="E69" s="20">
        <f t="shared" si="4"/>
        <v>-517401.59999999998</v>
      </c>
      <c r="F69" s="21">
        <f>SUMIFS(未払予定一覧!$O$4:$O$830,未払予定一覧!$N$4:$N$830,A69,未払予定一覧!$A$4:$A$830,"ザック",未払予定一覧!$B$4:$B$830,"カード枠回復")</f>
        <v>0</v>
      </c>
      <c r="G69" s="122">
        <f t="shared" si="5"/>
        <v>-517401.59999999998</v>
      </c>
      <c r="H69" s="123"/>
    </row>
    <row r="70" spans="1:8" ht="15" customHeight="1">
      <c r="A70" s="23" t="s">
        <v>693</v>
      </c>
      <c r="B70" s="24">
        <f>SUM(B40:B69)</f>
        <v>27207</v>
      </c>
      <c r="C70" s="24">
        <f>SUM(C40:C69)</f>
        <v>272000</v>
      </c>
      <c r="D70" s="24">
        <f t="shared" si="3"/>
        <v>-244793</v>
      </c>
      <c r="E70" s="24">
        <f>E69</f>
        <v>-517401.59999999998</v>
      </c>
      <c r="F70" s="24">
        <f>SUM(F40:F69)</f>
        <v>0</v>
      </c>
      <c r="G70" s="24">
        <f>G69</f>
        <v>-517401.59999999998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SUMIFS(入金入力!$E$4:$E$580,入金入力!$B$4:$B$580,A73,入金入力!$A$4:$A$580,"ザック")+SUMIFS(入金予測!$E$4:$E$603,入金予測!$A$4:$A$603,A73,入金予測!$B$4:$B$603,"ザック")</f>
        <v>0</v>
      </c>
      <c r="C73" s="20">
        <f>SUMIFS(未払予定一覧!$O$4:$O$830,未払予定一覧!$N$4:$N$830,A73,未払予定一覧!$A$4:$A$830,"ザック",未払予定一覧!$B$4:$B$830,"未払繰越")+SUMIFS(未払予定一覧!$O$4:$O$830,未払予定一覧!$N$4:$N$830,A73,未払予定一覧!$A$4:$A$830,"ザック",未払予定一覧!$B$4:$B$830,"月次予定")</f>
        <v>0</v>
      </c>
      <c r="D73" s="20">
        <f t="shared" ref="D73:D104" si="6">B73-C73-F73</f>
        <v>0</v>
      </c>
      <c r="E73" s="20">
        <f>E70+D73</f>
        <v>-517401.59999999998</v>
      </c>
      <c r="F73" s="21">
        <f>SUMIFS(未払予定一覧!$O$4:$O$830,未払予定一覧!$N$4:$N$830,A73,未払予定一覧!$A$4:$A$830,"ザック",未払予定一覧!$B$4:$B$830,"カード枠回復")</f>
        <v>0</v>
      </c>
      <c r="G73" s="122">
        <f>G70+D73+F73</f>
        <v>-517401.59999999998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SUMIFS(入金入力!$E$4:$E$580,入金入力!$B$4:$B$580,A74,入金入力!$A$4:$A$580,"ザック")+SUMIFS(入金予測!$E$4:$E$603,入金予測!$A$4:$A$603,A74,入金予測!$B$4:$B$603,"ザック")</f>
        <v>0</v>
      </c>
      <c r="C74" s="20">
        <f>SUMIFS(未払予定一覧!$O$4:$O$830,未払予定一覧!$N$4:$N$830,A74,未払予定一覧!$A$4:$A$830,"ザック",未払予定一覧!$B$4:$B$830,"未払繰越")+SUMIFS(未払予定一覧!$O$4:$O$830,未払予定一覧!$N$4:$N$830,A74,未払予定一覧!$A$4:$A$830,"ザック",未払予定一覧!$B$4:$B$830,"月次予定")</f>
        <v>0</v>
      </c>
      <c r="D74" s="20">
        <f t="shared" si="6"/>
        <v>0</v>
      </c>
      <c r="E74" s="20">
        <f t="shared" ref="E74:E103" si="7">E73+D74</f>
        <v>-517401.59999999998</v>
      </c>
      <c r="F74" s="21">
        <f>SUMIFS(未払予定一覧!$O$4:$O$830,未払予定一覧!$N$4:$N$830,A74,未払予定一覧!$A$4:$A$830,"ザック",未払予定一覧!$B$4:$B$830,"カード枠回復")</f>
        <v>0</v>
      </c>
      <c r="G74" s="122">
        <f t="shared" ref="G74:G103" si="8">G73+D74+F74</f>
        <v>-517401.59999999998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SUMIFS(入金入力!$E$4:$E$580,入金入力!$B$4:$B$580,A75,入金入力!$A$4:$A$580,"ザック")+SUMIFS(入金予測!$E$4:$E$603,入金予測!$A$4:$A$603,A75,入金予測!$B$4:$B$603,"ザック")</f>
        <v>0</v>
      </c>
      <c r="C75" s="20">
        <f>SUMIFS(未払予定一覧!$O$4:$O$830,未払予定一覧!$N$4:$N$830,A75,未払予定一覧!$A$4:$A$830,"ザック",未払予定一覧!$B$4:$B$830,"未払繰越")+SUMIFS(未払予定一覧!$O$4:$O$830,未払予定一覧!$N$4:$N$830,A75,未払予定一覧!$A$4:$A$830,"ザック",未払予定一覧!$B$4:$B$830,"月次予定")</f>
        <v>0</v>
      </c>
      <c r="D75" s="20">
        <f t="shared" si="6"/>
        <v>0</v>
      </c>
      <c r="E75" s="20">
        <f t="shared" si="7"/>
        <v>-517401.59999999998</v>
      </c>
      <c r="F75" s="21">
        <f>SUMIFS(未払予定一覧!$O$4:$O$830,未払予定一覧!$N$4:$N$830,A75,未払予定一覧!$A$4:$A$830,"ザック",未払予定一覧!$B$4:$B$830,"カード枠回復")</f>
        <v>0</v>
      </c>
      <c r="G75" s="122">
        <f t="shared" si="8"/>
        <v>-517401.59999999998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SUMIFS(入金入力!$E$4:$E$580,入金入力!$B$4:$B$580,A76,入金入力!$A$4:$A$580,"ザック")+SUMIFS(入金予測!$E$4:$E$603,入金予測!$A$4:$A$603,A76,入金予測!$B$4:$B$603,"ザック")</f>
        <v>0</v>
      </c>
      <c r="C76" s="20">
        <f>SUMIFS(未払予定一覧!$O$4:$O$830,未払予定一覧!$N$4:$N$830,A76,未払予定一覧!$A$4:$A$830,"ザック",未払予定一覧!$B$4:$B$830,"未払繰越")+SUMIFS(未払予定一覧!$O$4:$O$830,未払予定一覧!$N$4:$N$830,A76,未払予定一覧!$A$4:$A$830,"ザック",未払予定一覧!$B$4:$B$830,"月次予定")</f>
        <v>0</v>
      </c>
      <c r="D76" s="20">
        <f t="shared" si="6"/>
        <v>0</v>
      </c>
      <c r="E76" s="20">
        <f t="shared" si="7"/>
        <v>-517401.59999999998</v>
      </c>
      <c r="F76" s="21">
        <f>SUMIFS(未払予定一覧!$O$4:$O$830,未払予定一覧!$N$4:$N$830,A76,未払予定一覧!$A$4:$A$830,"ザック",未払予定一覧!$B$4:$B$830,"カード枠回復")</f>
        <v>0</v>
      </c>
      <c r="G76" s="122">
        <f t="shared" si="8"/>
        <v>-517401.59999999998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SUMIFS(入金入力!$E$4:$E$580,入金入力!$B$4:$B$580,A77,入金入力!$A$4:$A$580,"ザック")+SUMIFS(入金予測!$E$4:$E$603,入金予測!$A$4:$A$603,A77,入金予測!$B$4:$B$603,"ザック")</f>
        <v>0</v>
      </c>
      <c r="C77" s="20">
        <f>SUMIFS(未払予定一覧!$O$4:$O$830,未払予定一覧!$N$4:$N$830,A77,未払予定一覧!$A$4:$A$830,"ザック",未払予定一覧!$B$4:$B$830,"未払繰越")+SUMIFS(未払予定一覧!$O$4:$O$830,未払予定一覧!$N$4:$N$830,A77,未払予定一覧!$A$4:$A$830,"ザック",未払予定一覧!$B$4:$B$830,"月次予定")</f>
        <v>0</v>
      </c>
      <c r="D77" s="20">
        <f t="shared" si="6"/>
        <v>0</v>
      </c>
      <c r="E77" s="20">
        <f t="shared" si="7"/>
        <v>-517401.59999999998</v>
      </c>
      <c r="F77" s="21">
        <f>SUMIFS(未払予定一覧!$O$4:$O$830,未払予定一覧!$N$4:$N$830,A77,未払予定一覧!$A$4:$A$830,"ザック",未払予定一覧!$B$4:$B$830,"カード枠回復")</f>
        <v>0</v>
      </c>
      <c r="G77" s="122">
        <f t="shared" si="8"/>
        <v>-517401.59999999998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SUMIFS(入金入力!$E$4:$E$580,入金入力!$B$4:$B$580,A78,入金入力!$A$4:$A$580,"ザック")+SUMIFS(入金予測!$E$4:$E$603,入金予測!$A$4:$A$603,A78,入金予測!$B$4:$B$603,"ザック")</f>
        <v>0</v>
      </c>
      <c r="C78" s="20">
        <f>SUMIFS(未払予定一覧!$O$4:$O$830,未払予定一覧!$N$4:$N$830,A78,未払予定一覧!$A$4:$A$830,"ザック",未払予定一覧!$B$4:$B$830,"未払繰越")+SUMIFS(未払予定一覧!$O$4:$O$830,未払予定一覧!$N$4:$N$830,A78,未払予定一覧!$A$4:$A$830,"ザック",未払予定一覧!$B$4:$B$830,"月次予定")</f>
        <v>0</v>
      </c>
      <c r="D78" s="20">
        <f t="shared" si="6"/>
        <v>0</v>
      </c>
      <c r="E78" s="20">
        <f t="shared" si="7"/>
        <v>-517401.59999999998</v>
      </c>
      <c r="F78" s="21">
        <f>SUMIFS(未払予定一覧!$O$4:$O$830,未払予定一覧!$N$4:$N$830,A78,未払予定一覧!$A$4:$A$830,"ザック",未払予定一覧!$B$4:$B$830,"カード枠回復")</f>
        <v>0</v>
      </c>
      <c r="G78" s="122">
        <f t="shared" si="8"/>
        <v>-517401.59999999998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SUMIFS(入金入力!$E$4:$E$580,入金入力!$B$4:$B$580,A79,入金入力!$A$4:$A$580,"ザック")+SUMIFS(入金予測!$E$4:$E$603,入金予測!$A$4:$A$603,A79,入金予測!$B$4:$B$603,"ザック")</f>
        <v>0</v>
      </c>
      <c r="C79" s="20">
        <f>SUMIFS(未払予定一覧!$O$4:$O$830,未払予定一覧!$N$4:$N$830,A79,未払予定一覧!$A$4:$A$830,"ザック",未払予定一覧!$B$4:$B$830,"未払繰越")+SUMIFS(未払予定一覧!$O$4:$O$830,未払予定一覧!$N$4:$N$830,A79,未払予定一覧!$A$4:$A$830,"ザック",未払予定一覧!$B$4:$B$830,"月次予定")</f>
        <v>0</v>
      </c>
      <c r="D79" s="20">
        <f t="shared" si="6"/>
        <v>0</v>
      </c>
      <c r="E79" s="20">
        <f t="shared" si="7"/>
        <v>-517401.59999999998</v>
      </c>
      <c r="F79" s="21">
        <f>SUMIFS(未払予定一覧!$O$4:$O$830,未払予定一覧!$N$4:$N$830,A79,未払予定一覧!$A$4:$A$830,"ザック",未払予定一覧!$B$4:$B$830,"カード枠回復")</f>
        <v>0</v>
      </c>
      <c r="G79" s="122">
        <f t="shared" si="8"/>
        <v>-517401.59999999998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SUMIFS(入金入力!$E$4:$E$580,入金入力!$B$4:$B$580,A80,入金入力!$A$4:$A$580,"ザック")+SUMIFS(入金予測!$E$4:$E$603,入金予測!$A$4:$A$603,A80,入金予測!$B$4:$B$603,"ザック")</f>
        <v>0</v>
      </c>
      <c r="C80" s="20">
        <f>SUMIFS(未払予定一覧!$O$4:$O$830,未払予定一覧!$N$4:$N$830,A80,未払予定一覧!$A$4:$A$830,"ザック",未払予定一覧!$B$4:$B$830,"未払繰越")+SUMIFS(未払予定一覧!$O$4:$O$830,未払予定一覧!$N$4:$N$830,A80,未払予定一覧!$A$4:$A$830,"ザック",未払予定一覧!$B$4:$B$830,"月次予定")</f>
        <v>0</v>
      </c>
      <c r="D80" s="20">
        <f t="shared" si="6"/>
        <v>0</v>
      </c>
      <c r="E80" s="20">
        <f t="shared" si="7"/>
        <v>-517401.59999999998</v>
      </c>
      <c r="F80" s="21">
        <f>SUMIFS(未払予定一覧!$O$4:$O$830,未払予定一覧!$N$4:$N$830,A80,未払予定一覧!$A$4:$A$830,"ザック",未払予定一覧!$B$4:$B$830,"カード枠回復")</f>
        <v>0</v>
      </c>
      <c r="G80" s="122">
        <f t="shared" si="8"/>
        <v>-517401.59999999998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SUMIFS(入金入力!$E$4:$E$580,入金入力!$B$4:$B$580,A81,入金入力!$A$4:$A$580,"ザック")+SUMIFS(入金予測!$E$4:$E$603,入金予測!$A$4:$A$603,A81,入金予測!$B$4:$B$603,"ザック")</f>
        <v>0</v>
      </c>
      <c r="C81" s="20">
        <f>SUMIFS(未払予定一覧!$O$4:$O$830,未払予定一覧!$N$4:$N$830,A81,未払予定一覧!$A$4:$A$830,"ザック",未払予定一覧!$B$4:$B$830,"未払繰越")+SUMIFS(未払予定一覧!$O$4:$O$830,未払予定一覧!$N$4:$N$830,A81,未払予定一覧!$A$4:$A$830,"ザック",未払予定一覧!$B$4:$B$830,"月次予定")</f>
        <v>0</v>
      </c>
      <c r="D81" s="20">
        <f t="shared" si="6"/>
        <v>0</v>
      </c>
      <c r="E81" s="20">
        <f t="shared" si="7"/>
        <v>-517401.59999999998</v>
      </c>
      <c r="F81" s="21">
        <f>SUMIFS(未払予定一覧!$O$4:$O$830,未払予定一覧!$N$4:$N$830,A81,未払予定一覧!$A$4:$A$830,"ザック",未払予定一覧!$B$4:$B$830,"カード枠回復")</f>
        <v>0</v>
      </c>
      <c r="G81" s="122">
        <f t="shared" si="8"/>
        <v>-517401.59999999998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SUMIFS(入金入力!$E$4:$E$580,入金入力!$B$4:$B$580,A82,入金入力!$A$4:$A$580,"ザック")+SUMIFS(入金予測!$E$4:$E$603,入金予測!$A$4:$A$603,A82,入金予測!$B$4:$B$603,"ザック")</f>
        <v>0</v>
      </c>
      <c r="C82" s="20">
        <f>SUMIFS(未払予定一覧!$O$4:$O$830,未払予定一覧!$N$4:$N$830,A82,未払予定一覧!$A$4:$A$830,"ザック",未払予定一覧!$B$4:$B$830,"未払繰越")+SUMIFS(未払予定一覧!$O$4:$O$830,未払予定一覧!$N$4:$N$830,A82,未払予定一覧!$A$4:$A$830,"ザック",未払予定一覧!$B$4:$B$830,"月次予定")</f>
        <v>0</v>
      </c>
      <c r="D82" s="20">
        <f t="shared" si="6"/>
        <v>0</v>
      </c>
      <c r="E82" s="20">
        <f t="shared" si="7"/>
        <v>-517401.59999999998</v>
      </c>
      <c r="F82" s="21">
        <f>SUMIFS(未払予定一覧!$O$4:$O$830,未払予定一覧!$N$4:$N$830,A82,未払予定一覧!$A$4:$A$830,"ザック",未払予定一覧!$B$4:$B$830,"カード枠回復")</f>
        <v>0</v>
      </c>
      <c r="G82" s="122">
        <f t="shared" si="8"/>
        <v>-517401.59999999998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SUMIFS(入金入力!$E$4:$E$580,入金入力!$B$4:$B$580,A83,入金入力!$A$4:$A$580,"ザック")+SUMIFS(入金予測!$E$4:$E$603,入金予測!$A$4:$A$603,A83,入金予測!$B$4:$B$603,"ザック")</f>
        <v>0</v>
      </c>
      <c r="C83" s="20">
        <f>SUMIFS(未払予定一覧!$O$4:$O$830,未払予定一覧!$N$4:$N$830,A83,未払予定一覧!$A$4:$A$830,"ザック",未払予定一覧!$B$4:$B$830,"未払繰越")+SUMIFS(未払予定一覧!$O$4:$O$830,未払予定一覧!$N$4:$N$830,A83,未払予定一覧!$A$4:$A$830,"ザック",未払予定一覧!$B$4:$B$830,"月次予定")</f>
        <v>0</v>
      </c>
      <c r="D83" s="20">
        <f t="shared" si="6"/>
        <v>0</v>
      </c>
      <c r="E83" s="20">
        <f t="shared" si="7"/>
        <v>-517401.59999999998</v>
      </c>
      <c r="F83" s="21">
        <f>SUMIFS(未払予定一覧!$O$4:$O$830,未払予定一覧!$N$4:$N$830,A83,未払予定一覧!$A$4:$A$830,"ザック",未払予定一覧!$B$4:$B$830,"カード枠回復")</f>
        <v>0</v>
      </c>
      <c r="G83" s="122">
        <f t="shared" si="8"/>
        <v>-517401.59999999998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SUMIFS(入金入力!$E$4:$E$580,入金入力!$B$4:$B$580,A84,入金入力!$A$4:$A$580,"ザック")+SUMIFS(入金予測!$E$4:$E$603,入金予測!$A$4:$A$603,A84,入金予測!$B$4:$B$603,"ザック")</f>
        <v>0</v>
      </c>
      <c r="C84" s="20">
        <f>SUMIFS(未払予定一覧!$O$4:$O$830,未払予定一覧!$N$4:$N$830,A84,未払予定一覧!$A$4:$A$830,"ザック",未払予定一覧!$B$4:$B$830,"未払繰越")+SUMIFS(未払予定一覧!$O$4:$O$830,未払予定一覧!$N$4:$N$830,A84,未払予定一覧!$A$4:$A$830,"ザック",未払予定一覧!$B$4:$B$830,"月次予定")</f>
        <v>0</v>
      </c>
      <c r="D84" s="20">
        <f t="shared" si="6"/>
        <v>0</v>
      </c>
      <c r="E84" s="20">
        <f t="shared" si="7"/>
        <v>-517401.59999999998</v>
      </c>
      <c r="F84" s="21">
        <f>SUMIFS(未払予定一覧!$O$4:$O$830,未払予定一覧!$N$4:$N$830,A84,未払予定一覧!$A$4:$A$830,"ザック",未払予定一覧!$B$4:$B$830,"カード枠回復")</f>
        <v>0</v>
      </c>
      <c r="G84" s="122">
        <f t="shared" si="8"/>
        <v>-517401.59999999998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SUMIFS(入金入力!$E$4:$E$580,入金入力!$B$4:$B$580,A85,入金入力!$A$4:$A$580,"ザック")+SUMIFS(入金予測!$E$4:$E$603,入金予測!$A$4:$A$603,A85,入金予測!$B$4:$B$603,"ザック")</f>
        <v>0</v>
      </c>
      <c r="C85" s="20">
        <f>SUMIFS(未払予定一覧!$O$4:$O$830,未払予定一覧!$N$4:$N$830,A85,未払予定一覧!$A$4:$A$830,"ザック",未払予定一覧!$B$4:$B$830,"未払繰越")+SUMIFS(未払予定一覧!$O$4:$O$830,未払予定一覧!$N$4:$N$830,A85,未払予定一覧!$A$4:$A$830,"ザック",未払予定一覧!$B$4:$B$830,"月次予定")</f>
        <v>0</v>
      </c>
      <c r="D85" s="20">
        <f t="shared" si="6"/>
        <v>0</v>
      </c>
      <c r="E85" s="20">
        <f t="shared" si="7"/>
        <v>-517401.59999999998</v>
      </c>
      <c r="F85" s="21">
        <f>SUMIFS(未払予定一覧!$O$4:$O$830,未払予定一覧!$N$4:$N$830,A85,未払予定一覧!$A$4:$A$830,"ザック",未払予定一覧!$B$4:$B$830,"カード枠回復")</f>
        <v>0</v>
      </c>
      <c r="G85" s="122">
        <f t="shared" si="8"/>
        <v>-517401.59999999998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SUMIFS(入金入力!$E$4:$E$580,入金入力!$B$4:$B$580,A86,入金入力!$A$4:$A$580,"ザック")+SUMIFS(入金予測!$E$4:$E$603,入金予測!$A$4:$A$603,A86,入金予測!$B$4:$B$603,"ザック")</f>
        <v>0</v>
      </c>
      <c r="C86" s="20">
        <f>SUMIFS(未払予定一覧!$O$4:$O$830,未払予定一覧!$N$4:$N$830,A86,未払予定一覧!$A$4:$A$830,"ザック",未払予定一覧!$B$4:$B$830,"未払繰越")+SUMIFS(未払予定一覧!$O$4:$O$830,未払予定一覧!$N$4:$N$830,A86,未払予定一覧!$A$4:$A$830,"ザック",未払予定一覧!$B$4:$B$830,"月次予定")</f>
        <v>0</v>
      </c>
      <c r="D86" s="20">
        <f t="shared" si="6"/>
        <v>0</v>
      </c>
      <c r="E86" s="20">
        <f t="shared" si="7"/>
        <v>-517401.59999999998</v>
      </c>
      <c r="F86" s="21">
        <f>SUMIFS(未払予定一覧!$O$4:$O$830,未払予定一覧!$N$4:$N$830,A86,未払予定一覧!$A$4:$A$830,"ザック",未払予定一覧!$B$4:$B$830,"カード枠回復")</f>
        <v>0</v>
      </c>
      <c r="G86" s="122">
        <f t="shared" si="8"/>
        <v>-517401.59999999998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SUMIFS(入金入力!$E$4:$E$580,入金入力!$B$4:$B$580,A87,入金入力!$A$4:$A$580,"ザック")+SUMIFS(入金予測!$E$4:$E$603,入金予測!$A$4:$A$603,A87,入金予測!$B$4:$B$603,"ザック")</f>
        <v>0</v>
      </c>
      <c r="C87" s="20">
        <f>SUMIFS(未払予定一覧!$O$4:$O$830,未払予定一覧!$N$4:$N$830,A87,未払予定一覧!$A$4:$A$830,"ザック",未払予定一覧!$B$4:$B$830,"未払繰越")+SUMIFS(未払予定一覧!$O$4:$O$830,未払予定一覧!$N$4:$N$830,A87,未払予定一覧!$A$4:$A$830,"ザック",未払予定一覧!$B$4:$B$830,"月次予定")</f>
        <v>0</v>
      </c>
      <c r="D87" s="20">
        <f t="shared" si="6"/>
        <v>0</v>
      </c>
      <c r="E87" s="20">
        <f t="shared" si="7"/>
        <v>-517401.59999999998</v>
      </c>
      <c r="F87" s="21">
        <f>SUMIFS(未払予定一覧!$O$4:$O$830,未払予定一覧!$N$4:$N$830,A87,未払予定一覧!$A$4:$A$830,"ザック",未払予定一覧!$B$4:$B$830,"カード枠回復")</f>
        <v>0</v>
      </c>
      <c r="G87" s="122">
        <f t="shared" si="8"/>
        <v>-517401.59999999998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SUMIFS(入金入力!$E$4:$E$580,入金入力!$B$4:$B$580,A88,入金入力!$A$4:$A$580,"ザック")+SUMIFS(入金予測!$E$4:$E$603,入金予測!$A$4:$A$603,A88,入金予測!$B$4:$B$603,"ザック")</f>
        <v>0</v>
      </c>
      <c r="C88" s="20">
        <f>SUMIFS(未払予定一覧!$O$4:$O$830,未払予定一覧!$N$4:$N$830,A88,未払予定一覧!$A$4:$A$830,"ザック",未払予定一覧!$B$4:$B$830,"未払繰越")+SUMIFS(未払予定一覧!$O$4:$O$830,未払予定一覧!$N$4:$N$830,A88,未払予定一覧!$A$4:$A$830,"ザック",未払予定一覧!$B$4:$B$830,"月次予定")</f>
        <v>0</v>
      </c>
      <c r="D88" s="20">
        <f t="shared" si="6"/>
        <v>0</v>
      </c>
      <c r="E88" s="20">
        <f t="shared" si="7"/>
        <v>-517401.59999999998</v>
      </c>
      <c r="F88" s="21">
        <f>SUMIFS(未払予定一覧!$O$4:$O$830,未払予定一覧!$N$4:$N$830,A88,未払予定一覧!$A$4:$A$830,"ザック",未払予定一覧!$B$4:$B$830,"カード枠回復")</f>
        <v>0</v>
      </c>
      <c r="G88" s="122">
        <f t="shared" si="8"/>
        <v>-517401.59999999998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SUMIFS(入金入力!$E$4:$E$580,入金入力!$B$4:$B$580,A89,入金入力!$A$4:$A$580,"ザック")+SUMIFS(入金予測!$E$4:$E$603,入金予測!$A$4:$A$603,A89,入金予測!$B$4:$B$603,"ザック")</f>
        <v>0</v>
      </c>
      <c r="C89" s="20">
        <f>SUMIFS(未払予定一覧!$O$4:$O$830,未払予定一覧!$N$4:$N$830,A89,未払予定一覧!$A$4:$A$830,"ザック",未払予定一覧!$B$4:$B$830,"未払繰越")+SUMIFS(未払予定一覧!$O$4:$O$830,未払予定一覧!$N$4:$N$830,A89,未払予定一覧!$A$4:$A$830,"ザック",未払予定一覧!$B$4:$B$830,"月次予定")</f>
        <v>0</v>
      </c>
      <c r="D89" s="20">
        <f t="shared" si="6"/>
        <v>0</v>
      </c>
      <c r="E89" s="20">
        <f t="shared" si="7"/>
        <v>-517401.59999999998</v>
      </c>
      <c r="F89" s="21">
        <f>SUMIFS(未払予定一覧!$O$4:$O$830,未払予定一覧!$N$4:$N$830,A89,未払予定一覧!$A$4:$A$830,"ザック",未払予定一覧!$B$4:$B$830,"カード枠回復")</f>
        <v>0</v>
      </c>
      <c r="G89" s="122">
        <f t="shared" si="8"/>
        <v>-517401.59999999998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SUMIFS(入金入力!$E$4:$E$580,入金入力!$B$4:$B$580,A90,入金入力!$A$4:$A$580,"ザック")+SUMIFS(入金予測!$E$4:$E$603,入金予測!$A$4:$A$603,A90,入金予測!$B$4:$B$603,"ザック")</f>
        <v>0</v>
      </c>
      <c r="C90" s="20">
        <f>SUMIFS(未払予定一覧!$O$4:$O$830,未払予定一覧!$N$4:$N$830,A90,未払予定一覧!$A$4:$A$830,"ザック",未払予定一覧!$B$4:$B$830,"未払繰越")+SUMIFS(未払予定一覧!$O$4:$O$830,未払予定一覧!$N$4:$N$830,A90,未払予定一覧!$A$4:$A$830,"ザック",未払予定一覧!$B$4:$B$830,"月次予定")</f>
        <v>0</v>
      </c>
      <c r="D90" s="20">
        <f t="shared" si="6"/>
        <v>0</v>
      </c>
      <c r="E90" s="20">
        <f t="shared" si="7"/>
        <v>-517401.59999999998</v>
      </c>
      <c r="F90" s="21">
        <f>SUMIFS(未払予定一覧!$O$4:$O$830,未払予定一覧!$N$4:$N$830,A90,未払予定一覧!$A$4:$A$830,"ザック",未払予定一覧!$B$4:$B$830,"カード枠回復")</f>
        <v>0</v>
      </c>
      <c r="G90" s="122">
        <f t="shared" si="8"/>
        <v>-517401.59999999998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SUMIFS(入金入力!$E$4:$E$580,入金入力!$B$4:$B$580,A91,入金入力!$A$4:$A$580,"ザック")+SUMIFS(入金予測!$E$4:$E$603,入金予測!$A$4:$A$603,A91,入金予測!$B$4:$B$603,"ザック")</f>
        <v>0</v>
      </c>
      <c r="C91" s="20">
        <f>SUMIFS(未払予定一覧!$O$4:$O$830,未払予定一覧!$N$4:$N$830,A91,未払予定一覧!$A$4:$A$830,"ザック",未払予定一覧!$B$4:$B$830,"未払繰越")+SUMIFS(未払予定一覧!$O$4:$O$830,未払予定一覧!$N$4:$N$830,A91,未払予定一覧!$A$4:$A$830,"ザック",未払予定一覧!$B$4:$B$830,"月次予定")</f>
        <v>0</v>
      </c>
      <c r="D91" s="20">
        <f t="shared" si="6"/>
        <v>0</v>
      </c>
      <c r="E91" s="20">
        <f t="shared" si="7"/>
        <v>-517401.59999999998</v>
      </c>
      <c r="F91" s="21">
        <f>SUMIFS(未払予定一覧!$O$4:$O$830,未払予定一覧!$N$4:$N$830,A91,未払予定一覧!$A$4:$A$830,"ザック",未払予定一覧!$B$4:$B$830,"カード枠回復")</f>
        <v>0</v>
      </c>
      <c r="G91" s="122">
        <f t="shared" si="8"/>
        <v>-517401.59999999998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SUMIFS(入金入力!$E$4:$E$580,入金入力!$B$4:$B$580,A92,入金入力!$A$4:$A$580,"ザック")+SUMIFS(入金予測!$E$4:$E$603,入金予測!$A$4:$A$603,A92,入金予測!$B$4:$B$603,"ザック")</f>
        <v>0</v>
      </c>
      <c r="C92" s="20">
        <f>SUMIFS(未払予定一覧!$O$4:$O$830,未払予定一覧!$N$4:$N$830,A92,未払予定一覧!$A$4:$A$830,"ザック",未払予定一覧!$B$4:$B$830,"未払繰越")+SUMIFS(未払予定一覧!$O$4:$O$830,未払予定一覧!$N$4:$N$830,A92,未払予定一覧!$A$4:$A$830,"ザック",未払予定一覧!$B$4:$B$830,"月次予定")</f>
        <v>0</v>
      </c>
      <c r="D92" s="20">
        <f t="shared" si="6"/>
        <v>0</v>
      </c>
      <c r="E92" s="20">
        <f t="shared" si="7"/>
        <v>-517401.59999999998</v>
      </c>
      <c r="F92" s="21">
        <f>SUMIFS(未払予定一覧!$O$4:$O$830,未払予定一覧!$N$4:$N$830,A92,未払予定一覧!$A$4:$A$830,"ザック",未払予定一覧!$B$4:$B$830,"カード枠回復")</f>
        <v>0</v>
      </c>
      <c r="G92" s="122">
        <f t="shared" si="8"/>
        <v>-517401.59999999998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SUMIFS(入金入力!$E$4:$E$580,入金入力!$B$4:$B$580,A93,入金入力!$A$4:$A$580,"ザック")+SUMIFS(入金予測!$E$4:$E$603,入金予測!$A$4:$A$603,A93,入金予測!$B$4:$B$603,"ザック")</f>
        <v>0</v>
      </c>
      <c r="C93" s="20">
        <f>SUMIFS(未払予定一覧!$O$4:$O$830,未払予定一覧!$N$4:$N$830,A93,未払予定一覧!$A$4:$A$830,"ザック",未払予定一覧!$B$4:$B$830,"未払繰越")+SUMIFS(未払予定一覧!$O$4:$O$830,未払予定一覧!$N$4:$N$830,A93,未払予定一覧!$A$4:$A$830,"ザック",未払予定一覧!$B$4:$B$830,"月次予定")</f>
        <v>0</v>
      </c>
      <c r="D93" s="20">
        <f t="shared" si="6"/>
        <v>0</v>
      </c>
      <c r="E93" s="20">
        <f t="shared" si="7"/>
        <v>-517401.59999999998</v>
      </c>
      <c r="F93" s="21">
        <f>SUMIFS(未払予定一覧!$O$4:$O$830,未払予定一覧!$N$4:$N$830,A93,未払予定一覧!$A$4:$A$830,"ザック",未払予定一覧!$B$4:$B$830,"カード枠回復")</f>
        <v>0</v>
      </c>
      <c r="G93" s="122">
        <f t="shared" si="8"/>
        <v>-517401.59999999998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SUMIFS(入金入力!$E$4:$E$580,入金入力!$B$4:$B$580,A94,入金入力!$A$4:$A$580,"ザック")+SUMIFS(入金予測!$E$4:$E$603,入金予測!$A$4:$A$603,A94,入金予測!$B$4:$B$603,"ザック")</f>
        <v>0</v>
      </c>
      <c r="C94" s="20">
        <f>SUMIFS(未払予定一覧!$O$4:$O$830,未払予定一覧!$N$4:$N$830,A94,未払予定一覧!$A$4:$A$830,"ザック",未払予定一覧!$B$4:$B$830,"未払繰越")+SUMIFS(未払予定一覧!$O$4:$O$830,未払予定一覧!$N$4:$N$830,A94,未払予定一覧!$A$4:$A$830,"ザック",未払予定一覧!$B$4:$B$830,"月次予定")</f>
        <v>0</v>
      </c>
      <c r="D94" s="20">
        <f t="shared" si="6"/>
        <v>0</v>
      </c>
      <c r="E94" s="20">
        <f t="shared" si="7"/>
        <v>-517401.59999999998</v>
      </c>
      <c r="F94" s="21">
        <f>SUMIFS(未払予定一覧!$O$4:$O$830,未払予定一覧!$N$4:$N$830,A94,未払予定一覧!$A$4:$A$830,"ザック",未払予定一覧!$B$4:$B$830,"カード枠回復")</f>
        <v>0</v>
      </c>
      <c r="G94" s="122">
        <f t="shared" si="8"/>
        <v>-517401.59999999998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SUMIFS(入金入力!$E$4:$E$580,入金入力!$B$4:$B$580,A95,入金入力!$A$4:$A$580,"ザック")+SUMIFS(入金予測!$E$4:$E$603,入金予測!$A$4:$A$603,A95,入金予測!$B$4:$B$603,"ザック")</f>
        <v>0</v>
      </c>
      <c r="C95" s="20">
        <f>SUMIFS(未払予定一覧!$O$4:$O$830,未払予定一覧!$N$4:$N$830,A95,未払予定一覧!$A$4:$A$830,"ザック",未払予定一覧!$B$4:$B$830,"未払繰越")+SUMIFS(未払予定一覧!$O$4:$O$830,未払予定一覧!$N$4:$N$830,A95,未払予定一覧!$A$4:$A$830,"ザック",未払予定一覧!$B$4:$B$830,"月次予定")</f>
        <v>0</v>
      </c>
      <c r="D95" s="20">
        <f t="shared" si="6"/>
        <v>0</v>
      </c>
      <c r="E95" s="20">
        <f t="shared" si="7"/>
        <v>-517401.59999999998</v>
      </c>
      <c r="F95" s="21">
        <f>SUMIFS(未払予定一覧!$O$4:$O$830,未払予定一覧!$N$4:$N$830,A95,未払予定一覧!$A$4:$A$830,"ザック",未払予定一覧!$B$4:$B$830,"カード枠回復")</f>
        <v>0</v>
      </c>
      <c r="G95" s="122">
        <f t="shared" si="8"/>
        <v>-517401.59999999998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SUMIFS(入金入力!$E$4:$E$580,入金入力!$B$4:$B$580,A96,入金入力!$A$4:$A$580,"ザック")+SUMIFS(入金予測!$E$4:$E$603,入金予測!$A$4:$A$603,A96,入金予測!$B$4:$B$603,"ザック")</f>
        <v>0</v>
      </c>
      <c r="C96" s="20">
        <f>SUMIFS(未払予定一覧!$O$4:$O$830,未払予定一覧!$N$4:$N$830,A96,未払予定一覧!$A$4:$A$830,"ザック",未払予定一覧!$B$4:$B$830,"未払繰越")+SUMIFS(未払予定一覧!$O$4:$O$830,未払予定一覧!$N$4:$N$830,A96,未払予定一覧!$A$4:$A$830,"ザック",未払予定一覧!$B$4:$B$830,"月次予定")</f>
        <v>0</v>
      </c>
      <c r="D96" s="20">
        <f t="shared" si="6"/>
        <v>0</v>
      </c>
      <c r="E96" s="20">
        <f t="shared" si="7"/>
        <v>-517401.59999999998</v>
      </c>
      <c r="F96" s="21">
        <f>SUMIFS(未払予定一覧!$O$4:$O$830,未払予定一覧!$N$4:$N$830,A96,未払予定一覧!$A$4:$A$830,"ザック",未払予定一覧!$B$4:$B$830,"カード枠回復")</f>
        <v>0</v>
      </c>
      <c r="G96" s="122">
        <f t="shared" si="8"/>
        <v>-517401.59999999998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SUMIFS(入金入力!$E$4:$E$580,入金入力!$B$4:$B$580,A97,入金入力!$A$4:$A$580,"ザック")+SUMIFS(入金予測!$E$4:$E$603,入金予測!$A$4:$A$603,A97,入金予測!$B$4:$B$603,"ザック")</f>
        <v>3627.6</v>
      </c>
      <c r="C97" s="20">
        <f>SUMIFS(未払予定一覧!$O$4:$O$830,未払予定一覧!$N$4:$N$830,A97,未払予定一覧!$A$4:$A$830,"ザック",未払予定一覧!$B$4:$B$830,"未払繰越")+SUMIFS(未払予定一覧!$O$4:$O$830,未払予定一覧!$N$4:$N$830,A97,未払予定一覧!$A$4:$A$830,"ザック",未払予定一覧!$B$4:$B$830,"月次予定")</f>
        <v>272000</v>
      </c>
      <c r="D97" s="20">
        <f t="shared" si="6"/>
        <v>-268372.40000000002</v>
      </c>
      <c r="E97" s="20">
        <f t="shared" si="7"/>
        <v>-785774</v>
      </c>
      <c r="F97" s="21">
        <f>SUMIFS(未払予定一覧!$O$4:$O$830,未払予定一覧!$N$4:$N$830,A97,未払予定一覧!$A$4:$A$830,"ザック",未払予定一覧!$B$4:$B$830,"カード枠回復")</f>
        <v>0</v>
      </c>
      <c r="G97" s="122">
        <f t="shared" si="8"/>
        <v>-785774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SUMIFS(入金入力!$E$4:$E$580,入金入力!$B$4:$B$580,A98,入金入力!$A$4:$A$580,"ザック")+SUMIFS(入金予測!$E$4:$E$603,入金予測!$A$4:$A$603,A98,入金予測!$B$4:$B$603,"ザック")</f>
        <v>0</v>
      </c>
      <c r="C98" s="20">
        <f>SUMIFS(未払予定一覧!$O$4:$O$830,未払予定一覧!$N$4:$N$830,A98,未払予定一覧!$A$4:$A$830,"ザック",未払予定一覧!$B$4:$B$830,"未払繰越")+SUMIFS(未払予定一覧!$O$4:$O$830,未払予定一覧!$N$4:$N$830,A98,未払予定一覧!$A$4:$A$830,"ザック",未払予定一覧!$B$4:$B$830,"月次予定")</f>
        <v>0</v>
      </c>
      <c r="D98" s="20">
        <f t="shared" si="6"/>
        <v>0</v>
      </c>
      <c r="E98" s="20">
        <f t="shared" si="7"/>
        <v>-785774</v>
      </c>
      <c r="F98" s="21">
        <f>SUMIFS(未払予定一覧!$O$4:$O$830,未払予定一覧!$N$4:$N$830,A98,未払予定一覧!$A$4:$A$830,"ザック",未払予定一覧!$B$4:$B$830,"カード枠回復")</f>
        <v>0</v>
      </c>
      <c r="G98" s="122">
        <f t="shared" si="8"/>
        <v>-785774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SUMIFS(入金入力!$E$4:$E$580,入金入力!$B$4:$B$580,A99,入金入力!$A$4:$A$580,"ザック")+SUMIFS(入金予測!$E$4:$E$603,入金予測!$A$4:$A$603,A99,入金予測!$B$4:$B$603,"ザック")</f>
        <v>0</v>
      </c>
      <c r="C99" s="20">
        <f>SUMIFS(未払予定一覧!$O$4:$O$830,未払予定一覧!$N$4:$N$830,A99,未払予定一覧!$A$4:$A$830,"ザック",未払予定一覧!$B$4:$B$830,"未払繰越")+SUMIFS(未払予定一覧!$O$4:$O$830,未払予定一覧!$N$4:$N$830,A99,未払予定一覧!$A$4:$A$830,"ザック",未払予定一覧!$B$4:$B$830,"月次予定")</f>
        <v>0</v>
      </c>
      <c r="D99" s="20">
        <f t="shared" si="6"/>
        <v>0</v>
      </c>
      <c r="E99" s="20">
        <f t="shared" si="7"/>
        <v>-785774</v>
      </c>
      <c r="F99" s="21">
        <f>SUMIFS(未払予定一覧!$O$4:$O$830,未払予定一覧!$N$4:$N$830,A99,未払予定一覧!$A$4:$A$830,"ザック",未払予定一覧!$B$4:$B$830,"カード枠回復")</f>
        <v>0</v>
      </c>
      <c r="G99" s="122">
        <f t="shared" si="8"/>
        <v>-785774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SUMIFS(入金入力!$E$4:$E$580,入金入力!$B$4:$B$580,A100,入金入力!$A$4:$A$580,"ザック")+SUMIFS(入金予測!$E$4:$E$603,入金予測!$A$4:$A$603,A100,入金予測!$B$4:$B$603,"ザック")</f>
        <v>0</v>
      </c>
      <c r="C100" s="20">
        <f>SUMIFS(未払予定一覧!$O$4:$O$830,未払予定一覧!$N$4:$N$830,A100,未払予定一覧!$A$4:$A$830,"ザック",未払予定一覧!$B$4:$B$830,"未払繰越")+SUMIFS(未払予定一覧!$O$4:$O$830,未払予定一覧!$N$4:$N$830,A100,未払予定一覧!$A$4:$A$830,"ザック",未払予定一覧!$B$4:$B$830,"月次予定")</f>
        <v>0</v>
      </c>
      <c r="D100" s="20">
        <f t="shared" si="6"/>
        <v>0</v>
      </c>
      <c r="E100" s="20">
        <f t="shared" si="7"/>
        <v>-785774</v>
      </c>
      <c r="F100" s="21">
        <f>SUMIFS(未払予定一覧!$O$4:$O$830,未払予定一覧!$N$4:$N$830,A100,未払予定一覧!$A$4:$A$830,"ザック",未払予定一覧!$B$4:$B$830,"カード枠回復")</f>
        <v>0</v>
      </c>
      <c r="G100" s="122">
        <f t="shared" si="8"/>
        <v>-785774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SUMIFS(入金入力!$E$4:$E$580,入金入力!$B$4:$B$580,A101,入金入力!$A$4:$A$580,"ザック")+SUMIFS(入金予測!$E$4:$E$603,入金予測!$A$4:$A$603,A101,入金予測!$B$4:$B$603,"ザック")</f>
        <v>0</v>
      </c>
      <c r="C101" s="20">
        <f>SUMIFS(未払予定一覧!$O$4:$O$830,未払予定一覧!$N$4:$N$830,A101,未払予定一覧!$A$4:$A$830,"ザック",未払予定一覧!$B$4:$B$830,"未払繰越")+SUMIFS(未払予定一覧!$O$4:$O$830,未払予定一覧!$N$4:$N$830,A101,未払予定一覧!$A$4:$A$830,"ザック",未払予定一覧!$B$4:$B$830,"月次予定")</f>
        <v>0</v>
      </c>
      <c r="D101" s="20">
        <f t="shared" si="6"/>
        <v>0</v>
      </c>
      <c r="E101" s="20">
        <f t="shared" si="7"/>
        <v>-785774</v>
      </c>
      <c r="F101" s="21">
        <f>SUMIFS(未払予定一覧!$O$4:$O$830,未払予定一覧!$N$4:$N$830,A101,未払予定一覧!$A$4:$A$830,"ザック",未払予定一覧!$B$4:$B$830,"カード枠回復")</f>
        <v>0</v>
      </c>
      <c r="G101" s="122">
        <f t="shared" si="8"/>
        <v>-785774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SUMIFS(入金入力!$E$4:$E$580,入金入力!$B$4:$B$580,A102,入金入力!$A$4:$A$580,"ザック")+SUMIFS(入金予測!$E$4:$E$603,入金予測!$A$4:$A$603,A102,入金予測!$B$4:$B$603,"ザック")</f>
        <v>0</v>
      </c>
      <c r="C102" s="20">
        <f>SUMIFS(未払予定一覧!$O$4:$O$830,未払予定一覧!$N$4:$N$830,A102,未払予定一覧!$A$4:$A$830,"ザック",未払予定一覧!$B$4:$B$830,"未払繰越")+SUMIFS(未払予定一覧!$O$4:$O$830,未払予定一覧!$N$4:$N$830,A102,未払予定一覧!$A$4:$A$830,"ザック",未払予定一覧!$B$4:$B$830,"月次予定")</f>
        <v>0</v>
      </c>
      <c r="D102" s="20">
        <f t="shared" si="6"/>
        <v>0</v>
      </c>
      <c r="E102" s="20">
        <f t="shared" si="7"/>
        <v>-785774</v>
      </c>
      <c r="F102" s="21">
        <f>SUMIFS(未払予定一覧!$O$4:$O$830,未払予定一覧!$N$4:$N$830,A102,未払予定一覧!$A$4:$A$830,"ザック",未払予定一覧!$B$4:$B$830,"カード枠回復")</f>
        <v>0</v>
      </c>
      <c r="G102" s="122">
        <f t="shared" si="8"/>
        <v>-785774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SUMIFS(入金入力!$E$4:$E$580,入金入力!$B$4:$B$580,A103,入金入力!$A$4:$A$580,"ザック")+SUMIFS(入金予測!$E$4:$E$603,入金予測!$A$4:$A$603,A103,入金予測!$B$4:$B$603,"ザック")</f>
        <v>0</v>
      </c>
      <c r="C103" s="20">
        <f>SUMIFS(未払予定一覧!$O$4:$O$830,未払予定一覧!$N$4:$N$830,A103,未払予定一覧!$A$4:$A$830,"ザック",未払予定一覧!$B$4:$B$830,"未払繰越")+SUMIFS(未払予定一覧!$O$4:$O$830,未払予定一覧!$N$4:$N$830,A103,未払予定一覧!$A$4:$A$830,"ザック",未払予定一覧!$B$4:$B$830,"月次予定")</f>
        <v>0</v>
      </c>
      <c r="D103" s="20">
        <f t="shared" si="6"/>
        <v>0</v>
      </c>
      <c r="E103" s="20">
        <f t="shared" si="7"/>
        <v>-785774</v>
      </c>
      <c r="F103" s="21">
        <f>SUMIFS(未払予定一覧!$O$4:$O$830,未払予定一覧!$N$4:$N$830,A103,未払予定一覧!$A$4:$A$830,"ザック",未払予定一覧!$B$4:$B$830,"カード枠回復")</f>
        <v>0</v>
      </c>
      <c r="G103" s="122">
        <f t="shared" si="8"/>
        <v>-785774</v>
      </c>
      <c r="H103" s="123"/>
    </row>
    <row r="104" spans="1:8" ht="15" customHeight="1">
      <c r="A104" s="23" t="s">
        <v>695</v>
      </c>
      <c r="B104" s="24">
        <f>SUM(B73:B103)</f>
        <v>3627.6</v>
      </c>
      <c r="C104" s="24">
        <f>SUM(C73:C103)</f>
        <v>272000</v>
      </c>
      <c r="D104" s="24">
        <f t="shared" si="6"/>
        <v>-268372.40000000002</v>
      </c>
      <c r="E104" s="24">
        <f>E103</f>
        <v>-785774</v>
      </c>
      <c r="F104" s="24">
        <f>SUM(F73:F103)</f>
        <v>0</v>
      </c>
      <c r="G104" s="24">
        <f>G103</f>
        <v>-785774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SUMIFS(入金入力!$E$4:$E$580,入金入力!$B$4:$B$580,A107,入金入力!$A$4:$A$580,"ザック")+SUMIFS(入金予測!$E$4:$E$603,入金予測!$A$4:$A$603,A107,入金予測!$B$4:$B$603,"ザック")</f>
        <v>0</v>
      </c>
      <c r="C107" s="20">
        <f>SUMIFS(未払予定一覧!$O$4:$O$830,未払予定一覧!$N$4:$N$830,A107,未払予定一覧!$A$4:$A$830,"ザック",未払予定一覧!$B$4:$B$830,"未払繰越")+SUMIFS(未払予定一覧!$O$4:$O$830,未払予定一覧!$N$4:$N$830,A107,未払予定一覧!$A$4:$A$830,"ザック",未払予定一覧!$B$4:$B$830,"月次予定")</f>
        <v>0</v>
      </c>
      <c r="D107" s="20">
        <f t="shared" ref="D107:D138" si="9">B107-C107-F107</f>
        <v>0</v>
      </c>
      <c r="E107" s="20">
        <f>E104+D107</f>
        <v>-785774</v>
      </c>
      <c r="F107" s="21">
        <f>SUMIFS(未払予定一覧!$O$4:$O$830,未払予定一覧!$N$4:$N$830,A107,未払予定一覧!$A$4:$A$830,"ザック",未払予定一覧!$B$4:$B$830,"カード枠回復")</f>
        <v>0</v>
      </c>
      <c r="G107" s="122">
        <f>G104+D107+F107</f>
        <v>-785774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SUMIFS(入金入力!$E$4:$E$580,入金入力!$B$4:$B$580,A108,入金入力!$A$4:$A$580,"ザック")+SUMIFS(入金予測!$E$4:$E$603,入金予測!$A$4:$A$603,A108,入金予測!$B$4:$B$603,"ザック")</f>
        <v>0</v>
      </c>
      <c r="C108" s="20">
        <f>SUMIFS(未払予定一覧!$O$4:$O$830,未払予定一覧!$N$4:$N$830,A108,未払予定一覧!$A$4:$A$830,"ザック",未払予定一覧!$B$4:$B$830,"未払繰越")+SUMIFS(未払予定一覧!$O$4:$O$830,未払予定一覧!$N$4:$N$830,A108,未払予定一覧!$A$4:$A$830,"ザック",未払予定一覧!$B$4:$B$830,"月次予定")</f>
        <v>0</v>
      </c>
      <c r="D108" s="20">
        <f t="shared" si="9"/>
        <v>0</v>
      </c>
      <c r="E108" s="20">
        <f t="shared" ref="E108:E137" si="10">E107+D108</f>
        <v>-785774</v>
      </c>
      <c r="F108" s="21">
        <f>SUMIFS(未払予定一覧!$O$4:$O$830,未払予定一覧!$N$4:$N$830,A108,未払予定一覧!$A$4:$A$830,"ザック",未払予定一覧!$B$4:$B$830,"カード枠回復")</f>
        <v>0</v>
      </c>
      <c r="G108" s="122">
        <f t="shared" ref="G108:G137" si="11">G107+D108+F108</f>
        <v>-785774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SUMIFS(入金入力!$E$4:$E$580,入金入力!$B$4:$B$580,A109,入金入力!$A$4:$A$580,"ザック")+SUMIFS(入金予測!$E$4:$E$603,入金予測!$A$4:$A$603,A109,入金予測!$B$4:$B$603,"ザック")</f>
        <v>0</v>
      </c>
      <c r="C109" s="20">
        <f>SUMIFS(未払予定一覧!$O$4:$O$830,未払予定一覧!$N$4:$N$830,A109,未払予定一覧!$A$4:$A$830,"ザック",未払予定一覧!$B$4:$B$830,"未払繰越")+SUMIFS(未払予定一覧!$O$4:$O$830,未払予定一覧!$N$4:$N$830,A109,未払予定一覧!$A$4:$A$830,"ザック",未払予定一覧!$B$4:$B$830,"月次予定")</f>
        <v>0</v>
      </c>
      <c r="D109" s="20">
        <f t="shared" si="9"/>
        <v>0</v>
      </c>
      <c r="E109" s="20">
        <f t="shared" si="10"/>
        <v>-785774</v>
      </c>
      <c r="F109" s="21">
        <f>SUMIFS(未払予定一覧!$O$4:$O$830,未払予定一覧!$N$4:$N$830,A109,未払予定一覧!$A$4:$A$830,"ザック",未払予定一覧!$B$4:$B$830,"カード枠回復")</f>
        <v>0</v>
      </c>
      <c r="G109" s="122">
        <f t="shared" si="11"/>
        <v>-785774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SUMIFS(入金入力!$E$4:$E$580,入金入力!$B$4:$B$580,A110,入金入力!$A$4:$A$580,"ザック")+SUMIFS(入金予測!$E$4:$E$603,入金予測!$A$4:$A$603,A110,入金予測!$B$4:$B$603,"ザック")</f>
        <v>0</v>
      </c>
      <c r="C110" s="20">
        <f>SUMIFS(未払予定一覧!$O$4:$O$830,未払予定一覧!$N$4:$N$830,A110,未払予定一覧!$A$4:$A$830,"ザック",未払予定一覧!$B$4:$B$830,"未払繰越")+SUMIFS(未払予定一覧!$O$4:$O$830,未払予定一覧!$N$4:$N$830,A110,未払予定一覧!$A$4:$A$830,"ザック",未払予定一覧!$B$4:$B$830,"月次予定")</f>
        <v>0</v>
      </c>
      <c r="D110" s="20">
        <f t="shared" si="9"/>
        <v>0</v>
      </c>
      <c r="E110" s="20">
        <f t="shared" si="10"/>
        <v>-785774</v>
      </c>
      <c r="F110" s="21">
        <f>SUMIFS(未払予定一覧!$O$4:$O$830,未払予定一覧!$N$4:$N$830,A110,未払予定一覧!$A$4:$A$830,"ザック",未払予定一覧!$B$4:$B$830,"カード枠回復")</f>
        <v>0</v>
      </c>
      <c r="G110" s="122">
        <f t="shared" si="11"/>
        <v>-785774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SUMIFS(入金入力!$E$4:$E$580,入金入力!$B$4:$B$580,A111,入金入力!$A$4:$A$580,"ザック")+SUMIFS(入金予測!$E$4:$E$603,入金予測!$A$4:$A$603,A111,入金予測!$B$4:$B$603,"ザック")</f>
        <v>0</v>
      </c>
      <c r="C111" s="20">
        <f>SUMIFS(未払予定一覧!$O$4:$O$830,未払予定一覧!$N$4:$N$830,A111,未払予定一覧!$A$4:$A$830,"ザック",未払予定一覧!$B$4:$B$830,"未払繰越")+SUMIFS(未払予定一覧!$O$4:$O$830,未払予定一覧!$N$4:$N$830,A111,未払予定一覧!$A$4:$A$830,"ザック",未払予定一覧!$B$4:$B$830,"月次予定")</f>
        <v>0</v>
      </c>
      <c r="D111" s="20">
        <f t="shared" si="9"/>
        <v>0</v>
      </c>
      <c r="E111" s="20">
        <f t="shared" si="10"/>
        <v>-785774</v>
      </c>
      <c r="F111" s="21">
        <f>SUMIFS(未払予定一覧!$O$4:$O$830,未払予定一覧!$N$4:$N$830,A111,未払予定一覧!$A$4:$A$830,"ザック",未払予定一覧!$B$4:$B$830,"カード枠回復")</f>
        <v>0</v>
      </c>
      <c r="G111" s="122">
        <f t="shared" si="11"/>
        <v>-785774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SUMIFS(入金入力!$E$4:$E$580,入金入力!$B$4:$B$580,A112,入金入力!$A$4:$A$580,"ザック")+SUMIFS(入金予測!$E$4:$E$603,入金予測!$A$4:$A$603,A112,入金予測!$B$4:$B$603,"ザック")</f>
        <v>0</v>
      </c>
      <c r="C112" s="20">
        <f>SUMIFS(未払予定一覧!$O$4:$O$830,未払予定一覧!$N$4:$N$830,A112,未払予定一覧!$A$4:$A$830,"ザック",未払予定一覧!$B$4:$B$830,"未払繰越")+SUMIFS(未払予定一覧!$O$4:$O$830,未払予定一覧!$N$4:$N$830,A112,未払予定一覧!$A$4:$A$830,"ザック",未払予定一覧!$B$4:$B$830,"月次予定")</f>
        <v>0</v>
      </c>
      <c r="D112" s="20">
        <f t="shared" si="9"/>
        <v>0</v>
      </c>
      <c r="E112" s="20">
        <f t="shared" si="10"/>
        <v>-785774</v>
      </c>
      <c r="F112" s="21">
        <f>SUMIFS(未払予定一覧!$O$4:$O$830,未払予定一覧!$N$4:$N$830,A112,未払予定一覧!$A$4:$A$830,"ザック",未払予定一覧!$B$4:$B$830,"カード枠回復")</f>
        <v>0</v>
      </c>
      <c r="G112" s="122">
        <f t="shared" si="11"/>
        <v>-785774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SUMIFS(入金入力!$E$4:$E$580,入金入力!$B$4:$B$580,A113,入金入力!$A$4:$A$580,"ザック")+SUMIFS(入金予測!$E$4:$E$603,入金予測!$A$4:$A$603,A113,入金予測!$B$4:$B$603,"ザック")</f>
        <v>0</v>
      </c>
      <c r="C113" s="20">
        <f>SUMIFS(未払予定一覧!$O$4:$O$830,未払予定一覧!$N$4:$N$830,A113,未払予定一覧!$A$4:$A$830,"ザック",未払予定一覧!$B$4:$B$830,"未払繰越")+SUMIFS(未払予定一覧!$O$4:$O$830,未払予定一覧!$N$4:$N$830,A113,未払予定一覧!$A$4:$A$830,"ザック",未払予定一覧!$B$4:$B$830,"月次予定")</f>
        <v>0</v>
      </c>
      <c r="D113" s="20">
        <f t="shared" si="9"/>
        <v>0</v>
      </c>
      <c r="E113" s="20">
        <f t="shared" si="10"/>
        <v>-785774</v>
      </c>
      <c r="F113" s="21">
        <f>SUMIFS(未払予定一覧!$O$4:$O$830,未払予定一覧!$N$4:$N$830,A113,未払予定一覧!$A$4:$A$830,"ザック",未払予定一覧!$B$4:$B$830,"カード枠回復")</f>
        <v>0</v>
      </c>
      <c r="G113" s="122">
        <f t="shared" si="11"/>
        <v>-785774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SUMIFS(入金入力!$E$4:$E$580,入金入力!$B$4:$B$580,A114,入金入力!$A$4:$A$580,"ザック")+SUMIFS(入金予測!$E$4:$E$603,入金予測!$A$4:$A$603,A114,入金予測!$B$4:$B$603,"ザック")</f>
        <v>0</v>
      </c>
      <c r="C114" s="20">
        <f>SUMIFS(未払予定一覧!$O$4:$O$830,未払予定一覧!$N$4:$N$830,A114,未払予定一覧!$A$4:$A$830,"ザック",未払予定一覧!$B$4:$B$830,"未払繰越")+SUMIFS(未払予定一覧!$O$4:$O$830,未払予定一覧!$N$4:$N$830,A114,未払予定一覧!$A$4:$A$830,"ザック",未払予定一覧!$B$4:$B$830,"月次予定")</f>
        <v>0</v>
      </c>
      <c r="D114" s="20">
        <f t="shared" si="9"/>
        <v>0</v>
      </c>
      <c r="E114" s="20">
        <f t="shared" si="10"/>
        <v>-785774</v>
      </c>
      <c r="F114" s="21">
        <f>SUMIFS(未払予定一覧!$O$4:$O$830,未払予定一覧!$N$4:$N$830,A114,未払予定一覧!$A$4:$A$830,"ザック",未払予定一覧!$B$4:$B$830,"カード枠回復")</f>
        <v>0</v>
      </c>
      <c r="G114" s="122">
        <f t="shared" si="11"/>
        <v>-785774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SUMIFS(入金入力!$E$4:$E$580,入金入力!$B$4:$B$580,A115,入金入力!$A$4:$A$580,"ザック")+SUMIFS(入金予測!$E$4:$E$603,入金予測!$A$4:$A$603,A115,入金予測!$B$4:$B$603,"ザック")</f>
        <v>0</v>
      </c>
      <c r="C115" s="20">
        <f>SUMIFS(未払予定一覧!$O$4:$O$830,未払予定一覧!$N$4:$N$830,A115,未払予定一覧!$A$4:$A$830,"ザック",未払予定一覧!$B$4:$B$830,"未払繰越")+SUMIFS(未払予定一覧!$O$4:$O$830,未払予定一覧!$N$4:$N$830,A115,未払予定一覧!$A$4:$A$830,"ザック",未払予定一覧!$B$4:$B$830,"月次予定")</f>
        <v>0</v>
      </c>
      <c r="D115" s="20">
        <f t="shared" si="9"/>
        <v>0</v>
      </c>
      <c r="E115" s="20">
        <f t="shared" si="10"/>
        <v>-785774</v>
      </c>
      <c r="F115" s="21">
        <f>SUMIFS(未払予定一覧!$O$4:$O$830,未払予定一覧!$N$4:$N$830,A115,未払予定一覧!$A$4:$A$830,"ザック",未払予定一覧!$B$4:$B$830,"カード枠回復")</f>
        <v>0</v>
      </c>
      <c r="G115" s="122">
        <f t="shared" si="11"/>
        <v>-785774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SUMIFS(入金入力!$E$4:$E$580,入金入力!$B$4:$B$580,A116,入金入力!$A$4:$A$580,"ザック")+SUMIFS(入金予測!$E$4:$E$603,入金予測!$A$4:$A$603,A116,入金予測!$B$4:$B$603,"ザック")</f>
        <v>0</v>
      </c>
      <c r="C116" s="20">
        <f>SUMIFS(未払予定一覧!$O$4:$O$830,未払予定一覧!$N$4:$N$830,A116,未払予定一覧!$A$4:$A$830,"ザック",未払予定一覧!$B$4:$B$830,"未払繰越")+SUMIFS(未払予定一覧!$O$4:$O$830,未払予定一覧!$N$4:$N$830,A116,未払予定一覧!$A$4:$A$830,"ザック",未払予定一覧!$B$4:$B$830,"月次予定")</f>
        <v>0</v>
      </c>
      <c r="D116" s="20">
        <f t="shared" si="9"/>
        <v>0</v>
      </c>
      <c r="E116" s="20">
        <f t="shared" si="10"/>
        <v>-785774</v>
      </c>
      <c r="F116" s="21">
        <f>SUMIFS(未払予定一覧!$O$4:$O$830,未払予定一覧!$N$4:$N$830,A116,未払予定一覧!$A$4:$A$830,"ザック",未払予定一覧!$B$4:$B$830,"カード枠回復")</f>
        <v>0</v>
      </c>
      <c r="G116" s="122">
        <f t="shared" si="11"/>
        <v>-785774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SUMIFS(入金入力!$E$4:$E$580,入金入力!$B$4:$B$580,A117,入金入力!$A$4:$A$580,"ザック")+SUMIFS(入金予測!$E$4:$E$603,入金予測!$A$4:$A$603,A117,入金予測!$B$4:$B$603,"ザック")</f>
        <v>0</v>
      </c>
      <c r="C117" s="20">
        <f>SUMIFS(未払予定一覧!$O$4:$O$830,未払予定一覧!$N$4:$N$830,A117,未払予定一覧!$A$4:$A$830,"ザック",未払予定一覧!$B$4:$B$830,"未払繰越")+SUMIFS(未払予定一覧!$O$4:$O$830,未払予定一覧!$N$4:$N$830,A117,未払予定一覧!$A$4:$A$830,"ザック",未払予定一覧!$B$4:$B$830,"月次予定")</f>
        <v>0</v>
      </c>
      <c r="D117" s="20">
        <f t="shared" si="9"/>
        <v>0</v>
      </c>
      <c r="E117" s="20">
        <f t="shared" si="10"/>
        <v>-785774</v>
      </c>
      <c r="F117" s="21">
        <f>SUMIFS(未払予定一覧!$O$4:$O$830,未払予定一覧!$N$4:$N$830,A117,未払予定一覧!$A$4:$A$830,"ザック",未払予定一覧!$B$4:$B$830,"カード枠回復")</f>
        <v>0</v>
      </c>
      <c r="G117" s="122">
        <f t="shared" si="11"/>
        <v>-785774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SUMIFS(入金入力!$E$4:$E$580,入金入力!$B$4:$B$580,A118,入金入力!$A$4:$A$580,"ザック")+SUMIFS(入金予測!$E$4:$E$603,入金予測!$A$4:$A$603,A118,入金予測!$B$4:$B$603,"ザック")</f>
        <v>0</v>
      </c>
      <c r="C118" s="20">
        <f>SUMIFS(未払予定一覧!$O$4:$O$830,未払予定一覧!$N$4:$N$830,A118,未払予定一覧!$A$4:$A$830,"ザック",未払予定一覧!$B$4:$B$830,"未払繰越")+SUMIFS(未払予定一覧!$O$4:$O$830,未払予定一覧!$N$4:$N$830,A118,未払予定一覧!$A$4:$A$830,"ザック",未払予定一覧!$B$4:$B$830,"月次予定")</f>
        <v>0</v>
      </c>
      <c r="D118" s="20">
        <f t="shared" si="9"/>
        <v>0</v>
      </c>
      <c r="E118" s="20">
        <f t="shared" si="10"/>
        <v>-785774</v>
      </c>
      <c r="F118" s="21">
        <f>SUMIFS(未払予定一覧!$O$4:$O$830,未払予定一覧!$N$4:$N$830,A118,未払予定一覧!$A$4:$A$830,"ザック",未払予定一覧!$B$4:$B$830,"カード枠回復")</f>
        <v>0</v>
      </c>
      <c r="G118" s="122">
        <f t="shared" si="11"/>
        <v>-785774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SUMIFS(入金入力!$E$4:$E$580,入金入力!$B$4:$B$580,A119,入金入力!$A$4:$A$580,"ザック")+SUMIFS(入金予測!$E$4:$E$603,入金予測!$A$4:$A$603,A119,入金予測!$B$4:$B$603,"ザック")</f>
        <v>0</v>
      </c>
      <c r="C119" s="20">
        <f>SUMIFS(未払予定一覧!$O$4:$O$830,未払予定一覧!$N$4:$N$830,A119,未払予定一覧!$A$4:$A$830,"ザック",未払予定一覧!$B$4:$B$830,"未払繰越")+SUMIFS(未払予定一覧!$O$4:$O$830,未払予定一覧!$N$4:$N$830,A119,未払予定一覧!$A$4:$A$830,"ザック",未払予定一覧!$B$4:$B$830,"月次予定")</f>
        <v>0</v>
      </c>
      <c r="D119" s="20">
        <f t="shared" si="9"/>
        <v>0</v>
      </c>
      <c r="E119" s="20">
        <f t="shared" si="10"/>
        <v>-785774</v>
      </c>
      <c r="F119" s="21">
        <f>SUMIFS(未払予定一覧!$O$4:$O$830,未払予定一覧!$N$4:$N$830,A119,未払予定一覧!$A$4:$A$830,"ザック",未払予定一覧!$B$4:$B$830,"カード枠回復")</f>
        <v>0</v>
      </c>
      <c r="G119" s="122">
        <f t="shared" si="11"/>
        <v>-785774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SUMIFS(入金入力!$E$4:$E$580,入金入力!$B$4:$B$580,A120,入金入力!$A$4:$A$580,"ザック")+SUMIFS(入金予測!$E$4:$E$603,入金予測!$A$4:$A$603,A120,入金予測!$B$4:$B$603,"ザック")</f>
        <v>0</v>
      </c>
      <c r="C120" s="20">
        <f>SUMIFS(未払予定一覧!$O$4:$O$830,未払予定一覧!$N$4:$N$830,A120,未払予定一覧!$A$4:$A$830,"ザック",未払予定一覧!$B$4:$B$830,"未払繰越")+SUMIFS(未払予定一覧!$O$4:$O$830,未払予定一覧!$N$4:$N$830,A120,未払予定一覧!$A$4:$A$830,"ザック",未払予定一覧!$B$4:$B$830,"月次予定")</f>
        <v>0</v>
      </c>
      <c r="D120" s="20">
        <f t="shared" si="9"/>
        <v>0</v>
      </c>
      <c r="E120" s="20">
        <f t="shared" si="10"/>
        <v>-785774</v>
      </c>
      <c r="F120" s="21">
        <f>SUMIFS(未払予定一覧!$O$4:$O$830,未払予定一覧!$N$4:$N$830,A120,未払予定一覧!$A$4:$A$830,"ザック",未払予定一覧!$B$4:$B$830,"カード枠回復")</f>
        <v>0</v>
      </c>
      <c r="G120" s="122">
        <f t="shared" si="11"/>
        <v>-785774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SUMIFS(入金入力!$E$4:$E$580,入金入力!$B$4:$B$580,A121,入金入力!$A$4:$A$580,"ザック")+SUMIFS(入金予測!$E$4:$E$603,入金予測!$A$4:$A$603,A121,入金予測!$B$4:$B$603,"ザック")</f>
        <v>0</v>
      </c>
      <c r="C121" s="20">
        <f>SUMIFS(未払予定一覧!$O$4:$O$830,未払予定一覧!$N$4:$N$830,A121,未払予定一覧!$A$4:$A$830,"ザック",未払予定一覧!$B$4:$B$830,"未払繰越")+SUMIFS(未払予定一覧!$O$4:$O$830,未払予定一覧!$N$4:$N$830,A121,未払予定一覧!$A$4:$A$830,"ザック",未払予定一覧!$B$4:$B$830,"月次予定")</f>
        <v>0</v>
      </c>
      <c r="D121" s="20">
        <f t="shared" si="9"/>
        <v>0</v>
      </c>
      <c r="E121" s="20">
        <f t="shared" si="10"/>
        <v>-785774</v>
      </c>
      <c r="F121" s="21">
        <f>SUMIFS(未払予定一覧!$O$4:$O$830,未払予定一覧!$N$4:$N$830,A121,未払予定一覧!$A$4:$A$830,"ザック",未払予定一覧!$B$4:$B$830,"カード枠回復")</f>
        <v>0</v>
      </c>
      <c r="G121" s="122">
        <f t="shared" si="11"/>
        <v>-785774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SUMIFS(入金入力!$E$4:$E$580,入金入力!$B$4:$B$580,A122,入金入力!$A$4:$A$580,"ザック")+SUMIFS(入金予測!$E$4:$E$603,入金予測!$A$4:$A$603,A122,入金予測!$B$4:$B$603,"ザック")</f>
        <v>0</v>
      </c>
      <c r="C122" s="20">
        <f>SUMIFS(未払予定一覧!$O$4:$O$830,未払予定一覧!$N$4:$N$830,A122,未払予定一覧!$A$4:$A$830,"ザック",未払予定一覧!$B$4:$B$830,"未払繰越")+SUMIFS(未払予定一覧!$O$4:$O$830,未払予定一覧!$N$4:$N$830,A122,未払予定一覧!$A$4:$A$830,"ザック",未払予定一覧!$B$4:$B$830,"月次予定")</f>
        <v>0</v>
      </c>
      <c r="D122" s="20">
        <f t="shared" si="9"/>
        <v>0</v>
      </c>
      <c r="E122" s="20">
        <f t="shared" si="10"/>
        <v>-785774</v>
      </c>
      <c r="F122" s="21">
        <f>SUMIFS(未払予定一覧!$O$4:$O$830,未払予定一覧!$N$4:$N$830,A122,未払予定一覧!$A$4:$A$830,"ザック",未払予定一覧!$B$4:$B$830,"カード枠回復")</f>
        <v>0</v>
      </c>
      <c r="G122" s="122">
        <f t="shared" si="11"/>
        <v>-785774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SUMIFS(入金入力!$E$4:$E$580,入金入力!$B$4:$B$580,A123,入金入力!$A$4:$A$580,"ザック")+SUMIFS(入金予測!$E$4:$E$603,入金予測!$A$4:$A$603,A123,入金予測!$B$4:$B$603,"ザック")</f>
        <v>0</v>
      </c>
      <c r="C123" s="20">
        <f>SUMIFS(未払予定一覧!$O$4:$O$830,未払予定一覧!$N$4:$N$830,A123,未払予定一覧!$A$4:$A$830,"ザック",未払予定一覧!$B$4:$B$830,"未払繰越")+SUMIFS(未払予定一覧!$O$4:$O$830,未払予定一覧!$N$4:$N$830,A123,未払予定一覧!$A$4:$A$830,"ザック",未払予定一覧!$B$4:$B$830,"月次予定")</f>
        <v>0</v>
      </c>
      <c r="D123" s="20">
        <f t="shared" si="9"/>
        <v>0</v>
      </c>
      <c r="E123" s="20">
        <f t="shared" si="10"/>
        <v>-785774</v>
      </c>
      <c r="F123" s="21">
        <f>SUMIFS(未払予定一覧!$O$4:$O$830,未払予定一覧!$N$4:$N$830,A123,未払予定一覧!$A$4:$A$830,"ザック",未払予定一覧!$B$4:$B$830,"カード枠回復")</f>
        <v>0</v>
      </c>
      <c r="G123" s="122">
        <f t="shared" si="11"/>
        <v>-785774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SUMIFS(入金入力!$E$4:$E$580,入金入力!$B$4:$B$580,A124,入金入力!$A$4:$A$580,"ザック")+SUMIFS(入金予測!$E$4:$E$603,入金予測!$A$4:$A$603,A124,入金予測!$B$4:$B$603,"ザック")</f>
        <v>0</v>
      </c>
      <c r="C124" s="20">
        <f>SUMIFS(未払予定一覧!$O$4:$O$830,未払予定一覧!$N$4:$N$830,A124,未払予定一覧!$A$4:$A$830,"ザック",未払予定一覧!$B$4:$B$830,"未払繰越")+SUMIFS(未払予定一覧!$O$4:$O$830,未払予定一覧!$N$4:$N$830,A124,未払予定一覧!$A$4:$A$830,"ザック",未払予定一覧!$B$4:$B$830,"月次予定")</f>
        <v>0</v>
      </c>
      <c r="D124" s="20">
        <f t="shared" si="9"/>
        <v>0</v>
      </c>
      <c r="E124" s="20">
        <f t="shared" si="10"/>
        <v>-785774</v>
      </c>
      <c r="F124" s="21">
        <f>SUMIFS(未払予定一覧!$O$4:$O$830,未払予定一覧!$N$4:$N$830,A124,未払予定一覧!$A$4:$A$830,"ザック",未払予定一覧!$B$4:$B$830,"カード枠回復")</f>
        <v>0</v>
      </c>
      <c r="G124" s="122">
        <f t="shared" si="11"/>
        <v>-785774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SUMIFS(入金入力!$E$4:$E$580,入金入力!$B$4:$B$580,A125,入金入力!$A$4:$A$580,"ザック")+SUMIFS(入金予測!$E$4:$E$603,入金予測!$A$4:$A$603,A125,入金予測!$B$4:$B$603,"ザック")</f>
        <v>0</v>
      </c>
      <c r="C125" s="20">
        <f>SUMIFS(未払予定一覧!$O$4:$O$830,未払予定一覧!$N$4:$N$830,A125,未払予定一覧!$A$4:$A$830,"ザック",未払予定一覧!$B$4:$B$830,"未払繰越")+SUMIFS(未払予定一覧!$O$4:$O$830,未払予定一覧!$N$4:$N$830,A125,未払予定一覧!$A$4:$A$830,"ザック",未払予定一覧!$B$4:$B$830,"月次予定")</f>
        <v>0</v>
      </c>
      <c r="D125" s="20">
        <f t="shared" si="9"/>
        <v>0</v>
      </c>
      <c r="E125" s="20">
        <f t="shared" si="10"/>
        <v>-785774</v>
      </c>
      <c r="F125" s="21">
        <f>SUMIFS(未払予定一覧!$O$4:$O$830,未払予定一覧!$N$4:$N$830,A125,未払予定一覧!$A$4:$A$830,"ザック",未払予定一覧!$B$4:$B$830,"カード枠回復")</f>
        <v>0</v>
      </c>
      <c r="G125" s="122">
        <f t="shared" si="11"/>
        <v>-785774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SUMIFS(入金入力!$E$4:$E$580,入金入力!$B$4:$B$580,A126,入金入力!$A$4:$A$580,"ザック")+SUMIFS(入金予測!$E$4:$E$603,入金予測!$A$4:$A$603,A126,入金予測!$B$4:$B$603,"ザック")</f>
        <v>0</v>
      </c>
      <c r="C126" s="20">
        <f>SUMIFS(未払予定一覧!$O$4:$O$830,未払予定一覧!$N$4:$N$830,A126,未払予定一覧!$A$4:$A$830,"ザック",未払予定一覧!$B$4:$B$830,"未払繰越")+SUMIFS(未払予定一覧!$O$4:$O$830,未払予定一覧!$N$4:$N$830,A126,未払予定一覧!$A$4:$A$830,"ザック",未払予定一覧!$B$4:$B$830,"月次予定")</f>
        <v>0</v>
      </c>
      <c r="D126" s="20">
        <f t="shared" si="9"/>
        <v>0</v>
      </c>
      <c r="E126" s="20">
        <f t="shared" si="10"/>
        <v>-785774</v>
      </c>
      <c r="F126" s="21">
        <f>SUMIFS(未払予定一覧!$O$4:$O$830,未払予定一覧!$N$4:$N$830,A126,未払予定一覧!$A$4:$A$830,"ザック",未払予定一覧!$B$4:$B$830,"カード枠回復")</f>
        <v>0</v>
      </c>
      <c r="G126" s="122">
        <f t="shared" si="11"/>
        <v>-785774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SUMIFS(入金入力!$E$4:$E$580,入金入力!$B$4:$B$580,A127,入金入力!$A$4:$A$580,"ザック")+SUMIFS(入金予測!$E$4:$E$603,入金予測!$A$4:$A$603,A127,入金予測!$B$4:$B$603,"ザック")</f>
        <v>0</v>
      </c>
      <c r="C127" s="20">
        <f>SUMIFS(未払予定一覧!$O$4:$O$830,未払予定一覧!$N$4:$N$830,A127,未払予定一覧!$A$4:$A$830,"ザック",未払予定一覧!$B$4:$B$830,"未払繰越")+SUMIFS(未払予定一覧!$O$4:$O$830,未払予定一覧!$N$4:$N$830,A127,未払予定一覧!$A$4:$A$830,"ザック",未払予定一覧!$B$4:$B$830,"月次予定")</f>
        <v>0</v>
      </c>
      <c r="D127" s="20">
        <f t="shared" si="9"/>
        <v>0</v>
      </c>
      <c r="E127" s="20">
        <f t="shared" si="10"/>
        <v>-785774</v>
      </c>
      <c r="F127" s="21">
        <f>SUMIFS(未払予定一覧!$O$4:$O$830,未払予定一覧!$N$4:$N$830,A127,未払予定一覧!$A$4:$A$830,"ザック",未払予定一覧!$B$4:$B$830,"カード枠回復")</f>
        <v>0</v>
      </c>
      <c r="G127" s="122">
        <f t="shared" si="11"/>
        <v>-785774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SUMIFS(入金入力!$E$4:$E$580,入金入力!$B$4:$B$580,A128,入金入力!$A$4:$A$580,"ザック")+SUMIFS(入金予測!$E$4:$E$603,入金予測!$A$4:$A$603,A128,入金予測!$B$4:$B$603,"ザック")</f>
        <v>0</v>
      </c>
      <c r="C128" s="20">
        <f>SUMIFS(未払予定一覧!$O$4:$O$830,未払予定一覧!$N$4:$N$830,A128,未払予定一覧!$A$4:$A$830,"ザック",未払予定一覧!$B$4:$B$830,"未払繰越")+SUMIFS(未払予定一覧!$O$4:$O$830,未払予定一覧!$N$4:$N$830,A128,未払予定一覧!$A$4:$A$830,"ザック",未払予定一覧!$B$4:$B$830,"月次予定")</f>
        <v>0</v>
      </c>
      <c r="D128" s="20">
        <f t="shared" si="9"/>
        <v>0</v>
      </c>
      <c r="E128" s="20">
        <f t="shared" si="10"/>
        <v>-785774</v>
      </c>
      <c r="F128" s="21">
        <f>SUMIFS(未払予定一覧!$O$4:$O$830,未払予定一覧!$N$4:$N$830,A128,未払予定一覧!$A$4:$A$830,"ザック",未払予定一覧!$B$4:$B$830,"カード枠回復")</f>
        <v>0</v>
      </c>
      <c r="G128" s="122">
        <f t="shared" si="11"/>
        <v>-785774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SUMIFS(入金入力!$E$4:$E$580,入金入力!$B$4:$B$580,A129,入金入力!$A$4:$A$580,"ザック")+SUMIFS(入金予測!$E$4:$E$603,入金予測!$A$4:$A$603,A129,入金予測!$B$4:$B$603,"ザック")</f>
        <v>0</v>
      </c>
      <c r="C129" s="20">
        <f>SUMIFS(未払予定一覧!$O$4:$O$830,未払予定一覧!$N$4:$N$830,A129,未払予定一覧!$A$4:$A$830,"ザック",未払予定一覧!$B$4:$B$830,"未払繰越")+SUMIFS(未払予定一覧!$O$4:$O$830,未払予定一覧!$N$4:$N$830,A129,未払予定一覧!$A$4:$A$830,"ザック",未払予定一覧!$B$4:$B$830,"月次予定")</f>
        <v>0</v>
      </c>
      <c r="D129" s="20">
        <f t="shared" si="9"/>
        <v>0</v>
      </c>
      <c r="E129" s="20">
        <f t="shared" si="10"/>
        <v>-785774</v>
      </c>
      <c r="F129" s="21">
        <f>SUMIFS(未払予定一覧!$O$4:$O$830,未払予定一覧!$N$4:$N$830,A129,未払予定一覧!$A$4:$A$830,"ザック",未払予定一覧!$B$4:$B$830,"カード枠回復")</f>
        <v>0</v>
      </c>
      <c r="G129" s="122">
        <f t="shared" si="11"/>
        <v>-785774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SUMIFS(入金入力!$E$4:$E$580,入金入力!$B$4:$B$580,A130,入金入力!$A$4:$A$580,"ザック")+SUMIFS(入金予測!$E$4:$E$603,入金予測!$A$4:$A$603,A130,入金予測!$B$4:$B$603,"ザック")</f>
        <v>0</v>
      </c>
      <c r="C130" s="20">
        <f>SUMIFS(未払予定一覧!$O$4:$O$830,未払予定一覧!$N$4:$N$830,A130,未払予定一覧!$A$4:$A$830,"ザック",未払予定一覧!$B$4:$B$830,"未払繰越")+SUMIFS(未払予定一覧!$O$4:$O$830,未払予定一覧!$N$4:$N$830,A130,未払予定一覧!$A$4:$A$830,"ザック",未払予定一覧!$B$4:$B$830,"月次予定")</f>
        <v>0</v>
      </c>
      <c r="D130" s="20">
        <f t="shared" si="9"/>
        <v>0</v>
      </c>
      <c r="E130" s="20">
        <f t="shared" si="10"/>
        <v>-785774</v>
      </c>
      <c r="F130" s="21">
        <f>SUMIFS(未払予定一覧!$O$4:$O$830,未払予定一覧!$N$4:$N$830,A130,未払予定一覧!$A$4:$A$830,"ザック",未払予定一覧!$B$4:$B$830,"カード枠回復")</f>
        <v>0</v>
      </c>
      <c r="G130" s="122">
        <f t="shared" si="11"/>
        <v>-785774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SUMIFS(入金入力!$E$4:$E$580,入金入力!$B$4:$B$580,A131,入金入力!$A$4:$A$580,"ザック")+SUMIFS(入金予測!$E$4:$E$603,入金予測!$A$4:$A$603,A131,入金予測!$B$4:$B$603,"ザック")</f>
        <v>0</v>
      </c>
      <c r="C131" s="20">
        <f>SUMIFS(未払予定一覧!$O$4:$O$830,未払予定一覧!$N$4:$N$830,A131,未払予定一覧!$A$4:$A$830,"ザック",未払予定一覧!$B$4:$B$830,"未払繰越")+SUMIFS(未払予定一覧!$O$4:$O$830,未払予定一覧!$N$4:$N$830,A131,未払予定一覧!$A$4:$A$830,"ザック",未払予定一覧!$B$4:$B$830,"月次予定")</f>
        <v>0</v>
      </c>
      <c r="D131" s="20">
        <f t="shared" si="9"/>
        <v>0</v>
      </c>
      <c r="E131" s="20">
        <f t="shared" si="10"/>
        <v>-785774</v>
      </c>
      <c r="F131" s="21">
        <f>SUMIFS(未払予定一覧!$O$4:$O$830,未払予定一覧!$N$4:$N$830,A131,未払予定一覧!$A$4:$A$830,"ザック",未払予定一覧!$B$4:$B$830,"カード枠回復")</f>
        <v>0</v>
      </c>
      <c r="G131" s="122">
        <f t="shared" si="11"/>
        <v>-785774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SUMIFS(入金入力!$E$4:$E$580,入金入力!$B$4:$B$580,A132,入金入力!$A$4:$A$580,"ザック")+SUMIFS(入金予測!$E$4:$E$603,入金予測!$A$4:$A$603,A132,入金予測!$B$4:$B$603,"ザック")</f>
        <v>0</v>
      </c>
      <c r="C132" s="20">
        <f>SUMIFS(未払予定一覧!$O$4:$O$830,未払予定一覧!$N$4:$N$830,A132,未払予定一覧!$A$4:$A$830,"ザック",未払予定一覧!$B$4:$B$830,"未払繰越")+SUMIFS(未払予定一覧!$O$4:$O$830,未払予定一覧!$N$4:$N$830,A132,未払予定一覧!$A$4:$A$830,"ザック",未払予定一覧!$B$4:$B$830,"月次予定")</f>
        <v>0</v>
      </c>
      <c r="D132" s="20">
        <f t="shared" si="9"/>
        <v>0</v>
      </c>
      <c r="E132" s="20">
        <f t="shared" si="10"/>
        <v>-785774</v>
      </c>
      <c r="F132" s="21">
        <f>SUMIFS(未払予定一覧!$O$4:$O$830,未払予定一覧!$N$4:$N$830,A132,未払予定一覧!$A$4:$A$830,"ザック",未払予定一覧!$B$4:$B$830,"カード枠回復")</f>
        <v>0</v>
      </c>
      <c r="G132" s="122">
        <f t="shared" si="11"/>
        <v>-785774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SUMIFS(入金入力!$E$4:$E$580,入金入力!$B$4:$B$580,A133,入金入力!$A$4:$A$580,"ザック")+SUMIFS(入金予測!$E$4:$E$603,入金予測!$A$4:$A$603,A133,入金予測!$B$4:$B$603,"ザック")</f>
        <v>0</v>
      </c>
      <c r="C133" s="20">
        <f>SUMIFS(未払予定一覧!$O$4:$O$830,未払予定一覧!$N$4:$N$830,A133,未払予定一覧!$A$4:$A$830,"ザック",未払予定一覧!$B$4:$B$830,"未払繰越")+SUMIFS(未払予定一覧!$O$4:$O$830,未払予定一覧!$N$4:$N$830,A133,未払予定一覧!$A$4:$A$830,"ザック",未払予定一覧!$B$4:$B$830,"月次予定")</f>
        <v>0</v>
      </c>
      <c r="D133" s="20">
        <f t="shared" si="9"/>
        <v>0</v>
      </c>
      <c r="E133" s="20">
        <f t="shared" si="10"/>
        <v>-785774</v>
      </c>
      <c r="F133" s="21">
        <f>SUMIFS(未払予定一覧!$O$4:$O$830,未払予定一覧!$N$4:$N$830,A133,未払予定一覧!$A$4:$A$830,"ザック",未払予定一覧!$B$4:$B$830,"カード枠回復")</f>
        <v>0</v>
      </c>
      <c r="G133" s="122">
        <f t="shared" si="11"/>
        <v>-785774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SUMIFS(入金入力!$E$4:$E$580,入金入力!$B$4:$B$580,A134,入金入力!$A$4:$A$580,"ザック")+SUMIFS(入金予測!$E$4:$E$603,入金予測!$A$4:$A$603,A134,入金予測!$B$4:$B$603,"ザック")</f>
        <v>0</v>
      </c>
      <c r="C134" s="20">
        <f>SUMIFS(未払予定一覧!$O$4:$O$830,未払予定一覧!$N$4:$N$830,A134,未払予定一覧!$A$4:$A$830,"ザック",未払予定一覧!$B$4:$B$830,"未払繰越")+SUMIFS(未払予定一覧!$O$4:$O$830,未払予定一覧!$N$4:$N$830,A134,未払予定一覧!$A$4:$A$830,"ザック",未払予定一覧!$B$4:$B$830,"月次予定")</f>
        <v>0</v>
      </c>
      <c r="D134" s="20">
        <f t="shared" si="9"/>
        <v>0</v>
      </c>
      <c r="E134" s="20">
        <f t="shared" si="10"/>
        <v>-785774</v>
      </c>
      <c r="F134" s="21">
        <f>SUMIFS(未払予定一覧!$O$4:$O$830,未払予定一覧!$N$4:$N$830,A134,未払予定一覧!$A$4:$A$830,"ザック",未払予定一覧!$B$4:$B$830,"カード枠回復")</f>
        <v>0</v>
      </c>
      <c r="G134" s="122">
        <f t="shared" si="11"/>
        <v>-785774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SUMIFS(入金入力!$E$4:$E$580,入金入力!$B$4:$B$580,A135,入金入力!$A$4:$A$580,"ザック")+SUMIFS(入金予測!$E$4:$E$603,入金予測!$A$4:$A$603,A135,入金予測!$B$4:$B$603,"ザック")</f>
        <v>0</v>
      </c>
      <c r="C135" s="20">
        <f>SUMIFS(未払予定一覧!$O$4:$O$830,未払予定一覧!$N$4:$N$830,A135,未払予定一覧!$A$4:$A$830,"ザック",未払予定一覧!$B$4:$B$830,"未払繰越")+SUMIFS(未払予定一覧!$O$4:$O$830,未払予定一覧!$N$4:$N$830,A135,未払予定一覧!$A$4:$A$830,"ザック",未払予定一覧!$B$4:$B$830,"月次予定")</f>
        <v>0</v>
      </c>
      <c r="D135" s="20">
        <f t="shared" si="9"/>
        <v>0</v>
      </c>
      <c r="E135" s="20">
        <f t="shared" si="10"/>
        <v>-785774</v>
      </c>
      <c r="F135" s="21">
        <f>SUMIFS(未払予定一覧!$O$4:$O$830,未払予定一覧!$N$4:$N$830,A135,未払予定一覧!$A$4:$A$830,"ザック",未払予定一覧!$B$4:$B$830,"カード枠回復")</f>
        <v>0</v>
      </c>
      <c r="G135" s="122">
        <f t="shared" si="11"/>
        <v>-785774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SUMIFS(入金入力!$E$4:$E$580,入金入力!$B$4:$B$580,A136,入金入力!$A$4:$A$580,"ザック")+SUMIFS(入金予測!$E$4:$E$603,入金予測!$A$4:$A$603,A136,入金予測!$B$4:$B$603,"ザック")</f>
        <v>0</v>
      </c>
      <c r="C136" s="20">
        <f>SUMIFS(未払予定一覧!$O$4:$O$830,未払予定一覧!$N$4:$N$830,A136,未払予定一覧!$A$4:$A$830,"ザック",未払予定一覧!$B$4:$B$830,"未払繰越")+SUMIFS(未払予定一覧!$O$4:$O$830,未払予定一覧!$N$4:$N$830,A136,未払予定一覧!$A$4:$A$830,"ザック",未払予定一覧!$B$4:$B$830,"月次予定")</f>
        <v>0</v>
      </c>
      <c r="D136" s="20">
        <f t="shared" si="9"/>
        <v>0</v>
      </c>
      <c r="E136" s="20">
        <f t="shared" si="10"/>
        <v>-785774</v>
      </c>
      <c r="F136" s="21">
        <f>SUMIFS(未払予定一覧!$O$4:$O$830,未払予定一覧!$N$4:$N$830,A136,未払予定一覧!$A$4:$A$830,"ザック",未払予定一覧!$B$4:$B$830,"カード枠回復")</f>
        <v>0</v>
      </c>
      <c r="G136" s="122">
        <f t="shared" si="11"/>
        <v>-785774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SUMIFS(入金入力!$E$4:$E$580,入金入力!$B$4:$B$580,A137,入金入力!$A$4:$A$580,"ザック")+SUMIFS(入金予測!$E$4:$E$603,入金予測!$A$4:$A$603,A137,入金予測!$B$4:$B$603,"ザック")</f>
        <v>0</v>
      </c>
      <c r="C137" s="20">
        <f>SUMIFS(未払予定一覧!$O$4:$O$830,未払予定一覧!$N$4:$N$830,A137,未払予定一覧!$A$4:$A$830,"ザック",未払予定一覧!$B$4:$B$830,"未払繰越")+SUMIFS(未払予定一覧!$O$4:$O$830,未払予定一覧!$N$4:$N$830,A137,未払予定一覧!$A$4:$A$830,"ザック",未払予定一覧!$B$4:$B$830,"月次予定")</f>
        <v>0</v>
      </c>
      <c r="D137" s="20">
        <f t="shared" si="9"/>
        <v>0</v>
      </c>
      <c r="E137" s="20">
        <f t="shared" si="10"/>
        <v>-785774</v>
      </c>
      <c r="F137" s="21">
        <f>SUMIFS(未払予定一覧!$O$4:$O$830,未払予定一覧!$N$4:$N$830,A137,未払予定一覧!$A$4:$A$830,"ザック",未払予定一覧!$B$4:$B$830,"カード枠回復")</f>
        <v>0</v>
      </c>
      <c r="G137" s="122">
        <f t="shared" si="11"/>
        <v>-785774</v>
      </c>
      <c r="H137" s="123"/>
    </row>
    <row r="138" spans="1:8" ht="15" customHeight="1">
      <c r="A138" s="23" t="s">
        <v>697</v>
      </c>
      <c r="B138" s="24">
        <f>SUM(B107:B137)</f>
        <v>0</v>
      </c>
      <c r="C138" s="24">
        <f>SUM(C107:C137)</f>
        <v>0</v>
      </c>
      <c r="D138" s="24">
        <f t="shared" si="9"/>
        <v>0</v>
      </c>
      <c r="E138" s="24">
        <f>E137</f>
        <v>-785774</v>
      </c>
      <c r="F138" s="24">
        <f>SUM(F107:F137)</f>
        <v>0</v>
      </c>
      <c r="G138" s="24">
        <f>G137</f>
        <v>-785774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8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50" t="s">
        <v>701</v>
      </c>
      <c r="B1" s="150"/>
      <c r="C1" s="150"/>
      <c r="D1" s="150"/>
      <c r="E1" s="150"/>
      <c r="F1" s="150"/>
      <c r="G1" s="150"/>
      <c r="H1" s="150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SUMIFS(入金入力!$E$4:$E$580,入金入力!$B$4:$B$580,A5,入金入力!$A$4:$A$580,"ワールド・レイ")+SUMIFS(入金予測!$E$4:$E$603,入金予測!$A$4:$A$603,A5,入金予測!$B$4:$B$603,"ワールド・レイ")</f>
        <v>263000</v>
      </c>
      <c r="C5" s="20">
        <f>SUMIFS(未払予定一覧!$O$4:$O$830,未払予定一覧!$N$4:$N$830,A5,未払予定一覧!$A$4:$A$830,"ワールド・レイ",未払予定一覧!$B$4:$B$830,"未払繰越")+SUMIFS(未払予定一覧!$O$4:$O$830,未払予定一覧!$N$4:$N$830,A5,未払予定一覧!$A$4:$A$830,"ワールド・レイ",未払予定一覧!$B$4:$B$830,"月次予定")</f>
        <v>191900</v>
      </c>
      <c r="D5" s="20">
        <f t="shared" ref="D5:D37" si="0">B5-C5-F5</f>
        <v>71100</v>
      </c>
      <c r="E5" s="20">
        <f>D5</f>
        <v>71100</v>
      </c>
      <c r="F5" s="21">
        <f>SUMIFS(未払予定一覧!$O$4:$O$830,未払予定一覧!$N$4:$N$830,A5,未払予定一覧!$A$4:$A$830,"ワールド・レイ",未払予定一覧!$B$4:$B$830,"カード枠回復")</f>
        <v>0</v>
      </c>
      <c r="G5" s="122">
        <f>D5+F5</f>
        <v>71100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SUMIFS(入金入力!$E$4:$E$580,入金入力!$B$4:$B$580,A6,入金入力!$A$4:$A$580,"ワールド・レイ")+SUMIFS(入金予測!$E$4:$E$603,入金予測!$A$4:$A$603,A6,入金予測!$B$4:$B$603,"ワールド・レイ")</f>
        <v>30000</v>
      </c>
      <c r="C6" s="20">
        <f>SUMIFS(未払予定一覧!$O$4:$O$830,未払予定一覧!$N$4:$N$830,A6,未払予定一覧!$A$4:$A$830,"ワールド・レイ",未払予定一覧!$B$4:$B$830,"未払繰越")+SUMIFS(未払予定一覧!$O$4:$O$830,未払予定一覧!$N$4:$N$830,A6,未払予定一覧!$A$4:$A$830,"ワールド・レイ",未払予定一覧!$B$4:$B$830,"月次予定")</f>
        <v>0</v>
      </c>
      <c r="D6" s="20">
        <f t="shared" si="0"/>
        <v>30000</v>
      </c>
      <c r="E6" s="20">
        <f t="shared" ref="E6:E36" si="1">E5+D6</f>
        <v>101100</v>
      </c>
      <c r="F6" s="21">
        <f>SUMIFS(未払予定一覧!$O$4:$O$830,未払予定一覧!$N$4:$N$830,A6,未払予定一覧!$A$4:$A$830,"ワールド・レイ",未払予定一覧!$B$4:$B$830,"カード枠回復")</f>
        <v>0</v>
      </c>
      <c r="G6" s="122">
        <f t="shared" ref="G6:G36" si="2">G5+D6+F6</f>
        <v>101100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SUMIFS(入金入力!$E$4:$E$580,入金入力!$B$4:$B$580,A7,入金入力!$A$4:$A$580,"ワールド・レイ")+SUMIFS(入金予測!$E$4:$E$603,入金予測!$A$4:$A$603,A7,入金予測!$B$4:$B$603,"ワールド・レイ")</f>
        <v>270000</v>
      </c>
      <c r="C7" s="20">
        <f>SUMIFS(未払予定一覧!$O$4:$O$830,未払予定一覧!$N$4:$N$830,A7,未払予定一覧!$A$4:$A$830,"ワールド・レイ",未払予定一覧!$B$4:$B$830,"未払繰越")+SUMIFS(未払予定一覧!$O$4:$O$830,未払予定一覧!$N$4:$N$830,A7,未払予定一覧!$A$4:$A$830,"ワールド・レイ",未払予定一覧!$B$4:$B$830,"月次予定")</f>
        <v>0</v>
      </c>
      <c r="D7" s="20">
        <f t="shared" si="0"/>
        <v>270000</v>
      </c>
      <c r="E7" s="20">
        <f t="shared" si="1"/>
        <v>371100</v>
      </c>
      <c r="F7" s="21">
        <f>SUMIFS(未払予定一覧!$O$4:$O$830,未払予定一覧!$N$4:$N$830,A7,未払予定一覧!$A$4:$A$830,"ワールド・レイ",未払予定一覧!$B$4:$B$830,"カード枠回復")</f>
        <v>0</v>
      </c>
      <c r="G7" s="122">
        <f t="shared" si="2"/>
        <v>371100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SUMIFS(入金入力!$E$4:$E$580,入金入力!$B$4:$B$580,A8,入金入力!$A$4:$A$580,"ワールド・レイ")+SUMIFS(入金予測!$E$4:$E$603,入金予測!$A$4:$A$603,A8,入金予測!$B$4:$B$603,"ワールド・レイ")</f>
        <v>0</v>
      </c>
      <c r="C8" s="20">
        <f>SUMIFS(未払予定一覧!$O$4:$O$830,未払予定一覧!$N$4:$N$830,A8,未払予定一覧!$A$4:$A$830,"ワールド・レイ",未払予定一覧!$B$4:$B$830,"未払繰越")+SUMIFS(未払予定一覧!$O$4:$O$830,未払予定一覧!$N$4:$N$830,A8,未払予定一覧!$A$4:$A$830,"ワールド・レイ",未払予定一覧!$B$4:$B$830,"月次予定")</f>
        <v>0</v>
      </c>
      <c r="D8" s="20">
        <f t="shared" si="0"/>
        <v>0</v>
      </c>
      <c r="E8" s="20">
        <f t="shared" si="1"/>
        <v>371100</v>
      </c>
      <c r="F8" s="21">
        <f>SUMIFS(未払予定一覧!$O$4:$O$830,未払予定一覧!$N$4:$N$830,A8,未払予定一覧!$A$4:$A$830,"ワールド・レイ",未払予定一覧!$B$4:$B$830,"カード枠回復")</f>
        <v>0</v>
      </c>
      <c r="G8" s="122">
        <f t="shared" si="2"/>
        <v>371100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SUMIFS(入金入力!$E$4:$E$580,入金入力!$B$4:$B$580,A9,入金入力!$A$4:$A$580,"ワールド・レイ")+SUMIFS(入金予測!$E$4:$E$603,入金予測!$A$4:$A$603,A9,入金予測!$B$4:$B$603,"ワールド・レイ")</f>
        <v>0</v>
      </c>
      <c r="C9" s="20">
        <f>SUMIFS(未払予定一覧!$O$4:$O$830,未払予定一覧!$N$4:$N$830,A9,未払予定一覧!$A$4:$A$830,"ワールド・レイ",未払予定一覧!$B$4:$B$830,"未払繰越")+SUMIFS(未払予定一覧!$O$4:$O$830,未払予定一覧!$N$4:$N$830,A9,未払予定一覧!$A$4:$A$830,"ワールド・レイ",未払予定一覧!$B$4:$B$830,"月次予定")</f>
        <v>0</v>
      </c>
      <c r="D9" s="20">
        <f t="shared" si="0"/>
        <v>0</v>
      </c>
      <c r="E9" s="20">
        <f t="shared" si="1"/>
        <v>371100</v>
      </c>
      <c r="F9" s="21">
        <f>SUMIFS(未払予定一覧!$O$4:$O$830,未払予定一覧!$N$4:$N$830,A9,未払予定一覧!$A$4:$A$830,"ワールド・レイ",未払予定一覧!$B$4:$B$830,"カード枠回復")</f>
        <v>0</v>
      </c>
      <c r="G9" s="122">
        <f t="shared" si="2"/>
        <v>371100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SUMIFS(入金入力!$E$4:$E$580,入金入力!$B$4:$B$580,A10,入金入力!$A$4:$A$580,"ワールド・レイ")+SUMIFS(入金予測!$E$4:$E$603,入金予測!$A$4:$A$603,A10,入金予測!$B$4:$B$603,"ワールド・レイ")</f>
        <v>100000</v>
      </c>
      <c r="C10" s="20">
        <f>SUMIFS(未払予定一覧!$O$4:$O$830,未払予定一覧!$N$4:$N$830,A10,未払予定一覧!$A$4:$A$830,"ワールド・レイ",未払予定一覧!$B$4:$B$830,"未払繰越")+SUMIFS(未払予定一覧!$O$4:$O$830,未払予定一覧!$N$4:$N$830,A10,未払予定一覧!$A$4:$A$830,"ワールド・レイ",未払予定一覧!$B$4:$B$830,"月次予定")</f>
        <v>0</v>
      </c>
      <c r="D10" s="20">
        <f t="shared" si="0"/>
        <v>100000</v>
      </c>
      <c r="E10" s="20">
        <f t="shared" si="1"/>
        <v>471100</v>
      </c>
      <c r="F10" s="21">
        <f>SUMIFS(未払予定一覧!$O$4:$O$830,未払予定一覧!$N$4:$N$830,A10,未払予定一覧!$A$4:$A$830,"ワールド・レイ",未払予定一覧!$B$4:$B$830,"カード枠回復")</f>
        <v>0</v>
      </c>
      <c r="G10" s="122">
        <f t="shared" si="2"/>
        <v>471100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SUMIFS(入金入力!$E$4:$E$580,入金入力!$B$4:$B$580,A11,入金入力!$A$4:$A$580,"ワールド・レイ")+SUMIFS(入金予測!$E$4:$E$603,入金予測!$A$4:$A$603,A11,入金予測!$B$4:$B$603,"ワールド・レイ")</f>
        <v>0</v>
      </c>
      <c r="C11" s="20">
        <f>SUMIFS(未払予定一覧!$O$4:$O$830,未払予定一覧!$N$4:$N$830,A11,未払予定一覧!$A$4:$A$830,"ワールド・レイ",未払予定一覧!$B$4:$B$830,"未払繰越")+SUMIFS(未払予定一覧!$O$4:$O$830,未払予定一覧!$N$4:$N$830,A11,未払予定一覧!$A$4:$A$830,"ワールド・レイ",未払予定一覧!$B$4:$B$830,"月次予定")</f>
        <v>0</v>
      </c>
      <c r="D11" s="20">
        <f t="shared" si="0"/>
        <v>0</v>
      </c>
      <c r="E11" s="20">
        <f t="shared" si="1"/>
        <v>471100</v>
      </c>
      <c r="F11" s="21">
        <f>SUMIFS(未払予定一覧!$O$4:$O$830,未払予定一覧!$N$4:$N$830,A11,未払予定一覧!$A$4:$A$830,"ワールド・レイ",未払予定一覧!$B$4:$B$830,"カード枠回復")</f>
        <v>0</v>
      </c>
      <c r="G11" s="122">
        <f t="shared" si="2"/>
        <v>471100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SUMIFS(入金入力!$E$4:$E$580,入金入力!$B$4:$B$580,A12,入金入力!$A$4:$A$580,"ワールド・レイ")+SUMIFS(入金予測!$E$4:$E$603,入金予測!$A$4:$A$603,A12,入金予測!$B$4:$B$603,"ワールド・レイ")</f>
        <v>0</v>
      </c>
      <c r="C12" s="20">
        <f>SUMIFS(未払予定一覧!$O$4:$O$830,未払予定一覧!$N$4:$N$830,A12,未払予定一覧!$A$4:$A$830,"ワールド・レイ",未払予定一覧!$B$4:$B$830,"未払繰越")+SUMIFS(未払予定一覧!$O$4:$O$830,未払予定一覧!$N$4:$N$830,A12,未払予定一覧!$A$4:$A$830,"ワールド・レイ",未払予定一覧!$B$4:$B$830,"月次予定")</f>
        <v>1059874</v>
      </c>
      <c r="D12" s="20">
        <f t="shared" si="0"/>
        <v>-1059874</v>
      </c>
      <c r="E12" s="20">
        <f t="shared" si="1"/>
        <v>-588774</v>
      </c>
      <c r="F12" s="21">
        <f>SUMIFS(未払予定一覧!$O$4:$O$830,未払予定一覧!$N$4:$N$830,A12,未払予定一覧!$A$4:$A$830,"ワールド・レイ",未払予定一覧!$B$4:$B$830,"カード枠回復")</f>
        <v>0</v>
      </c>
      <c r="G12" s="122">
        <f t="shared" si="2"/>
        <v>-588774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SUMIFS(入金入力!$E$4:$E$580,入金入力!$B$4:$B$580,A13,入金入力!$A$4:$A$580,"ワールド・レイ")+SUMIFS(入金予測!$E$4:$E$603,入金予測!$A$4:$A$603,A13,入金予測!$B$4:$B$603,"ワールド・レイ")</f>
        <v>0</v>
      </c>
      <c r="C13" s="20">
        <f>SUMIFS(未払予定一覧!$O$4:$O$830,未払予定一覧!$N$4:$N$830,A13,未払予定一覧!$A$4:$A$830,"ワールド・レイ",未払予定一覧!$B$4:$B$830,"未払繰越")+SUMIFS(未払予定一覧!$O$4:$O$830,未払予定一覧!$N$4:$N$830,A13,未払予定一覧!$A$4:$A$830,"ワールド・レイ",未払予定一覧!$B$4:$B$830,"月次予定")</f>
        <v>0</v>
      </c>
      <c r="D13" s="20">
        <f t="shared" si="0"/>
        <v>0</v>
      </c>
      <c r="E13" s="20">
        <f t="shared" si="1"/>
        <v>-588774</v>
      </c>
      <c r="F13" s="21">
        <f>SUMIFS(未払予定一覧!$O$4:$O$830,未払予定一覧!$N$4:$N$830,A13,未払予定一覧!$A$4:$A$830,"ワールド・レイ",未払予定一覧!$B$4:$B$830,"カード枠回復")</f>
        <v>0</v>
      </c>
      <c r="G13" s="122">
        <f t="shared" si="2"/>
        <v>-588774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SUMIFS(入金入力!$E$4:$E$580,入金入力!$B$4:$B$580,A14,入金入力!$A$4:$A$580,"ワールド・レイ")+SUMIFS(入金予測!$E$4:$E$603,入金予測!$A$4:$A$603,A14,入金予測!$B$4:$B$603,"ワールド・レイ")</f>
        <v>0</v>
      </c>
      <c r="C14" s="20">
        <f>SUMIFS(未払予定一覧!$O$4:$O$830,未払予定一覧!$N$4:$N$830,A14,未払予定一覧!$A$4:$A$830,"ワールド・レイ",未払予定一覧!$B$4:$B$830,"未払繰越")+SUMIFS(未払予定一覧!$O$4:$O$830,未払予定一覧!$N$4:$N$830,A14,未払予定一覧!$A$4:$A$830,"ワールド・レイ",未払予定一覧!$B$4:$B$830,"月次予定")</f>
        <v>0</v>
      </c>
      <c r="D14" s="20">
        <f t="shared" si="0"/>
        <v>0</v>
      </c>
      <c r="E14" s="20">
        <f t="shared" si="1"/>
        <v>-588774</v>
      </c>
      <c r="F14" s="21">
        <f>SUMIFS(未払予定一覧!$O$4:$O$830,未払予定一覧!$N$4:$N$830,A14,未払予定一覧!$A$4:$A$830,"ワールド・レイ",未払予定一覧!$B$4:$B$830,"カード枠回復")</f>
        <v>0</v>
      </c>
      <c r="G14" s="122">
        <f t="shared" si="2"/>
        <v>-588774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SUMIFS(入金入力!$E$4:$E$580,入金入力!$B$4:$B$580,A15,入金入力!$A$4:$A$580,"ワールド・レイ")+SUMIFS(入金予測!$E$4:$E$603,入金予測!$A$4:$A$603,A15,入金予測!$B$4:$B$603,"ワールド・レイ")</f>
        <v>0</v>
      </c>
      <c r="C15" s="20">
        <f>SUMIFS(未払予定一覧!$O$4:$O$830,未払予定一覧!$N$4:$N$830,A15,未払予定一覧!$A$4:$A$830,"ワールド・レイ",未払予定一覧!$B$4:$B$830,"未払繰越")+SUMIFS(未払予定一覧!$O$4:$O$830,未払予定一覧!$N$4:$N$830,A15,未払予定一覧!$A$4:$A$830,"ワールド・レイ",未払予定一覧!$B$4:$B$830,"月次予定")</f>
        <v>0</v>
      </c>
      <c r="D15" s="20">
        <f t="shared" si="0"/>
        <v>0</v>
      </c>
      <c r="E15" s="20">
        <f t="shared" si="1"/>
        <v>-588774</v>
      </c>
      <c r="F15" s="21">
        <f>SUMIFS(未払予定一覧!$O$4:$O$830,未払予定一覧!$N$4:$N$830,A15,未払予定一覧!$A$4:$A$830,"ワールド・レイ",未払予定一覧!$B$4:$B$830,"カード枠回復")</f>
        <v>0</v>
      </c>
      <c r="G15" s="122">
        <f t="shared" si="2"/>
        <v>-588774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SUMIFS(入金入力!$E$4:$E$580,入金入力!$B$4:$B$580,A16,入金入力!$A$4:$A$580,"ワールド・レイ")+SUMIFS(入金予測!$E$4:$E$603,入金予測!$A$4:$A$603,A16,入金予測!$B$4:$B$603,"ワールド・レイ")</f>
        <v>0</v>
      </c>
      <c r="C16" s="20">
        <f>SUMIFS(未払予定一覧!$O$4:$O$830,未払予定一覧!$N$4:$N$830,A16,未払予定一覧!$A$4:$A$830,"ワールド・レイ",未払予定一覧!$B$4:$B$830,"未払繰越")+SUMIFS(未払予定一覧!$O$4:$O$830,未払予定一覧!$N$4:$N$830,A16,未払予定一覧!$A$4:$A$830,"ワールド・レイ",未払予定一覧!$B$4:$B$830,"月次予定")</f>
        <v>0</v>
      </c>
      <c r="D16" s="20">
        <f t="shared" si="0"/>
        <v>0</v>
      </c>
      <c r="E16" s="20">
        <f t="shared" si="1"/>
        <v>-588774</v>
      </c>
      <c r="F16" s="21">
        <f>SUMIFS(未払予定一覧!$O$4:$O$830,未払予定一覧!$N$4:$N$830,A16,未払予定一覧!$A$4:$A$830,"ワールド・レイ",未払予定一覧!$B$4:$B$830,"カード枠回復")</f>
        <v>0</v>
      </c>
      <c r="G16" s="122">
        <f t="shared" si="2"/>
        <v>-588774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SUMIFS(入金入力!$E$4:$E$580,入金入力!$B$4:$B$580,A17,入金入力!$A$4:$A$580,"ワールド・レイ")+SUMIFS(入金予測!$E$4:$E$603,入金予測!$A$4:$A$603,A17,入金予測!$B$4:$B$603,"ワールド・レイ")</f>
        <v>0</v>
      </c>
      <c r="C17" s="20">
        <f>SUMIFS(未払予定一覧!$O$4:$O$830,未払予定一覧!$N$4:$N$830,A17,未払予定一覧!$A$4:$A$830,"ワールド・レイ",未払予定一覧!$B$4:$B$830,"未払繰越")+SUMIFS(未払予定一覧!$O$4:$O$830,未払予定一覧!$N$4:$N$830,A17,未払予定一覧!$A$4:$A$830,"ワールド・レイ",未払予定一覧!$B$4:$B$830,"月次予定")</f>
        <v>0</v>
      </c>
      <c r="D17" s="20">
        <f t="shared" si="0"/>
        <v>0</v>
      </c>
      <c r="E17" s="20">
        <f t="shared" si="1"/>
        <v>-588774</v>
      </c>
      <c r="F17" s="21">
        <f>SUMIFS(未払予定一覧!$O$4:$O$830,未払予定一覧!$N$4:$N$830,A17,未払予定一覧!$A$4:$A$830,"ワールド・レイ",未払予定一覧!$B$4:$B$830,"カード枠回復")</f>
        <v>0</v>
      </c>
      <c r="G17" s="122">
        <f t="shared" si="2"/>
        <v>-588774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SUMIFS(入金入力!$E$4:$E$580,入金入力!$B$4:$B$580,A18,入金入力!$A$4:$A$580,"ワールド・レイ")+SUMIFS(入金予測!$E$4:$E$603,入金予測!$A$4:$A$603,A18,入金予測!$B$4:$B$603,"ワールド・レイ")</f>
        <v>0</v>
      </c>
      <c r="C18" s="20">
        <f>SUMIFS(未払予定一覧!$O$4:$O$830,未払予定一覧!$N$4:$N$830,A18,未払予定一覧!$A$4:$A$830,"ワールド・レイ",未払予定一覧!$B$4:$B$830,"未払繰越")+SUMIFS(未払予定一覧!$O$4:$O$830,未払予定一覧!$N$4:$N$830,A18,未払予定一覧!$A$4:$A$830,"ワールド・レイ",未払予定一覧!$B$4:$B$830,"月次予定")</f>
        <v>0</v>
      </c>
      <c r="D18" s="20">
        <f t="shared" si="0"/>
        <v>0</v>
      </c>
      <c r="E18" s="20">
        <f t="shared" si="1"/>
        <v>-588774</v>
      </c>
      <c r="F18" s="21">
        <f>SUMIFS(未払予定一覧!$O$4:$O$830,未払予定一覧!$N$4:$N$830,A18,未払予定一覧!$A$4:$A$830,"ワールド・レイ",未払予定一覧!$B$4:$B$830,"カード枠回復")</f>
        <v>0</v>
      </c>
      <c r="G18" s="122">
        <f t="shared" si="2"/>
        <v>-588774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SUMIFS(入金入力!$E$4:$E$580,入金入力!$B$4:$B$580,A19,入金入力!$A$4:$A$580,"ワールド・レイ")+SUMIFS(入金予測!$E$4:$E$603,入金予測!$A$4:$A$603,A19,入金予測!$B$4:$B$603,"ワールド・レイ")</f>
        <v>0</v>
      </c>
      <c r="C19" s="20">
        <f>SUMIFS(未払予定一覧!$O$4:$O$830,未払予定一覧!$N$4:$N$830,A19,未払予定一覧!$A$4:$A$830,"ワールド・レイ",未払予定一覧!$B$4:$B$830,"未払繰越")+SUMIFS(未払予定一覧!$O$4:$O$830,未払予定一覧!$N$4:$N$830,A19,未払予定一覧!$A$4:$A$830,"ワールド・レイ",未払予定一覧!$B$4:$B$830,"月次予定")</f>
        <v>0</v>
      </c>
      <c r="D19" s="20">
        <f t="shared" si="0"/>
        <v>0</v>
      </c>
      <c r="E19" s="20">
        <f t="shared" si="1"/>
        <v>-588774</v>
      </c>
      <c r="F19" s="21">
        <f>SUMIFS(未払予定一覧!$O$4:$O$830,未払予定一覧!$N$4:$N$830,A19,未払予定一覧!$A$4:$A$830,"ワールド・レイ",未払予定一覧!$B$4:$B$830,"カード枠回復")</f>
        <v>0</v>
      </c>
      <c r="G19" s="122">
        <f t="shared" si="2"/>
        <v>-588774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SUMIFS(入金入力!$E$4:$E$580,入金入力!$B$4:$B$580,A20,入金入力!$A$4:$A$580,"ワールド・レイ")+SUMIFS(入金予測!$E$4:$E$603,入金予測!$A$4:$A$603,A20,入金予測!$B$4:$B$603,"ワールド・レイ")</f>
        <v>0</v>
      </c>
      <c r="C20" s="20">
        <f>SUMIFS(未払予定一覧!$O$4:$O$830,未払予定一覧!$N$4:$N$830,A20,未払予定一覧!$A$4:$A$830,"ワールド・レイ",未払予定一覧!$B$4:$B$830,"未払繰越")+SUMIFS(未払予定一覧!$O$4:$O$830,未払予定一覧!$N$4:$N$830,A20,未払予定一覧!$A$4:$A$830,"ワールド・レイ",未払予定一覧!$B$4:$B$830,"月次予定")</f>
        <v>0</v>
      </c>
      <c r="D20" s="20">
        <f t="shared" si="0"/>
        <v>0</v>
      </c>
      <c r="E20" s="20">
        <f t="shared" si="1"/>
        <v>-588774</v>
      </c>
      <c r="F20" s="21">
        <f>SUMIFS(未払予定一覧!$O$4:$O$830,未払予定一覧!$N$4:$N$830,A20,未払予定一覧!$A$4:$A$830,"ワールド・レイ",未払予定一覧!$B$4:$B$830,"カード枠回復")</f>
        <v>0</v>
      </c>
      <c r="G20" s="122">
        <f t="shared" si="2"/>
        <v>-588774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SUMIFS(入金入力!$E$4:$E$580,入金入力!$B$4:$B$580,A21,入金入力!$A$4:$A$580,"ワールド・レイ")+SUMIFS(入金予測!$E$4:$E$603,入金予測!$A$4:$A$603,A21,入金予測!$B$4:$B$603,"ワールド・レイ")</f>
        <v>0</v>
      </c>
      <c r="C21" s="20">
        <f>SUMIFS(未払予定一覧!$O$4:$O$830,未払予定一覧!$N$4:$N$830,A21,未払予定一覧!$A$4:$A$830,"ワールド・レイ",未払予定一覧!$B$4:$B$830,"未払繰越")+SUMIFS(未払予定一覧!$O$4:$O$830,未払予定一覧!$N$4:$N$830,A21,未払予定一覧!$A$4:$A$830,"ワールド・レイ",未払予定一覧!$B$4:$B$830,"月次予定")</f>
        <v>0</v>
      </c>
      <c r="D21" s="20">
        <f t="shared" si="0"/>
        <v>0</v>
      </c>
      <c r="E21" s="20">
        <f t="shared" si="1"/>
        <v>-588774</v>
      </c>
      <c r="F21" s="21">
        <f>SUMIFS(未払予定一覧!$O$4:$O$830,未払予定一覧!$N$4:$N$830,A21,未払予定一覧!$A$4:$A$830,"ワールド・レイ",未払予定一覧!$B$4:$B$830,"カード枠回復")</f>
        <v>0</v>
      </c>
      <c r="G21" s="122">
        <f t="shared" si="2"/>
        <v>-588774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SUMIFS(入金入力!$E$4:$E$580,入金入力!$B$4:$B$580,A22,入金入力!$A$4:$A$580,"ワールド・レイ")+SUMIFS(入金予測!$E$4:$E$603,入金予測!$A$4:$A$603,A22,入金予測!$B$4:$B$603,"ワールド・レイ")</f>
        <v>0</v>
      </c>
      <c r="C22" s="20">
        <f>SUMIFS(未払予定一覧!$O$4:$O$830,未払予定一覧!$N$4:$N$830,A22,未払予定一覧!$A$4:$A$830,"ワールド・レイ",未払予定一覧!$B$4:$B$830,"未払繰越")+SUMIFS(未払予定一覧!$O$4:$O$830,未払予定一覧!$N$4:$N$830,A22,未払予定一覧!$A$4:$A$830,"ワールド・レイ",未払予定一覧!$B$4:$B$830,"月次予定")</f>
        <v>0</v>
      </c>
      <c r="D22" s="20">
        <f t="shared" si="0"/>
        <v>0</v>
      </c>
      <c r="E22" s="20">
        <f t="shared" si="1"/>
        <v>-588774</v>
      </c>
      <c r="F22" s="21">
        <f>SUMIFS(未払予定一覧!$O$4:$O$830,未払予定一覧!$N$4:$N$830,A22,未払予定一覧!$A$4:$A$830,"ワールド・レイ",未払予定一覧!$B$4:$B$830,"カード枠回復")</f>
        <v>0</v>
      </c>
      <c r="G22" s="122">
        <f t="shared" si="2"/>
        <v>-588774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SUMIFS(入金入力!$E$4:$E$580,入金入力!$B$4:$B$580,A23,入金入力!$A$4:$A$580,"ワールド・レイ")+SUMIFS(入金予測!$E$4:$E$603,入金予測!$A$4:$A$603,A23,入金予測!$B$4:$B$603,"ワールド・レイ")</f>
        <v>0</v>
      </c>
      <c r="C23" s="20">
        <f>SUMIFS(未払予定一覧!$O$4:$O$830,未払予定一覧!$N$4:$N$830,A23,未払予定一覧!$A$4:$A$830,"ワールド・レイ",未払予定一覧!$B$4:$B$830,"未払繰越")+SUMIFS(未払予定一覧!$O$4:$O$830,未払予定一覧!$N$4:$N$830,A23,未払予定一覧!$A$4:$A$830,"ワールド・レイ",未払予定一覧!$B$4:$B$830,"月次予定")</f>
        <v>0</v>
      </c>
      <c r="D23" s="20">
        <f t="shared" si="0"/>
        <v>0</v>
      </c>
      <c r="E23" s="20">
        <f t="shared" si="1"/>
        <v>-588774</v>
      </c>
      <c r="F23" s="21">
        <f>SUMIFS(未払予定一覧!$O$4:$O$830,未払予定一覧!$N$4:$N$830,A23,未払予定一覧!$A$4:$A$830,"ワールド・レイ",未払予定一覧!$B$4:$B$830,"カード枠回復")</f>
        <v>0</v>
      </c>
      <c r="G23" s="122">
        <f t="shared" si="2"/>
        <v>-588774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SUMIFS(入金入力!$E$4:$E$580,入金入力!$B$4:$B$580,A24,入金入力!$A$4:$A$580,"ワールド・レイ")+SUMIFS(入金予測!$E$4:$E$603,入金予測!$A$4:$A$603,A24,入金予測!$B$4:$B$603,"ワールド・レイ")</f>
        <v>0</v>
      </c>
      <c r="C24" s="20">
        <f>SUMIFS(未払予定一覧!$O$4:$O$830,未払予定一覧!$N$4:$N$830,A24,未払予定一覧!$A$4:$A$830,"ワールド・レイ",未払予定一覧!$B$4:$B$830,"未払繰越")+SUMIFS(未払予定一覧!$O$4:$O$830,未払予定一覧!$N$4:$N$830,A24,未払予定一覧!$A$4:$A$830,"ワールド・レイ",未払予定一覧!$B$4:$B$830,"月次予定")</f>
        <v>0</v>
      </c>
      <c r="D24" s="20">
        <f t="shared" si="0"/>
        <v>0</v>
      </c>
      <c r="E24" s="20">
        <f t="shared" si="1"/>
        <v>-588774</v>
      </c>
      <c r="F24" s="21">
        <f>SUMIFS(未払予定一覧!$O$4:$O$830,未払予定一覧!$N$4:$N$830,A24,未払予定一覧!$A$4:$A$830,"ワールド・レイ",未払予定一覧!$B$4:$B$830,"カード枠回復")</f>
        <v>0</v>
      </c>
      <c r="G24" s="122">
        <f t="shared" si="2"/>
        <v>-588774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SUMIFS(入金入力!$E$4:$E$580,入金入力!$B$4:$B$580,A25,入金入力!$A$4:$A$580,"ワールド・レイ")+SUMIFS(入金予測!$E$4:$E$603,入金予測!$A$4:$A$603,A25,入金予測!$B$4:$B$603,"ワールド・レイ")</f>
        <v>0</v>
      </c>
      <c r="C25" s="20">
        <f>SUMIFS(未払予定一覧!$O$4:$O$830,未払予定一覧!$N$4:$N$830,A25,未払予定一覧!$A$4:$A$830,"ワールド・レイ",未払予定一覧!$B$4:$B$830,"未払繰越")+SUMIFS(未払予定一覧!$O$4:$O$830,未払予定一覧!$N$4:$N$830,A25,未払予定一覧!$A$4:$A$830,"ワールド・レイ",未払予定一覧!$B$4:$B$830,"月次予定")</f>
        <v>0</v>
      </c>
      <c r="D25" s="20">
        <f t="shared" si="0"/>
        <v>0</v>
      </c>
      <c r="E25" s="20">
        <f t="shared" si="1"/>
        <v>-588774</v>
      </c>
      <c r="F25" s="21">
        <f>SUMIFS(未払予定一覧!$O$4:$O$830,未払予定一覧!$N$4:$N$830,A25,未払予定一覧!$A$4:$A$830,"ワールド・レイ",未払予定一覧!$B$4:$B$830,"カード枠回復")</f>
        <v>0</v>
      </c>
      <c r="G25" s="122">
        <f t="shared" si="2"/>
        <v>-588774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SUMIFS(入金入力!$E$4:$E$580,入金入力!$B$4:$B$580,A26,入金入力!$A$4:$A$580,"ワールド・レイ")+SUMIFS(入金予測!$E$4:$E$603,入金予測!$A$4:$A$603,A26,入金予測!$B$4:$B$603,"ワールド・レイ")</f>
        <v>0</v>
      </c>
      <c r="C26" s="20">
        <f>SUMIFS(未払予定一覧!$O$4:$O$830,未払予定一覧!$N$4:$N$830,A26,未払予定一覧!$A$4:$A$830,"ワールド・レイ",未払予定一覧!$B$4:$B$830,"未払繰越")+SUMIFS(未払予定一覧!$O$4:$O$830,未払予定一覧!$N$4:$N$830,A26,未払予定一覧!$A$4:$A$830,"ワールド・レイ",未払予定一覧!$B$4:$B$830,"月次予定")</f>
        <v>0</v>
      </c>
      <c r="D26" s="20">
        <f t="shared" si="0"/>
        <v>0</v>
      </c>
      <c r="E26" s="20">
        <f t="shared" si="1"/>
        <v>-588774</v>
      </c>
      <c r="F26" s="21">
        <f>SUMIFS(未払予定一覧!$O$4:$O$830,未払予定一覧!$N$4:$N$830,A26,未払予定一覧!$A$4:$A$830,"ワールド・レイ",未払予定一覧!$B$4:$B$830,"カード枠回復")</f>
        <v>0</v>
      </c>
      <c r="G26" s="122">
        <f t="shared" si="2"/>
        <v>-588774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SUMIFS(入金入力!$E$4:$E$580,入金入力!$B$4:$B$580,A27,入金入力!$A$4:$A$580,"ワールド・レイ")+SUMIFS(入金予測!$E$4:$E$603,入金予測!$A$4:$A$603,A27,入金予測!$B$4:$B$603,"ワールド・レイ")</f>
        <v>0</v>
      </c>
      <c r="C27" s="20">
        <f>SUMIFS(未払予定一覧!$O$4:$O$830,未払予定一覧!$N$4:$N$830,A27,未払予定一覧!$A$4:$A$830,"ワールド・レイ",未払予定一覧!$B$4:$B$830,"未払繰越")+SUMIFS(未払予定一覧!$O$4:$O$830,未払予定一覧!$N$4:$N$830,A27,未払予定一覧!$A$4:$A$830,"ワールド・レイ",未払予定一覧!$B$4:$B$830,"月次予定")</f>
        <v>0</v>
      </c>
      <c r="D27" s="20">
        <f t="shared" si="0"/>
        <v>0</v>
      </c>
      <c r="E27" s="20">
        <f t="shared" si="1"/>
        <v>-588774</v>
      </c>
      <c r="F27" s="21">
        <f>SUMIFS(未払予定一覧!$O$4:$O$830,未払予定一覧!$N$4:$N$830,A27,未払予定一覧!$A$4:$A$830,"ワールド・レイ",未払予定一覧!$B$4:$B$830,"カード枠回復")</f>
        <v>0</v>
      </c>
      <c r="G27" s="122">
        <f t="shared" si="2"/>
        <v>-588774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SUMIFS(入金入力!$E$4:$E$580,入金入力!$B$4:$B$580,A28,入金入力!$A$4:$A$580,"ワールド・レイ")+SUMIFS(入金予測!$E$4:$E$603,入金予測!$A$4:$A$603,A28,入金予測!$B$4:$B$603,"ワールド・レイ")</f>
        <v>0</v>
      </c>
      <c r="C28" s="20">
        <f>SUMIFS(未払予定一覧!$O$4:$O$830,未払予定一覧!$N$4:$N$830,A28,未払予定一覧!$A$4:$A$830,"ワールド・レイ",未払予定一覧!$B$4:$B$830,"未払繰越")+SUMIFS(未払予定一覧!$O$4:$O$830,未払予定一覧!$N$4:$N$830,A28,未払予定一覧!$A$4:$A$830,"ワールド・レイ",未払予定一覧!$B$4:$B$830,"月次予定")</f>
        <v>0</v>
      </c>
      <c r="D28" s="20">
        <f t="shared" si="0"/>
        <v>0</v>
      </c>
      <c r="E28" s="20">
        <f t="shared" si="1"/>
        <v>-588774</v>
      </c>
      <c r="F28" s="21">
        <f>SUMIFS(未払予定一覧!$O$4:$O$830,未払予定一覧!$N$4:$N$830,A28,未払予定一覧!$A$4:$A$830,"ワールド・レイ",未払予定一覧!$B$4:$B$830,"カード枠回復")</f>
        <v>0</v>
      </c>
      <c r="G28" s="122">
        <f t="shared" si="2"/>
        <v>-588774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SUMIFS(入金入力!$E$4:$E$580,入金入力!$B$4:$B$580,A29,入金入力!$A$4:$A$580,"ワールド・レイ")+SUMIFS(入金予測!$E$4:$E$603,入金予測!$A$4:$A$603,A29,入金予測!$B$4:$B$603,"ワールド・レイ")</f>
        <v>0</v>
      </c>
      <c r="C29" s="20">
        <f>SUMIFS(未払予定一覧!$O$4:$O$830,未払予定一覧!$N$4:$N$830,A29,未払予定一覧!$A$4:$A$830,"ワールド・レイ",未払予定一覧!$B$4:$B$830,"未払繰越")+SUMIFS(未払予定一覧!$O$4:$O$830,未払予定一覧!$N$4:$N$830,A29,未払予定一覧!$A$4:$A$830,"ワールド・レイ",未払予定一覧!$B$4:$B$830,"月次予定")</f>
        <v>0</v>
      </c>
      <c r="D29" s="20">
        <f t="shared" si="0"/>
        <v>0</v>
      </c>
      <c r="E29" s="20">
        <f t="shared" si="1"/>
        <v>-588774</v>
      </c>
      <c r="F29" s="21">
        <f>SUMIFS(未払予定一覧!$O$4:$O$830,未払予定一覧!$N$4:$N$830,A29,未払予定一覧!$A$4:$A$830,"ワールド・レイ",未払予定一覧!$B$4:$B$830,"カード枠回復")</f>
        <v>0</v>
      </c>
      <c r="G29" s="122">
        <f t="shared" si="2"/>
        <v>-588774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SUMIFS(入金入力!$E$4:$E$580,入金入力!$B$4:$B$580,A30,入金入力!$A$4:$A$580,"ワールド・レイ")+SUMIFS(入金予測!$E$4:$E$603,入金予測!$A$4:$A$603,A30,入金予測!$B$4:$B$603,"ワールド・レイ")</f>
        <v>200000</v>
      </c>
      <c r="C30" s="20">
        <f>SUMIFS(未払予定一覧!$O$4:$O$830,未払予定一覧!$N$4:$N$830,A30,未払予定一覧!$A$4:$A$830,"ワールド・レイ",未払予定一覧!$B$4:$B$830,"未払繰越")+SUMIFS(未払予定一覧!$O$4:$O$830,未払予定一覧!$N$4:$N$830,A30,未払予定一覧!$A$4:$A$830,"ワールド・レイ",未払予定一覧!$B$4:$B$830,"月次予定")</f>
        <v>0</v>
      </c>
      <c r="D30" s="20">
        <f t="shared" si="0"/>
        <v>200000</v>
      </c>
      <c r="E30" s="20">
        <f t="shared" si="1"/>
        <v>-388774</v>
      </c>
      <c r="F30" s="21">
        <f>SUMIFS(未払予定一覧!$O$4:$O$830,未払予定一覧!$N$4:$N$830,A30,未払予定一覧!$A$4:$A$830,"ワールド・レイ",未払予定一覧!$B$4:$B$830,"カード枠回復")</f>
        <v>0</v>
      </c>
      <c r="G30" s="122">
        <f t="shared" si="2"/>
        <v>-388774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SUMIFS(入金入力!$E$4:$E$580,入金入力!$B$4:$B$580,A31,入金入力!$A$4:$A$580,"ワールド・レイ")+SUMIFS(入金予測!$E$4:$E$603,入金予測!$A$4:$A$603,A31,入金予測!$B$4:$B$603,"ワールド・レイ")</f>
        <v>0</v>
      </c>
      <c r="C31" s="20">
        <f>SUMIFS(未払予定一覧!$O$4:$O$830,未払予定一覧!$N$4:$N$830,A31,未払予定一覧!$A$4:$A$830,"ワールド・レイ",未払予定一覧!$B$4:$B$830,"未払繰越")+SUMIFS(未払予定一覧!$O$4:$O$830,未払予定一覧!$N$4:$N$830,A31,未払予定一覧!$A$4:$A$830,"ワールド・レイ",未払予定一覧!$B$4:$B$830,"月次予定")</f>
        <v>0</v>
      </c>
      <c r="D31" s="20">
        <f t="shared" si="0"/>
        <v>0</v>
      </c>
      <c r="E31" s="20">
        <f t="shared" si="1"/>
        <v>-388774</v>
      </c>
      <c r="F31" s="21">
        <f>SUMIFS(未払予定一覧!$O$4:$O$830,未払予定一覧!$N$4:$N$830,A31,未払予定一覧!$A$4:$A$830,"ワールド・レイ",未払予定一覧!$B$4:$B$830,"カード枠回復")</f>
        <v>0</v>
      </c>
      <c r="G31" s="122">
        <f t="shared" si="2"/>
        <v>-388774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SUMIFS(入金入力!$E$4:$E$580,入金入力!$B$4:$B$580,A32,入金入力!$A$4:$A$580,"ワールド・レイ")+SUMIFS(入金予測!$E$4:$E$603,入金予測!$A$4:$A$603,A32,入金予測!$B$4:$B$603,"ワールド・レイ")</f>
        <v>0</v>
      </c>
      <c r="C32" s="20">
        <f>SUMIFS(未払予定一覧!$O$4:$O$830,未払予定一覧!$N$4:$N$830,A32,未払予定一覧!$A$4:$A$830,"ワールド・レイ",未払予定一覧!$B$4:$B$830,"未払繰越")+SUMIFS(未払予定一覧!$O$4:$O$830,未払予定一覧!$N$4:$N$830,A32,未払予定一覧!$A$4:$A$830,"ワールド・レイ",未払予定一覧!$B$4:$B$830,"月次予定")</f>
        <v>200000</v>
      </c>
      <c r="D32" s="20">
        <f t="shared" si="0"/>
        <v>-200000</v>
      </c>
      <c r="E32" s="20">
        <f t="shared" si="1"/>
        <v>-588774</v>
      </c>
      <c r="F32" s="21">
        <f>SUMIFS(未払予定一覧!$O$4:$O$830,未払予定一覧!$N$4:$N$830,A32,未払予定一覧!$A$4:$A$830,"ワールド・レイ",未払予定一覧!$B$4:$B$830,"カード枠回復")</f>
        <v>0</v>
      </c>
      <c r="G32" s="122">
        <f t="shared" si="2"/>
        <v>-588774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SUMIFS(入金入力!$E$4:$E$580,入金入力!$B$4:$B$580,A33,入金入力!$A$4:$A$580,"ワールド・レイ")+SUMIFS(入金予測!$E$4:$E$603,入金予測!$A$4:$A$603,A33,入金予測!$B$4:$B$603,"ワールド・レイ")</f>
        <v>0</v>
      </c>
      <c r="C33" s="20">
        <f>SUMIFS(未払予定一覧!$O$4:$O$830,未払予定一覧!$N$4:$N$830,A33,未払予定一覧!$A$4:$A$830,"ワールド・レイ",未払予定一覧!$B$4:$B$830,"未払繰越")+SUMIFS(未払予定一覧!$O$4:$O$830,未払予定一覧!$N$4:$N$830,A33,未払予定一覧!$A$4:$A$830,"ワールド・レイ",未払予定一覧!$B$4:$B$830,"月次予定")</f>
        <v>712000</v>
      </c>
      <c r="D33" s="20">
        <f t="shared" si="0"/>
        <v>-712000</v>
      </c>
      <c r="E33" s="20">
        <f t="shared" si="1"/>
        <v>-1300774</v>
      </c>
      <c r="F33" s="21">
        <f>SUMIFS(未払予定一覧!$O$4:$O$830,未払予定一覧!$N$4:$N$830,A33,未払予定一覧!$A$4:$A$830,"ワールド・レイ",未払予定一覧!$B$4:$B$830,"カード枠回復")</f>
        <v>0</v>
      </c>
      <c r="G33" s="122">
        <f t="shared" si="2"/>
        <v>-1300774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SUMIFS(入金入力!$E$4:$E$580,入金入力!$B$4:$B$580,A34,入金入力!$A$4:$A$580,"ワールド・レイ")+SUMIFS(入金予測!$E$4:$E$603,入金予測!$A$4:$A$603,A34,入金予測!$B$4:$B$603,"ワールド・レイ")</f>
        <v>0</v>
      </c>
      <c r="C34" s="20">
        <f>SUMIFS(未払予定一覧!$O$4:$O$830,未払予定一覧!$N$4:$N$830,A34,未払予定一覧!$A$4:$A$830,"ワールド・レイ",未払予定一覧!$B$4:$B$830,"未払繰越")+SUMIFS(未払予定一覧!$O$4:$O$830,未払予定一覧!$N$4:$N$830,A34,未払予定一覧!$A$4:$A$830,"ワールド・レイ",未払予定一覧!$B$4:$B$830,"月次予定")</f>
        <v>0</v>
      </c>
      <c r="D34" s="20">
        <f t="shared" si="0"/>
        <v>0</v>
      </c>
      <c r="E34" s="20">
        <f t="shared" si="1"/>
        <v>-1300774</v>
      </c>
      <c r="F34" s="21">
        <f>SUMIFS(未払予定一覧!$O$4:$O$830,未払予定一覧!$N$4:$N$830,A34,未払予定一覧!$A$4:$A$830,"ワールド・レイ",未払予定一覧!$B$4:$B$830,"カード枠回復")</f>
        <v>0</v>
      </c>
      <c r="G34" s="122">
        <f t="shared" si="2"/>
        <v>-1300774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SUMIFS(入金入力!$E$4:$E$580,入金入力!$B$4:$B$580,A35,入金入力!$A$4:$A$580,"ワールド・レイ")+SUMIFS(入金予測!$E$4:$E$603,入金予測!$A$4:$A$603,A35,入金予測!$B$4:$B$603,"ワールド・レイ")</f>
        <v>0</v>
      </c>
      <c r="C35" s="20">
        <f>SUMIFS(未払予定一覧!$O$4:$O$830,未払予定一覧!$N$4:$N$830,A35,未払予定一覧!$A$4:$A$830,"ワールド・レイ",未払予定一覧!$B$4:$B$830,"未払繰越")+SUMIFS(未払予定一覧!$O$4:$O$830,未払予定一覧!$N$4:$N$830,A35,未払予定一覧!$A$4:$A$830,"ワールド・レイ",未払予定一覧!$B$4:$B$830,"月次予定")</f>
        <v>0</v>
      </c>
      <c r="D35" s="20">
        <f t="shared" si="0"/>
        <v>0</v>
      </c>
      <c r="E35" s="20">
        <f t="shared" si="1"/>
        <v>-1300774</v>
      </c>
      <c r="F35" s="21">
        <f>SUMIFS(未払予定一覧!$O$4:$O$830,未払予定一覧!$N$4:$N$830,A35,未払予定一覧!$A$4:$A$830,"ワールド・レイ",未払予定一覧!$B$4:$B$830,"カード枠回復")</f>
        <v>0</v>
      </c>
      <c r="G35" s="122">
        <f t="shared" si="2"/>
        <v>-1300774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SUMIFS(入金入力!$E$4:$E$580,入金入力!$B$4:$B$580,A36,入金入力!$A$4:$A$580,"ワールド・レイ")+SUMIFS(入金予測!$E$4:$E$603,入金予測!$A$4:$A$603,A36,入金予測!$B$4:$B$603,"ワールド・レイ")</f>
        <v>0</v>
      </c>
      <c r="C36" s="20">
        <f>SUMIFS(未払予定一覧!$O$4:$O$830,未払予定一覧!$N$4:$N$830,A36,未払予定一覧!$A$4:$A$830,"ワールド・レイ",未払予定一覧!$B$4:$B$830,"未払繰越")+SUMIFS(未払予定一覧!$O$4:$O$830,未払予定一覧!$N$4:$N$830,A36,未払予定一覧!$A$4:$A$830,"ワールド・レイ",未払予定一覧!$B$4:$B$830,"月次予定")</f>
        <v>0</v>
      </c>
      <c r="D36" s="20">
        <f t="shared" si="0"/>
        <v>0</v>
      </c>
      <c r="E36" s="20">
        <f t="shared" si="1"/>
        <v>-1300774</v>
      </c>
      <c r="F36" s="21">
        <f>SUMIFS(未払予定一覧!$O$4:$O$830,未払予定一覧!$N$4:$N$830,A36,未払予定一覧!$A$4:$A$830,"ワールド・レイ",未払予定一覧!$B$4:$B$830,"カード枠回復")</f>
        <v>0</v>
      </c>
      <c r="G36" s="122">
        <f t="shared" si="2"/>
        <v>-1300774</v>
      </c>
      <c r="H36" s="125" t="s">
        <v>689</v>
      </c>
    </row>
    <row r="37" spans="1:8" ht="15" customHeight="1">
      <c r="A37" s="23" t="s">
        <v>690</v>
      </c>
      <c r="B37" s="24">
        <f>SUM(B5:B36)</f>
        <v>863000</v>
      </c>
      <c r="C37" s="24">
        <f>SUM(C5:C36)</f>
        <v>2163774</v>
      </c>
      <c r="D37" s="24">
        <f t="shared" si="0"/>
        <v>-1300774</v>
      </c>
      <c r="E37" s="24">
        <f>E36</f>
        <v>-1300774</v>
      </c>
      <c r="F37" s="24">
        <f>SUM(F5:F36)</f>
        <v>0</v>
      </c>
      <c r="G37" s="24">
        <f>G36</f>
        <v>-1300774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SUMIFS(入金入力!$E$4:$E$580,入金入力!$B$4:$B$580,A40,入金入力!$A$4:$A$580,"ワールド・レイ")+SUMIFS(入金予測!$E$4:$E$603,入金予測!$A$4:$A$603,A40,入金予測!$B$4:$B$603,"ワールド・レイ")</f>
        <v>0</v>
      </c>
      <c r="C40" s="20">
        <f>SUMIFS(未払予定一覧!$O$4:$O$830,未払予定一覧!$N$4:$N$830,A40,未払予定一覧!$A$4:$A$830,"ワールド・レイ",未払予定一覧!$B$4:$B$830,"未払繰越")+SUMIFS(未払予定一覧!$O$4:$O$830,未払予定一覧!$N$4:$N$830,A40,未払予定一覧!$A$4:$A$830,"ワールド・レイ",未払予定一覧!$B$4:$B$830,"月次予定")</f>
        <v>0</v>
      </c>
      <c r="D40" s="20">
        <f t="shared" ref="D40:D70" si="3">B40-C40-F40</f>
        <v>0</v>
      </c>
      <c r="E40" s="20">
        <f>E37+D40</f>
        <v>-1300774</v>
      </c>
      <c r="F40" s="21">
        <f>SUMIFS(未払予定一覧!$O$4:$O$830,未払予定一覧!$N$4:$N$830,A40,未払予定一覧!$A$4:$A$830,"ワールド・レイ",未払予定一覧!$B$4:$B$830,"カード枠回復")</f>
        <v>0</v>
      </c>
      <c r="G40" s="122">
        <f>G37+D40+F40</f>
        <v>-1300774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SUMIFS(入金入力!$E$4:$E$580,入金入力!$B$4:$B$580,A41,入金入力!$A$4:$A$580,"ワールド・レイ")+SUMIFS(入金予測!$E$4:$E$603,入金予測!$A$4:$A$603,A41,入金予測!$B$4:$B$603,"ワールド・レイ")</f>
        <v>0</v>
      </c>
      <c r="C41" s="20">
        <f>SUMIFS(未払予定一覧!$O$4:$O$830,未払予定一覧!$N$4:$N$830,A41,未払予定一覧!$A$4:$A$830,"ワールド・レイ",未払予定一覧!$B$4:$B$830,"未払繰越")+SUMIFS(未払予定一覧!$O$4:$O$830,未払予定一覧!$N$4:$N$830,A41,未払予定一覧!$A$4:$A$830,"ワールド・レイ",未払予定一覧!$B$4:$B$830,"月次予定")</f>
        <v>0</v>
      </c>
      <c r="D41" s="20">
        <f t="shared" si="3"/>
        <v>0</v>
      </c>
      <c r="E41" s="20">
        <f t="shared" ref="E41:E69" si="4">E40+D41</f>
        <v>-1300774</v>
      </c>
      <c r="F41" s="21">
        <f>SUMIFS(未払予定一覧!$O$4:$O$830,未払予定一覧!$N$4:$N$830,A41,未払予定一覧!$A$4:$A$830,"ワールド・レイ",未払予定一覧!$B$4:$B$830,"カード枠回復")</f>
        <v>0</v>
      </c>
      <c r="G41" s="122">
        <f t="shared" ref="G41:G69" si="5">G40+D41+F41</f>
        <v>-1300774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SUMIFS(入金入力!$E$4:$E$580,入金入力!$B$4:$B$580,A42,入金入力!$A$4:$A$580,"ワールド・レイ")+SUMIFS(入金予測!$E$4:$E$603,入金予測!$A$4:$A$603,A42,入金予測!$B$4:$B$603,"ワールド・レイ")</f>
        <v>0</v>
      </c>
      <c r="C42" s="20">
        <f>SUMIFS(未払予定一覧!$O$4:$O$830,未払予定一覧!$N$4:$N$830,A42,未払予定一覧!$A$4:$A$830,"ワールド・レイ",未払予定一覧!$B$4:$B$830,"未払繰越")+SUMIFS(未払予定一覧!$O$4:$O$830,未払予定一覧!$N$4:$N$830,A42,未払予定一覧!$A$4:$A$830,"ワールド・レイ",未払予定一覧!$B$4:$B$830,"月次予定")</f>
        <v>0</v>
      </c>
      <c r="D42" s="20">
        <f t="shared" si="3"/>
        <v>0</v>
      </c>
      <c r="E42" s="20">
        <f t="shared" si="4"/>
        <v>-1300774</v>
      </c>
      <c r="F42" s="21">
        <f>SUMIFS(未払予定一覧!$O$4:$O$830,未払予定一覧!$N$4:$N$830,A42,未払予定一覧!$A$4:$A$830,"ワールド・レイ",未払予定一覧!$B$4:$B$830,"カード枠回復")</f>
        <v>0</v>
      </c>
      <c r="G42" s="122">
        <f t="shared" si="5"/>
        <v>-1300774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SUMIFS(入金入力!$E$4:$E$580,入金入力!$B$4:$B$580,A43,入金入力!$A$4:$A$580,"ワールド・レイ")+SUMIFS(入金予測!$E$4:$E$603,入金予測!$A$4:$A$603,A43,入金予測!$B$4:$B$603,"ワールド・レイ")</f>
        <v>0</v>
      </c>
      <c r="C43" s="20">
        <f>SUMIFS(未払予定一覧!$O$4:$O$830,未払予定一覧!$N$4:$N$830,A43,未払予定一覧!$A$4:$A$830,"ワールド・レイ",未払予定一覧!$B$4:$B$830,"未払繰越")+SUMIFS(未払予定一覧!$O$4:$O$830,未払予定一覧!$N$4:$N$830,A43,未払予定一覧!$A$4:$A$830,"ワールド・レイ",未払予定一覧!$B$4:$B$830,"月次予定")</f>
        <v>0</v>
      </c>
      <c r="D43" s="20">
        <f t="shared" si="3"/>
        <v>0</v>
      </c>
      <c r="E43" s="20">
        <f t="shared" si="4"/>
        <v>-1300774</v>
      </c>
      <c r="F43" s="21">
        <f>SUMIFS(未払予定一覧!$O$4:$O$830,未払予定一覧!$N$4:$N$830,A43,未払予定一覧!$A$4:$A$830,"ワールド・レイ",未払予定一覧!$B$4:$B$830,"カード枠回復")</f>
        <v>0</v>
      </c>
      <c r="G43" s="122">
        <f t="shared" si="5"/>
        <v>-1300774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SUMIFS(入金入力!$E$4:$E$580,入金入力!$B$4:$B$580,A44,入金入力!$A$4:$A$580,"ワールド・レイ")+SUMIFS(入金予測!$E$4:$E$603,入金予測!$A$4:$A$603,A44,入金予測!$B$4:$B$603,"ワールド・レイ")</f>
        <v>100000</v>
      </c>
      <c r="C44" s="20">
        <f>SUMIFS(未払予定一覧!$O$4:$O$830,未払予定一覧!$N$4:$N$830,A44,未払予定一覧!$A$4:$A$830,"ワールド・レイ",未払予定一覧!$B$4:$B$830,"未払繰越")+SUMIFS(未払予定一覧!$O$4:$O$830,未払予定一覧!$N$4:$N$830,A44,未払予定一覧!$A$4:$A$830,"ワールド・レイ",未払予定一覧!$B$4:$B$830,"月次予定")</f>
        <v>0</v>
      </c>
      <c r="D44" s="20">
        <f t="shared" si="3"/>
        <v>100000</v>
      </c>
      <c r="E44" s="20">
        <f t="shared" si="4"/>
        <v>-1200774</v>
      </c>
      <c r="F44" s="21">
        <f>SUMIFS(未払予定一覧!$O$4:$O$830,未払予定一覧!$N$4:$N$830,A44,未払予定一覧!$A$4:$A$830,"ワールド・レイ",未払予定一覧!$B$4:$B$830,"カード枠回復")</f>
        <v>0</v>
      </c>
      <c r="G44" s="122">
        <f t="shared" si="5"/>
        <v>-1200774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SUMIFS(入金入力!$E$4:$E$580,入金入力!$B$4:$B$580,A45,入金入力!$A$4:$A$580,"ワールド・レイ")+SUMIFS(入金予測!$E$4:$E$603,入金予測!$A$4:$A$603,A45,入金予測!$B$4:$B$603,"ワールド・レイ")</f>
        <v>0</v>
      </c>
      <c r="C45" s="20">
        <f>SUMIFS(未払予定一覧!$O$4:$O$830,未払予定一覧!$N$4:$N$830,A45,未払予定一覧!$A$4:$A$830,"ワールド・レイ",未払予定一覧!$B$4:$B$830,"未払繰越")+SUMIFS(未払予定一覧!$O$4:$O$830,未払予定一覧!$N$4:$N$830,A45,未払予定一覧!$A$4:$A$830,"ワールド・レイ",未払予定一覧!$B$4:$B$830,"月次予定")</f>
        <v>0</v>
      </c>
      <c r="D45" s="20">
        <f t="shared" si="3"/>
        <v>0</v>
      </c>
      <c r="E45" s="20">
        <f t="shared" si="4"/>
        <v>-1200774</v>
      </c>
      <c r="F45" s="21">
        <f>SUMIFS(未払予定一覧!$O$4:$O$830,未払予定一覧!$N$4:$N$830,A45,未払予定一覧!$A$4:$A$830,"ワールド・レイ",未払予定一覧!$B$4:$B$830,"カード枠回復")</f>
        <v>0</v>
      </c>
      <c r="G45" s="122">
        <f t="shared" si="5"/>
        <v>-1200774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SUMIFS(入金入力!$E$4:$E$580,入金入力!$B$4:$B$580,A46,入金入力!$A$4:$A$580,"ワールド・レイ")+SUMIFS(入金予測!$E$4:$E$603,入金予測!$A$4:$A$603,A46,入金予測!$B$4:$B$603,"ワールド・レイ")</f>
        <v>0</v>
      </c>
      <c r="C46" s="20">
        <f>SUMIFS(未払予定一覧!$O$4:$O$830,未払予定一覧!$N$4:$N$830,A46,未払予定一覧!$A$4:$A$830,"ワールド・レイ",未払予定一覧!$B$4:$B$830,"未払繰越")+SUMIFS(未払予定一覧!$O$4:$O$830,未払予定一覧!$N$4:$N$830,A46,未払予定一覧!$A$4:$A$830,"ワールド・レイ",未払予定一覧!$B$4:$B$830,"月次予定")</f>
        <v>529937</v>
      </c>
      <c r="D46" s="20">
        <f t="shared" si="3"/>
        <v>-529937</v>
      </c>
      <c r="E46" s="20">
        <f t="shared" si="4"/>
        <v>-1730711</v>
      </c>
      <c r="F46" s="21">
        <f>SUMIFS(未払予定一覧!$O$4:$O$830,未払予定一覧!$N$4:$N$830,A46,未払予定一覧!$A$4:$A$830,"ワールド・レイ",未払予定一覧!$B$4:$B$830,"カード枠回復")</f>
        <v>0</v>
      </c>
      <c r="G46" s="122">
        <f t="shared" si="5"/>
        <v>-1730711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SUMIFS(入金入力!$E$4:$E$580,入金入力!$B$4:$B$580,A47,入金入力!$A$4:$A$580,"ワールド・レイ")+SUMIFS(入金予測!$E$4:$E$603,入金予測!$A$4:$A$603,A47,入金予測!$B$4:$B$603,"ワールド・レイ")</f>
        <v>0</v>
      </c>
      <c r="C47" s="20">
        <f>SUMIFS(未払予定一覧!$O$4:$O$830,未払予定一覧!$N$4:$N$830,A47,未払予定一覧!$A$4:$A$830,"ワールド・レイ",未払予定一覧!$B$4:$B$830,"未払繰越")+SUMIFS(未払予定一覧!$O$4:$O$830,未払予定一覧!$N$4:$N$830,A47,未払予定一覧!$A$4:$A$830,"ワールド・レイ",未払予定一覧!$B$4:$B$830,"月次予定")</f>
        <v>0</v>
      </c>
      <c r="D47" s="20">
        <f t="shared" si="3"/>
        <v>0</v>
      </c>
      <c r="E47" s="20">
        <f t="shared" si="4"/>
        <v>-1730711</v>
      </c>
      <c r="F47" s="21">
        <f>SUMIFS(未払予定一覧!$O$4:$O$830,未払予定一覧!$N$4:$N$830,A47,未払予定一覧!$A$4:$A$830,"ワールド・レイ",未払予定一覧!$B$4:$B$830,"カード枠回復")</f>
        <v>0</v>
      </c>
      <c r="G47" s="122">
        <f t="shared" si="5"/>
        <v>-1730711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SUMIFS(入金入力!$E$4:$E$580,入金入力!$B$4:$B$580,A48,入金入力!$A$4:$A$580,"ワールド・レイ")+SUMIFS(入金予測!$E$4:$E$603,入金予測!$A$4:$A$603,A48,入金予測!$B$4:$B$603,"ワールド・レイ")</f>
        <v>0</v>
      </c>
      <c r="C48" s="20">
        <f>SUMIFS(未払予定一覧!$O$4:$O$830,未払予定一覧!$N$4:$N$830,A48,未払予定一覧!$A$4:$A$830,"ワールド・レイ",未払予定一覧!$B$4:$B$830,"未払繰越")+SUMIFS(未払予定一覧!$O$4:$O$830,未払予定一覧!$N$4:$N$830,A48,未払予定一覧!$A$4:$A$830,"ワールド・レイ",未払予定一覧!$B$4:$B$830,"月次予定")</f>
        <v>0</v>
      </c>
      <c r="D48" s="20">
        <f t="shared" si="3"/>
        <v>0</v>
      </c>
      <c r="E48" s="20">
        <f t="shared" si="4"/>
        <v>-1730711</v>
      </c>
      <c r="F48" s="21">
        <f>SUMIFS(未払予定一覧!$O$4:$O$830,未払予定一覧!$N$4:$N$830,A48,未払予定一覧!$A$4:$A$830,"ワールド・レイ",未払予定一覧!$B$4:$B$830,"カード枠回復")</f>
        <v>0</v>
      </c>
      <c r="G48" s="122">
        <f t="shared" si="5"/>
        <v>-1730711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SUMIFS(入金入力!$E$4:$E$580,入金入力!$B$4:$B$580,A49,入金入力!$A$4:$A$580,"ワールド・レイ")+SUMIFS(入金予測!$E$4:$E$603,入金予測!$A$4:$A$603,A49,入金予測!$B$4:$B$603,"ワールド・レイ")</f>
        <v>0</v>
      </c>
      <c r="C49" s="20">
        <f>SUMIFS(未払予定一覧!$O$4:$O$830,未払予定一覧!$N$4:$N$830,A49,未払予定一覧!$A$4:$A$830,"ワールド・レイ",未払予定一覧!$B$4:$B$830,"未払繰越")+SUMIFS(未払予定一覧!$O$4:$O$830,未払予定一覧!$N$4:$N$830,A49,未払予定一覧!$A$4:$A$830,"ワールド・レイ",未払予定一覧!$B$4:$B$830,"月次予定")</f>
        <v>0</v>
      </c>
      <c r="D49" s="20">
        <f t="shared" si="3"/>
        <v>0</v>
      </c>
      <c r="E49" s="20">
        <f t="shared" si="4"/>
        <v>-1730711</v>
      </c>
      <c r="F49" s="21">
        <f>SUMIFS(未払予定一覧!$O$4:$O$830,未払予定一覧!$N$4:$N$830,A49,未払予定一覧!$A$4:$A$830,"ワールド・レイ",未払予定一覧!$B$4:$B$830,"カード枠回復")</f>
        <v>0</v>
      </c>
      <c r="G49" s="122">
        <f t="shared" si="5"/>
        <v>-1730711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SUMIFS(入金入力!$E$4:$E$580,入金入力!$B$4:$B$580,A50,入金入力!$A$4:$A$580,"ワールド・レイ")+SUMIFS(入金予測!$E$4:$E$603,入金予測!$A$4:$A$603,A50,入金予測!$B$4:$B$603,"ワールド・レイ")</f>
        <v>0</v>
      </c>
      <c r="C50" s="20">
        <f>SUMIFS(未払予定一覧!$O$4:$O$830,未払予定一覧!$N$4:$N$830,A50,未払予定一覧!$A$4:$A$830,"ワールド・レイ",未払予定一覧!$B$4:$B$830,"未払繰越")+SUMIFS(未払予定一覧!$O$4:$O$830,未払予定一覧!$N$4:$N$830,A50,未払予定一覧!$A$4:$A$830,"ワールド・レイ",未払予定一覧!$B$4:$B$830,"月次予定")</f>
        <v>0</v>
      </c>
      <c r="D50" s="20">
        <f t="shared" si="3"/>
        <v>0</v>
      </c>
      <c r="E50" s="20">
        <f t="shared" si="4"/>
        <v>-1730711</v>
      </c>
      <c r="F50" s="21">
        <f>SUMIFS(未払予定一覧!$O$4:$O$830,未払予定一覧!$N$4:$N$830,A50,未払予定一覧!$A$4:$A$830,"ワールド・レイ",未払予定一覧!$B$4:$B$830,"カード枠回復")</f>
        <v>0</v>
      </c>
      <c r="G50" s="122">
        <f t="shared" si="5"/>
        <v>-1730711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SUMIFS(入金入力!$E$4:$E$580,入金入力!$B$4:$B$580,A51,入金入力!$A$4:$A$580,"ワールド・レイ")+SUMIFS(入金予測!$E$4:$E$603,入金予測!$A$4:$A$603,A51,入金予測!$B$4:$B$603,"ワールド・レイ")</f>
        <v>0</v>
      </c>
      <c r="C51" s="20">
        <f>SUMIFS(未払予定一覧!$O$4:$O$830,未払予定一覧!$N$4:$N$830,A51,未払予定一覧!$A$4:$A$830,"ワールド・レイ",未払予定一覧!$B$4:$B$830,"未払繰越")+SUMIFS(未払予定一覧!$O$4:$O$830,未払予定一覧!$N$4:$N$830,A51,未払予定一覧!$A$4:$A$830,"ワールド・レイ",未払予定一覧!$B$4:$B$830,"月次予定")</f>
        <v>0</v>
      </c>
      <c r="D51" s="20">
        <f t="shared" si="3"/>
        <v>0</v>
      </c>
      <c r="E51" s="20">
        <f t="shared" si="4"/>
        <v>-1730711</v>
      </c>
      <c r="F51" s="21">
        <f>SUMIFS(未払予定一覧!$O$4:$O$830,未払予定一覧!$N$4:$N$830,A51,未払予定一覧!$A$4:$A$830,"ワールド・レイ",未払予定一覧!$B$4:$B$830,"カード枠回復")</f>
        <v>0</v>
      </c>
      <c r="G51" s="122">
        <f t="shared" si="5"/>
        <v>-1730711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SUMIFS(入金入力!$E$4:$E$580,入金入力!$B$4:$B$580,A52,入金入力!$A$4:$A$580,"ワールド・レイ")+SUMIFS(入金予測!$E$4:$E$603,入金予測!$A$4:$A$603,A52,入金予測!$B$4:$B$603,"ワールド・レイ")</f>
        <v>0</v>
      </c>
      <c r="C52" s="20">
        <f>SUMIFS(未払予定一覧!$O$4:$O$830,未払予定一覧!$N$4:$N$830,A52,未払予定一覧!$A$4:$A$830,"ワールド・レイ",未払予定一覧!$B$4:$B$830,"未払繰越")+SUMIFS(未払予定一覧!$O$4:$O$830,未払予定一覧!$N$4:$N$830,A52,未払予定一覧!$A$4:$A$830,"ワールド・レイ",未払予定一覧!$B$4:$B$830,"月次予定")</f>
        <v>0</v>
      </c>
      <c r="D52" s="20">
        <f t="shared" si="3"/>
        <v>0</v>
      </c>
      <c r="E52" s="20">
        <f t="shared" si="4"/>
        <v>-1730711</v>
      </c>
      <c r="F52" s="21">
        <f>SUMIFS(未払予定一覧!$O$4:$O$830,未払予定一覧!$N$4:$N$830,A52,未払予定一覧!$A$4:$A$830,"ワールド・レイ",未払予定一覧!$B$4:$B$830,"カード枠回復")</f>
        <v>0</v>
      </c>
      <c r="G52" s="122">
        <f t="shared" si="5"/>
        <v>-1730711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SUMIFS(入金入力!$E$4:$E$580,入金入力!$B$4:$B$580,A53,入金入力!$A$4:$A$580,"ワールド・レイ")+SUMIFS(入金予測!$E$4:$E$603,入金予測!$A$4:$A$603,A53,入金予測!$B$4:$B$603,"ワールド・レイ")</f>
        <v>0</v>
      </c>
      <c r="C53" s="20">
        <f>SUMIFS(未払予定一覧!$O$4:$O$830,未払予定一覧!$N$4:$N$830,A53,未払予定一覧!$A$4:$A$830,"ワールド・レイ",未払予定一覧!$B$4:$B$830,"未払繰越")+SUMIFS(未払予定一覧!$O$4:$O$830,未払予定一覧!$N$4:$N$830,A53,未払予定一覧!$A$4:$A$830,"ワールド・レイ",未払予定一覧!$B$4:$B$830,"月次予定")</f>
        <v>0</v>
      </c>
      <c r="D53" s="20">
        <f t="shared" si="3"/>
        <v>0</v>
      </c>
      <c r="E53" s="20">
        <f t="shared" si="4"/>
        <v>-1730711</v>
      </c>
      <c r="F53" s="21">
        <f>SUMIFS(未払予定一覧!$O$4:$O$830,未払予定一覧!$N$4:$N$830,A53,未払予定一覧!$A$4:$A$830,"ワールド・レイ",未払予定一覧!$B$4:$B$830,"カード枠回復")</f>
        <v>0</v>
      </c>
      <c r="G53" s="122">
        <f t="shared" si="5"/>
        <v>-1730711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SUMIFS(入金入力!$E$4:$E$580,入金入力!$B$4:$B$580,A54,入金入力!$A$4:$A$580,"ワールド・レイ")+SUMIFS(入金予測!$E$4:$E$603,入金予測!$A$4:$A$603,A54,入金予測!$B$4:$B$603,"ワールド・レイ")</f>
        <v>0</v>
      </c>
      <c r="C54" s="20">
        <f>SUMIFS(未払予定一覧!$O$4:$O$830,未払予定一覧!$N$4:$N$830,A54,未払予定一覧!$A$4:$A$830,"ワールド・レイ",未払予定一覧!$B$4:$B$830,"未払繰越")+SUMIFS(未払予定一覧!$O$4:$O$830,未払予定一覧!$N$4:$N$830,A54,未払予定一覧!$A$4:$A$830,"ワールド・レイ",未払予定一覧!$B$4:$B$830,"月次予定")</f>
        <v>0</v>
      </c>
      <c r="D54" s="20">
        <f t="shared" si="3"/>
        <v>0</v>
      </c>
      <c r="E54" s="20">
        <f t="shared" si="4"/>
        <v>-1730711</v>
      </c>
      <c r="F54" s="21">
        <f>SUMIFS(未払予定一覧!$O$4:$O$830,未払予定一覧!$N$4:$N$830,A54,未払予定一覧!$A$4:$A$830,"ワールド・レイ",未払予定一覧!$B$4:$B$830,"カード枠回復")</f>
        <v>0</v>
      </c>
      <c r="G54" s="122">
        <f t="shared" si="5"/>
        <v>-1730711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SUMIFS(入金入力!$E$4:$E$580,入金入力!$B$4:$B$580,A55,入金入力!$A$4:$A$580,"ワールド・レイ")+SUMIFS(入金予測!$E$4:$E$603,入金予測!$A$4:$A$603,A55,入金予測!$B$4:$B$603,"ワールド・レイ")</f>
        <v>0</v>
      </c>
      <c r="C55" s="20">
        <f>SUMIFS(未払予定一覧!$O$4:$O$830,未払予定一覧!$N$4:$N$830,A55,未払予定一覧!$A$4:$A$830,"ワールド・レイ",未払予定一覧!$B$4:$B$830,"未払繰越")+SUMIFS(未払予定一覧!$O$4:$O$830,未払予定一覧!$N$4:$N$830,A55,未払予定一覧!$A$4:$A$830,"ワールド・レイ",未払予定一覧!$B$4:$B$830,"月次予定")</f>
        <v>0</v>
      </c>
      <c r="D55" s="20">
        <f t="shared" si="3"/>
        <v>0</v>
      </c>
      <c r="E55" s="20">
        <f t="shared" si="4"/>
        <v>-1730711</v>
      </c>
      <c r="F55" s="21">
        <f>SUMIFS(未払予定一覧!$O$4:$O$830,未払予定一覧!$N$4:$N$830,A55,未払予定一覧!$A$4:$A$830,"ワールド・レイ",未払予定一覧!$B$4:$B$830,"カード枠回復")</f>
        <v>0</v>
      </c>
      <c r="G55" s="122">
        <f t="shared" si="5"/>
        <v>-1730711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SUMIFS(入金入力!$E$4:$E$580,入金入力!$B$4:$B$580,A56,入金入力!$A$4:$A$580,"ワールド・レイ")+SUMIFS(入金予測!$E$4:$E$603,入金予測!$A$4:$A$603,A56,入金予測!$B$4:$B$603,"ワールド・レイ")</f>
        <v>0</v>
      </c>
      <c r="C56" s="20">
        <f>SUMIFS(未払予定一覧!$O$4:$O$830,未払予定一覧!$N$4:$N$830,A56,未払予定一覧!$A$4:$A$830,"ワールド・レイ",未払予定一覧!$B$4:$B$830,"未払繰越")+SUMIFS(未払予定一覧!$O$4:$O$830,未払予定一覧!$N$4:$N$830,A56,未払予定一覧!$A$4:$A$830,"ワールド・レイ",未払予定一覧!$B$4:$B$830,"月次予定")</f>
        <v>0</v>
      </c>
      <c r="D56" s="20">
        <f t="shared" si="3"/>
        <v>0</v>
      </c>
      <c r="E56" s="20">
        <f t="shared" si="4"/>
        <v>-1730711</v>
      </c>
      <c r="F56" s="21">
        <f>SUMIFS(未払予定一覧!$O$4:$O$830,未払予定一覧!$N$4:$N$830,A56,未払予定一覧!$A$4:$A$830,"ワールド・レイ",未払予定一覧!$B$4:$B$830,"カード枠回復")</f>
        <v>0</v>
      </c>
      <c r="G56" s="122">
        <f t="shared" si="5"/>
        <v>-1730711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SUMIFS(入金入力!$E$4:$E$580,入金入力!$B$4:$B$580,A57,入金入力!$A$4:$A$580,"ワールド・レイ")+SUMIFS(入金予測!$E$4:$E$603,入金予測!$A$4:$A$603,A57,入金予測!$B$4:$B$603,"ワールド・レイ")</f>
        <v>0</v>
      </c>
      <c r="C57" s="20">
        <f>SUMIFS(未払予定一覧!$O$4:$O$830,未払予定一覧!$N$4:$N$830,A57,未払予定一覧!$A$4:$A$830,"ワールド・レイ",未払予定一覧!$B$4:$B$830,"未払繰越")+SUMIFS(未払予定一覧!$O$4:$O$830,未払予定一覧!$N$4:$N$830,A57,未払予定一覧!$A$4:$A$830,"ワールド・レイ",未払予定一覧!$B$4:$B$830,"月次予定")</f>
        <v>0</v>
      </c>
      <c r="D57" s="20">
        <f t="shared" si="3"/>
        <v>0</v>
      </c>
      <c r="E57" s="20">
        <f t="shared" si="4"/>
        <v>-1730711</v>
      </c>
      <c r="F57" s="21">
        <f>SUMIFS(未払予定一覧!$O$4:$O$830,未払予定一覧!$N$4:$N$830,A57,未払予定一覧!$A$4:$A$830,"ワールド・レイ",未払予定一覧!$B$4:$B$830,"カード枠回復")</f>
        <v>0</v>
      </c>
      <c r="G57" s="122">
        <f t="shared" si="5"/>
        <v>-1730711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SUMIFS(入金入力!$E$4:$E$580,入金入力!$B$4:$B$580,A58,入金入力!$A$4:$A$580,"ワールド・レイ")+SUMIFS(入金予測!$E$4:$E$603,入金予測!$A$4:$A$603,A58,入金予測!$B$4:$B$603,"ワールド・レイ")</f>
        <v>0</v>
      </c>
      <c r="C58" s="20">
        <f>SUMIFS(未払予定一覧!$O$4:$O$830,未払予定一覧!$N$4:$N$830,A58,未払予定一覧!$A$4:$A$830,"ワールド・レイ",未払予定一覧!$B$4:$B$830,"未払繰越")+SUMIFS(未払予定一覧!$O$4:$O$830,未払予定一覧!$N$4:$N$830,A58,未払予定一覧!$A$4:$A$830,"ワールド・レイ",未払予定一覧!$B$4:$B$830,"月次予定")</f>
        <v>0</v>
      </c>
      <c r="D58" s="20">
        <f t="shared" si="3"/>
        <v>0</v>
      </c>
      <c r="E58" s="20">
        <f t="shared" si="4"/>
        <v>-1730711</v>
      </c>
      <c r="F58" s="21">
        <f>SUMIFS(未払予定一覧!$O$4:$O$830,未払予定一覧!$N$4:$N$830,A58,未払予定一覧!$A$4:$A$830,"ワールド・レイ",未払予定一覧!$B$4:$B$830,"カード枠回復")</f>
        <v>0</v>
      </c>
      <c r="G58" s="122">
        <f t="shared" si="5"/>
        <v>-1730711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SUMIFS(入金入力!$E$4:$E$580,入金入力!$B$4:$B$580,A59,入金入力!$A$4:$A$580,"ワールド・レイ")+SUMIFS(入金予測!$E$4:$E$603,入金予測!$A$4:$A$603,A59,入金予測!$B$4:$B$603,"ワールド・レイ")</f>
        <v>0</v>
      </c>
      <c r="C59" s="20">
        <f>SUMIFS(未払予定一覧!$O$4:$O$830,未払予定一覧!$N$4:$N$830,A59,未払予定一覧!$A$4:$A$830,"ワールド・レイ",未払予定一覧!$B$4:$B$830,"未払繰越")+SUMIFS(未払予定一覧!$O$4:$O$830,未払予定一覧!$N$4:$N$830,A59,未払予定一覧!$A$4:$A$830,"ワールド・レイ",未払予定一覧!$B$4:$B$830,"月次予定")</f>
        <v>0</v>
      </c>
      <c r="D59" s="20">
        <f t="shared" si="3"/>
        <v>0</v>
      </c>
      <c r="E59" s="20">
        <f t="shared" si="4"/>
        <v>-1730711</v>
      </c>
      <c r="F59" s="21">
        <f>SUMIFS(未払予定一覧!$O$4:$O$830,未払予定一覧!$N$4:$N$830,A59,未払予定一覧!$A$4:$A$830,"ワールド・レイ",未払予定一覧!$B$4:$B$830,"カード枠回復")</f>
        <v>0</v>
      </c>
      <c r="G59" s="122">
        <f t="shared" si="5"/>
        <v>-1730711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SUMIFS(入金入力!$E$4:$E$580,入金入力!$B$4:$B$580,A60,入金入力!$A$4:$A$580,"ワールド・レイ")+SUMIFS(入金予測!$E$4:$E$603,入金予測!$A$4:$A$603,A60,入金予測!$B$4:$B$603,"ワールド・レイ")</f>
        <v>0</v>
      </c>
      <c r="C60" s="20">
        <f>SUMIFS(未払予定一覧!$O$4:$O$830,未払予定一覧!$N$4:$N$830,A60,未払予定一覧!$A$4:$A$830,"ワールド・レイ",未払予定一覧!$B$4:$B$830,"未払繰越")+SUMIFS(未払予定一覧!$O$4:$O$830,未払予定一覧!$N$4:$N$830,A60,未払予定一覧!$A$4:$A$830,"ワールド・レイ",未払予定一覧!$B$4:$B$830,"月次予定")</f>
        <v>0</v>
      </c>
      <c r="D60" s="20">
        <f t="shared" si="3"/>
        <v>0</v>
      </c>
      <c r="E60" s="20">
        <f t="shared" si="4"/>
        <v>-1730711</v>
      </c>
      <c r="F60" s="21">
        <f>SUMIFS(未払予定一覧!$O$4:$O$830,未払予定一覧!$N$4:$N$830,A60,未払予定一覧!$A$4:$A$830,"ワールド・レイ",未払予定一覧!$B$4:$B$830,"カード枠回復")</f>
        <v>0</v>
      </c>
      <c r="G60" s="122">
        <f t="shared" si="5"/>
        <v>-1730711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SUMIFS(入金入力!$E$4:$E$580,入金入力!$B$4:$B$580,A61,入金入力!$A$4:$A$580,"ワールド・レイ")+SUMIFS(入金予測!$E$4:$E$603,入金予測!$A$4:$A$603,A61,入金予測!$B$4:$B$603,"ワールド・レイ")</f>
        <v>0</v>
      </c>
      <c r="C61" s="20">
        <f>SUMIFS(未払予定一覧!$O$4:$O$830,未払予定一覧!$N$4:$N$830,A61,未払予定一覧!$A$4:$A$830,"ワールド・レイ",未払予定一覧!$B$4:$B$830,"未払繰越")+SUMIFS(未払予定一覧!$O$4:$O$830,未払予定一覧!$N$4:$N$830,A61,未払予定一覧!$A$4:$A$830,"ワールド・レイ",未払予定一覧!$B$4:$B$830,"月次予定")</f>
        <v>0</v>
      </c>
      <c r="D61" s="20">
        <f t="shared" si="3"/>
        <v>0</v>
      </c>
      <c r="E61" s="20">
        <f t="shared" si="4"/>
        <v>-1730711</v>
      </c>
      <c r="F61" s="21">
        <f>SUMIFS(未払予定一覧!$O$4:$O$830,未払予定一覧!$N$4:$N$830,A61,未払予定一覧!$A$4:$A$830,"ワールド・レイ",未払予定一覧!$B$4:$B$830,"カード枠回復")</f>
        <v>0</v>
      </c>
      <c r="G61" s="122">
        <f t="shared" si="5"/>
        <v>-1730711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SUMIFS(入金入力!$E$4:$E$580,入金入力!$B$4:$B$580,A62,入金入力!$A$4:$A$580,"ワールド・レイ")+SUMIFS(入金予測!$E$4:$E$603,入金予測!$A$4:$A$603,A62,入金予測!$B$4:$B$603,"ワールド・レイ")</f>
        <v>0</v>
      </c>
      <c r="C62" s="20">
        <f>SUMIFS(未払予定一覧!$O$4:$O$830,未払予定一覧!$N$4:$N$830,A62,未払予定一覧!$A$4:$A$830,"ワールド・レイ",未払予定一覧!$B$4:$B$830,"未払繰越")+SUMIFS(未払予定一覧!$O$4:$O$830,未払予定一覧!$N$4:$N$830,A62,未払予定一覧!$A$4:$A$830,"ワールド・レイ",未払予定一覧!$B$4:$B$830,"月次予定")</f>
        <v>0</v>
      </c>
      <c r="D62" s="20">
        <f t="shared" si="3"/>
        <v>0</v>
      </c>
      <c r="E62" s="20">
        <f t="shared" si="4"/>
        <v>-1730711</v>
      </c>
      <c r="F62" s="21">
        <f>SUMIFS(未払予定一覧!$O$4:$O$830,未払予定一覧!$N$4:$N$830,A62,未払予定一覧!$A$4:$A$830,"ワールド・レイ",未払予定一覧!$B$4:$B$830,"カード枠回復")</f>
        <v>0</v>
      </c>
      <c r="G62" s="122">
        <f t="shared" si="5"/>
        <v>-1730711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SUMIFS(入金入力!$E$4:$E$580,入金入力!$B$4:$B$580,A63,入金入力!$A$4:$A$580,"ワールド・レイ")+SUMIFS(入金予測!$E$4:$E$603,入金予測!$A$4:$A$603,A63,入金予測!$B$4:$B$603,"ワールド・レイ")</f>
        <v>0</v>
      </c>
      <c r="C63" s="20">
        <f>SUMIFS(未払予定一覧!$O$4:$O$830,未払予定一覧!$N$4:$N$830,A63,未払予定一覧!$A$4:$A$830,"ワールド・レイ",未払予定一覧!$B$4:$B$830,"未払繰越")+SUMIFS(未払予定一覧!$O$4:$O$830,未払予定一覧!$N$4:$N$830,A63,未払予定一覧!$A$4:$A$830,"ワールド・レイ",未払予定一覧!$B$4:$B$830,"月次予定")</f>
        <v>0</v>
      </c>
      <c r="D63" s="20">
        <f t="shared" si="3"/>
        <v>0</v>
      </c>
      <c r="E63" s="20">
        <f t="shared" si="4"/>
        <v>-1730711</v>
      </c>
      <c r="F63" s="21">
        <f>SUMIFS(未払予定一覧!$O$4:$O$830,未払予定一覧!$N$4:$N$830,A63,未払予定一覧!$A$4:$A$830,"ワールド・レイ",未払予定一覧!$B$4:$B$830,"カード枠回復")</f>
        <v>0</v>
      </c>
      <c r="G63" s="122">
        <f t="shared" si="5"/>
        <v>-1730711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SUMIFS(入金入力!$E$4:$E$580,入金入力!$B$4:$B$580,A64,入金入力!$A$4:$A$580,"ワールド・レイ")+SUMIFS(入金予測!$E$4:$E$603,入金予測!$A$4:$A$603,A64,入金予測!$B$4:$B$603,"ワールド・レイ")</f>
        <v>200000</v>
      </c>
      <c r="C64" s="20">
        <f>SUMIFS(未払予定一覧!$O$4:$O$830,未払予定一覧!$N$4:$N$830,A64,未払予定一覧!$A$4:$A$830,"ワールド・レイ",未払予定一覧!$B$4:$B$830,"未払繰越")+SUMIFS(未払予定一覧!$O$4:$O$830,未払予定一覧!$N$4:$N$830,A64,未払予定一覧!$A$4:$A$830,"ワールド・レイ",未払予定一覧!$B$4:$B$830,"月次予定")</f>
        <v>0</v>
      </c>
      <c r="D64" s="20">
        <f t="shared" si="3"/>
        <v>200000</v>
      </c>
      <c r="E64" s="20">
        <f t="shared" si="4"/>
        <v>-1530711</v>
      </c>
      <c r="F64" s="21">
        <f>SUMIFS(未払予定一覧!$O$4:$O$830,未払予定一覧!$N$4:$N$830,A64,未払予定一覧!$A$4:$A$830,"ワールド・レイ",未払予定一覧!$B$4:$B$830,"カード枠回復")</f>
        <v>0</v>
      </c>
      <c r="G64" s="122">
        <f t="shared" si="5"/>
        <v>-1530711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SUMIFS(入金入力!$E$4:$E$580,入金入力!$B$4:$B$580,A65,入金入力!$A$4:$A$580,"ワールド・レイ")+SUMIFS(入金予測!$E$4:$E$603,入金予測!$A$4:$A$603,A65,入金予測!$B$4:$B$603,"ワールド・レイ")</f>
        <v>0</v>
      </c>
      <c r="C65" s="20">
        <f>SUMIFS(未払予定一覧!$O$4:$O$830,未払予定一覧!$N$4:$N$830,A65,未払予定一覧!$A$4:$A$830,"ワールド・レイ",未払予定一覧!$B$4:$B$830,"未払繰越")+SUMIFS(未払予定一覧!$O$4:$O$830,未払予定一覧!$N$4:$N$830,A65,未払予定一覧!$A$4:$A$830,"ワールド・レイ",未払予定一覧!$B$4:$B$830,"月次予定")</f>
        <v>0</v>
      </c>
      <c r="D65" s="20">
        <f t="shared" si="3"/>
        <v>0</v>
      </c>
      <c r="E65" s="20">
        <f t="shared" si="4"/>
        <v>-1530711</v>
      </c>
      <c r="F65" s="21">
        <f>SUMIFS(未払予定一覧!$O$4:$O$830,未払予定一覧!$N$4:$N$830,A65,未払予定一覧!$A$4:$A$830,"ワールド・レイ",未払予定一覧!$B$4:$B$830,"カード枠回復")</f>
        <v>0</v>
      </c>
      <c r="G65" s="122">
        <f t="shared" si="5"/>
        <v>-1530711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SUMIFS(入金入力!$E$4:$E$580,入金入力!$B$4:$B$580,A66,入金入力!$A$4:$A$580,"ワールド・レイ")+SUMIFS(入金予測!$E$4:$E$603,入金予測!$A$4:$A$603,A66,入金予測!$B$4:$B$603,"ワールド・レイ")</f>
        <v>0</v>
      </c>
      <c r="C66" s="20">
        <f>SUMIFS(未払予定一覧!$O$4:$O$830,未払予定一覧!$N$4:$N$830,A66,未払予定一覧!$A$4:$A$830,"ワールド・レイ",未払予定一覧!$B$4:$B$830,"未払繰越")+SUMIFS(未払予定一覧!$O$4:$O$830,未払予定一覧!$N$4:$N$830,A66,未払予定一覧!$A$4:$A$830,"ワールド・レイ",未払予定一覧!$B$4:$B$830,"月次予定")</f>
        <v>200000</v>
      </c>
      <c r="D66" s="20">
        <f t="shared" si="3"/>
        <v>-200000</v>
      </c>
      <c r="E66" s="20">
        <f t="shared" si="4"/>
        <v>-1730711</v>
      </c>
      <c r="F66" s="21">
        <f>SUMIFS(未払予定一覧!$O$4:$O$830,未払予定一覧!$N$4:$N$830,A66,未払予定一覧!$A$4:$A$830,"ワールド・レイ",未払予定一覧!$B$4:$B$830,"カード枠回復")</f>
        <v>0</v>
      </c>
      <c r="G66" s="122">
        <f t="shared" si="5"/>
        <v>-1730711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SUMIFS(入金入力!$E$4:$E$580,入金入力!$B$4:$B$580,A67,入金入力!$A$4:$A$580,"ワールド・レイ")+SUMIFS(入金予測!$E$4:$E$603,入金予測!$A$4:$A$603,A67,入金予測!$B$4:$B$603,"ワールド・レイ")</f>
        <v>0</v>
      </c>
      <c r="C67" s="20">
        <f>SUMIFS(未払予定一覧!$O$4:$O$830,未払予定一覧!$N$4:$N$830,A67,未払予定一覧!$A$4:$A$830,"ワールド・レイ",未払予定一覧!$B$4:$B$830,"未払繰越")+SUMIFS(未払予定一覧!$O$4:$O$830,未払予定一覧!$N$4:$N$830,A67,未払予定一覧!$A$4:$A$830,"ワールド・レイ",未払予定一覧!$B$4:$B$830,"月次予定")</f>
        <v>712000</v>
      </c>
      <c r="D67" s="20">
        <f t="shared" si="3"/>
        <v>-712000</v>
      </c>
      <c r="E67" s="20">
        <f t="shared" si="4"/>
        <v>-2442711</v>
      </c>
      <c r="F67" s="21">
        <f>SUMIFS(未払予定一覧!$O$4:$O$830,未払予定一覧!$N$4:$N$830,A67,未払予定一覧!$A$4:$A$830,"ワールド・レイ",未払予定一覧!$B$4:$B$830,"カード枠回復")</f>
        <v>0</v>
      </c>
      <c r="G67" s="122">
        <f t="shared" si="5"/>
        <v>-2442711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SUMIFS(入金入力!$E$4:$E$580,入金入力!$B$4:$B$580,A68,入金入力!$A$4:$A$580,"ワールド・レイ")+SUMIFS(入金予測!$E$4:$E$603,入金予測!$A$4:$A$603,A68,入金予測!$B$4:$B$603,"ワールド・レイ")</f>
        <v>0</v>
      </c>
      <c r="C68" s="20">
        <f>SUMIFS(未払予定一覧!$O$4:$O$830,未払予定一覧!$N$4:$N$830,A68,未払予定一覧!$A$4:$A$830,"ワールド・レイ",未払予定一覧!$B$4:$B$830,"未払繰越")+SUMIFS(未払予定一覧!$O$4:$O$830,未払予定一覧!$N$4:$N$830,A68,未払予定一覧!$A$4:$A$830,"ワールド・レイ",未払予定一覧!$B$4:$B$830,"月次予定")</f>
        <v>0</v>
      </c>
      <c r="D68" s="20">
        <f t="shared" si="3"/>
        <v>0</v>
      </c>
      <c r="E68" s="20">
        <f t="shared" si="4"/>
        <v>-2442711</v>
      </c>
      <c r="F68" s="21">
        <f>SUMIFS(未払予定一覧!$O$4:$O$830,未払予定一覧!$N$4:$N$830,A68,未払予定一覧!$A$4:$A$830,"ワールド・レイ",未払予定一覧!$B$4:$B$830,"カード枠回復")</f>
        <v>0</v>
      </c>
      <c r="G68" s="122">
        <f t="shared" si="5"/>
        <v>-2442711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SUMIFS(入金入力!$E$4:$E$580,入金入力!$B$4:$B$580,A69,入金入力!$A$4:$A$580,"ワールド・レイ")+SUMIFS(入金予測!$E$4:$E$603,入金予測!$A$4:$A$603,A69,入金予測!$B$4:$B$603,"ワールド・レイ")</f>
        <v>0</v>
      </c>
      <c r="C69" s="20">
        <f>SUMIFS(未払予定一覧!$O$4:$O$830,未払予定一覧!$N$4:$N$830,A69,未払予定一覧!$A$4:$A$830,"ワールド・レイ",未払予定一覧!$B$4:$B$830,"未払繰越")+SUMIFS(未払予定一覧!$O$4:$O$830,未払予定一覧!$N$4:$N$830,A69,未払予定一覧!$A$4:$A$830,"ワールド・レイ",未払予定一覧!$B$4:$B$830,"月次予定")</f>
        <v>0</v>
      </c>
      <c r="D69" s="20">
        <f t="shared" si="3"/>
        <v>0</v>
      </c>
      <c r="E69" s="20">
        <f t="shared" si="4"/>
        <v>-2442711</v>
      </c>
      <c r="F69" s="21">
        <f>SUMIFS(未払予定一覧!$O$4:$O$830,未払予定一覧!$N$4:$N$830,A69,未払予定一覧!$A$4:$A$830,"ワールド・レイ",未払予定一覧!$B$4:$B$830,"カード枠回復")</f>
        <v>0</v>
      </c>
      <c r="G69" s="122">
        <f t="shared" si="5"/>
        <v>-2442711</v>
      </c>
      <c r="H69" s="123"/>
    </row>
    <row r="70" spans="1:8" ht="15" customHeight="1">
      <c r="A70" s="23" t="s">
        <v>693</v>
      </c>
      <c r="B70" s="24">
        <f>SUM(B40:B69)</f>
        <v>300000</v>
      </c>
      <c r="C70" s="24">
        <f>SUM(C40:C69)</f>
        <v>1441937</v>
      </c>
      <c r="D70" s="24">
        <f t="shared" si="3"/>
        <v>-1141937</v>
      </c>
      <c r="E70" s="24">
        <f>E69</f>
        <v>-2442711</v>
      </c>
      <c r="F70" s="24">
        <f>SUM(F40:F69)</f>
        <v>0</v>
      </c>
      <c r="G70" s="24">
        <f>G69</f>
        <v>-2442711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SUMIFS(入金入力!$E$4:$E$580,入金入力!$B$4:$B$580,A73,入金入力!$A$4:$A$580,"ワールド・レイ")+SUMIFS(入金予測!$E$4:$E$603,入金予測!$A$4:$A$603,A73,入金予測!$B$4:$B$603,"ワールド・レイ")</f>
        <v>0</v>
      </c>
      <c r="C73" s="20">
        <f>SUMIFS(未払予定一覧!$O$4:$O$830,未払予定一覧!$N$4:$N$830,A73,未払予定一覧!$A$4:$A$830,"ワールド・レイ",未払予定一覧!$B$4:$B$830,"未払繰越")+SUMIFS(未払予定一覧!$O$4:$O$830,未払予定一覧!$N$4:$N$830,A73,未払予定一覧!$A$4:$A$830,"ワールド・レイ",未払予定一覧!$B$4:$B$830,"月次予定")</f>
        <v>0</v>
      </c>
      <c r="D73" s="20">
        <f t="shared" ref="D73:D104" si="6">B73-C73-F73</f>
        <v>0</v>
      </c>
      <c r="E73" s="20">
        <f>E70+D73</f>
        <v>-2442711</v>
      </c>
      <c r="F73" s="21">
        <f>SUMIFS(未払予定一覧!$O$4:$O$830,未払予定一覧!$N$4:$N$830,A73,未払予定一覧!$A$4:$A$830,"ワールド・レイ",未払予定一覧!$B$4:$B$830,"カード枠回復")</f>
        <v>0</v>
      </c>
      <c r="G73" s="122">
        <f>G70+D73+F73</f>
        <v>-2442711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SUMIFS(入金入力!$E$4:$E$580,入金入力!$B$4:$B$580,A74,入金入力!$A$4:$A$580,"ワールド・レイ")+SUMIFS(入金予測!$E$4:$E$603,入金予測!$A$4:$A$603,A74,入金予測!$B$4:$B$603,"ワールド・レイ")</f>
        <v>0</v>
      </c>
      <c r="C74" s="20">
        <f>SUMIFS(未払予定一覧!$O$4:$O$830,未払予定一覧!$N$4:$N$830,A74,未払予定一覧!$A$4:$A$830,"ワールド・レイ",未払予定一覧!$B$4:$B$830,"未払繰越")+SUMIFS(未払予定一覧!$O$4:$O$830,未払予定一覧!$N$4:$N$830,A74,未払予定一覧!$A$4:$A$830,"ワールド・レイ",未払予定一覧!$B$4:$B$830,"月次予定")</f>
        <v>0</v>
      </c>
      <c r="D74" s="20">
        <f t="shared" si="6"/>
        <v>0</v>
      </c>
      <c r="E74" s="20">
        <f t="shared" ref="E74:E103" si="7">E73+D74</f>
        <v>-2442711</v>
      </c>
      <c r="F74" s="21">
        <f>SUMIFS(未払予定一覧!$O$4:$O$830,未払予定一覧!$N$4:$N$830,A74,未払予定一覧!$A$4:$A$830,"ワールド・レイ",未払予定一覧!$B$4:$B$830,"カード枠回復")</f>
        <v>0</v>
      </c>
      <c r="G74" s="122">
        <f t="shared" ref="G74:G103" si="8">G73+D74+F74</f>
        <v>-2442711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SUMIFS(入金入力!$E$4:$E$580,入金入力!$B$4:$B$580,A75,入金入力!$A$4:$A$580,"ワールド・レイ")+SUMIFS(入金予測!$E$4:$E$603,入金予測!$A$4:$A$603,A75,入金予測!$B$4:$B$603,"ワールド・レイ")</f>
        <v>0</v>
      </c>
      <c r="C75" s="20">
        <f>SUMIFS(未払予定一覧!$O$4:$O$830,未払予定一覧!$N$4:$N$830,A75,未払予定一覧!$A$4:$A$830,"ワールド・レイ",未払予定一覧!$B$4:$B$830,"未払繰越")+SUMIFS(未払予定一覧!$O$4:$O$830,未払予定一覧!$N$4:$N$830,A75,未払予定一覧!$A$4:$A$830,"ワールド・レイ",未払予定一覧!$B$4:$B$830,"月次予定")</f>
        <v>0</v>
      </c>
      <c r="D75" s="20">
        <f t="shared" si="6"/>
        <v>0</v>
      </c>
      <c r="E75" s="20">
        <f t="shared" si="7"/>
        <v>-2442711</v>
      </c>
      <c r="F75" s="21">
        <f>SUMIFS(未払予定一覧!$O$4:$O$830,未払予定一覧!$N$4:$N$830,A75,未払予定一覧!$A$4:$A$830,"ワールド・レイ",未払予定一覧!$B$4:$B$830,"カード枠回復")</f>
        <v>0</v>
      </c>
      <c r="G75" s="122">
        <f t="shared" si="8"/>
        <v>-2442711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SUMIFS(入金入力!$E$4:$E$580,入金入力!$B$4:$B$580,A76,入金入力!$A$4:$A$580,"ワールド・レイ")+SUMIFS(入金予測!$E$4:$E$603,入金予測!$A$4:$A$603,A76,入金予測!$B$4:$B$603,"ワールド・レイ")</f>
        <v>0</v>
      </c>
      <c r="C76" s="20">
        <f>SUMIFS(未払予定一覧!$O$4:$O$830,未払予定一覧!$N$4:$N$830,A76,未払予定一覧!$A$4:$A$830,"ワールド・レイ",未払予定一覧!$B$4:$B$830,"未払繰越")+SUMIFS(未払予定一覧!$O$4:$O$830,未払予定一覧!$N$4:$N$830,A76,未払予定一覧!$A$4:$A$830,"ワールド・レイ",未払予定一覧!$B$4:$B$830,"月次予定")</f>
        <v>0</v>
      </c>
      <c r="D76" s="20">
        <f t="shared" si="6"/>
        <v>0</v>
      </c>
      <c r="E76" s="20">
        <f t="shared" si="7"/>
        <v>-2442711</v>
      </c>
      <c r="F76" s="21">
        <f>SUMIFS(未払予定一覧!$O$4:$O$830,未払予定一覧!$N$4:$N$830,A76,未払予定一覧!$A$4:$A$830,"ワールド・レイ",未払予定一覧!$B$4:$B$830,"カード枠回復")</f>
        <v>0</v>
      </c>
      <c r="G76" s="122">
        <f t="shared" si="8"/>
        <v>-2442711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SUMIFS(入金入力!$E$4:$E$580,入金入力!$B$4:$B$580,A77,入金入力!$A$4:$A$580,"ワールド・レイ")+SUMIFS(入金予測!$E$4:$E$603,入金予測!$A$4:$A$603,A77,入金予測!$B$4:$B$603,"ワールド・レイ")</f>
        <v>100000</v>
      </c>
      <c r="C77" s="20">
        <f>SUMIFS(未払予定一覧!$O$4:$O$830,未払予定一覧!$N$4:$N$830,A77,未払予定一覧!$A$4:$A$830,"ワールド・レイ",未払予定一覧!$B$4:$B$830,"未払繰越")+SUMIFS(未払予定一覧!$O$4:$O$830,未払予定一覧!$N$4:$N$830,A77,未払予定一覧!$A$4:$A$830,"ワールド・レイ",未払予定一覧!$B$4:$B$830,"月次予定")</f>
        <v>0</v>
      </c>
      <c r="D77" s="20">
        <f t="shared" si="6"/>
        <v>100000</v>
      </c>
      <c r="E77" s="20">
        <f t="shared" si="7"/>
        <v>-2342711</v>
      </c>
      <c r="F77" s="21">
        <f>SUMIFS(未払予定一覧!$O$4:$O$830,未払予定一覧!$N$4:$N$830,A77,未払予定一覧!$A$4:$A$830,"ワールド・レイ",未払予定一覧!$B$4:$B$830,"カード枠回復")</f>
        <v>0</v>
      </c>
      <c r="G77" s="122">
        <f t="shared" si="8"/>
        <v>-2342711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SUMIFS(入金入力!$E$4:$E$580,入金入力!$B$4:$B$580,A78,入金入力!$A$4:$A$580,"ワールド・レイ")+SUMIFS(入金予測!$E$4:$E$603,入金予測!$A$4:$A$603,A78,入金予測!$B$4:$B$603,"ワールド・レイ")</f>
        <v>0</v>
      </c>
      <c r="C78" s="20">
        <f>SUMIFS(未払予定一覧!$O$4:$O$830,未払予定一覧!$N$4:$N$830,A78,未払予定一覧!$A$4:$A$830,"ワールド・レイ",未払予定一覧!$B$4:$B$830,"未払繰越")+SUMIFS(未払予定一覧!$O$4:$O$830,未払予定一覧!$N$4:$N$830,A78,未払予定一覧!$A$4:$A$830,"ワールド・レイ",未払予定一覧!$B$4:$B$830,"月次予定")</f>
        <v>0</v>
      </c>
      <c r="D78" s="20">
        <f t="shared" si="6"/>
        <v>0</v>
      </c>
      <c r="E78" s="20">
        <f t="shared" si="7"/>
        <v>-2342711</v>
      </c>
      <c r="F78" s="21">
        <f>SUMIFS(未払予定一覧!$O$4:$O$830,未払予定一覧!$N$4:$N$830,A78,未払予定一覧!$A$4:$A$830,"ワールド・レイ",未払予定一覧!$B$4:$B$830,"カード枠回復")</f>
        <v>0</v>
      </c>
      <c r="G78" s="122">
        <f t="shared" si="8"/>
        <v>-2342711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SUMIFS(入金入力!$E$4:$E$580,入金入力!$B$4:$B$580,A79,入金入力!$A$4:$A$580,"ワールド・レイ")+SUMIFS(入金予測!$E$4:$E$603,入金予測!$A$4:$A$603,A79,入金予測!$B$4:$B$603,"ワールド・レイ")</f>
        <v>0</v>
      </c>
      <c r="C79" s="20">
        <f>SUMIFS(未払予定一覧!$O$4:$O$830,未払予定一覧!$N$4:$N$830,A79,未払予定一覧!$A$4:$A$830,"ワールド・レイ",未払予定一覧!$B$4:$B$830,"未払繰越")+SUMIFS(未払予定一覧!$O$4:$O$830,未払予定一覧!$N$4:$N$830,A79,未払予定一覧!$A$4:$A$830,"ワールド・レイ",未払予定一覧!$B$4:$B$830,"月次予定")</f>
        <v>529937</v>
      </c>
      <c r="D79" s="20">
        <f t="shared" si="6"/>
        <v>-529937</v>
      </c>
      <c r="E79" s="20">
        <f t="shared" si="7"/>
        <v>-2872648</v>
      </c>
      <c r="F79" s="21">
        <f>SUMIFS(未払予定一覧!$O$4:$O$830,未払予定一覧!$N$4:$N$830,A79,未払予定一覧!$A$4:$A$830,"ワールド・レイ",未払予定一覧!$B$4:$B$830,"カード枠回復")</f>
        <v>0</v>
      </c>
      <c r="G79" s="122">
        <f t="shared" si="8"/>
        <v>-2872648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SUMIFS(入金入力!$E$4:$E$580,入金入力!$B$4:$B$580,A80,入金入力!$A$4:$A$580,"ワールド・レイ")+SUMIFS(入金予測!$E$4:$E$603,入金予測!$A$4:$A$603,A80,入金予測!$B$4:$B$603,"ワールド・レイ")</f>
        <v>0</v>
      </c>
      <c r="C80" s="20">
        <f>SUMIFS(未払予定一覧!$O$4:$O$830,未払予定一覧!$N$4:$N$830,A80,未払予定一覧!$A$4:$A$830,"ワールド・レイ",未払予定一覧!$B$4:$B$830,"未払繰越")+SUMIFS(未払予定一覧!$O$4:$O$830,未払予定一覧!$N$4:$N$830,A80,未払予定一覧!$A$4:$A$830,"ワールド・レイ",未払予定一覧!$B$4:$B$830,"月次予定")</f>
        <v>0</v>
      </c>
      <c r="D80" s="20">
        <f t="shared" si="6"/>
        <v>0</v>
      </c>
      <c r="E80" s="20">
        <f t="shared" si="7"/>
        <v>-2872648</v>
      </c>
      <c r="F80" s="21">
        <f>SUMIFS(未払予定一覧!$O$4:$O$830,未払予定一覧!$N$4:$N$830,A80,未払予定一覧!$A$4:$A$830,"ワールド・レイ",未払予定一覧!$B$4:$B$830,"カード枠回復")</f>
        <v>0</v>
      </c>
      <c r="G80" s="122">
        <f t="shared" si="8"/>
        <v>-2872648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SUMIFS(入金入力!$E$4:$E$580,入金入力!$B$4:$B$580,A81,入金入力!$A$4:$A$580,"ワールド・レイ")+SUMIFS(入金予測!$E$4:$E$603,入金予測!$A$4:$A$603,A81,入金予測!$B$4:$B$603,"ワールド・レイ")</f>
        <v>0</v>
      </c>
      <c r="C81" s="20">
        <f>SUMIFS(未払予定一覧!$O$4:$O$830,未払予定一覧!$N$4:$N$830,A81,未払予定一覧!$A$4:$A$830,"ワールド・レイ",未払予定一覧!$B$4:$B$830,"未払繰越")+SUMIFS(未払予定一覧!$O$4:$O$830,未払予定一覧!$N$4:$N$830,A81,未払予定一覧!$A$4:$A$830,"ワールド・レイ",未払予定一覧!$B$4:$B$830,"月次予定")</f>
        <v>0</v>
      </c>
      <c r="D81" s="20">
        <f t="shared" si="6"/>
        <v>0</v>
      </c>
      <c r="E81" s="20">
        <f t="shared" si="7"/>
        <v>-2872648</v>
      </c>
      <c r="F81" s="21">
        <f>SUMIFS(未払予定一覧!$O$4:$O$830,未払予定一覧!$N$4:$N$830,A81,未払予定一覧!$A$4:$A$830,"ワールド・レイ",未払予定一覧!$B$4:$B$830,"カード枠回復")</f>
        <v>0</v>
      </c>
      <c r="G81" s="122">
        <f t="shared" si="8"/>
        <v>-2872648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SUMIFS(入金入力!$E$4:$E$580,入金入力!$B$4:$B$580,A82,入金入力!$A$4:$A$580,"ワールド・レイ")+SUMIFS(入金予測!$E$4:$E$603,入金予測!$A$4:$A$603,A82,入金予測!$B$4:$B$603,"ワールド・レイ")</f>
        <v>0</v>
      </c>
      <c r="C82" s="20">
        <f>SUMIFS(未払予定一覧!$O$4:$O$830,未払予定一覧!$N$4:$N$830,A82,未払予定一覧!$A$4:$A$830,"ワールド・レイ",未払予定一覧!$B$4:$B$830,"未払繰越")+SUMIFS(未払予定一覧!$O$4:$O$830,未払予定一覧!$N$4:$N$830,A82,未払予定一覧!$A$4:$A$830,"ワールド・レイ",未払予定一覧!$B$4:$B$830,"月次予定")</f>
        <v>0</v>
      </c>
      <c r="D82" s="20">
        <f t="shared" si="6"/>
        <v>0</v>
      </c>
      <c r="E82" s="20">
        <f t="shared" si="7"/>
        <v>-2872648</v>
      </c>
      <c r="F82" s="21">
        <f>SUMIFS(未払予定一覧!$O$4:$O$830,未払予定一覧!$N$4:$N$830,A82,未払予定一覧!$A$4:$A$830,"ワールド・レイ",未払予定一覧!$B$4:$B$830,"カード枠回復")</f>
        <v>0</v>
      </c>
      <c r="G82" s="122">
        <f t="shared" si="8"/>
        <v>-2872648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SUMIFS(入金入力!$E$4:$E$580,入金入力!$B$4:$B$580,A83,入金入力!$A$4:$A$580,"ワールド・レイ")+SUMIFS(入金予測!$E$4:$E$603,入金予測!$A$4:$A$603,A83,入金予測!$B$4:$B$603,"ワールド・レイ")</f>
        <v>0</v>
      </c>
      <c r="C83" s="20">
        <f>SUMIFS(未払予定一覧!$O$4:$O$830,未払予定一覧!$N$4:$N$830,A83,未払予定一覧!$A$4:$A$830,"ワールド・レイ",未払予定一覧!$B$4:$B$830,"未払繰越")+SUMIFS(未払予定一覧!$O$4:$O$830,未払予定一覧!$N$4:$N$830,A83,未払予定一覧!$A$4:$A$830,"ワールド・レイ",未払予定一覧!$B$4:$B$830,"月次予定")</f>
        <v>0</v>
      </c>
      <c r="D83" s="20">
        <f t="shared" si="6"/>
        <v>0</v>
      </c>
      <c r="E83" s="20">
        <f t="shared" si="7"/>
        <v>-2872648</v>
      </c>
      <c r="F83" s="21">
        <f>SUMIFS(未払予定一覧!$O$4:$O$830,未払予定一覧!$N$4:$N$830,A83,未払予定一覧!$A$4:$A$830,"ワールド・レイ",未払予定一覧!$B$4:$B$830,"カード枠回復")</f>
        <v>0</v>
      </c>
      <c r="G83" s="122">
        <f t="shared" si="8"/>
        <v>-2872648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SUMIFS(入金入力!$E$4:$E$580,入金入力!$B$4:$B$580,A84,入金入力!$A$4:$A$580,"ワールド・レイ")+SUMIFS(入金予測!$E$4:$E$603,入金予測!$A$4:$A$603,A84,入金予測!$B$4:$B$603,"ワールド・レイ")</f>
        <v>0</v>
      </c>
      <c r="C84" s="20">
        <f>SUMIFS(未払予定一覧!$O$4:$O$830,未払予定一覧!$N$4:$N$830,A84,未払予定一覧!$A$4:$A$830,"ワールド・レイ",未払予定一覧!$B$4:$B$830,"未払繰越")+SUMIFS(未払予定一覧!$O$4:$O$830,未払予定一覧!$N$4:$N$830,A84,未払予定一覧!$A$4:$A$830,"ワールド・レイ",未払予定一覧!$B$4:$B$830,"月次予定")</f>
        <v>0</v>
      </c>
      <c r="D84" s="20">
        <f t="shared" si="6"/>
        <v>0</v>
      </c>
      <c r="E84" s="20">
        <f t="shared" si="7"/>
        <v>-2872648</v>
      </c>
      <c r="F84" s="21">
        <f>SUMIFS(未払予定一覧!$O$4:$O$830,未払予定一覧!$N$4:$N$830,A84,未払予定一覧!$A$4:$A$830,"ワールド・レイ",未払予定一覧!$B$4:$B$830,"カード枠回復")</f>
        <v>0</v>
      </c>
      <c r="G84" s="122">
        <f t="shared" si="8"/>
        <v>-2872648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SUMIFS(入金入力!$E$4:$E$580,入金入力!$B$4:$B$580,A85,入金入力!$A$4:$A$580,"ワールド・レイ")+SUMIFS(入金予測!$E$4:$E$603,入金予測!$A$4:$A$603,A85,入金予測!$B$4:$B$603,"ワールド・レイ")</f>
        <v>0</v>
      </c>
      <c r="C85" s="20">
        <f>SUMIFS(未払予定一覧!$O$4:$O$830,未払予定一覧!$N$4:$N$830,A85,未払予定一覧!$A$4:$A$830,"ワールド・レイ",未払予定一覧!$B$4:$B$830,"未払繰越")+SUMIFS(未払予定一覧!$O$4:$O$830,未払予定一覧!$N$4:$N$830,A85,未払予定一覧!$A$4:$A$830,"ワールド・レイ",未払予定一覧!$B$4:$B$830,"月次予定")</f>
        <v>0</v>
      </c>
      <c r="D85" s="20">
        <f t="shared" si="6"/>
        <v>0</v>
      </c>
      <c r="E85" s="20">
        <f t="shared" si="7"/>
        <v>-2872648</v>
      </c>
      <c r="F85" s="21">
        <f>SUMIFS(未払予定一覧!$O$4:$O$830,未払予定一覧!$N$4:$N$830,A85,未払予定一覧!$A$4:$A$830,"ワールド・レイ",未払予定一覧!$B$4:$B$830,"カード枠回復")</f>
        <v>0</v>
      </c>
      <c r="G85" s="122">
        <f t="shared" si="8"/>
        <v>-2872648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SUMIFS(入金入力!$E$4:$E$580,入金入力!$B$4:$B$580,A86,入金入力!$A$4:$A$580,"ワールド・レイ")+SUMIFS(入金予測!$E$4:$E$603,入金予測!$A$4:$A$603,A86,入金予測!$B$4:$B$603,"ワールド・レイ")</f>
        <v>0</v>
      </c>
      <c r="C86" s="20">
        <f>SUMIFS(未払予定一覧!$O$4:$O$830,未払予定一覧!$N$4:$N$830,A86,未払予定一覧!$A$4:$A$830,"ワールド・レイ",未払予定一覧!$B$4:$B$830,"未払繰越")+SUMIFS(未払予定一覧!$O$4:$O$830,未払予定一覧!$N$4:$N$830,A86,未払予定一覧!$A$4:$A$830,"ワールド・レイ",未払予定一覧!$B$4:$B$830,"月次予定")</f>
        <v>0</v>
      </c>
      <c r="D86" s="20">
        <f t="shared" si="6"/>
        <v>0</v>
      </c>
      <c r="E86" s="20">
        <f t="shared" si="7"/>
        <v>-2872648</v>
      </c>
      <c r="F86" s="21">
        <f>SUMIFS(未払予定一覧!$O$4:$O$830,未払予定一覧!$N$4:$N$830,A86,未払予定一覧!$A$4:$A$830,"ワールド・レイ",未払予定一覧!$B$4:$B$830,"カード枠回復")</f>
        <v>0</v>
      </c>
      <c r="G86" s="122">
        <f t="shared" si="8"/>
        <v>-2872648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SUMIFS(入金入力!$E$4:$E$580,入金入力!$B$4:$B$580,A87,入金入力!$A$4:$A$580,"ワールド・レイ")+SUMIFS(入金予測!$E$4:$E$603,入金予測!$A$4:$A$603,A87,入金予測!$B$4:$B$603,"ワールド・レイ")</f>
        <v>0</v>
      </c>
      <c r="C87" s="20">
        <f>SUMIFS(未払予定一覧!$O$4:$O$830,未払予定一覧!$N$4:$N$830,A87,未払予定一覧!$A$4:$A$830,"ワールド・レイ",未払予定一覧!$B$4:$B$830,"未払繰越")+SUMIFS(未払予定一覧!$O$4:$O$830,未払予定一覧!$N$4:$N$830,A87,未払予定一覧!$A$4:$A$830,"ワールド・レイ",未払予定一覧!$B$4:$B$830,"月次予定")</f>
        <v>0</v>
      </c>
      <c r="D87" s="20">
        <f t="shared" si="6"/>
        <v>0</v>
      </c>
      <c r="E87" s="20">
        <f t="shared" si="7"/>
        <v>-2872648</v>
      </c>
      <c r="F87" s="21">
        <f>SUMIFS(未払予定一覧!$O$4:$O$830,未払予定一覧!$N$4:$N$830,A87,未払予定一覧!$A$4:$A$830,"ワールド・レイ",未払予定一覧!$B$4:$B$830,"カード枠回復")</f>
        <v>0</v>
      </c>
      <c r="G87" s="122">
        <f t="shared" si="8"/>
        <v>-2872648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SUMIFS(入金入力!$E$4:$E$580,入金入力!$B$4:$B$580,A88,入金入力!$A$4:$A$580,"ワールド・レイ")+SUMIFS(入金予測!$E$4:$E$603,入金予測!$A$4:$A$603,A88,入金予測!$B$4:$B$603,"ワールド・レイ")</f>
        <v>0</v>
      </c>
      <c r="C88" s="20">
        <f>SUMIFS(未払予定一覧!$O$4:$O$830,未払予定一覧!$N$4:$N$830,A88,未払予定一覧!$A$4:$A$830,"ワールド・レイ",未払予定一覧!$B$4:$B$830,"未払繰越")+SUMIFS(未払予定一覧!$O$4:$O$830,未払予定一覧!$N$4:$N$830,A88,未払予定一覧!$A$4:$A$830,"ワールド・レイ",未払予定一覧!$B$4:$B$830,"月次予定")</f>
        <v>0</v>
      </c>
      <c r="D88" s="20">
        <f t="shared" si="6"/>
        <v>0</v>
      </c>
      <c r="E88" s="20">
        <f t="shared" si="7"/>
        <v>-2872648</v>
      </c>
      <c r="F88" s="21">
        <f>SUMIFS(未払予定一覧!$O$4:$O$830,未払予定一覧!$N$4:$N$830,A88,未払予定一覧!$A$4:$A$830,"ワールド・レイ",未払予定一覧!$B$4:$B$830,"カード枠回復")</f>
        <v>0</v>
      </c>
      <c r="G88" s="122">
        <f t="shared" si="8"/>
        <v>-2872648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SUMIFS(入金入力!$E$4:$E$580,入金入力!$B$4:$B$580,A89,入金入力!$A$4:$A$580,"ワールド・レイ")+SUMIFS(入金予測!$E$4:$E$603,入金予測!$A$4:$A$603,A89,入金予測!$B$4:$B$603,"ワールド・レイ")</f>
        <v>0</v>
      </c>
      <c r="C89" s="20">
        <f>SUMIFS(未払予定一覧!$O$4:$O$830,未払予定一覧!$N$4:$N$830,A89,未払予定一覧!$A$4:$A$830,"ワールド・レイ",未払予定一覧!$B$4:$B$830,"未払繰越")+SUMIFS(未払予定一覧!$O$4:$O$830,未払予定一覧!$N$4:$N$830,A89,未払予定一覧!$A$4:$A$830,"ワールド・レイ",未払予定一覧!$B$4:$B$830,"月次予定")</f>
        <v>0</v>
      </c>
      <c r="D89" s="20">
        <f t="shared" si="6"/>
        <v>0</v>
      </c>
      <c r="E89" s="20">
        <f t="shared" si="7"/>
        <v>-2872648</v>
      </c>
      <c r="F89" s="21">
        <f>SUMIFS(未払予定一覧!$O$4:$O$830,未払予定一覧!$N$4:$N$830,A89,未払予定一覧!$A$4:$A$830,"ワールド・レイ",未払予定一覧!$B$4:$B$830,"カード枠回復")</f>
        <v>0</v>
      </c>
      <c r="G89" s="122">
        <f t="shared" si="8"/>
        <v>-2872648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SUMIFS(入金入力!$E$4:$E$580,入金入力!$B$4:$B$580,A90,入金入力!$A$4:$A$580,"ワールド・レイ")+SUMIFS(入金予測!$E$4:$E$603,入金予測!$A$4:$A$603,A90,入金予測!$B$4:$B$603,"ワールド・レイ")</f>
        <v>0</v>
      </c>
      <c r="C90" s="20">
        <f>SUMIFS(未払予定一覧!$O$4:$O$830,未払予定一覧!$N$4:$N$830,A90,未払予定一覧!$A$4:$A$830,"ワールド・レイ",未払予定一覧!$B$4:$B$830,"未払繰越")+SUMIFS(未払予定一覧!$O$4:$O$830,未払予定一覧!$N$4:$N$830,A90,未払予定一覧!$A$4:$A$830,"ワールド・レイ",未払予定一覧!$B$4:$B$830,"月次予定")</f>
        <v>0</v>
      </c>
      <c r="D90" s="20">
        <f t="shared" si="6"/>
        <v>0</v>
      </c>
      <c r="E90" s="20">
        <f t="shared" si="7"/>
        <v>-2872648</v>
      </c>
      <c r="F90" s="21">
        <f>SUMIFS(未払予定一覧!$O$4:$O$830,未払予定一覧!$N$4:$N$830,A90,未払予定一覧!$A$4:$A$830,"ワールド・レイ",未払予定一覧!$B$4:$B$830,"カード枠回復")</f>
        <v>0</v>
      </c>
      <c r="G90" s="122">
        <f t="shared" si="8"/>
        <v>-2872648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SUMIFS(入金入力!$E$4:$E$580,入金入力!$B$4:$B$580,A91,入金入力!$A$4:$A$580,"ワールド・レイ")+SUMIFS(入金予測!$E$4:$E$603,入金予測!$A$4:$A$603,A91,入金予測!$B$4:$B$603,"ワールド・レイ")</f>
        <v>0</v>
      </c>
      <c r="C91" s="20">
        <f>SUMIFS(未払予定一覧!$O$4:$O$830,未払予定一覧!$N$4:$N$830,A91,未払予定一覧!$A$4:$A$830,"ワールド・レイ",未払予定一覧!$B$4:$B$830,"未払繰越")+SUMIFS(未払予定一覧!$O$4:$O$830,未払予定一覧!$N$4:$N$830,A91,未払予定一覧!$A$4:$A$830,"ワールド・レイ",未払予定一覧!$B$4:$B$830,"月次予定")</f>
        <v>0</v>
      </c>
      <c r="D91" s="20">
        <f t="shared" si="6"/>
        <v>0</v>
      </c>
      <c r="E91" s="20">
        <f t="shared" si="7"/>
        <v>-2872648</v>
      </c>
      <c r="F91" s="21">
        <f>SUMIFS(未払予定一覧!$O$4:$O$830,未払予定一覧!$N$4:$N$830,A91,未払予定一覧!$A$4:$A$830,"ワールド・レイ",未払予定一覧!$B$4:$B$830,"カード枠回復")</f>
        <v>0</v>
      </c>
      <c r="G91" s="122">
        <f t="shared" si="8"/>
        <v>-2872648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SUMIFS(入金入力!$E$4:$E$580,入金入力!$B$4:$B$580,A92,入金入力!$A$4:$A$580,"ワールド・レイ")+SUMIFS(入金予測!$E$4:$E$603,入金予測!$A$4:$A$603,A92,入金予測!$B$4:$B$603,"ワールド・レイ")</f>
        <v>0</v>
      </c>
      <c r="C92" s="20">
        <f>SUMIFS(未払予定一覧!$O$4:$O$830,未払予定一覧!$N$4:$N$830,A92,未払予定一覧!$A$4:$A$830,"ワールド・レイ",未払予定一覧!$B$4:$B$830,"未払繰越")+SUMIFS(未払予定一覧!$O$4:$O$830,未払予定一覧!$N$4:$N$830,A92,未払予定一覧!$A$4:$A$830,"ワールド・レイ",未払予定一覧!$B$4:$B$830,"月次予定")</f>
        <v>0</v>
      </c>
      <c r="D92" s="20">
        <f t="shared" si="6"/>
        <v>0</v>
      </c>
      <c r="E92" s="20">
        <f t="shared" si="7"/>
        <v>-2872648</v>
      </c>
      <c r="F92" s="21">
        <f>SUMIFS(未払予定一覧!$O$4:$O$830,未払予定一覧!$N$4:$N$830,A92,未払予定一覧!$A$4:$A$830,"ワールド・レイ",未払予定一覧!$B$4:$B$830,"カード枠回復")</f>
        <v>0</v>
      </c>
      <c r="G92" s="122">
        <f t="shared" si="8"/>
        <v>-2872648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SUMIFS(入金入力!$E$4:$E$580,入金入力!$B$4:$B$580,A93,入金入力!$A$4:$A$580,"ワールド・レイ")+SUMIFS(入金予測!$E$4:$E$603,入金予測!$A$4:$A$603,A93,入金予測!$B$4:$B$603,"ワールド・レイ")</f>
        <v>0</v>
      </c>
      <c r="C93" s="20">
        <f>SUMIFS(未払予定一覧!$O$4:$O$830,未払予定一覧!$N$4:$N$830,A93,未払予定一覧!$A$4:$A$830,"ワールド・レイ",未払予定一覧!$B$4:$B$830,"未払繰越")+SUMIFS(未払予定一覧!$O$4:$O$830,未払予定一覧!$N$4:$N$830,A93,未払予定一覧!$A$4:$A$830,"ワールド・レイ",未払予定一覧!$B$4:$B$830,"月次予定")</f>
        <v>0</v>
      </c>
      <c r="D93" s="20">
        <f t="shared" si="6"/>
        <v>0</v>
      </c>
      <c r="E93" s="20">
        <f t="shared" si="7"/>
        <v>-2872648</v>
      </c>
      <c r="F93" s="21">
        <f>SUMIFS(未払予定一覧!$O$4:$O$830,未払予定一覧!$N$4:$N$830,A93,未払予定一覧!$A$4:$A$830,"ワールド・レイ",未払予定一覧!$B$4:$B$830,"カード枠回復")</f>
        <v>0</v>
      </c>
      <c r="G93" s="122">
        <f t="shared" si="8"/>
        <v>-2872648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SUMIFS(入金入力!$E$4:$E$580,入金入力!$B$4:$B$580,A94,入金入力!$A$4:$A$580,"ワールド・レイ")+SUMIFS(入金予測!$E$4:$E$603,入金予測!$A$4:$A$603,A94,入金予測!$B$4:$B$603,"ワールド・レイ")</f>
        <v>0</v>
      </c>
      <c r="C94" s="20">
        <f>SUMIFS(未払予定一覧!$O$4:$O$830,未払予定一覧!$N$4:$N$830,A94,未払予定一覧!$A$4:$A$830,"ワールド・レイ",未払予定一覧!$B$4:$B$830,"未払繰越")+SUMIFS(未払予定一覧!$O$4:$O$830,未払予定一覧!$N$4:$N$830,A94,未払予定一覧!$A$4:$A$830,"ワールド・レイ",未払予定一覧!$B$4:$B$830,"月次予定")</f>
        <v>0</v>
      </c>
      <c r="D94" s="20">
        <f t="shared" si="6"/>
        <v>0</v>
      </c>
      <c r="E94" s="20">
        <f t="shared" si="7"/>
        <v>-2872648</v>
      </c>
      <c r="F94" s="21">
        <f>SUMIFS(未払予定一覧!$O$4:$O$830,未払予定一覧!$N$4:$N$830,A94,未払予定一覧!$A$4:$A$830,"ワールド・レイ",未払予定一覧!$B$4:$B$830,"カード枠回復")</f>
        <v>0</v>
      </c>
      <c r="G94" s="122">
        <f t="shared" si="8"/>
        <v>-2872648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SUMIFS(入金入力!$E$4:$E$580,入金入力!$B$4:$B$580,A95,入金入力!$A$4:$A$580,"ワールド・レイ")+SUMIFS(入金予測!$E$4:$E$603,入金予測!$A$4:$A$603,A95,入金予測!$B$4:$B$603,"ワールド・レイ")</f>
        <v>0</v>
      </c>
      <c r="C95" s="20">
        <f>SUMIFS(未払予定一覧!$O$4:$O$830,未払予定一覧!$N$4:$N$830,A95,未払予定一覧!$A$4:$A$830,"ワールド・レイ",未払予定一覧!$B$4:$B$830,"未払繰越")+SUMIFS(未払予定一覧!$O$4:$O$830,未払予定一覧!$N$4:$N$830,A95,未払予定一覧!$A$4:$A$830,"ワールド・レイ",未払予定一覧!$B$4:$B$830,"月次予定")</f>
        <v>0</v>
      </c>
      <c r="D95" s="20">
        <f t="shared" si="6"/>
        <v>0</v>
      </c>
      <c r="E95" s="20">
        <f t="shared" si="7"/>
        <v>-2872648</v>
      </c>
      <c r="F95" s="21">
        <f>SUMIFS(未払予定一覧!$O$4:$O$830,未払予定一覧!$N$4:$N$830,A95,未払予定一覧!$A$4:$A$830,"ワールド・レイ",未払予定一覧!$B$4:$B$830,"カード枠回復")</f>
        <v>0</v>
      </c>
      <c r="G95" s="122">
        <f t="shared" si="8"/>
        <v>-2872648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SUMIFS(入金入力!$E$4:$E$580,入金入力!$B$4:$B$580,A96,入金入力!$A$4:$A$580,"ワールド・レイ")+SUMIFS(入金予測!$E$4:$E$603,入金予測!$A$4:$A$603,A96,入金予測!$B$4:$B$603,"ワールド・レイ")</f>
        <v>0</v>
      </c>
      <c r="C96" s="20">
        <f>SUMIFS(未払予定一覧!$O$4:$O$830,未払予定一覧!$N$4:$N$830,A96,未払予定一覧!$A$4:$A$830,"ワールド・レイ",未払予定一覧!$B$4:$B$830,"未払繰越")+SUMIFS(未払予定一覧!$O$4:$O$830,未払予定一覧!$N$4:$N$830,A96,未払予定一覧!$A$4:$A$830,"ワールド・レイ",未払予定一覧!$B$4:$B$830,"月次予定")</f>
        <v>0</v>
      </c>
      <c r="D96" s="20">
        <f t="shared" si="6"/>
        <v>0</v>
      </c>
      <c r="E96" s="20">
        <f t="shared" si="7"/>
        <v>-2872648</v>
      </c>
      <c r="F96" s="21">
        <f>SUMIFS(未払予定一覧!$O$4:$O$830,未払予定一覧!$N$4:$N$830,A96,未払予定一覧!$A$4:$A$830,"ワールド・レイ",未払予定一覧!$B$4:$B$830,"カード枠回復")</f>
        <v>0</v>
      </c>
      <c r="G96" s="122">
        <f t="shared" si="8"/>
        <v>-2872648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SUMIFS(入金入力!$E$4:$E$580,入金入力!$B$4:$B$580,A97,入金入力!$A$4:$A$580,"ワールド・レイ")+SUMIFS(入金予測!$E$4:$E$603,入金予測!$A$4:$A$603,A97,入金予測!$B$4:$B$603,"ワールド・レイ")</f>
        <v>200000</v>
      </c>
      <c r="C97" s="20">
        <f>SUMIFS(未払予定一覧!$O$4:$O$830,未払予定一覧!$N$4:$N$830,A97,未払予定一覧!$A$4:$A$830,"ワールド・レイ",未払予定一覧!$B$4:$B$830,"未払繰越")+SUMIFS(未払予定一覧!$O$4:$O$830,未払予定一覧!$N$4:$N$830,A97,未払予定一覧!$A$4:$A$830,"ワールド・レイ",未払予定一覧!$B$4:$B$830,"月次予定")</f>
        <v>0</v>
      </c>
      <c r="D97" s="20">
        <f t="shared" si="6"/>
        <v>200000</v>
      </c>
      <c r="E97" s="20">
        <f t="shared" si="7"/>
        <v>-2672648</v>
      </c>
      <c r="F97" s="21">
        <f>SUMIFS(未払予定一覧!$O$4:$O$830,未払予定一覧!$N$4:$N$830,A97,未払予定一覧!$A$4:$A$830,"ワールド・レイ",未払予定一覧!$B$4:$B$830,"カード枠回復")</f>
        <v>0</v>
      </c>
      <c r="G97" s="122">
        <f t="shared" si="8"/>
        <v>-2672648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SUMIFS(入金入力!$E$4:$E$580,入金入力!$B$4:$B$580,A98,入金入力!$A$4:$A$580,"ワールド・レイ")+SUMIFS(入金予測!$E$4:$E$603,入金予測!$A$4:$A$603,A98,入金予測!$B$4:$B$603,"ワールド・レイ")</f>
        <v>0</v>
      </c>
      <c r="C98" s="20">
        <f>SUMIFS(未払予定一覧!$O$4:$O$830,未払予定一覧!$N$4:$N$830,A98,未払予定一覧!$A$4:$A$830,"ワールド・レイ",未払予定一覧!$B$4:$B$830,"未払繰越")+SUMIFS(未払予定一覧!$O$4:$O$830,未払予定一覧!$N$4:$N$830,A98,未払予定一覧!$A$4:$A$830,"ワールド・レイ",未払予定一覧!$B$4:$B$830,"月次予定")</f>
        <v>0</v>
      </c>
      <c r="D98" s="20">
        <f t="shared" si="6"/>
        <v>0</v>
      </c>
      <c r="E98" s="20">
        <f t="shared" si="7"/>
        <v>-2672648</v>
      </c>
      <c r="F98" s="21">
        <f>SUMIFS(未払予定一覧!$O$4:$O$830,未払予定一覧!$N$4:$N$830,A98,未払予定一覧!$A$4:$A$830,"ワールド・レイ",未払予定一覧!$B$4:$B$830,"カード枠回復")</f>
        <v>0</v>
      </c>
      <c r="G98" s="122">
        <f t="shared" si="8"/>
        <v>-2672648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SUMIFS(入金入力!$E$4:$E$580,入金入力!$B$4:$B$580,A99,入金入力!$A$4:$A$580,"ワールド・レイ")+SUMIFS(入金予測!$E$4:$E$603,入金予測!$A$4:$A$603,A99,入金予測!$B$4:$B$603,"ワールド・レイ")</f>
        <v>0</v>
      </c>
      <c r="C99" s="20">
        <f>SUMIFS(未払予定一覧!$O$4:$O$830,未払予定一覧!$N$4:$N$830,A99,未払予定一覧!$A$4:$A$830,"ワールド・レイ",未払予定一覧!$B$4:$B$830,"未払繰越")+SUMIFS(未払予定一覧!$O$4:$O$830,未払予定一覧!$N$4:$N$830,A99,未払予定一覧!$A$4:$A$830,"ワールド・レイ",未払予定一覧!$B$4:$B$830,"月次予定")</f>
        <v>200000</v>
      </c>
      <c r="D99" s="20">
        <f t="shared" si="6"/>
        <v>-200000</v>
      </c>
      <c r="E99" s="20">
        <f t="shared" si="7"/>
        <v>-2872648</v>
      </c>
      <c r="F99" s="21">
        <f>SUMIFS(未払予定一覧!$O$4:$O$830,未払予定一覧!$N$4:$N$830,A99,未払予定一覧!$A$4:$A$830,"ワールド・レイ",未払予定一覧!$B$4:$B$830,"カード枠回復")</f>
        <v>0</v>
      </c>
      <c r="G99" s="122">
        <f t="shared" si="8"/>
        <v>-2872648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SUMIFS(入金入力!$E$4:$E$580,入金入力!$B$4:$B$580,A100,入金入力!$A$4:$A$580,"ワールド・レイ")+SUMIFS(入金予測!$E$4:$E$603,入金予測!$A$4:$A$603,A100,入金予測!$B$4:$B$603,"ワールド・レイ")</f>
        <v>0</v>
      </c>
      <c r="C100" s="20">
        <f>SUMIFS(未払予定一覧!$O$4:$O$830,未払予定一覧!$N$4:$N$830,A100,未払予定一覧!$A$4:$A$830,"ワールド・レイ",未払予定一覧!$B$4:$B$830,"未払繰越")+SUMIFS(未払予定一覧!$O$4:$O$830,未払予定一覧!$N$4:$N$830,A100,未払予定一覧!$A$4:$A$830,"ワールド・レイ",未払予定一覧!$B$4:$B$830,"月次予定")</f>
        <v>712000</v>
      </c>
      <c r="D100" s="20">
        <f t="shared" si="6"/>
        <v>-712000</v>
      </c>
      <c r="E100" s="20">
        <f t="shared" si="7"/>
        <v>-3584648</v>
      </c>
      <c r="F100" s="21">
        <f>SUMIFS(未払予定一覧!$O$4:$O$830,未払予定一覧!$N$4:$N$830,A100,未払予定一覧!$A$4:$A$830,"ワールド・レイ",未払予定一覧!$B$4:$B$830,"カード枠回復")</f>
        <v>0</v>
      </c>
      <c r="G100" s="122">
        <f t="shared" si="8"/>
        <v>-3584648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SUMIFS(入金入力!$E$4:$E$580,入金入力!$B$4:$B$580,A101,入金入力!$A$4:$A$580,"ワールド・レイ")+SUMIFS(入金予測!$E$4:$E$603,入金予測!$A$4:$A$603,A101,入金予測!$B$4:$B$603,"ワールド・レイ")</f>
        <v>0</v>
      </c>
      <c r="C101" s="20">
        <f>SUMIFS(未払予定一覧!$O$4:$O$830,未払予定一覧!$N$4:$N$830,A101,未払予定一覧!$A$4:$A$830,"ワールド・レイ",未払予定一覧!$B$4:$B$830,"未払繰越")+SUMIFS(未払予定一覧!$O$4:$O$830,未払予定一覧!$N$4:$N$830,A101,未払予定一覧!$A$4:$A$830,"ワールド・レイ",未払予定一覧!$B$4:$B$830,"月次予定")</f>
        <v>0</v>
      </c>
      <c r="D101" s="20">
        <f t="shared" si="6"/>
        <v>0</v>
      </c>
      <c r="E101" s="20">
        <f t="shared" si="7"/>
        <v>-3584648</v>
      </c>
      <c r="F101" s="21">
        <f>SUMIFS(未払予定一覧!$O$4:$O$830,未払予定一覧!$N$4:$N$830,A101,未払予定一覧!$A$4:$A$830,"ワールド・レイ",未払予定一覧!$B$4:$B$830,"カード枠回復")</f>
        <v>0</v>
      </c>
      <c r="G101" s="122">
        <f t="shared" si="8"/>
        <v>-3584648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SUMIFS(入金入力!$E$4:$E$580,入金入力!$B$4:$B$580,A102,入金入力!$A$4:$A$580,"ワールド・レイ")+SUMIFS(入金予測!$E$4:$E$603,入金予測!$A$4:$A$603,A102,入金予測!$B$4:$B$603,"ワールド・レイ")</f>
        <v>0</v>
      </c>
      <c r="C102" s="20">
        <f>SUMIFS(未払予定一覧!$O$4:$O$830,未払予定一覧!$N$4:$N$830,A102,未払予定一覧!$A$4:$A$830,"ワールド・レイ",未払予定一覧!$B$4:$B$830,"未払繰越")+SUMIFS(未払予定一覧!$O$4:$O$830,未払予定一覧!$N$4:$N$830,A102,未払予定一覧!$A$4:$A$830,"ワールド・レイ",未払予定一覧!$B$4:$B$830,"月次予定")</f>
        <v>0</v>
      </c>
      <c r="D102" s="20">
        <f t="shared" si="6"/>
        <v>0</v>
      </c>
      <c r="E102" s="20">
        <f t="shared" si="7"/>
        <v>-3584648</v>
      </c>
      <c r="F102" s="21">
        <f>SUMIFS(未払予定一覧!$O$4:$O$830,未払予定一覧!$N$4:$N$830,A102,未払予定一覧!$A$4:$A$830,"ワールド・レイ",未払予定一覧!$B$4:$B$830,"カード枠回復")</f>
        <v>0</v>
      </c>
      <c r="G102" s="122">
        <f t="shared" si="8"/>
        <v>-3584648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SUMIFS(入金入力!$E$4:$E$580,入金入力!$B$4:$B$580,A103,入金入力!$A$4:$A$580,"ワールド・レイ")+SUMIFS(入金予測!$E$4:$E$603,入金予測!$A$4:$A$603,A103,入金予測!$B$4:$B$603,"ワールド・レイ")</f>
        <v>0</v>
      </c>
      <c r="C103" s="20">
        <f>SUMIFS(未払予定一覧!$O$4:$O$830,未払予定一覧!$N$4:$N$830,A103,未払予定一覧!$A$4:$A$830,"ワールド・レイ",未払予定一覧!$B$4:$B$830,"未払繰越")+SUMIFS(未払予定一覧!$O$4:$O$830,未払予定一覧!$N$4:$N$830,A103,未払予定一覧!$A$4:$A$830,"ワールド・レイ",未払予定一覧!$B$4:$B$830,"月次予定")</f>
        <v>0</v>
      </c>
      <c r="D103" s="20">
        <f t="shared" si="6"/>
        <v>0</v>
      </c>
      <c r="E103" s="20">
        <f t="shared" si="7"/>
        <v>-3584648</v>
      </c>
      <c r="F103" s="21">
        <f>SUMIFS(未払予定一覧!$O$4:$O$830,未払予定一覧!$N$4:$N$830,A103,未払予定一覧!$A$4:$A$830,"ワールド・レイ",未払予定一覧!$B$4:$B$830,"カード枠回復")</f>
        <v>0</v>
      </c>
      <c r="G103" s="122">
        <f t="shared" si="8"/>
        <v>-3584648</v>
      </c>
      <c r="H103" s="123"/>
    </row>
    <row r="104" spans="1:8" ht="15" customHeight="1">
      <c r="A104" s="23" t="s">
        <v>695</v>
      </c>
      <c r="B104" s="24">
        <f>SUM(B73:B103)</f>
        <v>300000</v>
      </c>
      <c r="C104" s="24">
        <f>SUM(C73:C103)</f>
        <v>1441937</v>
      </c>
      <c r="D104" s="24">
        <f t="shared" si="6"/>
        <v>-1141937</v>
      </c>
      <c r="E104" s="24">
        <f>E103</f>
        <v>-3584648</v>
      </c>
      <c r="F104" s="24">
        <f>SUM(F73:F103)</f>
        <v>0</v>
      </c>
      <c r="G104" s="24">
        <f>G103</f>
        <v>-3584648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SUMIFS(入金入力!$E$4:$E$580,入金入力!$B$4:$B$580,A107,入金入力!$A$4:$A$580,"ワールド・レイ")+SUMIFS(入金予測!$E$4:$E$603,入金予測!$A$4:$A$603,A107,入金予測!$B$4:$B$603,"ワールド・レイ")</f>
        <v>0</v>
      </c>
      <c r="C107" s="20">
        <f>SUMIFS(未払予定一覧!$O$4:$O$830,未払予定一覧!$N$4:$N$830,A107,未払予定一覧!$A$4:$A$830,"ワールド・レイ",未払予定一覧!$B$4:$B$830,"未払繰越")+SUMIFS(未払予定一覧!$O$4:$O$830,未払予定一覧!$N$4:$N$830,A107,未払予定一覧!$A$4:$A$830,"ワールド・レイ",未払予定一覧!$B$4:$B$830,"月次予定")</f>
        <v>0</v>
      </c>
      <c r="D107" s="20">
        <f t="shared" ref="D107:D138" si="9">B107-C107-F107</f>
        <v>0</v>
      </c>
      <c r="E107" s="20">
        <f>E104+D107</f>
        <v>-3584648</v>
      </c>
      <c r="F107" s="21">
        <f>SUMIFS(未払予定一覧!$O$4:$O$830,未払予定一覧!$N$4:$N$830,A107,未払予定一覧!$A$4:$A$830,"ワールド・レイ",未払予定一覧!$B$4:$B$830,"カード枠回復")</f>
        <v>0</v>
      </c>
      <c r="G107" s="122">
        <f>G104+D107+F107</f>
        <v>-3584648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SUMIFS(入金入力!$E$4:$E$580,入金入力!$B$4:$B$580,A108,入金入力!$A$4:$A$580,"ワールド・レイ")+SUMIFS(入金予測!$E$4:$E$603,入金予測!$A$4:$A$603,A108,入金予測!$B$4:$B$603,"ワールド・レイ")</f>
        <v>0</v>
      </c>
      <c r="C108" s="20">
        <f>SUMIFS(未払予定一覧!$O$4:$O$830,未払予定一覧!$N$4:$N$830,A108,未払予定一覧!$A$4:$A$830,"ワールド・レイ",未払予定一覧!$B$4:$B$830,"未払繰越")+SUMIFS(未払予定一覧!$O$4:$O$830,未払予定一覧!$N$4:$N$830,A108,未払予定一覧!$A$4:$A$830,"ワールド・レイ",未払予定一覧!$B$4:$B$830,"月次予定")</f>
        <v>0</v>
      </c>
      <c r="D108" s="20">
        <f t="shared" si="9"/>
        <v>0</v>
      </c>
      <c r="E108" s="20">
        <f t="shared" ref="E108:E137" si="10">E107+D108</f>
        <v>-3584648</v>
      </c>
      <c r="F108" s="21">
        <f>SUMIFS(未払予定一覧!$O$4:$O$830,未払予定一覧!$N$4:$N$830,A108,未払予定一覧!$A$4:$A$830,"ワールド・レイ",未払予定一覧!$B$4:$B$830,"カード枠回復")</f>
        <v>0</v>
      </c>
      <c r="G108" s="122">
        <f t="shared" ref="G108:G137" si="11">G107+D108+F108</f>
        <v>-3584648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SUMIFS(入金入力!$E$4:$E$580,入金入力!$B$4:$B$580,A109,入金入力!$A$4:$A$580,"ワールド・レイ")+SUMIFS(入金予測!$E$4:$E$603,入金予測!$A$4:$A$603,A109,入金予測!$B$4:$B$603,"ワールド・レイ")</f>
        <v>0</v>
      </c>
      <c r="C109" s="20">
        <f>SUMIFS(未払予定一覧!$O$4:$O$830,未払予定一覧!$N$4:$N$830,A109,未払予定一覧!$A$4:$A$830,"ワールド・レイ",未払予定一覧!$B$4:$B$830,"未払繰越")+SUMIFS(未払予定一覧!$O$4:$O$830,未払予定一覧!$N$4:$N$830,A109,未払予定一覧!$A$4:$A$830,"ワールド・レイ",未払予定一覧!$B$4:$B$830,"月次予定")</f>
        <v>0</v>
      </c>
      <c r="D109" s="20">
        <f t="shared" si="9"/>
        <v>0</v>
      </c>
      <c r="E109" s="20">
        <f t="shared" si="10"/>
        <v>-3584648</v>
      </c>
      <c r="F109" s="21">
        <f>SUMIFS(未払予定一覧!$O$4:$O$830,未払予定一覧!$N$4:$N$830,A109,未払予定一覧!$A$4:$A$830,"ワールド・レイ",未払予定一覧!$B$4:$B$830,"カード枠回復")</f>
        <v>0</v>
      </c>
      <c r="G109" s="122">
        <f t="shared" si="11"/>
        <v>-3584648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SUMIFS(入金入力!$E$4:$E$580,入金入力!$B$4:$B$580,A110,入金入力!$A$4:$A$580,"ワールド・レイ")+SUMIFS(入金予測!$E$4:$E$603,入金予測!$A$4:$A$603,A110,入金予測!$B$4:$B$603,"ワールド・レイ")</f>
        <v>0</v>
      </c>
      <c r="C110" s="20">
        <f>SUMIFS(未払予定一覧!$O$4:$O$830,未払予定一覧!$N$4:$N$830,A110,未払予定一覧!$A$4:$A$830,"ワールド・レイ",未払予定一覧!$B$4:$B$830,"未払繰越")+SUMIFS(未払予定一覧!$O$4:$O$830,未払予定一覧!$N$4:$N$830,A110,未払予定一覧!$A$4:$A$830,"ワールド・レイ",未払予定一覧!$B$4:$B$830,"月次予定")</f>
        <v>0</v>
      </c>
      <c r="D110" s="20">
        <f t="shared" si="9"/>
        <v>0</v>
      </c>
      <c r="E110" s="20">
        <f t="shared" si="10"/>
        <v>-3584648</v>
      </c>
      <c r="F110" s="21">
        <f>SUMIFS(未払予定一覧!$O$4:$O$830,未払予定一覧!$N$4:$N$830,A110,未払予定一覧!$A$4:$A$830,"ワールド・レイ",未払予定一覧!$B$4:$B$830,"カード枠回復")</f>
        <v>0</v>
      </c>
      <c r="G110" s="122">
        <f t="shared" si="11"/>
        <v>-3584648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SUMIFS(入金入力!$E$4:$E$580,入金入力!$B$4:$B$580,A111,入金入力!$A$4:$A$580,"ワールド・レイ")+SUMIFS(入金予測!$E$4:$E$603,入金予測!$A$4:$A$603,A111,入金予測!$B$4:$B$603,"ワールド・レイ")</f>
        <v>100000</v>
      </c>
      <c r="C111" s="20">
        <f>SUMIFS(未払予定一覧!$O$4:$O$830,未払予定一覧!$N$4:$N$830,A111,未払予定一覧!$A$4:$A$830,"ワールド・レイ",未払予定一覧!$B$4:$B$830,"未払繰越")+SUMIFS(未払予定一覧!$O$4:$O$830,未払予定一覧!$N$4:$N$830,A111,未払予定一覧!$A$4:$A$830,"ワールド・レイ",未払予定一覧!$B$4:$B$830,"月次予定")</f>
        <v>0</v>
      </c>
      <c r="D111" s="20">
        <f t="shared" si="9"/>
        <v>100000</v>
      </c>
      <c r="E111" s="20">
        <f t="shared" si="10"/>
        <v>-3484648</v>
      </c>
      <c r="F111" s="21">
        <f>SUMIFS(未払予定一覧!$O$4:$O$830,未払予定一覧!$N$4:$N$830,A111,未払予定一覧!$A$4:$A$830,"ワールド・レイ",未払予定一覧!$B$4:$B$830,"カード枠回復")</f>
        <v>0</v>
      </c>
      <c r="G111" s="122">
        <f t="shared" si="11"/>
        <v>-3484648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SUMIFS(入金入力!$E$4:$E$580,入金入力!$B$4:$B$580,A112,入金入力!$A$4:$A$580,"ワールド・レイ")+SUMIFS(入金予測!$E$4:$E$603,入金予測!$A$4:$A$603,A112,入金予測!$B$4:$B$603,"ワールド・レイ")</f>
        <v>0</v>
      </c>
      <c r="C112" s="20">
        <f>SUMIFS(未払予定一覧!$O$4:$O$830,未払予定一覧!$N$4:$N$830,A112,未払予定一覧!$A$4:$A$830,"ワールド・レイ",未払予定一覧!$B$4:$B$830,"未払繰越")+SUMIFS(未払予定一覧!$O$4:$O$830,未払予定一覧!$N$4:$N$830,A112,未払予定一覧!$A$4:$A$830,"ワールド・レイ",未払予定一覧!$B$4:$B$830,"月次予定")</f>
        <v>0</v>
      </c>
      <c r="D112" s="20">
        <f t="shared" si="9"/>
        <v>0</v>
      </c>
      <c r="E112" s="20">
        <f t="shared" si="10"/>
        <v>-3484648</v>
      </c>
      <c r="F112" s="21">
        <f>SUMIFS(未払予定一覧!$O$4:$O$830,未払予定一覧!$N$4:$N$830,A112,未払予定一覧!$A$4:$A$830,"ワールド・レイ",未払予定一覧!$B$4:$B$830,"カード枠回復")</f>
        <v>0</v>
      </c>
      <c r="G112" s="122">
        <f t="shared" si="11"/>
        <v>-3484648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SUMIFS(入金入力!$E$4:$E$580,入金入力!$B$4:$B$580,A113,入金入力!$A$4:$A$580,"ワールド・レイ")+SUMIFS(入金予測!$E$4:$E$603,入金予測!$A$4:$A$603,A113,入金予測!$B$4:$B$603,"ワールド・レイ")</f>
        <v>0</v>
      </c>
      <c r="C113" s="20">
        <f>SUMIFS(未払予定一覧!$O$4:$O$830,未払予定一覧!$N$4:$N$830,A113,未払予定一覧!$A$4:$A$830,"ワールド・レイ",未払予定一覧!$B$4:$B$830,"未払繰越")+SUMIFS(未払予定一覧!$O$4:$O$830,未払予定一覧!$N$4:$N$830,A113,未払予定一覧!$A$4:$A$830,"ワールド・レイ",未払予定一覧!$B$4:$B$830,"月次予定")</f>
        <v>529937</v>
      </c>
      <c r="D113" s="20">
        <f t="shared" si="9"/>
        <v>-529937</v>
      </c>
      <c r="E113" s="20">
        <f t="shared" si="10"/>
        <v>-4014585</v>
      </c>
      <c r="F113" s="21">
        <f>SUMIFS(未払予定一覧!$O$4:$O$830,未払予定一覧!$N$4:$N$830,A113,未払予定一覧!$A$4:$A$830,"ワールド・レイ",未払予定一覧!$B$4:$B$830,"カード枠回復")</f>
        <v>0</v>
      </c>
      <c r="G113" s="122">
        <f t="shared" si="11"/>
        <v>-4014585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SUMIFS(入金入力!$E$4:$E$580,入金入力!$B$4:$B$580,A114,入金入力!$A$4:$A$580,"ワールド・レイ")+SUMIFS(入金予測!$E$4:$E$603,入金予測!$A$4:$A$603,A114,入金予測!$B$4:$B$603,"ワールド・レイ")</f>
        <v>0</v>
      </c>
      <c r="C114" s="20">
        <f>SUMIFS(未払予定一覧!$O$4:$O$830,未払予定一覧!$N$4:$N$830,A114,未払予定一覧!$A$4:$A$830,"ワールド・レイ",未払予定一覧!$B$4:$B$830,"未払繰越")+SUMIFS(未払予定一覧!$O$4:$O$830,未払予定一覧!$N$4:$N$830,A114,未払予定一覧!$A$4:$A$830,"ワールド・レイ",未払予定一覧!$B$4:$B$830,"月次予定")</f>
        <v>0</v>
      </c>
      <c r="D114" s="20">
        <f t="shared" si="9"/>
        <v>0</v>
      </c>
      <c r="E114" s="20">
        <f t="shared" si="10"/>
        <v>-4014585</v>
      </c>
      <c r="F114" s="21">
        <f>SUMIFS(未払予定一覧!$O$4:$O$830,未払予定一覧!$N$4:$N$830,A114,未払予定一覧!$A$4:$A$830,"ワールド・レイ",未払予定一覧!$B$4:$B$830,"カード枠回復")</f>
        <v>0</v>
      </c>
      <c r="G114" s="122">
        <f t="shared" si="11"/>
        <v>-4014585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SUMIFS(入金入力!$E$4:$E$580,入金入力!$B$4:$B$580,A115,入金入力!$A$4:$A$580,"ワールド・レイ")+SUMIFS(入金予測!$E$4:$E$603,入金予測!$A$4:$A$603,A115,入金予測!$B$4:$B$603,"ワールド・レイ")</f>
        <v>0</v>
      </c>
      <c r="C115" s="20">
        <f>SUMIFS(未払予定一覧!$O$4:$O$830,未払予定一覧!$N$4:$N$830,A115,未払予定一覧!$A$4:$A$830,"ワールド・レイ",未払予定一覧!$B$4:$B$830,"未払繰越")+SUMIFS(未払予定一覧!$O$4:$O$830,未払予定一覧!$N$4:$N$830,A115,未払予定一覧!$A$4:$A$830,"ワールド・レイ",未払予定一覧!$B$4:$B$830,"月次予定")</f>
        <v>0</v>
      </c>
      <c r="D115" s="20">
        <f t="shared" si="9"/>
        <v>0</v>
      </c>
      <c r="E115" s="20">
        <f t="shared" si="10"/>
        <v>-4014585</v>
      </c>
      <c r="F115" s="21">
        <f>SUMIFS(未払予定一覧!$O$4:$O$830,未払予定一覧!$N$4:$N$830,A115,未払予定一覧!$A$4:$A$830,"ワールド・レイ",未払予定一覧!$B$4:$B$830,"カード枠回復")</f>
        <v>0</v>
      </c>
      <c r="G115" s="122">
        <f t="shared" si="11"/>
        <v>-4014585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SUMIFS(入金入力!$E$4:$E$580,入金入力!$B$4:$B$580,A116,入金入力!$A$4:$A$580,"ワールド・レイ")+SUMIFS(入金予測!$E$4:$E$603,入金予測!$A$4:$A$603,A116,入金予測!$B$4:$B$603,"ワールド・レイ")</f>
        <v>0</v>
      </c>
      <c r="C116" s="20">
        <f>SUMIFS(未払予定一覧!$O$4:$O$830,未払予定一覧!$N$4:$N$830,A116,未払予定一覧!$A$4:$A$830,"ワールド・レイ",未払予定一覧!$B$4:$B$830,"未払繰越")+SUMIFS(未払予定一覧!$O$4:$O$830,未払予定一覧!$N$4:$N$830,A116,未払予定一覧!$A$4:$A$830,"ワールド・レイ",未払予定一覧!$B$4:$B$830,"月次予定")</f>
        <v>0</v>
      </c>
      <c r="D116" s="20">
        <f t="shared" si="9"/>
        <v>0</v>
      </c>
      <c r="E116" s="20">
        <f t="shared" si="10"/>
        <v>-4014585</v>
      </c>
      <c r="F116" s="21">
        <f>SUMIFS(未払予定一覧!$O$4:$O$830,未払予定一覧!$N$4:$N$830,A116,未払予定一覧!$A$4:$A$830,"ワールド・レイ",未払予定一覧!$B$4:$B$830,"カード枠回復")</f>
        <v>0</v>
      </c>
      <c r="G116" s="122">
        <f t="shared" si="11"/>
        <v>-4014585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SUMIFS(入金入力!$E$4:$E$580,入金入力!$B$4:$B$580,A117,入金入力!$A$4:$A$580,"ワールド・レイ")+SUMIFS(入金予測!$E$4:$E$603,入金予測!$A$4:$A$603,A117,入金予測!$B$4:$B$603,"ワールド・レイ")</f>
        <v>0</v>
      </c>
      <c r="C117" s="20">
        <f>SUMIFS(未払予定一覧!$O$4:$O$830,未払予定一覧!$N$4:$N$830,A117,未払予定一覧!$A$4:$A$830,"ワールド・レイ",未払予定一覧!$B$4:$B$830,"未払繰越")+SUMIFS(未払予定一覧!$O$4:$O$830,未払予定一覧!$N$4:$N$830,A117,未払予定一覧!$A$4:$A$830,"ワールド・レイ",未払予定一覧!$B$4:$B$830,"月次予定")</f>
        <v>0</v>
      </c>
      <c r="D117" s="20">
        <f t="shared" si="9"/>
        <v>0</v>
      </c>
      <c r="E117" s="20">
        <f t="shared" si="10"/>
        <v>-4014585</v>
      </c>
      <c r="F117" s="21">
        <f>SUMIFS(未払予定一覧!$O$4:$O$830,未払予定一覧!$N$4:$N$830,A117,未払予定一覧!$A$4:$A$830,"ワールド・レイ",未払予定一覧!$B$4:$B$830,"カード枠回復")</f>
        <v>0</v>
      </c>
      <c r="G117" s="122">
        <f t="shared" si="11"/>
        <v>-4014585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SUMIFS(入金入力!$E$4:$E$580,入金入力!$B$4:$B$580,A118,入金入力!$A$4:$A$580,"ワールド・レイ")+SUMIFS(入金予測!$E$4:$E$603,入金予測!$A$4:$A$603,A118,入金予測!$B$4:$B$603,"ワールド・レイ")</f>
        <v>0</v>
      </c>
      <c r="C118" s="20">
        <f>SUMIFS(未払予定一覧!$O$4:$O$830,未払予定一覧!$N$4:$N$830,A118,未払予定一覧!$A$4:$A$830,"ワールド・レイ",未払予定一覧!$B$4:$B$830,"未払繰越")+SUMIFS(未払予定一覧!$O$4:$O$830,未払予定一覧!$N$4:$N$830,A118,未払予定一覧!$A$4:$A$830,"ワールド・レイ",未払予定一覧!$B$4:$B$830,"月次予定")</f>
        <v>0</v>
      </c>
      <c r="D118" s="20">
        <f t="shared" si="9"/>
        <v>0</v>
      </c>
      <c r="E118" s="20">
        <f t="shared" si="10"/>
        <v>-4014585</v>
      </c>
      <c r="F118" s="21">
        <f>SUMIFS(未払予定一覧!$O$4:$O$830,未払予定一覧!$N$4:$N$830,A118,未払予定一覧!$A$4:$A$830,"ワールド・レイ",未払予定一覧!$B$4:$B$830,"カード枠回復")</f>
        <v>0</v>
      </c>
      <c r="G118" s="122">
        <f t="shared" si="11"/>
        <v>-4014585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SUMIFS(入金入力!$E$4:$E$580,入金入力!$B$4:$B$580,A119,入金入力!$A$4:$A$580,"ワールド・レイ")+SUMIFS(入金予測!$E$4:$E$603,入金予測!$A$4:$A$603,A119,入金予測!$B$4:$B$603,"ワールド・レイ")</f>
        <v>0</v>
      </c>
      <c r="C119" s="20">
        <f>SUMIFS(未払予定一覧!$O$4:$O$830,未払予定一覧!$N$4:$N$830,A119,未払予定一覧!$A$4:$A$830,"ワールド・レイ",未払予定一覧!$B$4:$B$830,"未払繰越")+SUMIFS(未払予定一覧!$O$4:$O$830,未払予定一覧!$N$4:$N$830,A119,未払予定一覧!$A$4:$A$830,"ワールド・レイ",未払予定一覧!$B$4:$B$830,"月次予定")</f>
        <v>0</v>
      </c>
      <c r="D119" s="20">
        <f t="shared" si="9"/>
        <v>0</v>
      </c>
      <c r="E119" s="20">
        <f t="shared" si="10"/>
        <v>-4014585</v>
      </c>
      <c r="F119" s="21">
        <f>SUMIFS(未払予定一覧!$O$4:$O$830,未払予定一覧!$N$4:$N$830,A119,未払予定一覧!$A$4:$A$830,"ワールド・レイ",未払予定一覧!$B$4:$B$830,"カード枠回復")</f>
        <v>0</v>
      </c>
      <c r="G119" s="122">
        <f t="shared" si="11"/>
        <v>-4014585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SUMIFS(入金入力!$E$4:$E$580,入金入力!$B$4:$B$580,A120,入金入力!$A$4:$A$580,"ワールド・レイ")+SUMIFS(入金予測!$E$4:$E$603,入金予測!$A$4:$A$603,A120,入金予測!$B$4:$B$603,"ワールド・レイ")</f>
        <v>0</v>
      </c>
      <c r="C120" s="20">
        <f>SUMIFS(未払予定一覧!$O$4:$O$830,未払予定一覧!$N$4:$N$830,A120,未払予定一覧!$A$4:$A$830,"ワールド・レイ",未払予定一覧!$B$4:$B$830,"未払繰越")+SUMIFS(未払予定一覧!$O$4:$O$830,未払予定一覧!$N$4:$N$830,A120,未払予定一覧!$A$4:$A$830,"ワールド・レイ",未払予定一覧!$B$4:$B$830,"月次予定")</f>
        <v>0</v>
      </c>
      <c r="D120" s="20">
        <f t="shared" si="9"/>
        <v>0</v>
      </c>
      <c r="E120" s="20">
        <f t="shared" si="10"/>
        <v>-4014585</v>
      </c>
      <c r="F120" s="21">
        <f>SUMIFS(未払予定一覧!$O$4:$O$830,未払予定一覧!$N$4:$N$830,A120,未払予定一覧!$A$4:$A$830,"ワールド・レイ",未払予定一覧!$B$4:$B$830,"カード枠回復")</f>
        <v>0</v>
      </c>
      <c r="G120" s="122">
        <f t="shared" si="11"/>
        <v>-4014585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SUMIFS(入金入力!$E$4:$E$580,入金入力!$B$4:$B$580,A121,入金入力!$A$4:$A$580,"ワールド・レイ")+SUMIFS(入金予測!$E$4:$E$603,入金予測!$A$4:$A$603,A121,入金予測!$B$4:$B$603,"ワールド・レイ")</f>
        <v>0</v>
      </c>
      <c r="C121" s="20">
        <f>SUMIFS(未払予定一覧!$O$4:$O$830,未払予定一覧!$N$4:$N$830,A121,未払予定一覧!$A$4:$A$830,"ワールド・レイ",未払予定一覧!$B$4:$B$830,"未払繰越")+SUMIFS(未払予定一覧!$O$4:$O$830,未払予定一覧!$N$4:$N$830,A121,未払予定一覧!$A$4:$A$830,"ワールド・レイ",未払予定一覧!$B$4:$B$830,"月次予定")</f>
        <v>0</v>
      </c>
      <c r="D121" s="20">
        <f t="shared" si="9"/>
        <v>0</v>
      </c>
      <c r="E121" s="20">
        <f t="shared" si="10"/>
        <v>-4014585</v>
      </c>
      <c r="F121" s="21">
        <f>SUMIFS(未払予定一覧!$O$4:$O$830,未払予定一覧!$N$4:$N$830,A121,未払予定一覧!$A$4:$A$830,"ワールド・レイ",未払予定一覧!$B$4:$B$830,"カード枠回復")</f>
        <v>0</v>
      </c>
      <c r="G121" s="122">
        <f t="shared" si="11"/>
        <v>-4014585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SUMIFS(入金入力!$E$4:$E$580,入金入力!$B$4:$B$580,A122,入金入力!$A$4:$A$580,"ワールド・レイ")+SUMIFS(入金予測!$E$4:$E$603,入金予測!$A$4:$A$603,A122,入金予測!$B$4:$B$603,"ワールド・レイ")</f>
        <v>0</v>
      </c>
      <c r="C122" s="20">
        <f>SUMIFS(未払予定一覧!$O$4:$O$830,未払予定一覧!$N$4:$N$830,A122,未払予定一覧!$A$4:$A$830,"ワールド・レイ",未払予定一覧!$B$4:$B$830,"未払繰越")+SUMIFS(未払予定一覧!$O$4:$O$830,未払予定一覧!$N$4:$N$830,A122,未払予定一覧!$A$4:$A$830,"ワールド・レイ",未払予定一覧!$B$4:$B$830,"月次予定")</f>
        <v>0</v>
      </c>
      <c r="D122" s="20">
        <f t="shared" si="9"/>
        <v>0</v>
      </c>
      <c r="E122" s="20">
        <f t="shared" si="10"/>
        <v>-4014585</v>
      </c>
      <c r="F122" s="21">
        <f>SUMIFS(未払予定一覧!$O$4:$O$830,未払予定一覧!$N$4:$N$830,A122,未払予定一覧!$A$4:$A$830,"ワールド・レイ",未払予定一覧!$B$4:$B$830,"カード枠回復")</f>
        <v>0</v>
      </c>
      <c r="G122" s="122">
        <f t="shared" si="11"/>
        <v>-4014585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SUMIFS(入金入力!$E$4:$E$580,入金入力!$B$4:$B$580,A123,入金入力!$A$4:$A$580,"ワールド・レイ")+SUMIFS(入金予測!$E$4:$E$603,入金予測!$A$4:$A$603,A123,入金予測!$B$4:$B$603,"ワールド・レイ")</f>
        <v>0</v>
      </c>
      <c r="C123" s="20">
        <f>SUMIFS(未払予定一覧!$O$4:$O$830,未払予定一覧!$N$4:$N$830,A123,未払予定一覧!$A$4:$A$830,"ワールド・レイ",未払予定一覧!$B$4:$B$830,"未払繰越")+SUMIFS(未払予定一覧!$O$4:$O$830,未払予定一覧!$N$4:$N$830,A123,未払予定一覧!$A$4:$A$830,"ワールド・レイ",未払予定一覧!$B$4:$B$830,"月次予定")</f>
        <v>0</v>
      </c>
      <c r="D123" s="20">
        <f t="shared" si="9"/>
        <v>0</v>
      </c>
      <c r="E123" s="20">
        <f t="shared" si="10"/>
        <v>-4014585</v>
      </c>
      <c r="F123" s="21">
        <f>SUMIFS(未払予定一覧!$O$4:$O$830,未払予定一覧!$N$4:$N$830,A123,未払予定一覧!$A$4:$A$830,"ワールド・レイ",未払予定一覧!$B$4:$B$830,"カード枠回復")</f>
        <v>0</v>
      </c>
      <c r="G123" s="122">
        <f t="shared" si="11"/>
        <v>-4014585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SUMIFS(入金入力!$E$4:$E$580,入金入力!$B$4:$B$580,A124,入金入力!$A$4:$A$580,"ワールド・レイ")+SUMIFS(入金予測!$E$4:$E$603,入金予測!$A$4:$A$603,A124,入金予測!$B$4:$B$603,"ワールド・レイ")</f>
        <v>0</v>
      </c>
      <c r="C124" s="20">
        <f>SUMIFS(未払予定一覧!$O$4:$O$830,未払予定一覧!$N$4:$N$830,A124,未払予定一覧!$A$4:$A$830,"ワールド・レイ",未払予定一覧!$B$4:$B$830,"未払繰越")+SUMIFS(未払予定一覧!$O$4:$O$830,未払予定一覧!$N$4:$N$830,A124,未払予定一覧!$A$4:$A$830,"ワールド・レイ",未払予定一覧!$B$4:$B$830,"月次予定")</f>
        <v>0</v>
      </c>
      <c r="D124" s="20">
        <f t="shared" si="9"/>
        <v>0</v>
      </c>
      <c r="E124" s="20">
        <f t="shared" si="10"/>
        <v>-4014585</v>
      </c>
      <c r="F124" s="21">
        <f>SUMIFS(未払予定一覧!$O$4:$O$830,未払予定一覧!$N$4:$N$830,A124,未払予定一覧!$A$4:$A$830,"ワールド・レイ",未払予定一覧!$B$4:$B$830,"カード枠回復")</f>
        <v>0</v>
      </c>
      <c r="G124" s="122">
        <f t="shared" si="11"/>
        <v>-4014585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SUMIFS(入金入力!$E$4:$E$580,入金入力!$B$4:$B$580,A125,入金入力!$A$4:$A$580,"ワールド・レイ")+SUMIFS(入金予測!$E$4:$E$603,入金予測!$A$4:$A$603,A125,入金予測!$B$4:$B$603,"ワールド・レイ")</f>
        <v>0</v>
      </c>
      <c r="C125" s="20">
        <f>SUMIFS(未払予定一覧!$O$4:$O$830,未払予定一覧!$N$4:$N$830,A125,未払予定一覧!$A$4:$A$830,"ワールド・レイ",未払予定一覧!$B$4:$B$830,"未払繰越")+SUMIFS(未払予定一覧!$O$4:$O$830,未払予定一覧!$N$4:$N$830,A125,未払予定一覧!$A$4:$A$830,"ワールド・レイ",未払予定一覧!$B$4:$B$830,"月次予定")</f>
        <v>0</v>
      </c>
      <c r="D125" s="20">
        <f t="shared" si="9"/>
        <v>0</v>
      </c>
      <c r="E125" s="20">
        <f t="shared" si="10"/>
        <v>-4014585</v>
      </c>
      <c r="F125" s="21">
        <f>SUMIFS(未払予定一覧!$O$4:$O$830,未払予定一覧!$N$4:$N$830,A125,未払予定一覧!$A$4:$A$830,"ワールド・レイ",未払予定一覧!$B$4:$B$830,"カード枠回復")</f>
        <v>0</v>
      </c>
      <c r="G125" s="122">
        <f t="shared" si="11"/>
        <v>-4014585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SUMIFS(入金入力!$E$4:$E$580,入金入力!$B$4:$B$580,A126,入金入力!$A$4:$A$580,"ワールド・レイ")+SUMIFS(入金予測!$E$4:$E$603,入金予測!$A$4:$A$603,A126,入金予測!$B$4:$B$603,"ワールド・レイ")</f>
        <v>0</v>
      </c>
      <c r="C126" s="20">
        <f>SUMIFS(未払予定一覧!$O$4:$O$830,未払予定一覧!$N$4:$N$830,A126,未払予定一覧!$A$4:$A$830,"ワールド・レイ",未払予定一覧!$B$4:$B$830,"未払繰越")+SUMIFS(未払予定一覧!$O$4:$O$830,未払予定一覧!$N$4:$N$830,A126,未払予定一覧!$A$4:$A$830,"ワールド・レイ",未払予定一覧!$B$4:$B$830,"月次予定")</f>
        <v>0</v>
      </c>
      <c r="D126" s="20">
        <f t="shared" si="9"/>
        <v>0</v>
      </c>
      <c r="E126" s="20">
        <f t="shared" si="10"/>
        <v>-4014585</v>
      </c>
      <c r="F126" s="21">
        <f>SUMIFS(未払予定一覧!$O$4:$O$830,未払予定一覧!$N$4:$N$830,A126,未払予定一覧!$A$4:$A$830,"ワールド・レイ",未払予定一覧!$B$4:$B$830,"カード枠回復")</f>
        <v>0</v>
      </c>
      <c r="G126" s="122">
        <f t="shared" si="11"/>
        <v>-4014585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SUMIFS(入金入力!$E$4:$E$580,入金入力!$B$4:$B$580,A127,入金入力!$A$4:$A$580,"ワールド・レイ")+SUMIFS(入金予測!$E$4:$E$603,入金予測!$A$4:$A$603,A127,入金予測!$B$4:$B$603,"ワールド・レイ")</f>
        <v>0</v>
      </c>
      <c r="C127" s="20">
        <f>SUMIFS(未払予定一覧!$O$4:$O$830,未払予定一覧!$N$4:$N$830,A127,未払予定一覧!$A$4:$A$830,"ワールド・レイ",未払予定一覧!$B$4:$B$830,"未払繰越")+SUMIFS(未払予定一覧!$O$4:$O$830,未払予定一覧!$N$4:$N$830,A127,未払予定一覧!$A$4:$A$830,"ワールド・レイ",未払予定一覧!$B$4:$B$830,"月次予定")</f>
        <v>0</v>
      </c>
      <c r="D127" s="20">
        <f t="shared" si="9"/>
        <v>0</v>
      </c>
      <c r="E127" s="20">
        <f t="shared" si="10"/>
        <v>-4014585</v>
      </c>
      <c r="F127" s="21">
        <f>SUMIFS(未払予定一覧!$O$4:$O$830,未払予定一覧!$N$4:$N$830,A127,未払予定一覧!$A$4:$A$830,"ワールド・レイ",未払予定一覧!$B$4:$B$830,"カード枠回復")</f>
        <v>0</v>
      </c>
      <c r="G127" s="122">
        <f t="shared" si="11"/>
        <v>-4014585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SUMIFS(入金入力!$E$4:$E$580,入金入力!$B$4:$B$580,A128,入金入力!$A$4:$A$580,"ワールド・レイ")+SUMIFS(入金予測!$E$4:$E$603,入金予測!$A$4:$A$603,A128,入金予測!$B$4:$B$603,"ワールド・レイ")</f>
        <v>0</v>
      </c>
      <c r="C128" s="20">
        <f>SUMIFS(未払予定一覧!$O$4:$O$830,未払予定一覧!$N$4:$N$830,A128,未払予定一覧!$A$4:$A$830,"ワールド・レイ",未払予定一覧!$B$4:$B$830,"未払繰越")+SUMIFS(未払予定一覧!$O$4:$O$830,未払予定一覧!$N$4:$N$830,A128,未払予定一覧!$A$4:$A$830,"ワールド・レイ",未払予定一覧!$B$4:$B$830,"月次予定")</f>
        <v>0</v>
      </c>
      <c r="D128" s="20">
        <f t="shared" si="9"/>
        <v>0</v>
      </c>
      <c r="E128" s="20">
        <f t="shared" si="10"/>
        <v>-4014585</v>
      </c>
      <c r="F128" s="21">
        <f>SUMIFS(未払予定一覧!$O$4:$O$830,未払予定一覧!$N$4:$N$830,A128,未払予定一覧!$A$4:$A$830,"ワールド・レイ",未払予定一覧!$B$4:$B$830,"カード枠回復")</f>
        <v>0</v>
      </c>
      <c r="G128" s="122">
        <f t="shared" si="11"/>
        <v>-4014585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SUMIFS(入金入力!$E$4:$E$580,入金入力!$B$4:$B$580,A129,入金入力!$A$4:$A$580,"ワールド・レイ")+SUMIFS(入金予測!$E$4:$E$603,入金予測!$A$4:$A$603,A129,入金予測!$B$4:$B$603,"ワールド・レイ")</f>
        <v>0</v>
      </c>
      <c r="C129" s="20">
        <f>SUMIFS(未払予定一覧!$O$4:$O$830,未払予定一覧!$N$4:$N$830,A129,未払予定一覧!$A$4:$A$830,"ワールド・レイ",未払予定一覧!$B$4:$B$830,"未払繰越")+SUMIFS(未払予定一覧!$O$4:$O$830,未払予定一覧!$N$4:$N$830,A129,未払予定一覧!$A$4:$A$830,"ワールド・レイ",未払予定一覧!$B$4:$B$830,"月次予定")</f>
        <v>0</v>
      </c>
      <c r="D129" s="20">
        <f t="shared" si="9"/>
        <v>0</v>
      </c>
      <c r="E129" s="20">
        <f t="shared" si="10"/>
        <v>-4014585</v>
      </c>
      <c r="F129" s="21">
        <f>SUMIFS(未払予定一覧!$O$4:$O$830,未払予定一覧!$N$4:$N$830,A129,未払予定一覧!$A$4:$A$830,"ワールド・レイ",未払予定一覧!$B$4:$B$830,"カード枠回復")</f>
        <v>0</v>
      </c>
      <c r="G129" s="122">
        <f t="shared" si="11"/>
        <v>-4014585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SUMIFS(入金入力!$E$4:$E$580,入金入力!$B$4:$B$580,A130,入金入力!$A$4:$A$580,"ワールド・レイ")+SUMIFS(入金予測!$E$4:$E$603,入金予測!$A$4:$A$603,A130,入金予測!$B$4:$B$603,"ワールド・レイ")</f>
        <v>0</v>
      </c>
      <c r="C130" s="20">
        <f>SUMIFS(未払予定一覧!$O$4:$O$830,未払予定一覧!$N$4:$N$830,A130,未払予定一覧!$A$4:$A$830,"ワールド・レイ",未払予定一覧!$B$4:$B$830,"未払繰越")+SUMIFS(未払予定一覧!$O$4:$O$830,未払予定一覧!$N$4:$N$830,A130,未払予定一覧!$A$4:$A$830,"ワールド・レイ",未払予定一覧!$B$4:$B$830,"月次予定")</f>
        <v>0</v>
      </c>
      <c r="D130" s="20">
        <f t="shared" si="9"/>
        <v>0</v>
      </c>
      <c r="E130" s="20">
        <f t="shared" si="10"/>
        <v>-4014585</v>
      </c>
      <c r="F130" s="21">
        <f>SUMIFS(未払予定一覧!$O$4:$O$830,未払予定一覧!$N$4:$N$830,A130,未払予定一覧!$A$4:$A$830,"ワールド・レイ",未払予定一覧!$B$4:$B$830,"カード枠回復")</f>
        <v>0</v>
      </c>
      <c r="G130" s="122">
        <f t="shared" si="11"/>
        <v>-4014585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SUMIFS(入金入力!$E$4:$E$580,入金入力!$B$4:$B$580,A131,入金入力!$A$4:$A$580,"ワールド・レイ")+SUMIFS(入金予測!$E$4:$E$603,入金予測!$A$4:$A$603,A131,入金予測!$B$4:$B$603,"ワールド・レイ")</f>
        <v>200000</v>
      </c>
      <c r="C131" s="20">
        <f>SUMIFS(未払予定一覧!$O$4:$O$830,未払予定一覧!$N$4:$N$830,A131,未払予定一覧!$A$4:$A$830,"ワールド・レイ",未払予定一覧!$B$4:$B$830,"未払繰越")+SUMIFS(未払予定一覧!$O$4:$O$830,未払予定一覧!$N$4:$N$830,A131,未払予定一覧!$A$4:$A$830,"ワールド・レイ",未払予定一覧!$B$4:$B$830,"月次予定")</f>
        <v>0</v>
      </c>
      <c r="D131" s="20">
        <f t="shared" si="9"/>
        <v>200000</v>
      </c>
      <c r="E131" s="20">
        <f t="shared" si="10"/>
        <v>-3814585</v>
      </c>
      <c r="F131" s="21">
        <f>SUMIFS(未払予定一覧!$O$4:$O$830,未払予定一覧!$N$4:$N$830,A131,未払予定一覧!$A$4:$A$830,"ワールド・レイ",未払予定一覧!$B$4:$B$830,"カード枠回復")</f>
        <v>0</v>
      </c>
      <c r="G131" s="122">
        <f t="shared" si="11"/>
        <v>-3814585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SUMIFS(入金入力!$E$4:$E$580,入金入力!$B$4:$B$580,A132,入金入力!$A$4:$A$580,"ワールド・レイ")+SUMIFS(入金予測!$E$4:$E$603,入金予測!$A$4:$A$603,A132,入金予測!$B$4:$B$603,"ワールド・レイ")</f>
        <v>0</v>
      </c>
      <c r="C132" s="20">
        <f>SUMIFS(未払予定一覧!$O$4:$O$830,未払予定一覧!$N$4:$N$830,A132,未払予定一覧!$A$4:$A$830,"ワールド・レイ",未払予定一覧!$B$4:$B$830,"未払繰越")+SUMIFS(未払予定一覧!$O$4:$O$830,未払予定一覧!$N$4:$N$830,A132,未払予定一覧!$A$4:$A$830,"ワールド・レイ",未払予定一覧!$B$4:$B$830,"月次予定")</f>
        <v>0</v>
      </c>
      <c r="D132" s="20">
        <f t="shared" si="9"/>
        <v>0</v>
      </c>
      <c r="E132" s="20">
        <f t="shared" si="10"/>
        <v>-3814585</v>
      </c>
      <c r="F132" s="21">
        <f>SUMIFS(未払予定一覧!$O$4:$O$830,未払予定一覧!$N$4:$N$830,A132,未払予定一覧!$A$4:$A$830,"ワールド・レイ",未払予定一覧!$B$4:$B$830,"カード枠回復")</f>
        <v>0</v>
      </c>
      <c r="G132" s="122">
        <f t="shared" si="11"/>
        <v>-3814585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SUMIFS(入金入力!$E$4:$E$580,入金入力!$B$4:$B$580,A133,入金入力!$A$4:$A$580,"ワールド・レイ")+SUMIFS(入金予測!$E$4:$E$603,入金予測!$A$4:$A$603,A133,入金予測!$B$4:$B$603,"ワールド・レイ")</f>
        <v>0</v>
      </c>
      <c r="C133" s="20">
        <f>SUMIFS(未払予定一覧!$O$4:$O$830,未払予定一覧!$N$4:$N$830,A133,未払予定一覧!$A$4:$A$830,"ワールド・レイ",未払予定一覧!$B$4:$B$830,"未払繰越")+SUMIFS(未払予定一覧!$O$4:$O$830,未払予定一覧!$N$4:$N$830,A133,未払予定一覧!$A$4:$A$830,"ワールド・レイ",未払予定一覧!$B$4:$B$830,"月次予定")</f>
        <v>200000</v>
      </c>
      <c r="D133" s="20">
        <f t="shared" si="9"/>
        <v>-200000</v>
      </c>
      <c r="E133" s="20">
        <f t="shared" si="10"/>
        <v>-4014585</v>
      </c>
      <c r="F133" s="21">
        <f>SUMIFS(未払予定一覧!$O$4:$O$830,未払予定一覧!$N$4:$N$830,A133,未払予定一覧!$A$4:$A$830,"ワールド・レイ",未払予定一覧!$B$4:$B$830,"カード枠回復")</f>
        <v>0</v>
      </c>
      <c r="G133" s="122">
        <f t="shared" si="11"/>
        <v>-4014585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SUMIFS(入金入力!$E$4:$E$580,入金入力!$B$4:$B$580,A134,入金入力!$A$4:$A$580,"ワールド・レイ")+SUMIFS(入金予測!$E$4:$E$603,入金予測!$A$4:$A$603,A134,入金予測!$B$4:$B$603,"ワールド・レイ")</f>
        <v>0</v>
      </c>
      <c r="C134" s="20">
        <f>SUMIFS(未払予定一覧!$O$4:$O$830,未払予定一覧!$N$4:$N$830,A134,未払予定一覧!$A$4:$A$830,"ワールド・レイ",未払予定一覧!$B$4:$B$830,"未払繰越")+SUMIFS(未払予定一覧!$O$4:$O$830,未払予定一覧!$N$4:$N$830,A134,未払予定一覧!$A$4:$A$830,"ワールド・レイ",未払予定一覧!$B$4:$B$830,"月次予定")</f>
        <v>712000</v>
      </c>
      <c r="D134" s="20">
        <f t="shared" si="9"/>
        <v>-712000</v>
      </c>
      <c r="E134" s="20">
        <f t="shared" si="10"/>
        <v>-4726585</v>
      </c>
      <c r="F134" s="21">
        <f>SUMIFS(未払予定一覧!$O$4:$O$830,未払予定一覧!$N$4:$N$830,A134,未払予定一覧!$A$4:$A$830,"ワールド・レイ",未払予定一覧!$B$4:$B$830,"カード枠回復")</f>
        <v>0</v>
      </c>
      <c r="G134" s="122">
        <f t="shared" si="11"/>
        <v>-4726585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SUMIFS(入金入力!$E$4:$E$580,入金入力!$B$4:$B$580,A135,入金入力!$A$4:$A$580,"ワールド・レイ")+SUMIFS(入金予測!$E$4:$E$603,入金予測!$A$4:$A$603,A135,入金予測!$B$4:$B$603,"ワールド・レイ")</f>
        <v>0</v>
      </c>
      <c r="C135" s="20">
        <f>SUMIFS(未払予定一覧!$O$4:$O$830,未払予定一覧!$N$4:$N$830,A135,未払予定一覧!$A$4:$A$830,"ワールド・レイ",未払予定一覧!$B$4:$B$830,"未払繰越")+SUMIFS(未払予定一覧!$O$4:$O$830,未払予定一覧!$N$4:$N$830,A135,未払予定一覧!$A$4:$A$830,"ワールド・レイ",未払予定一覧!$B$4:$B$830,"月次予定")</f>
        <v>0</v>
      </c>
      <c r="D135" s="20">
        <f t="shared" si="9"/>
        <v>0</v>
      </c>
      <c r="E135" s="20">
        <f t="shared" si="10"/>
        <v>-4726585</v>
      </c>
      <c r="F135" s="21">
        <f>SUMIFS(未払予定一覧!$O$4:$O$830,未払予定一覧!$N$4:$N$830,A135,未払予定一覧!$A$4:$A$830,"ワールド・レイ",未払予定一覧!$B$4:$B$830,"カード枠回復")</f>
        <v>0</v>
      </c>
      <c r="G135" s="122">
        <f t="shared" si="11"/>
        <v>-4726585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SUMIFS(入金入力!$E$4:$E$580,入金入力!$B$4:$B$580,A136,入金入力!$A$4:$A$580,"ワールド・レイ")+SUMIFS(入金予測!$E$4:$E$603,入金予測!$A$4:$A$603,A136,入金予測!$B$4:$B$603,"ワールド・レイ")</f>
        <v>0</v>
      </c>
      <c r="C136" s="20">
        <f>SUMIFS(未払予定一覧!$O$4:$O$830,未払予定一覧!$N$4:$N$830,A136,未払予定一覧!$A$4:$A$830,"ワールド・レイ",未払予定一覧!$B$4:$B$830,"未払繰越")+SUMIFS(未払予定一覧!$O$4:$O$830,未払予定一覧!$N$4:$N$830,A136,未払予定一覧!$A$4:$A$830,"ワールド・レイ",未払予定一覧!$B$4:$B$830,"月次予定")</f>
        <v>0</v>
      </c>
      <c r="D136" s="20">
        <f t="shared" si="9"/>
        <v>0</v>
      </c>
      <c r="E136" s="20">
        <f t="shared" si="10"/>
        <v>-4726585</v>
      </c>
      <c r="F136" s="21">
        <f>SUMIFS(未払予定一覧!$O$4:$O$830,未払予定一覧!$N$4:$N$830,A136,未払予定一覧!$A$4:$A$830,"ワールド・レイ",未払予定一覧!$B$4:$B$830,"カード枠回復")</f>
        <v>0</v>
      </c>
      <c r="G136" s="122">
        <f t="shared" si="11"/>
        <v>-4726585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SUMIFS(入金入力!$E$4:$E$580,入金入力!$B$4:$B$580,A137,入金入力!$A$4:$A$580,"ワールド・レイ")+SUMIFS(入金予測!$E$4:$E$603,入金予測!$A$4:$A$603,A137,入金予測!$B$4:$B$603,"ワールド・レイ")</f>
        <v>0</v>
      </c>
      <c r="C137" s="20">
        <f>SUMIFS(未払予定一覧!$O$4:$O$830,未払予定一覧!$N$4:$N$830,A137,未払予定一覧!$A$4:$A$830,"ワールド・レイ",未払予定一覧!$B$4:$B$830,"未払繰越")+SUMIFS(未払予定一覧!$O$4:$O$830,未払予定一覧!$N$4:$N$830,A137,未払予定一覧!$A$4:$A$830,"ワールド・レイ",未払予定一覧!$B$4:$B$830,"月次予定")</f>
        <v>0</v>
      </c>
      <c r="D137" s="20">
        <f t="shared" si="9"/>
        <v>0</v>
      </c>
      <c r="E137" s="20">
        <f t="shared" si="10"/>
        <v>-4726585</v>
      </c>
      <c r="F137" s="21">
        <f>SUMIFS(未払予定一覧!$O$4:$O$830,未払予定一覧!$N$4:$N$830,A137,未払予定一覧!$A$4:$A$830,"ワールド・レイ",未払予定一覧!$B$4:$B$830,"カード枠回復")</f>
        <v>0</v>
      </c>
      <c r="G137" s="122">
        <f t="shared" si="11"/>
        <v>-4726585</v>
      </c>
      <c r="H137" s="123"/>
    </row>
    <row r="138" spans="1:8" ht="15" customHeight="1">
      <c r="A138" s="23" t="s">
        <v>697</v>
      </c>
      <c r="B138" s="24">
        <f>SUM(B107:B137)</f>
        <v>300000</v>
      </c>
      <c r="C138" s="24">
        <f>SUM(C107:C137)</f>
        <v>1441937</v>
      </c>
      <c r="D138" s="24">
        <f t="shared" si="9"/>
        <v>-1141937</v>
      </c>
      <c r="E138" s="24">
        <f>E137</f>
        <v>-4726585</v>
      </c>
      <c r="F138" s="24">
        <f>SUM(F107:F137)</f>
        <v>0</v>
      </c>
      <c r="G138" s="24">
        <f>G137</f>
        <v>-4726585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4" customWidth="1"/>
    <col min="2" max="5" width="16" customWidth="1"/>
    <col min="6" max="7" width="18" customWidth="1"/>
    <col min="8" max="8" width="14" customWidth="1"/>
  </cols>
  <sheetData>
    <row r="1" spans="1:8" ht="27.75" customHeight="1">
      <c r="A1" s="151" t="s">
        <v>702</v>
      </c>
      <c r="B1" s="151"/>
      <c r="C1" s="151"/>
      <c r="D1" s="151"/>
      <c r="E1" s="151"/>
      <c r="F1" s="151"/>
      <c r="G1" s="151"/>
      <c r="H1" s="151"/>
    </row>
    <row r="2" spans="1:8" ht="11.25" customHeight="1">
      <c r="A2" s="1" t="s">
        <v>683</v>
      </c>
      <c r="B2" s="1"/>
      <c r="C2" s="1"/>
      <c r="D2" s="1"/>
      <c r="E2" s="1"/>
      <c r="F2" s="1"/>
      <c r="G2" s="1"/>
      <c r="H2" s="1"/>
    </row>
    <row r="3" spans="1:8" ht="23.25" customHeight="1">
      <c r="A3" s="15" t="s">
        <v>223</v>
      </c>
      <c r="B3" s="15" t="s">
        <v>44</v>
      </c>
      <c r="C3" s="15" t="s">
        <v>45</v>
      </c>
      <c r="D3" s="15" t="s">
        <v>684</v>
      </c>
      <c r="E3" s="15" t="s">
        <v>685</v>
      </c>
      <c r="F3" s="15" t="s">
        <v>48</v>
      </c>
      <c r="G3" s="15" t="s">
        <v>686</v>
      </c>
      <c r="H3" s="15" t="s">
        <v>156</v>
      </c>
    </row>
    <row r="4" spans="1:8" ht="14.25" customHeight="1">
      <c r="A4" s="146" t="s">
        <v>687</v>
      </c>
      <c r="B4" s="146"/>
      <c r="C4" s="146"/>
      <c r="D4" s="146"/>
      <c r="E4" s="146"/>
      <c r="F4" s="146"/>
      <c r="G4" s="146"/>
      <c r="H4" s="146"/>
    </row>
    <row r="5" spans="1:8" ht="15" customHeight="1">
      <c r="A5" s="121">
        <v>46142</v>
      </c>
      <c r="B5" s="20">
        <f>SUMIFS(入金入力!$E$4:$E$580,入金入力!$B$4:$B$580,A5,入金入力!$A$4:$A$580,"ココ・ユニバース")+SUMIFS(入金予測!$E$4:$E$603,入金予測!$A$4:$A$603,A5,入金予測!$B$4:$B$603,"ココ・ユニバース")</f>
        <v>0</v>
      </c>
      <c r="C5" s="20">
        <f>SUMIFS(未払予定一覧!$O$4:$O$830,未払予定一覧!$N$4:$N$830,A5,未払予定一覧!$A$4:$A$830,"ココ・ユニバース",未払予定一覧!$B$4:$B$830,"未払繰越")+SUMIFS(未払予定一覧!$O$4:$O$830,未払予定一覧!$N$4:$N$830,A5,未払予定一覧!$A$4:$A$830,"ココ・ユニバース",未払予定一覧!$B$4:$B$830,"月次予定")</f>
        <v>0</v>
      </c>
      <c r="D5" s="20">
        <f t="shared" ref="D5:D37" si="0">B5-C5-F5</f>
        <v>0</v>
      </c>
      <c r="E5" s="20">
        <f>D5</f>
        <v>0</v>
      </c>
      <c r="F5" s="21">
        <f>SUMIFS(未払予定一覧!$O$4:$O$830,未払予定一覧!$N$4:$N$830,A5,未払予定一覧!$A$4:$A$830,"ココ・ユニバース",未払予定一覧!$B$4:$B$830,"カード枠回復")</f>
        <v>0</v>
      </c>
      <c r="G5" s="122">
        <f>D5+F5</f>
        <v>0</v>
      </c>
      <c r="H5" s="123"/>
    </row>
    <row r="6" spans="1:8" ht="15" customHeight="1">
      <c r="A6" s="121">
        <v>46143</v>
      </c>
      <c r="B6" s="20">
        <f>SUMIFS(入金入力!$E$4:$E$580,入金入力!$B$4:$B$580,A6,入金入力!$A$4:$A$580,"ココ・ユニバース")+SUMIFS(入金予測!$E$4:$E$603,入金予測!$A$4:$A$603,A6,入金予測!$B$4:$B$603,"ココ・ユニバース")</f>
        <v>0</v>
      </c>
      <c r="C6" s="20">
        <f>SUMIFS(未払予定一覧!$O$4:$O$830,未払予定一覧!$N$4:$N$830,A6,未払予定一覧!$A$4:$A$830,"ココ・ユニバース",未払予定一覧!$B$4:$B$830,"未払繰越")+SUMIFS(未払予定一覧!$O$4:$O$830,未払予定一覧!$N$4:$N$830,A6,未払予定一覧!$A$4:$A$830,"ココ・ユニバース",未払予定一覧!$B$4:$B$830,"月次予定")</f>
        <v>0</v>
      </c>
      <c r="D6" s="20">
        <f t="shared" si="0"/>
        <v>0</v>
      </c>
      <c r="E6" s="20">
        <f t="shared" ref="E6:E36" si="1">E5+D6</f>
        <v>0</v>
      </c>
      <c r="F6" s="21">
        <f>SUMIFS(未払予定一覧!$O$4:$O$830,未払予定一覧!$N$4:$N$830,A6,未払予定一覧!$A$4:$A$830,"ココ・ユニバース",未払予定一覧!$B$4:$B$830,"カード枠回復")</f>
        <v>0</v>
      </c>
      <c r="G6" s="122">
        <f t="shared" ref="G6:G36" si="2">G5+D6+F6</f>
        <v>0</v>
      </c>
      <c r="H6" s="123"/>
    </row>
    <row r="7" spans="1:8" ht="15" customHeight="1">
      <c r="A7" s="124">
        <v>46144</v>
      </c>
      <c r="B7" s="20">
        <f>SUMIFS(入金入力!$E$4:$E$580,入金入力!$B$4:$B$580,A7,入金入力!$A$4:$A$580,"ココ・ユニバース")+SUMIFS(入金予測!$E$4:$E$603,入金予測!$A$4:$A$603,A7,入金予測!$B$4:$B$603,"ココ・ユニバース")</f>
        <v>300000</v>
      </c>
      <c r="C7" s="20">
        <f>SUMIFS(未払予定一覧!$O$4:$O$830,未払予定一覧!$N$4:$N$830,A7,未払予定一覧!$A$4:$A$830,"ココ・ユニバース",未払予定一覧!$B$4:$B$830,"未払繰越")+SUMIFS(未払予定一覧!$O$4:$O$830,未払予定一覧!$N$4:$N$830,A7,未払予定一覧!$A$4:$A$830,"ココ・ユニバース",未払予定一覧!$B$4:$B$830,"月次予定")</f>
        <v>0</v>
      </c>
      <c r="D7" s="20">
        <f t="shared" si="0"/>
        <v>300000</v>
      </c>
      <c r="E7" s="20">
        <f t="shared" si="1"/>
        <v>300000</v>
      </c>
      <c r="F7" s="21">
        <f>SUMIFS(未払予定一覧!$O$4:$O$830,未払予定一覧!$N$4:$N$830,A7,未払予定一覧!$A$4:$A$830,"ココ・ユニバース",未払予定一覧!$B$4:$B$830,"カード枠回復")</f>
        <v>0</v>
      </c>
      <c r="G7" s="122">
        <f t="shared" si="2"/>
        <v>300000</v>
      </c>
      <c r="H7" s="125" t="s">
        <v>688</v>
      </c>
    </row>
    <row r="8" spans="1:8" ht="15" customHeight="1">
      <c r="A8" s="126">
        <v>46145</v>
      </c>
      <c r="B8" s="20">
        <f>SUMIFS(入金入力!$E$4:$E$580,入金入力!$B$4:$B$580,A8,入金入力!$A$4:$A$580,"ココ・ユニバース")+SUMIFS(入金予測!$E$4:$E$603,入金予測!$A$4:$A$603,A8,入金予測!$B$4:$B$603,"ココ・ユニバース")</f>
        <v>0</v>
      </c>
      <c r="C8" s="20">
        <f>SUMIFS(未払予定一覧!$O$4:$O$830,未払予定一覧!$N$4:$N$830,A8,未払予定一覧!$A$4:$A$830,"ココ・ユニバース",未払予定一覧!$B$4:$B$830,"未払繰越")+SUMIFS(未払予定一覧!$O$4:$O$830,未払予定一覧!$N$4:$N$830,A8,未払予定一覧!$A$4:$A$830,"ココ・ユニバース",未払予定一覧!$B$4:$B$830,"月次予定")</f>
        <v>0</v>
      </c>
      <c r="D8" s="20">
        <f t="shared" si="0"/>
        <v>0</v>
      </c>
      <c r="E8" s="20">
        <f t="shared" si="1"/>
        <v>300000</v>
      </c>
      <c r="F8" s="21">
        <f>SUMIFS(未払予定一覧!$O$4:$O$830,未払予定一覧!$N$4:$N$830,A8,未払予定一覧!$A$4:$A$830,"ココ・ユニバース",未払予定一覧!$B$4:$B$830,"カード枠回復")</f>
        <v>0</v>
      </c>
      <c r="G8" s="122">
        <f t="shared" si="2"/>
        <v>300000</v>
      </c>
      <c r="H8" s="125" t="s">
        <v>689</v>
      </c>
    </row>
    <row r="9" spans="1:8" ht="15" customHeight="1">
      <c r="A9" s="121">
        <v>46146</v>
      </c>
      <c r="B9" s="20">
        <f>SUMIFS(入金入力!$E$4:$E$580,入金入力!$B$4:$B$580,A9,入金入力!$A$4:$A$580,"ココ・ユニバース")+SUMIFS(入金予測!$E$4:$E$603,入金予測!$A$4:$A$603,A9,入金予測!$B$4:$B$603,"ココ・ユニバース")</f>
        <v>0</v>
      </c>
      <c r="C9" s="20">
        <f>SUMIFS(未払予定一覧!$O$4:$O$830,未払予定一覧!$N$4:$N$830,A9,未払予定一覧!$A$4:$A$830,"ココ・ユニバース",未払予定一覧!$B$4:$B$830,"未払繰越")+SUMIFS(未払予定一覧!$O$4:$O$830,未払予定一覧!$N$4:$N$830,A9,未払予定一覧!$A$4:$A$830,"ココ・ユニバース",未払予定一覧!$B$4:$B$830,"月次予定")</f>
        <v>0</v>
      </c>
      <c r="D9" s="20">
        <f t="shared" si="0"/>
        <v>0</v>
      </c>
      <c r="E9" s="20">
        <f t="shared" si="1"/>
        <v>300000</v>
      </c>
      <c r="F9" s="21">
        <f>SUMIFS(未払予定一覧!$O$4:$O$830,未払予定一覧!$N$4:$N$830,A9,未払予定一覧!$A$4:$A$830,"ココ・ユニバース",未払予定一覧!$B$4:$B$830,"カード枠回復")</f>
        <v>0</v>
      </c>
      <c r="G9" s="122">
        <f t="shared" si="2"/>
        <v>300000</v>
      </c>
      <c r="H9" s="123"/>
    </row>
    <row r="10" spans="1:8" ht="15" customHeight="1">
      <c r="A10" s="121">
        <v>46147</v>
      </c>
      <c r="B10" s="20">
        <f>SUMIFS(入金入力!$E$4:$E$580,入金入力!$B$4:$B$580,A10,入金入力!$A$4:$A$580,"ココ・ユニバース")+SUMIFS(入金予測!$E$4:$E$603,入金予測!$A$4:$A$603,A10,入金予測!$B$4:$B$603,"ココ・ユニバース")</f>
        <v>0</v>
      </c>
      <c r="C10" s="20">
        <f>SUMIFS(未払予定一覧!$O$4:$O$830,未払予定一覧!$N$4:$N$830,A10,未払予定一覧!$A$4:$A$830,"ココ・ユニバース",未払予定一覧!$B$4:$B$830,"未払繰越")+SUMIFS(未払予定一覧!$O$4:$O$830,未払予定一覧!$N$4:$N$830,A10,未払予定一覧!$A$4:$A$830,"ココ・ユニバース",未払予定一覧!$B$4:$B$830,"月次予定")</f>
        <v>0</v>
      </c>
      <c r="D10" s="20">
        <f t="shared" si="0"/>
        <v>0</v>
      </c>
      <c r="E10" s="20">
        <f t="shared" si="1"/>
        <v>300000</v>
      </c>
      <c r="F10" s="21">
        <f>SUMIFS(未払予定一覧!$O$4:$O$830,未払予定一覧!$N$4:$N$830,A10,未払予定一覧!$A$4:$A$830,"ココ・ユニバース",未払予定一覧!$B$4:$B$830,"カード枠回復")</f>
        <v>0</v>
      </c>
      <c r="G10" s="122">
        <f t="shared" si="2"/>
        <v>300000</v>
      </c>
      <c r="H10" s="123"/>
    </row>
    <row r="11" spans="1:8" ht="15" customHeight="1">
      <c r="A11" s="121">
        <v>46148</v>
      </c>
      <c r="B11" s="20">
        <f>SUMIFS(入金入力!$E$4:$E$580,入金入力!$B$4:$B$580,A11,入金入力!$A$4:$A$580,"ココ・ユニバース")+SUMIFS(入金予測!$E$4:$E$603,入金予測!$A$4:$A$603,A11,入金予測!$B$4:$B$603,"ココ・ユニバース")</f>
        <v>0</v>
      </c>
      <c r="C11" s="20">
        <f>SUMIFS(未払予定一覧!$O$4:$O$830,未払予定一覧!$N$4:$N$830,A11,未払予定一覧!$A$4:$A$830,"ココ・ユニバース",未払予定一覧!$B$4:$B$830,"未払繰越")+SUMIFS(未払予定一覧!$O$4:$O$830,未払予定一覧!$N$4:$N$830,A11,未払予定一覧!$A$4:$A$830,"ココ・ユニバース",未払予定一覧!$B$4:$B$830,"月次予定")</f>
        <v>0</v>
      </c>
      <c r="D11" s="20">
        <f t="shared" si="0"/>
        <v>0</v>
      </c>
      <c r="E11" s="20">
        <f t="shared" si="1"/>
        <v>300000</v>
      </c>
      <c r="F11" s="21">
        <f>SUMIFS(未払予定一覧!$O$4:$O$830,未払予定一覧!$N$4:$N$830,A11,未払予定一覧!$A$4:$A$830,"ココ・ユニバース",未払予定一覧!$B$4:$B$830,"カード枠回復")</f>
        <v>0</v>
      </c>
      <c r="G11" s="122">
        <f t="shared" si="2"/>
        <v>300000</v>
      </c>
      <c r="H11" s="123"/>
    </row>
    <row r="12" spans="1:8" ht="15" customHeight="1">
      <c r="A12" s="121">
        <v>46149</v>
      </c>
      <c r="B12" s="20">
        <f>SUMIFS(入金入力!$E$4:$E$580,入金入力!$B$4:$B$580,A12,入金入力!$A$4:$A$580,"ココ・ユニバース")+SUMIFS(入金予測!$E$4:$E$603,入金予測!$A$4:$A$603,A12,入金予測!$B$4:$B$603,"ココ・ユニバース")</f>
        <v>0</v>
      </c>
      <c r="C12" s="20">
        <f>SUMIFS(未払予定一覧!$O$4:$O$830,未払予定一覧!$N$4:$N$830,A12,未払予定一覧!$A$4:$A$830,"ココ・ユニバース",未払予定一覧!$B$4:$B$830,"未払繰越")+SUMIFS(未払予定一覧!$O$4:$O$830,未払予定一覧!$N$4:$N$830,A12,未払予定一覧!$A$4:$A$830,"ココ・ユニバース",未払予定一覧!$B$4:$B$830,"月次予定")</f>
        <v>591598</v>
      </c>
      <c r="D12" s="20">
        <f t="shared" si="0"/>
        <v>-591598</v>
      </c>
      <c r="E12" s="20">
        <f t="shared" si="1"/>
        <v>-291598</v>
      </c>
      <c r="F12" s="21">
        <f>SUMIFS(未払予定一覧!$O$4:$O$830,未払予定一覧!$N$4:$N$830,A12,未払予定一覧!$A$4:$A$830,"ココ・ユニバース",未払予定一覧!$B$4:$B$830,"カード枠回復")</f>
        <v>0</v>
      </c>
      <c r="G12" s="122">
        <f t="shared" si="2"/>
        <v>-291598</v>
      </c>
      <c r="H12" s="123"/>
    </row>
    <row r="13" spans="1:8" ht="15" customHeight="1">
      <c r="A13" s="121">
        <v>46150</v>
      </c>
      <c r="B13" s="20">
        <f>SUMIFS(入金入力!$E$4:$E$580,入金入力!$B$4:$B$580,A13,入金入力!$A$4:$A$580,"ココ・ユニバース")+SUMIFS(入金予測!$E$4:$E$603,入金予測!$A$4:$A$603,A13,入金予測!$B$4:$B$603,"ココ・ユニバース")</f>
        <v>0</v>
      </c>
      <c r="C13" s="20">
        <f>SUMIFS(未払予定一覧!$O$4:$O$830,未払予定一覧!$N$4:$N$830,A13,未払予定一覧!$A$4:$A$830,"ココ・ユニバース",未払予定一覧!$B$4:$B$830,"未払繰越")+SUMIFS(未払予定一覧!$O$4:$O$830,未払予定一覧!$N$4:$N$830,A13,未払予定一覧!$A$4:$A$830,"ココ・ユニバース",未払予定一覧!$B$4:$B$830,"月次予定")</f>
        <v>0</v>
      </c>
      <c r="D13" s="20">
        <f t="shared" si="0"/>
        <v>0</v>
      </c>
      <c r="E13" s="20">
        <f t="shared" si="1"/>
        <v>-291598</v>
      </c>
      <c r="F13" s="21">
        <f>SUMIFS(未払予定一覧!$O$4:$O$830,未払予定一覧!$N$4:$N$830,A13,未払予定一覧!$A$4:$A$830,"ココ・ユニバース",未払予定一覧!$B$4:$B$830,"カード枠回復")</f>
        <v>0</v>
      </c>
      <c r="G13" s="122">
        <f t="shared" si="2"/>
        <v>-291598</v>
      </c>
      <c r="H13" s="123"/>
    </row>
    <row r="14" spans="1:8" ht="15" customHeight="1">
      <c r="A14" s="124">
        <v>46151</v>
      </c>
      <c r="B14" s="20">
        <f>SUMIFS(入金入力!$E$4:$E$580,入金入力!$B$4:$B$580,A14,入金入力!$A$4:$A$580,"ココ・ユニバース")+SUMIFS(入金予測!$E$4:$E$603,入金予測!$A$4:$A$603,A14,入金予測!$B$4:$B$603,"ココ・ユニバース")</f>
        <v>0</v>
      </c>
      <c r="C14" s="20">
        <f>SUMIFS(未払予定一覧!$O$4:$O$830,未払予定一覧!$N$4:$N$830,A14,未払予定一覧!$A$4:$A$830,"ココ・ユニバース",未払予定一覧!$B$4:$B$830,"未払繰越")+SUMIFS(未払予定一覧!$O$4:$O$830,未払予定一覧!$N$4:$N$830,A14,未払予定一覧!$A$4:$A$830,"ココ・ユニバース",未払予定一覧!$B$4:$B$830,"月次予定")</f>
        <v>0</v>
      </c>
      <c r="D14" s="20">
        <f t="shared" si="0"/>
        <v>0</v>
      </c>
      <c r="E14" s="20">
        <f t="shared" si="1"/>
        <v>-291598</v>
      </c>
      <c r="F14" s="21">
        <f>SUMIFS(未払予定一覧!$O$4:$O$830,未払予定一覧!$N$4:$N$830,A14,未払予定一覧!$A$4:$A$830,"ココ・ユニバース",未払予定一覧!$B$4:$B$830,"カード枠回復")</f>
        <v>0</v>
      </c>
      <c r="G14" s="122">
        <f t="shared" si="2"/>
        <v>-291598</v>
      </c>
      <c r="H14" s="125" t="s">
        <v>688</v>
      </c>
    </row>
    <row r="15" spans="1:8" ht="15" customHeight="1">
      <c r="A15" s="126">
        <v>46152</v>
      </c>
      <c r="B15" s="20">
        <f>SUMIFS(入金入力!$E$4:$E$580,入金入力!$B$4:$B$580,A15,入金入力!$A$4:$A$580,"ココ・ユニバース")+SUMIFS(入金予測!$E$4:$E$603,入金予測!$A$4:$A$603,A15,入金予測!$B$4:$B$603,"ココ・ユニバース")</f>
        <v>0</v>
      </c>
      <c r="C15" s="20">
        <f>SUMIFS(未払予定一覧!$O$4:$O$830,未払予定一覧!$N$4:$N$830,A15,未払予定一覧!$A$4:$A$830,"ココ・ユニバース",未払予定一覧!$B$4:$B$830,"未払繰越")+SUMIFS(未払予定一覧!$O$4:$O$830,未払予定一覧!$N$4:$N$830,A15,未払予定一覧!$A$4:$A$830,"ココ・ユニバース",未払予定一覧!$B$4:$B$830,"月次予定")</f>
        <v>0</v>
      </c>
      <c r="D15" s="20">
        <f t="shared" si="0"/>
        <v>0</v>
      </c>
      <c r="E15" s="20">
        <f t="shared" si="1"/>
        <v>-291598</v>
      </c>
      <c r="F15" s="21">
        <f>SUMIFS(未払予定一覧!$O$4:$O$830,未払予定一覧!$N$4:$N$830,A15,未払予定一覧!$A$4:$A$830,"ココ・ユニバース",未払予定一覧!$B$4:$B$830,"カード枠回復")</f>
        <v>0</v>
      </c>
      <c r="G15" s="122">
        <f t="shared" si="2"/>
        <v>-291598</v>
      </c>
      <c r="H15" s="125" t="s">
        <v>689</v>
      </c>
    </row>
    <row r="16" spans="1:8" ht="15" customHeight="1">
      <c r="A16" s="121">
        <v>46153</v>
      </c>
      <c r="B16" s="20">
        <f>SUMIFS(入金入力!$E$4:$E$580,入金入力!$B$4:$B$580,A16,入金入力!$A$4:$A$580,"ココ・ユニバース")+SUMIFS(入金予測!$E$4:$E$603,入金予測!$A$4:$A$603,A16,入金予測!$B$4:$B$603,"ココ・ユニバース")</f>
        <v>1900000</v>
      </c>
      <c r="C16" s="20">
        <f>SUMIFS(未払予定一覧!$O$4:$O$830,未払予定一覧!$N$4:$N$830,A16,未払予定一覧!$A$4:$A$830,"ココ・ユニバース",未払予定一覧!$B$4:$B$830,"未払繰越")+SUMIFS(未払予定一覧!$O$4:$O$830,未払予定一覧!$N$4:$N$830,A16,未払予定一覧!$A$4:$A$830,"ココ・ユニバース",未払予定一覧!$B$4:$B$830,"月次予定")</f>
        <v>1692519</v>
      </c>
      <c r="D16" s="20">
        <f t="shared" si="0"/>
        <v>207481</v>
      </c>
      <c r="E16" s="20">
        <f t="shared" si="1"/>
        <v>-84117</v>
      </c>
      <c r="F16" s="21">
        <f>SUMIFS(未払予定一覧!$O$4:$O$830,未払予定一覧!$N$4:$N$830,A16,未払予定一覧!$A$4:$A$830,"ココ・ユニバース",未払予定一覧!$B$4:$B$830,"カード枠回復")</f>
        <v>0</v>
      </c>
      <c r="G16" s="122">
        <f t="shared" si="2"/>
        <v>-84117</v>
      </c>
      <c r="H16" s="123"/>
    </row>
    <row r="17" spans="1:8" ht="15" customHeight="1">
      <c r="A17" s="121">
        <v>46154</v>
      </c>
      <c r="B17" s="20">
        <f>SUMIFS(入金入力!$E$4:$E$580,入金入力!$B$4:$B$580,A17,入金入力!$A$4:$A$580,"ココ・ユニバース")+SUMIFS(入金予測!$E$4:$E$603,入金予測!$A$4:$A$603,A17,入金予測!$B$4:$B$603,"ココ・ユニバース")</f>
        <v>0</v>
      </c>
      <c r="C17" s="20">
        <f>SUMIFS(未払予定一覧!$O$4:$O$830,未払予定一覧!$N$4:$N$830,A17,未払予定一覧!$A$4:$A$830,"ココ・ユニバース",未払予定一覧!$B$4:$B$830,"未払繰越")+SUMIFS(未払予定一覧!$O$4:$O$830,未払予定一覧!$N$4:$N$830,A17,未払予定一覧!$A$4:$A$830,"ココ・ユニバース",未払予定一覧!$B$4:$B$830,"月次予定")</f>
        <v>0</v>
      </c>
      <c r="D17" s="20">
        <f t="shared" si="0"/>
        <v>0</v>
      </c>
      <c r="E17" s="20">
        <f t="shared" si="1"/>
        <v>-84117</v>
      </c>
      <c r="F17" s="21">
        <f>SUMIFS(未払予定一覧!$O$4:$O$830,未払予定一覧!$N$4:$N$830,A17,未払予定一覧!$A$4:$A$830,"ココ・ユニバース",未払予定一覧!$B$4:$B$830,"カード枠回復")</f>
        <v>0</v>
      </c>
      <c r="G17" s="122">
        <f t="shared" si="2"/>
        <v>-84117</v>
      </c>
      <c r="H17" s="123"/>
    </row>
    <row r="18" spans="1:8" ht="15" customHeight="1">
      <c r="A18" s="121">
        <v>46155</v>
      </c>
      <c r="B18" s="20">
        <f>SUMIFS(入金入力!$E$4:$E$580,入金入力!$B$4:$B$580,A18,入金入力!$A$4:$A$580,"ココ・ユニバース")+SUMIFS(入金予測!$E$4:$E$603,入金予測!$A$4:$A$603,A18,入金予測!$B$4:$B$603,"ココ・ユニバース")</f>
        <v>0</v>
      </c>
      <c r="C18" s="20">
        <f>SUMIFS(未払予定一覧!$O$4:$O$830,未払予定一覧!$N$4:$N$830,A18,未払予定一覧!$A$4:$A$830,"ココ・ユニバース",未払予定一覧!$B$4:$B$830,"未払繰越")+SUMIFS(未払予定一覧!$O$4:$O$830,未払予定一覧!$N$4:$N$830,A18,未払予定一覧!$A$4:$A$830,"ココ・ユニバース",未払予定一覧!$B$4:$B$830,"月次予定")</f>
        <v>320000</v>
      </c>
      <c r="D18" s="20">
        <f t="shared" si="0"/>
        <v>-320000</v>
      </c>
      <c r="E18" s="20">
        <f t="shared" si="1"/>
        <v>-404117</v>
      </c>
      <c r="F18" s="21">
        <f>SUMIFS(未払予定一覧!$O$4:$O$830,未払予定一覧!$N$4:$N$830,A18,未払予定一覧!$A$4:$A$830,"ココ・ユニバース",未払予定一覧!$B$4:$B$830,"カード枠回復")</f>
        <v>0</v>
      </c>
      <c r="G18" s="122">
        <f t="shared" si="2"/>
        <v>-404117</v>
      </c>
      <c r="H18" s="123"/>
    </row>
    <row r="19" spans="1:8" ht="15" customHeight="1">
      <c r="A19" s="121">
        <v>46156</v>
      </c>
      <c r="B19" s="20">
        <f>SUMIFS(入金入力!$E$4:$E$580,入金入力!$B$4:$B$580,A19,入金入力!$A$4:$A$580,"ココ・ユニバース")+SUMIFS(入金予測!$E$4:$E$603,入金予測!$A$4:$A$603,A19,入金予測!$B$4:$B$603,"ココ・ユニバース")</f>
        <v>0</v>
      </c>
      <c r="C19" s="20">
        <f>SUMIFS(未払予定一覧!$O$4:$O$830,未払予定一覧!$N$4:$N$830,A19,未払予定一覧!$A$4:$A$830,"ココ・ユニバース",未払予定一覧!$B$4:$B$830,"未払繰越")+SUMIFS(未払予定一覧!$O$4:$O$830,未払予定一覧!$N$4:$N$830,A19,未払予定一覧!$A$4:$A$830,"ココ・ユニバース",未払予定一覧!$B$4:$B$830,"月次予定")</f>
        <v>68429</v>
      </c>
      <c r="D19" s="20">
        <f t="shared" si="0"/>
        <v>-68429</v>
      </c>
      <c r="E19" s="20">
        <f t="shared" si="1"/>
        <v>-472546</v>
      </c>
      <c r="F19" s="21">
        <f>SUMIFS(未払予定一覧!$O$4:$O$830,未払予定一覧!$N$4:$N$830,A19,未払予定一覧!$A$4:$A$830,"ココ・ユニバース",未払予定一覧!$B$4:$B$830,"カード枠回復")</f>
        <v>0</v>
      </c>
      <c r="G19" s="122">
        <f t="shared" si="2"/>
        <v>-472546</v>
      </c>
      <c r="H19" s="123"/>
    </row>
    <row r="20" spans="1:8" ht="15" customHeight="1">
      <c r="A20" s="121">
        <v>46157</v>
      </c>
      <c r="B20" s="20">
        <f>SUMIFS(入金入力!$E$4:$E$580,入金入力!$B$4:$B$580,A20,入金入力!$A$4:$A$580,"ココ・ユニバース")+SUMIFS(入金予測!$E$4:$E$603,入金予測!$A$4:$A$603,A20,入金予測!$B$4:$B$603,"ココ・ユニバース")</f>
        <v>55000</v>
      </c>
      <c r="C20" s="20">
        <f>SUMIFS(未払予定一覧!$O$4:$O$830,未払予定一覧!$N$4:$N$830,A20,未払予定一覧!$A$4:$A$830,"ココ・ユニバース",未払予定一覧!$B$4:$B$830,"未払繰越")+SUMIFS(未払予定一覧!$O$4:$O$830,未払予定一覧!$N$4:$N$830,A20,未払予定一覧!$A$4:$A$830,"ココ・ユニバース",未払予定一覧!$B$4:$B$830,"月次予定")</f>
        <v>0</v>
      </c>
      <c r="D20" s="20">
        <f t="shared" si="0"/>
        <v>55000</v>
      </c>
      <c r="E20" s="20">
        <f t="shared" si="1"/>
        <v>-417546</v>
      </c>
      <c r="F20" s="21">
        <f>SUMIFS(未払予定一覧!$O$4:$O$830,未払予定一覧!$N$4:$N$830,A20,未払予定一覧!$A$4:$A$830,"ココ・ユニバース",未払予定一覧!$B$4:$B$830,"カード枠回復")</f>
        <v>0</v>
      </c>
      <c r="G20" s="122">
        <f t="shared" si="2"/>
        <v>-417546</v>
      </c>
      <c r="H20" s="123"/>
    </row>
    <row r="21" spans="1:8" ht="15" customHeight="1">
      <c r="A21" s="124">
        <v>46158</v>
      </c>
      <c r="B21" s="20">
        <f>SUMIFS(入金入力!$E$4:$E$580,入金入力!$B$4:$B$580,A21,入金入力!$A$4:$A$580,"ココ・ユニバース")+SUMIFS(入金予測!$E$4:$E$603,入金予測!$A$4:$A$603,A21,入金予測!$B$4:$B$603,"ココ・ユニバース")</f>
        <v>0</v>
      </c>
      <c r="C21" s="20">
        <f>SUMIFS(未払予定一覧!$O$4:$O$830,未払予定一覧!$N$4:$N$830,A21,未払予定一覧!$A$4:$A$830,"ココ・ユニバース",未払予定一覧!$B$4:$B$830,"未払繰越")+SUMIFS(未払予定一覧!$O$4:$O$830,未払予定一覧!$N$4:$N$830,A21,未払予定一覧!$A$4:$A$830,"ココ・ユニバース",未払予定一覧!$B$4:$B$830,"月次予定")</f>
        <v>0</v>
      </c>
      <c r="D21" s="20">
        <f t="shared" si="0"/>
        <v>0</v>
      </c>
      <c r="E21" s="20">
        <f t="shared" si="1"/>
        <v>-417546</v>
      </c>
      <c r="F21" s="21">
        <f>SUMIFS(未払予定一覧!$O$4:$O$830,未払予定一覧!$N$4:$N$830,A21,未払予定一覧!$A$4:$A$830,"ココ・ユニバース",未払予定一覧!$B$4:$B$830,"カード枠回復")</f>
        <v>0</v>
      </c>
      <c r="G21" s="122">
        <f t="shared" si="2"/>
        <v>-417546</v>
      </c>
      <c r="H21" s="125" t="s">
        <v>688</v>
      </c>
    </row>
    <row r="22" spans="1:8" ht="15" customHeight="1">
      <c r="A22" s="126">
        <v>46159</v>
      </c>
      <c r="B22" s="20">
        <f>SUMIFS(入金入力!$E$4:$E$580,入金入力!$B$4:$B$580,A22,入金入力!$A$4:$A$580,"ココ・ユニバース")+SUMIFS(入金予測!$E$4:$E$603,入金予測!$A$4:$A$603,A22,入金予測!$B$4:$B$603,"ココ・ユニバース")</f>
        <v>0</v>
      </c>
      <c r="C22" s="20">
        <f>SUMIFS(未払予定一覧!$O$4:$O$830,未払予定一覧!$N$4:$N$830,A22,未払予定一覧!$A$4:$A$830,"ココ・ユニバース",未払予定一覧!$B$4:$B$830,"未払繰越")+SUMIFS(未払予定一覧!$O$4:$O$830,未払予定一覧!$N$4:$N$830,A22,未払予定一覧!$A$4:$A$830,"ココ・ユニバース",未払予定一覧!$B$4:$B$830,"月次予定")</f>
        <v>0</v>
      </c>
      <c r="D22" s="20">
        <f t="shared" si="0"/>
        <v>0</v>
      </c>
      <c r="E22" s="20">
        <f t="shared" si="1"/>
        <v>-417546</v>
      </c>
      <c r="F22" s="21">
        <f>SUMIFS(未払予定一覧!$O$4:$O$830,未払予定一覧!$N$4:$N$830,A22,未払予定一覧!$A$4:$A$830,"ココ・ユニバース",未払予定一覧!$B$4:$B$830,"カード枠回復")</f>
        <v>0</v>
      </c>
      <c r="G22" s="122">
        <f t="shared" si="2"/>
        <v>-417546</v>
      </c>
      <c r="H22" s="125" t="s">
        <v>689</v>
      </c>
    </row>
    <row r="23" spans="1:8" ht="15" customHeight="1">
      <c r="A23" s="121">
        <v>46160</v>
      </c>
      <c r="B23" s="20">
        <f>SUMIFS(入金入力!$E$4:$E$580,入金入力!$B$4:$B$580,A23,入金入力!$A$4:$A$580,"ココ・ユニバース")+SUMIFS(入金予測!$E$4:$E$603,入金予測!$A$4:$A$603,A23,入金予測!$B$4:$B$603,"ココ・ユニバース")</f>
        <v>0</v>
      </c>
      <c r="C23" s="20">
        <f>SUMIFS(未払予定一覧!$O$4:$O$830,未払予定一覧!$N$4:$N$830,A23,未払予定一覧!$A$4:$A$830,"ココ・ユニバース",未払予定一覧!$B$4:$B$830,"未払繰越")+SUMIFS(未払予定一覧!$O$4:$O$830,未払予定一覧!$N$4:$N$830,A23,未払予定一覧!$A$4:$A$830,"ココ・ユニバース",未払予定一覧!$B$4:$B$830,"月次予定")</f>
        <v>0</v>
      </c>
      <c r="D23" s="20">
        <f t="shared" si="0"/>
        <v>0</v>
      </c>
      <c r="E23" s="20">
        <f t="shared" si="1"/>
        <v>-417546</v>
      </c>
      <c r="F23" s="21">
        <f>SUMIFS(未払予定一覧!$O$4:$O$830,未払予定一覧!$N$4:$N$830,A23,未払予定一覧!$A$4:$A$830,"ココ・ユニバース",未払予定一覧!$B$4:$B$830,"カード枠回復")</f>
        <v>0</v>
      </c>
      <c r="G23" s="122">
        <f t="shared" si="2"/>
        <v>-417546</v>
      </c>
      <c r="H23" s="123"/>
    </row>
    <row r="24" spans="1:8" ht="15" customHeight="1">
      <c r="A24" s="121">
        <v>46161</v>
      </c>
      <c r="B24" s="20">
        <f>SUMIFS(入金入力!$E$4:$E$580,入金入力!$B$4:$B$580,A24,入金入力!$A$4:$A$580,"ココ・ユニバース")+SUMIFS(入金予測!$E$4:$E$603,入金予測!$A$4:$A$603,A24,入金予測!$B$4:$B$603,"ココ・ユニバース")</f>
        <v>0</v>
      </c>
      <c r="C24" s="20">
        <f>SUMIFS(未払予定一覧!$O$4:$O$830,未払予定一覧!$N$4:$N$830,A24,未払予定一覧!$A$4:$A$830,"ココ・ユニバース",未払予定一覧!$B$4:$B$830,"未払繰越")+SUMIFS(未払予定一覧!$O$4:$O$830,未払予定一覧!$N$4:$N$830,A24,未払予定一覧!$A$4:$A$830,"ココ・ユニバース",未払予定一覧!$B$4:$B$830,"月次予定")</f>
        <v>0</v>
      </c>
      <c r="D24" s="20">
        <f t="shared" si="0"/>
        <v>0</v>
      </c>
      <c r="E24" s="20">
        <f t="shared" si="1"/>
        <v>-417546</v>
      </c>
      <c r="F24" s="21">
        <f>SUMIFS(未払予定一覧!$O$4:$O$830,未払予定一覧!$N$4:$N$830,A24,未払予定一覧!$A$4:$A$830,"ココ・ユニバース",未払予定一覧!$B$4:$B$830,"カード枠回復")</f>
        <v>0</v>
      </c>
      <c r="G24" s="122">
        <f t="shared" si="2"/>
        <v>-417546</v>
      </c>
      <c r="H24" s="123"/>
    </row>
    <row r="25" spans="1:8" ht="15" customHeight="1">
      <c r="A25" s="121">
        <v>46162</v>
      </c>
      <c r="B25" s="20">
        <f>SUMIFS(入金入力!$E$4:$E$580,入金入力!$B$4:$B$580,A25,入金入力!$A$4:$A$580,"ココ・ユニバース")+SUMIFS(入金予測!$E$4:$E$603,入金予測!$A$4:$A$603,A25,入金予測!$B$4:$B$603,"ココ・ユニバース")</f>
        <v>0</v>
      </c>
      <c r="C25" s="20">
        <f>SUMIFS(未払予定一覧!$O$4:$O$830,未払予定一覧!$N$4:$N$830,A25,未払予定一覧!$A$4:$A$830,"ココ・ユニバース",未払予定一覧!$B$4:$B$830,"未払繰越")+SUMIFS(未払予定一覧!$O$4:$O$830,未払予定一覧!$N$4:$N$830,A25,未払予定一覧!$A$4:$A$830,"ココ・ユニバース",未払予定一覧!$B$4:$B$830,"月次予定")</f>
        <v>0</v>
      </c>
      <c r="D25" s="20">
        <f t="shared" si="0"/>
        <v>0</v>
      </c>
      <c r="E25" s="20">
        <f t="shared" si="1"/>
        <v>-417546</v>
      </c>
      <c r="F25" s="21">
        <f>SUMIFS(未払予定一覧!$O$4:$O$830,未払予定一覧!$N$4:$N$830,A25,未払予定一覧!$A$4:$A$830,"ココ・ユニバース",未払予定一覧!$B$4:$B$830,"カード枠回復")</f>
        <v>0</v>
      </c>
      <c r="G25" s="122">
        <f t="shared" si="2"/>
        <v>-417546</v>
      </c>
      <c r="H25" s="123"/>
    </row>
    <row r="26" spans="1:8" ht="15" customHeight="1">
      <c r="A26" s="121">
        <v>46163</v>
      </c>
      <c r="B26" s="20">
        <f>SUMIFS(入金入力!$E$4:$E$580,入金入力!$B$4:$B$580,A26,入金入力!$A$4:$A$580,"ココ・ユニバース")+SUMIFS(入金予測!$E$4:$E$603,入金予測!$A$4:$A$603,A26,入金予測!$B$4:$B$603,"ココ・ユニバース")</f>
        <v>0</v>
      </c>
      <c r="C26" s="20">
        <f>SUMIFS(未払予定一覧!$O$4:$O$830,未払予定一覧!$N$4:$N$830,A26,未払予定一覧!$A$4:$A$830,"ココ・ユニバース",未払予定一覧!$B$4:$B$830,"未払繰越")+SUMIFS(未払予定一覧!$O$4:$O$830,未払予定一覧!$N$4:$N$830,A26,未払予定一覧!$A$4:$A$830,"ココ・ユニバース",未払予定一覧!$B$4:$B$830,"月次予定")</f>
        <v>0</v>
      </c>
      <c r="D26" s="20">
        <f t="shared" si="0"/>
        <v>0</v>
      </c>
      <c r="E26" s="20">
        <f t="shared" si="1"/>
        <v>-417546</v>
      </c>
      <c r="F26" s="21">
        <f>SUMIFS(未払予定一覧!$O$4:$O$830,未払予定一覧!$N$4:$N$830,A26,未払予定一覧!$A$4:$A$830,"ココ・ユニバース",未払予定一覧!$B$4:$B$830,"カード枠回復")</f>
        <v>0</v>
      </c>
      <c r="G26" s="122">
        <f t="shared" si="2"/>
        <v>-417546</v>
      </c>
      <c r="H26" s="123"/>
    </row>
    <row r="27" spans="1:8" ht="15" customHeight="1">
      <c r="A27" s="121">
        <v>46164</v>
      </c>
      <c r="B27" s="20">
        <f>SUMIFS(入金入力!$E$4:$E$580,入金入力!$B$4:$B$580,A27,入金入力!$A$4:$A$580,"ココ・ユニバース")+SUMIFS(入金予測!$E$4:$E$603,入金予測!$A$4:$A$603,A27,入金予測!$B$4:$B$603,"ココ・ユニバース")</f>
        <v>0</v>
      </c>
      <c r="C27" s="20">
        <f>SUMIFS(未払予定一覧!$O$4:$O$830,未払予定一覧!$N$4:$N$830,A27,未払予定一覧!$A$4:$A$830,"ココ・ユニバース",未払予定一覧!$B$4:$B$830,"未払繰越")+SUMIFS(未払予定一覧!$O$4:$O$830,未払予定一覧!$N$4:$N$830,A27,未払予定一覧!$A$4:$A$830,"ココ・ユニバース",未払予定一覧!$B$4:$B$830,"月次予定")</f>
        <v>0</v>
      </c>
      <c r="D27" s="20">
        <f t="shared" si="0"/>
        <v>0</v>
      </c>
      <c r="E27" s="20">
        <f t="shared" si="1"/>
        <v>-417546</v>
      </c>
      <c r="F27" s="21">
        <f>SUMIFS(未払予定一覧!$O$4:$O$830,未払予定一覧!$N$4:$N$830,A27,未払予定一覧!$A$4:$A$830,"ココ・ユニバース",未払予定一覧!$B$4:$B$830,"カード枠回復")</f>
        <v>0</v>
      </c>
      <c r="G27" s="122">
        <f t="shared" si="2"/>
        <v>-417546</v>
      </c>
      <c r="H27" s="123"/>
    </row>
    <row r="28" spans="1:8" ht="15" customHeight="1">
      <c r="A28" s="124">
        <v>46165</v>
      </c>
      <c r="B28" s="20">
        <f>SUMIFS(入金入力!$E$4:$E$580,入金入力!$B$4:$B$580,A28,入金入力!$A$4:$A$580,"ココ・ユニバース")+SUMIFS(入金予測!$E$4:$E$603,入金予測!$A$4:$A$603,A28,入金予測!$B$4:$B$603,"ココ・ユニバース")</f>
        <v>0</v>
      </c>
      <c r="C28" s="20">
        <f>SUMIFS(未払予定一覧!$O$4:$O$830,未払予定一覧!$N$4:$N$830,A28,未払予定一覧!$A$4:$A$830,"ココ・ユニバース",未払予定一覧!$B$4:$B$830,"未払繰越")+SUMIFS(未払予定一覧!$O$4:$O$830,未払予定一覧!$N$4:$N$830,A28,未払予定一覧!$A$4:$A$830,"ココ・ユニバース",未払予定一覧!$B$4:$B$830,"月次予定")</f>
        <v>0</v>
      </c>
      <c r="D28" s="20">
        <f t="shared" si="0"/>
        <v>0</v>
      </c>
      <c r="E28" s="20">
        <f t="shared" si="1"/>
        <v>-417546</v>
      </c>
      <c r="F28" s="21">
        <f>SUMIFS(未払予定一覧!$O$4:$O$830,未払予定一覧!$N$4:$N$830,A28,未払予定一覧!$A$4:$A$830,"ココ・ユニバース",未払予定一覧!$B$4:$B$830,"カード枠回復")</f>
        <v>0</v>
      </c>
      <c r="G28" s="122">
        <f t="shared" si="2"/>
        <v>-417546</v>
      </c>
      <c r="H28" s="125" t="s">
        <v>688</v>
      </c>
    </row>
    <row r="29" spans="1:8" ht="15" customHeight="1">
      <c r="A29" s="126">
        <v>46166</v>
      </c>
      <c r="B29" s="20">
        <f>SUMIFS(入金入力!$E$4:$E$580,入金入力!$B$4:$B$580,A29,入金入力!$A$4:$A$580,"ココ・ユニバース")+SUMIFS(入金予測!$E$4:$E$603,入金予測!$A$4:$A$603,A29,入金予測!$B$4:$B$603,"ココ・ユニバース")</f>
        <v>0</v>
      </c>
      <c r="C29" s="20">
        <f>SUMIFS(未払予定一覧!$O$4:$O$830,未払予定一覧!$N$4:$N$830,A29,未払予定一覧!$A$4:$A$830,"ココ・ユニバース",未払予定一覧!$B$4:$B$830,"未払繰越")+SUMIFS(未払予定一覧!$O$4:$O$830,未払予定一覧!$N$4:$N$830,A29,未払予定一覧!$A$4:$A$830,"ココ・ユニバース",未払予定一覧!$B$4:$B$830,"月次予定")</f>
        <v>0</v>
      </c>
      <c r="D29" s="20">
        <f t="shared" si="0"/>
        <v>0</v>
      </c>
      <c r="E29" s="20">
        <f t="shared" si="1"/>
        <v>-417546</v>
      </c>
      <c r="F29" s="21">
        <f>SUMIFS(未払予定一覧!$O$4:$O$830,未払予定一覧!$N$4:$N$830,A29,未払予定一覧!$A$4:$A$830,"ココ・ユニバース",未払予定一覧!$B$4:$B$830,"カード枠回復")</f>
        <v>0</v>
      </c>
      <c r="G29" s="122">
        <f t="shared" si="2"/>
        <v>-417546</v>
      </c>
      <c r="H29" s="125" t="s">
        <v>689</v>
      </c>
    </row>
    <row r="30" spans="1:8" ht="15" customHeight="1">
      <c r="A30" s="121">
        <v>46167</v>
      </c>
      <c r="B30" s="20">
        <f>SUMIFS(入金入力!$E$4:$E$580,入金入力!$B$4:$B$580,A30,入金入力!$A$4:$A$580,"ココ・ユニバース")+SUMIFS(入金予測!$E$4:$E$603,入金予測!$A$4:$A$603,A30,入金予測!$B$4:$B$603,"ココ・ユニバース")</f>
        <v>0</v>
      </c>
      <c r="C30" s="20">
        <f>SUMIFS(未払予定一覧!$O$4:$O$830,未払予定一覧!$N$4:$N$830,A30,未払予定一覧!$A$4:$A$830,"ココ・ユニバース",未払予定一覧!$B$4:$B$830,"未払繰越")+SUMIFS(未払予定一覧!$O$4:$O$830,未払予定一覧!$N$4:$N$830,A30,未払予定一覧!$A$4:$A$830,"ココ・ユニバース",未払予定一覧!$B$4:$B$830,"月次予定")</f>
        <v>0</v>
      </c>
      <c r="D30" s="20">
        <f t="shared" si="0"/>
        <v>0</v>
      </c>
      <c r="E30" s="20">
        <f t="shared" si="1"/>
        <v>-417546</v>
      </c>
      <c r="F30" s="21">
        <f>SUMIFS(未払予定一覧!$O$4:$O$830,未払予定一覧!$N$4:$N$830,A30,未払予定一覧!$A$4:$A$830,"ココ・ユニバース",未払予定一覧!$B$4:$B$830,"カード枠回復")</f>
        <v>0</v>
      </c>
      <c r="G30" s="122">
        <f t="shared" si="2"/>
        <v>-417546</v>
      </c>
      <c r="H30" s="123"/>
    </row>
    <row r="31" spans="1:8" ht="15" customHeight="1">
      <c r="A31" s="121">
        <v>46168</v>
      </c>
      <c r="B31" s="20">
        <f>SUMIFS(入金入力!$E$4:$E$580,入金入力!$B$4:$B$580,A31,入金入力!$A$4:$A$580,"ココ・ユニバース")+SUMIFS(入金予測!$E$4:$E$603,入金予測!$A$4:$A$603,A31,入金予測!$B$4:$B$603,"ココ・ユニバース")</f>
        <v>0</v>
      </c>
      <c r="C31" s="20">
        <f>SUMIFS(未払予定一覧!$O$4:$O$830,未払予定一覧!$N$4:$N$830,A31,未払予定一覧!$A$4:$A$830,"ココ・ユニバース",未払予定一覧!$B$4:$B$830,"未払繰越")+SUMIFS(未払予定一覧!$O$4:$O$830,未払予定一覧!$N$4:$N$830,A31,未払予定一覧!$A$4:$A$830,"ココ・ユニバース",未払予定一覧!$B$4:$B$830,"月次予定")</f>
        <v>0</v>
      </c>
      <c r="D31" s="20">
        <f t="shared" si="0"/>
        <v>0</v>
      </c>
      <c r="E31" s="20">
        <f t="shared" si="1"/>
        <v>-417546</v>
      </c>
      <c r="F31" s="21">
        <f>SUMIFS(未払予定一覧!$O$4:$O$830,未払予定一覧!$N$4:$N$830,A31,未払予定一覧!$A$4:$A$830,"ココ・ユニバース",未払予定一覧!$B$4:$B$830,"カード枠回復")</f>
        <v>0</v>
      </c>
      <c r="G31" s="122">
        <f t="shared" si="2"/>
        <v>-417546</v>
      </c>
      <c r="H31" s="123"/>
    </row>
    <row r="32" spans="1:8" ht="15" customHeight="1">
      <c r="A32" s="121">
        <v>46169</v>
      </c>
      <c r="B32" s="20">
        <f>SUMIFS(入金入力!$E$4:$E$580,入金入力!$B$4:$B$580,A32,入金入力!$A$4:$A$580,"ココ・ユニバース")+SUMIFS(入金予測!$E$4:$E$603,入金予測!$A$4:$A$603,A32,入金予測!$B$4:$B$603,"ココ・ユニバース")</f>
        <v>0</v>
      </c>
      <c r="C32" s="20">
        <f>SUMIFS(未払予定一覧!$O$4:$O$830,未払予定一覧!$N$4:$N$830,A32,未払予定一覧!$A$4:$A$830,"ココ・ユニバース",未払予定一覧!$B$4:$B$830,"未払繰越")+SUMIFS(未払予定一覧!$O$4:$O$830,未払予定一覧!$N$4:$N$830,A32,未払予定一覧!$A$4:$A$830,"ココ・ユニバース",未払予定一覧!$B$4:$B$830,"月次予定")</f>
        <v>431020</v>
      </c>
      <c r="D32" s="20">
        <f t="shared" si="0"/>
        <v>-431020</v>
      </c>
      <c r="E32" s="20">
        <f t="shared" si="1"/>
        <v>-848566</v>
      </c>
      <c r="F32" s="21">
        <f>SUMIFS(未払予定一覧!$O$4:$O$830,未払予定一覧!$N$4:$N$830,A32,未払予定一覧!$A$4:$A$830,"ココ・ユニバース",未払予定一覧!$B$4:$B$830,"カード枠回復")</f>
        <v>0</v>
      </c>
      <c r="G32" s="122">
        <f t="shared" si="2"/>
        <v>-848566</v>
      </c>
      <c r="H32" s="123"/>
    </row>
    <row r="33" spans="1:8" ht="15" customHeight="1">
      <c r="A33" s="121">
        <v>46170</v>
      </c>
      <c r="B33" s="20">
        <f>SUMIFS(入金入力!$E$4:$E$580,入金入力!$B$4:$B$580,A33,入金入力!$A$4:$A$580,"ココ・ユニバース")+SUMIFS(入金予測!$E$4:$E$603,入金予測!$A$4:$A$603,A33,入金予測!$B$4:$B$603,"ココ・ユニバース")</f>
        <v>0</v>
      </c>
      <c r="C33" s="20">
        <f>SUMIFS(未払予定一覧!$O$4:$O$830,未払予定一覧!$N$4:$N$830,A33,未払予定一覧!$A$4:$A$830,"ココ・ユニバース",未払予定一覧!$B$4:$B$830,"未払繰越")+SUMIFS(未払予定一覧!$O$4:$O$830,未払予定一覧!$N$4:$N$830,A33,未払予定一覧!$A$4:$A$830,"ココ・ユニバース",未払予定一覧!$B$4:$B$830,"月次予定")</f>
        <v>0</v>
      </c>
      <c r="D33" s="20">
        <f t="shared" si="0"/>
        <v>0</v>
      </c>
      <c r="E33" s="20">
        <f t="shared" si="1"/>
        <v>-848566</v>
      </c>
      <c r="F33" s="21">
        <f>SUMIFS(未払予定一覧!$O$4:$O$830,未払予定一覧!$N$4:$N$830,A33,未払予定一覧!$A$4:$A$830,"ココ・ユニバース",未払予定一覧!$B$4:$B$830,"カード枠回復")</f>
        <v>0</v>
      </c>
      <c r="G33" s="122">
        <f t="shared" si="2"/>
        <v>-848566</v>
      </c>
      <c r="H33" s="123"/>
    </row>
    <row r="34" spans="1:8" ht="15" customHeight="1">
      <c r="A34" s="121">
        <v>46171</v>
      </c>
      <c r="B34" s="20">
        <f>SUMIFS(入金入力!$E$4:$E$580,入金入力!$B$4:$B$580,A34,入金入力!$A$4:$A$580,"ココ・ユニバース")+SUMIFS(入金予測!$E$4:$E$603,入金予測!$A$4:$A$603,A34,入金予測!$B$4:$B$603,"ココ・ユニバース")</f>
        <v>0</v>
      </c>
      <c r="C34" s="20">
        <f>SUMIFS(未払予定一覧!$O$4:$O$830,未払予定一覧!$N$4:$N$830,A34,未払予定一覧!$A$4:$A$830,"ココ・ユニバース",未払予定一覧!$B$4:$B$830,"未払繰越")+SUMIFS(未払予定一覧!$O$4:$O$830,未払予定一覧!$N$4:$N$830,A34,未払予定一覧!$A$4:$A$830,"ココ・ユニバース",未払予定一覧!$B$4:$B$830,"月次予定")</f>
        <v>0</v>
      </c>
      <c r="D34" s="20">
        <f t="shared" si="0"/>
        <v>0</v>
      </c>
      <c r="E34" s="20">
        <f t="shared" si="1"/>
        <v>-848566</v>
      </c>
      <c r="F34" s="21">
        <f>SUMIFS(未払予定一覧!$O$4:$O$830,未払予定一覧!$N$4:$N$830,A34,未払予定一覧!$A$4:$A$830,"ココ・ユニバース",未払予定一覧!$B$4:$B$830,"カード枠回復")</f>
        <v>0</v>
      </c>
      <c r="G34" s="122">
        <f t="shared" si="2"/>
        <v>-848566</v>
      </c>
      <c r="H34" s="123"/>
    </row>
    <row r="35" spans="1:8" ht="15" customHeight="1">
      <c r="A35" s="124">
        <v>46172</v>
      </c>
      <c r="B35" s="20">
        <f>SUMIFS(入金入力!$E$4:$E$580,入金入力!$B$4:$B$580,A35,入金入力!$A$4:$A$580,"ココ・ユニバース")+SUMIFS(入金予測!$E$4:$E$603,入金予測!$A$4:$A$603,A35,入金予測!$B$4:$B$603,"ココ・ユニバース")</f>
        <v>0</v>
      </c>
      <c r="C35" s="20">
        <f>SUMIFS(未払予定一覧!$O$4:$O$830,未払予定一覧!$N$4:$N$830,A35,未払予定一覧!$A$4:$A$830,"ココ・ユニバース",未払予定一覧!$B$4:$B$830,"未払繰越")+SUMIFS(未払予定一覧!$O$4:$O$830,未払予定一覧!$N$4:$N$830,A35,未払予定一覧!$A$4:$A$830,"ココ・ユニバース",未払予定一覧!$B$4:$B$830,"月次予定")</f>
        <v>0</v>
      </c>
      <c r="D35" s="20">
        <f t="shared" si="0"/>
        <v>0</v>
      </c>
      <c r="E35" s="20">
        <f t="shared" si="1"/>
        <v>-848566</v>
      </c>
      <c r="F35" s="21">
        <f>SUMIFS(未払予定一覧!$O$4:$O$830,未払予定一覧!$N$4:$N$830,A35,未払予定一覧!$A$4:$A$830,"ココ・ユニバース",未払予定一覧!$B$4:$B$830,"カード枠回復")</f>
        <v>0</v>
      </c>
      <c r="G35" s="122">
        <f t="shared" si="2"/>
        <v>-848566</v>
      </c>
      <c r="H35" s="125" t="s">
        <v>688</v>
      </c>
    </row>
    <row r="36" spans="1:8" ht="15" customHeight="1">
      <c r="A36" s="126">
        <v>46173</v>
      </c>
      <c r="B36" s="20">
        <f>SUMIFS(入金入力!$E$4:$E$580,入金入力!$B$4:$B$580,A36,入金入力!$A$4:$A$580,"ココ・ユニバース")+SUMIFS(入金予測!$E$4:$E$603,入金予測!$A$4:$A$603,A36,入金予測!$B$4:$B$603,"ココ・ユニバース")</f>
        <v>0</v>
      </c>
      <c r="C36" s="20">
        <f>SUMIFS(未払予定一覧!$O$4:$O$830,未払予定一覧!$N$4:$N$830,A36,未払予定一覧!$A$4:$A$830,"ココ・ユニバース",未払予定一覧!$B$4:$B$830,"未払繰越")+SUMIFS(未払予定一覧!$O$4:$O$830,未払予定一覧!$N$4:$N$830,A36,未払予定一覧!$A$4:$A$830,"ココ・ユニバース",未払予定一覧!$B$4:$B$830,"月次予定")</f>
        <v>0</v>
      </c>
      <c r="D36" s="20">
        <f t="shared" si="0"/>
        <v>0</v>
      </c>
      <c r="E36" s="20">
        <f t="shared" si="1"/>
        <v>-848566</v>
      </c>
      <c r="F36" s="21">
        <f>SUMIFS(未払予定一覧!$O$4:$O$830,未払予定一覧!$N$4:$N$830,A36,未払予定一覧!$A$4:$A$830,"ココ・ユニバース",未払予定一覧!$B$4:$B$830,"カード枠回復")</f>
        <v>0</v>
      </c>
      <c r="G36" s="122">
        <f t="shared" si="2"/>
        <v>-848566</v>
      </c>
      <c r="H36" s="125" t="s">
        <v>689</v>
      </c>
    </row>
    <row r="37" spans="1:8" ht="15" customHeight="1">
      <c r="A37" s="23" t="s">
        <v>690</v>
      </c>
      <c r="B37" s="24">
        <f>SUM(B5:B36)</f>
        <v>2255000</v>
      </c>
      <c r="C37" s="24">
        <f>SUM(C5:C36)</f>
        <v>3103566</v>
      </c>
      <c r="D37" s="24">
        <f t="shared" si="0"/>
        <v>-848566</v>
      </c>
      <c r="E37" s="24">
        <f>E36</f>
        <v>-848566</v>
      </c>
      <c r="F37" s="24">
        <f>SUM(F5:F36)</f>
        <v>0</v>
      </c>
      <c r="G37" s="24">
        <f>G36</f>
        <v>-848566</v>
      </c>
      <c r="H37" s="127" t="s">
        <v>691</v>
      </c>
    </row>
    <row r="39" spans="1:8" ht="14.25" customHeight="1">
      <c r="A39" s="146" t="s">
        <v>692</v>
      </c>
      <c r="B39" s="146"/>
      <c r="C39" s="146"/>
      <c r="D39" s="146"/>
      <c r="E39" s="146"/>
      <c r="F39" s="146"/>
      <c r="G39" s="146"/>
      <c r="H39" s="146"/>
    </row>
    <row r="40" spans="1:8" ht="15" customHeight="1">
      <c r="A40" s="121">
        <v>46174</v>
      </c>
      <c r="B40" s="20">
        <f>SUMIFS(入金入力!$E$4:$E$580,入金入力!$B$4:$B$580,A40,入金入力!$A$4:$A$580,"ココ・ユニバース")+SUMIFS(入金予測!$E$4:$E$603,入金予測!$A$4:$A$603,A40,入金予測!$B$4:$B$603,"ココ・ユニバース")</f>
        <v>0</v>
      </c>
      <c r="C40" s="20">
        <f>SUMIFS(未払予定一覧!$O$4:$O$830,未払予定一覧!$N$4:$N$830,A40,未払予定一覧!$A$4:$A$830,"ココ・ユニバース",未払予定一覧!$B$4:$B$830,"未払繰越")+SUMIFS(未払予定一覧!$O$4:$O$830,未払予定一覧!$N$4:$N$830,A40,未払予定一覧!$A$4:$A$830,"ココ・ユニバース",未払予定一覧!$B$4:$B$830,"月次予定")</f>
        <v>0</v>
      </c>
      <c r="D40" s="20">
        <f t="shared" ref="D40:D70" si="3">B40-C40-F40</f>
        <v>0</v>
      </c>
      <c r="E40" s="20">
        <f>E37+D40</f>
        <v>-848566</v>
      </c>
      <c r="F40" s="21">
        <f>SUMIFS(未払予定一覧!$O$4:$O$830,未払予定一覧!$N$4:$N$830,A40,未払予定一覧!$A$4:$A$830,"ココ・ユニバース",未払予定一覧!$B$4:$B$830,"カード枠回復")</f>
        <v>0</v>
      </c>
      <c r="G40" s="122">
        <f>G37+D40+F40</f>
        <v>-848566</v>
      </c>
      <c r="H40" s="123"/>
    </row>
    <row r="41" spans="1:8" ht="15" customHeight="1">
      <c r="A41" s="121">
        <v>46175</v>
      </c>
      <c r="B41" s="20">
        <f>SUMIFS(入金入力!$E$4:$E$580,入金入力!$B$4:$B$580,A41,入金入力!$A$4:$A$580,"ココ・ユニバース")+SUMIFS(入金予測!$E$4:$E$603,入金予測!$A$4:$A$603,A41,入金予測!$B$4:$B$603,"ココ・ユニバース")</f>
        <v>0</v>
      </c>
      <c r="C41" s="20">
        <f>SUMIFS(未払予定一覧!$O$4:$O$830,未払予定一覧!$N$4:$N$830,A41,未払予定一覧!$A$4:$A$830,"ココ・ユニバース",未払予定一覧!$B$4:$B$830,"未払繰越")+SUMIFS(未払予定一覧!$O$4:$O$830,未払予定一覧!$N$4:$N$830,A41,未払予定一覧!$A$4:$A$830,"ココ・ユニバース",未払予定一覧!$B$4:$B$830,"月次予定")</f>
        <v>0</v>
      </c>
      <c r="D41" s="20">
        <f t="shared" si="3"/>
        <v>0</v>
      </c>
      <c r="E41" s="20">
        <f t="shared" ref="E41:E69" si="4">E40+D41</f>
        <v>-848566</v>
      </c>
      <c r="F41" s="21">
        <f>SUMIFS(未払予定一覧!$O$4:$O$830,未払予定一覧!$N$4:$N$830,A41,未払予定一覧!$A$4:$A$830,"ココ・ユニバース",未払予定一覧!$B$4:$B$830,"カード枠回復")</f>
        <v>0</v>
      </c>
      <c r="G41" s="122">
        <f t="shared" ref="G41:G69" si="5">G40+D41+F41</f>
        <v>-848566</v>
      </c>
      <c r="H41" s="123"/>
    </row>
    <row r="42" spans="1:8" ht="15" customHeight="1">
      <c r="A42" s="121">
        <v>46176</v>
      </c>
      <c r="B42" s="20">
        <f>SUMIFS(入金入力!$E$4:$E$580,入金入力!$B$4:$B$580,A42,入金入力!$A$4:$A$580,"ココ・ユニバース")+SUMIFS(入金予測!$E$4:$E$603,入金予測!$A$4:$A$603,A42,入金予測!$B$4:$B$603,"ココ・ユニバース")</f>
        <v>0</v>
      </c>
      <c r="C42" s="20">
        <f>SUMIFS(未払予定一覧!$O$4:$O$830,未払予定一覧!$N$4:$N$830,A42,未払予定一覧!$A$4:$A$830,"ココ・ユニバース",未払予定一覧!$B$4:$B$830,"未払繰越")+SUMIFS(未払予定一覧!$O$4:$O$830,未払予定一覧!$N$4:$N$830,A42,未払予定一覧!$A$4:$A$830,"ココ・ユニバース",未払予定一覧!$B$4:$B$830,"月次予定")</f>
        <v>0</v>
      </c>
      <c r="D42" s="20">
        <f t="shared" si="3"/>
        <v>0</v>
      </c>
      <c r="E42" s="20">
        <f t="shared" si="4"/>
        <v>-848566</v>
      </c>
      <c r="F42" s="21">
        <f>SUMIFS(未払予定一覧!$O$4:$O$830,未払予定一覧!$N$4:$N$830,A42,未払予定一覧!$A$4:$A$830,"ココ・ユニバース",未払予定一覧!$B$4:$B$830,"カード枠回復")</f>
        <v>0</v>
      </c>
      <c r="G42" s="122">
        <f t="shared" si="5"/>
        <v>-848566</v>
      </c>
      <c r="H42" s="123"/>
    </row>
    <row r="43" spans="1:8" ht="15" customHeight="1">
      <c r="A43" s="121">
        <v>46177</v>
      </c>
      <c r="B43" s="20">
        <f>SUMIFS(入金入力!$E$4:$E$580,入金入力!$B$4:$B$580,A43,入金入力!$A$4:$A$580,"ココ・ユニバース")+SUMIFS(入金予測!$E$4:$E$603,入金予測!$A$4:$A$603,A43,入金予測!$B$4:$B$603,"ココ・ユニバース")</f>
        <v>0</v>
      </c>
      <c r="C43" s="20">
        <f>SUMIFS(未払予定一覧!$O$4:$O$830,未払予定一覧!$N$4:$N$830,A43,未払予定一覧!$A$4:$A$830,"ココ・ユニバース",未払予定一覧!$B$4:$B$830,"未払繰越")+SUMIFS(未払予定一覧!$O$4:$O$830,未払予定一覧!$N$4:$N$830,A43,未払予定一覧!$A$4:$A$830,"ココ・ユニバース",未払予定一覧!$B$4:$B$830,"月次予定")</f>
        <v>0</v>
      </c>
      <c r="D43" s="20">
        <f t="shared" si="3"/>
        <v>0</v>
      </c>
      <c r="E43" s="20">
        <f t="shared" si="4"/>
        <v>-848566</v>
      </c>
      <c r="F43" s="21">
        <f>SUMIFS(未払予定一覧!$O$4:$O$830,未払予定一覧!$N$4:$N$830,A43,未払予定一覧!$A$4:$A$830,"ココ・ユニバース",未払予定一覧!$B$4:$B$830,"カード枠回復")</f>
        <v>0</v>
      </c>
      <c r="G43" s="122">
        <f t="shared" si="5"/>
        <v>-848566</v>
      </c>
      <c r="H43" s="123"/>
    </row>
    <row r="44" spans="1:8" ht="15" customHeight="1">
      <c r="A44" s="121">
        <v>46178</v>
      </c>
      <c r="B44" s="20">
        <f>SUMIFS(入金入力!$E$4:$E$580,入金入力!$B$4:$B$580,A44,入金入力!$A$4:$A$580,"ココ・ユニバース")+SUMIFS(入金予測!$E$4:$E$603,入金予測!$A$4:$A$603,A44,入金予測!$B$4:$B$603,"ココ・ユニバース")</f>
        <v>0</v>
      </c>
      <c r="C44" s="20">
        <f>SUMIFS(未払予定一覧!$O$4:$O$830,未払予定一覧!$N$4:$N$830,A44,未払予定一覧!$A$4:$A$830,"ココ・ユニバース",未払予定一覧!$B$4:$B$830,"未払繰越")+SUMIFS(未払予定一覧!$O$4:$O$830,未払予定一覧!$N$4:$N$830,A44,未払予定一覧!$A$4:$A$830,"ココ・ユニバース",未払予定一覧!$B$4:$B$830,"月次予定")</f>
        <v>0</v>
      </c>
      <c r="D44" s="20">
        <f t="shared" si="3"/>
        <v>0</v>
      </c>
      <c r="E44" s="20">
        <f t="shared" si="4"/>
        <v>-848566</v>
      </c>
      <c r="F44" s="21">
        <f>SUMIFS(未払予定一覧!$O$4:$O$830,未払予定一覧!$N$4:$N$830,A44,未払予定一覧!$A$4:$A$830,"ココ・ユニバース",未払予定一覧!$B$4:$B$830,"カード枠回復")</f>
        <v>0</v>
      </c>
      <c r="G44" s="122">
        <f t="shared" si="5"/>
        <v>-848566</v>
      </c>
      <c r="H44" s="123"/>
    </row>
    <row r="45" spans="1:8" ht="15" customHeight="1">
      <c r="A45" s="124">
        <v>46179</v>
      </c>
      <c r="B45" s="20">
        <f>SUMIFS(入金入力!$E$4:$E$580,入金入力!$B$4:$B$580,A45,入金入力!$A$4:$A$580,"ココ・ユニバース")+SUMIFS(入金予測!$E$4:$E$603,入金予測!$A$4:$A$603,A45,入金予測!$B$4:$B$603,"ココ・ユニバース")</f>
        <v>0</v>
      </c>
      <c r="C45" s="20">
        <f>SUMIFS(未払予定一覧!$O$4:$O$830,未払予定一覧!$N$4:$N$830,A45,未払予定一覧!$A$4:$A$830,"ココ・ユニバース",未払予定一覧!$B$4:$B$830,"未払繰越")+SUMIFS(未払予定一覧!$O$4:$O$830,未払予定一覧!$N$4:$N$830,A45,未払予定一覧!$A$4:$A$830,"ココ・ユニバース",未払予定一覧!$B$4:$B$830,"月次予定")</f>
        <v>0</v>
      </c>
      <c r="D45" s="20">
        <f t="shared" si="3"/>
        <v>0</v>
      </c>
      <c r="E45" s="20">
        <f t="shared" si="4"/>
        <v>-848566</v>
      </c>
      <c r="F45" s="21">
        <f>SUMIFS(未払予定一覧!$O$4:$O$830,未払予定一覧!$N$4:$N$830,A45,未払予定一覧!$A$4:$A$830,"ココ・ユニバース",未払予定一覧!$B$4:$B$830,"カード枠回復")</f>
        <v>0</v>
      </c>
      <c r="G45" s="122">
        <f t="shared" si="5"/>
        <v>-848566</v>
      </c>
      <c r="H45" s="125" t="s">
        <v>688</v>
      </c>
    </row>
    <row r="46" spans="1:8" ht="15" customHeight="1">
      <c r="A46" s="126">
        <v>46180</v>
      </c>
      <c r="B46" s="20">
        <f>SUMIFS(入金入力!$E$4:$E$580,入金入力!$B$4:$B$580,A46,入金入力!$A$4:$A$580,"ココ・ユニバース")+SUMIFS(入金予測!$E$4:$E$603,入金予測!$A$4:$A$603,A46,入金予測!$B$4:$B$603,"ココ・ユニバース")</f>
        <v>0</v>
      </c>
      <c r="C46" s="20">
        <f>SUMIFS(未払予定一覧!$O$4:$O$830,未払予定一覧!$N$4:$N$830,A46,未払予定一覧!$A$4:$A$830,"ココ・ユニバース",未払予定一覧!$B$4:$B$830,"未払繰越")+SUMIFS(未払予定一覧!$O$4:$O$830,未払予定一覧!$N$4:$N$830,A46,未払予定一覧!$A$4:$A$830,"ココ・ユニバース",未払予定一覧!$B$4:$B$830,"月次予定")</f>
        <v>295799</v>
      </c>
      <c r="D46" s="20">
        <f t="shared" si="3"/>
        <v>-295799</v>
      </c>
      <c r="E46" s="20">
        <f t="shared" si="4"/>
        <v>-1144365</v>
      </c>
      <c r="F46" s="21">
        <f>SUMIFS(未払予定一覧!$O$4:$O$830,未払予定一覧!$N$4:$N$830,A46,未払予定一覧!$A$4:$A$830,"ココ・ユニバース",未払予定一覧!$B$4:$B$830,"カード枠回復")</f>
        <v>0</v>
      </c>
      <c r="G46" s="122">
        <f t="shared" si="5"/>
        <v>-1144365</v>
      </c>
      <c r="H46" s="125" t="s">
        <v>689</v>
      </c>
    </row>
    <row r="47" spans="1:8" ht="15" customHeight="1">
      <c r="A47" s="121">
        <v>46181</v>
      </c>
      <c r="B47" s="20">
        <f>SUMIFS(入金入力!$E$4:$E$580,入金入力!$B$4:$B$580,A47,入金入力!$A$4:$A$580,"ココ・ユニバース")+SUMIFS(入金予測!$E$4:$E$603,入金予測!$A$4:$A$603,A47,入金予測!$B$4:$B$603,"ココ・ユニバース")</f>
        <v>1900000</v>
      </c>
      <c r="C47" s="20">
        <f>SUMIFS(未払予定一覧!$O$4:$O$830,未払予定一覧!$N$4:$N$830,A47,未払予定一覧!$A$4:$A$830,"ココ・ユニバース",未払予定一覧!$B$4:$B$830,"未払繰越")+SUMIFS(未払予定一覧!$O$4:$O$830,未払予定一覧!$N$4:$N$830,A47,未払予定一覧!$A$4:$A$830,"ココ・ユニバース",未払予定一覧!$B$4:$B$830,"月次予定")</f>
        <v>0</v>
      </c>
      <c r="D47" s="20">
        <f t="shared" si="3"/>
        <v>1900000</v>
      </c>
      <c r="E47" s="20">
        <f t="shared" si="4"/>
        <v>755635</v>
      </c>
      <c r="F47" s="21">
        <f>SUMIFS(未払予定一覧!$O$4:$O$830,未払予定一覧!$N$4:$N$830,A47,未払予定一覧!$A$4:$A$830,"ココ・ユニバース",未払予定一覧!$B$4:$B$830,"カード枠回復")</f>
        <v>0</v>
      </c>
      <c r="G47" s="122">
        <f t="shared" si="5"/>
        <v>755635</v>
      </c>
      <c r="H47" s="123"/>
    </row>
    <row r="48" spans="1:8" ht="15" customHeight="1">
      <c r="A48" s="121">
        <v>46182</v>
      </c>
      <c r="B48" s="20">
        <f>SUMIFS(入金入力!$E$4:$E$580,入金入力!$B$4:$B$580,A48,入金入力!$A$4:$A$580,"ココ・ユニバース")+SUMIFS(入金予測!$E$4:$E$603,入金予測!$A$4:$A$603,A48,入金予測!$B$4:$B$603,"ココ・ユニバース")</f>
        <v>0</v>
      </c>
      <c r="C48" s="20">
        <f>SUMIFS(未払予定一覧!$O$4:$O$830,未払予定一覧!$N$4:$N$830,A48,未払予定一覧!$A$4:$A$830,"ココ・ユニバース",未払予定一覧!$B$4:$B$830,"未払繰越")+SUMIFS(未払予定一覧!$O$4:$O$830,未払予定一覧!$N$4:$N$830,A48,未払予定一覧!$A$4:$A$830,"ココ・ユニバース",未払予定一覧!$B$4:$B$830,"月次予定")</f>
        <v>0</v>
      </c>
      <c r="D48" s="20">
        <f t="shared" si="3"/>
        <v>0</v>
      </c>
      <c r="E48" s="20">
        <f t="shared" si="4"/>
        <v>755635</v>
      </c>
      <c r="F48" s="21">
        <f>SUMIFS(未払予定一覧!$O$4:$O$830,未払予定一覧!$N$4:$N$830,A48,未払予定一覧!$A$4:$A$830,"ココ・ユニバース",未払予定一覧!$B$4:$B$830,"カード枠回復")</f>
        <v>0</v>
      </c>
      <c r="G48" s="122">
        <f t="shared" si="5"/>
        <v>755635</v>
      </c>
      <c r="H48" s="123"/>
    </row>
    <row r="49" spans="1:8" ht="15" customHeight="1">
      <c r="A49" s="121">
        <v>46183</v>
      </c>
      <c r="B49" s="20">
        <f>SUMIFS(入金入力!$E$4:$E$580,入金入力!$B$4:$B$580,A49,入金入力!$A$4:$A$580,"ココ・ユニバース")+SUMIFS(入金予測!$E$4:$E$603,入金予測!$A$4:$A$603,A49,入金予測!$B$4:$B$603,"ココ・ユニバース")</f>
        <v>0</v>
      </c>
      <c r="C49" s="20">
        <f>SUMIFS(未払予定一覧!$O$4:$O$830,未払予定一覧!$N$4:$N$830,A49,未払予定一覧!$A$4:$A$830,"ココ・ユニバース",未払予定一覧!$B$4:$B$830,"未払繰越")+SUMIFS(未払予定一覧!$O$4:$O$830,未払予定一覧!$N$4:$N$830,A49,未払予定一覧!$A$4:$A$830,"ココ・ユニバース",未払予定一覧!$B$4:$B$830,"月次予定")</f>
        <v>0</v>
      </c>
      <c r="D49" s="20">
        <f t="shared" si="3"/>
        <v>0</v>
      </c>
      <c r="E49" s="20">
        <f t="shared" si="4"/>
        <v>755635</v>
      </c>
      <c r="F49" s="21">
        <f>SUMIFS(未払予定一覧!$O$4:$O$830,未払予定一覧!$N$4:$N$830,A49,未払予定一覧!$A$4:$A$830,"ココ・ユニバース",未払予定一覧!$B$4:$B$830,"カード枠回復")</f>
        <v>0</v>
      </c>
      <c r="G49" s="122">
        <f t="shared" si="5"/>
        <v>755635</v>
      </c>
      <c r="H49" s="123"/>
    </row>
    <row r="50" spans="1:8" ht="15" customHeight="1">
      <c r="A50" s="121">
        <v>46184</v>
      </c>
      <c r="B50" s="20">
        <f>SUMIFS(入金入力!$E$4:$E$580,入金入力!$B$4:$B$580,A50,入金入力!$A$4:$A$580,"ココ・ユニバース")+SUMIFS(入金予測!$E$4:$E$603,入金予測!$A$4:$A$603,A50,入金予測!$B$4:$B$603,"ココ・ユニバース")</f>
        <v>0</v>
      </c>
      <c r="C50" s="20">
        <f>SUMIFS(未払予定一覧!$O$4:$O$830,未払予定一覧!$N$4:$N$830,A50,未払予定一覧!$A$4:$A$830,"ココ・ユニバース",未払予定一覧!$B$4:$B$830,"未払繰越")+SUMIFS(未払予定一覧!$O$4:$O$830,未払予定一覧!$N$4:$N$830,A50,未払予定一覧!$A$4:$A$830,"ココ・ユニバース",未払予定一覧!$B$4:$B$830,"月次予定")</f>
        <v>0</v>
      </c>
      <c r="D50" s="20">
        <f t="shared" si="3"/>
        <v>0</v>
      </c>
      <c r="E50" s="20">
        <f t="shared" si="4"/>
        <v>755635</v>
      </c>
      <c r="F50" s="21">
        <f>SUMIFS(未払予定一覧!$O$4:$O$830,未払予定一覧!$N$4:$N$830,A50,未払予定一覧!$A$4:$A$830,"ココ・ユニバース",未払予定一覧!$B$4:$B$830,"カード枠回復")</f>
        <v>0</v>
      </c>
      <c r="G50" s="122">
        <f t="shared" si="5"/>
        <v>755635</v>
      </c>
      <c r="H50" s="123"/>
    </row>
    <row r="51" spans="1:8" ht="15" customHeight="1">
      <c r="A51" s="121">
        <v>46185</v>
      </c>
      <c r="B51" s="20">
        <f>SUMIFS(入金入力!$E$4:$E$580,入金入力!$B$4:$B$580,A51,入金入力!$A$4:$A$580,"ココ・ユニバース")+SUMIFS(入金予測!$E$4:$E$603,入金予測!$A$4:$A$603,A51,入金予測!$B$4:$B$603,"ココ・ユニバース")</f>
        <v>0</v>
      </c>
      <c r="C51" s="20">
        <f>SUMIFS(未払予定一覧!$O$4:$O$830,未払予定一覧!$N$4:$N$830,A51,未払予定一覧!$A$4:$A$830,"ココ・ユニバース",未払予定一覧!$B$4:$B$830,"未払繰越")+SUMIFS(未払予定一覧!$O$4:$O$830,未払予定一覧!$N$4:$N$830,A51,未払予定一覧!$A$4:$A$830,"ココ・ユニバース",未払予定一覧!$B$4:$B$830,"月次予定")</f>
        <v>0</v>
      </c>
      <c r="D51" s="20">
        <f t="shared" si="3"/>
        <v>0</v>
      </c>
      <c r="E51" s="20">
        <f t="shared" si="4"/>
        <v>755635</v>
      </c>
      <c r="F51" s="21">
        <f>SUMIFS(未払予定一覧!$O$4:$O$830,未払予定一覧!$N$4:$N$830,A51,未払予定一覧!$A$4:$A$830,"ココ・ユニバース",未払予定一覧!$B$4:$B$830,"カード枠回復")</f>
        <v>0</v>
      </c>
      <c r="G51" s="122">
        <f t="shared" si="5"/>
        <v>755635</v>
      </c>
      <c r="H51" s="123"/>
    </row>
    <row r="52" spans="1:8" ht="15" customHeight="1">
      <c r="A52" s="124">
        <v>46186</v>
      </c>
      <c r="B52" s="20">
        <f>SUMIFS(入金入力!$E$4:$E$580,入金入力!$B$4:$B$580,A52,入金入力!$A$4:$A$580,"ココ・ユニバース")+SUMIFS(入金予測!$E$4:$E$603,入金予測!$A$4:$A$603,A52,入金予測!$B$4:$B$603,"ココ・ユニバース")</f>
        <v>0</v>
      </c>
      <c r="C52" s="20">
        <f>SUMIFS(未払予定一覧!$O$4:$O$830,未払予定一覧!$N$4:$N$830,A52,未払予定一覧!$A$4:$A$830,"ココ・ユニバース",未払予定一覧!$B$4:$B$830,"未払繰越")+SUMIFS(未払予定一覧!$O$4:$O$830,未払予定一覧!$N$4:$N$830,A52,未払予定一覧!$A$4:$A$830,"ココ・ユニバース",未払予定一覧!$B$4:$B$830,"月次予定")</f>
        <v>320000</v>
      </c>
      <c r="D52" s="20">
        <f t="shared" si="3"/>
        <v>-320000</v>
      </c>
      <c r="E52" s="20">
        <f t="shared" si="4"/>
        <v>435635</v>
      </c>
      <c r="F52" s="21">
        <f>SUMIFS(未払予定一覧!$O$4:$O$830,未払予定一覧!$N$4:$N$830,A52,未払予定一覧!$A$4:$A$830,"ココ・ユニバース",未払予定一覧!$B$4:$B$830,"カード枠回復")</f>
        <v>0</v>
      </c>
      <c r="G52" s="122">
        <f t="shared" si="5"/>
        <v>435635</v>
      </c>
      <c r="H52" s="125" t="s">
        <v>688</v>
      </c>
    </row>
    <row r="53" spans="1:8" ht="15" customHeight="1">
      <c r="A53" s="126">
        <v>46187</v>
      </c>
      <c r="B53" s="20">
        <f>SUMIFS(入金入力!$E$4:$E$580,入金入力!$B$4:$B$580,A53,入金入力!$A$4:$A$580,"ココ・ユニバース")+SUMIFS(入金予測!$E$4:$E$603,入金予測!$A$4:$A$603,A53,入金予測!$B$4:$B$603,"ココ・ユニバース")</f>
        <v>0</v>
      </c>
      <c r="C53" s="20">
        <f>SUMIFS(未払予定一覧!$O$4:$O$830,未払予定一覧!$N$4:$N$830,A53,未払予定一覧!$A$4:$A$830,"ココ・ユニバース",未払予定一覧!$B$4:$B$830,"未払繰越")+SUMIFS(未払予定一覧!$O$4:$O$830,未払予定一覧!$N$4:$N$830,A53,未払予定一覧!$A$4:$A$830,"ココ・ユニバース",未払予定一覧!$B$4:$B$830,"月次予定")</f>
        <v>68429</v>
      </c>
      <c r="D53" s="20">
        <f t="shared" si="3"/>
        <v>-68429</v>
      </c>
      <c r="E53" s="20">
        <f t="shared" si="4"/>
        <v>367206</v>
      </c>
      <c r="F53" s="21">
        <f>SUMIFS(未払予定一覧!$O$4:$O$830,未払予定一覧!$N$4:$N$830,A53,未払予定一覧!$A$4:$A$830,"ココ・ユニバース",未払予定一覧!$B$4:$B$830,"カード枠回復")</f>
        <v>0</v>
      </c>
      <c r="G53" s="122">
        <f t="shared" si="5"/>
        <v>367206</v>
      </c>
      <c r="H53" s="125" t="s">
        <v>689</v>
      </c>
    </row>
    <row r="54" spans="1:8" ht="15" customHeight="1">
      <c r="A54" s="121">
        <v>46188</v>
      </c>
      <c r="B54" s="20">
        <f>SUMIFS(入金入力!$E$4:$E$580,入金入力!$B$4:$B$580,A54,入金入力!$A$4:$A$580,"ココ・ユニバース")+SUMIFS(入金予測!$E$4:$E$603,入金予測!$A$4:$A$603,A54,入金予測!$B$4:$B$603,"ココ・ユニバース")</f>
        <v>755000</v>
      </c>
      <c r="C54" s="20">
        <f>SUMIFS(未払予定一覧!$O$4:$O$830,未払予定一覧!$N$4:$N$830,A54,未払予定一覧!$A$4:$A$830,"ココ・ユニバース",未払予定一覧!$B$4:$B$830,"未払繰越")+SUMIFS(未払予定一覧!$O$4:$O$830,未払予定一覧!$N$4:$N$830,A54,未払予定一覧!$A$4:$A$830,"ココ・ユニバース",未払予定一覧!$B$4:$B$830,"月次予定")</f>
        <v>0</v>
      </c>
      <c r="D54" s="20">
        <f t="shared" si="3"/>
        <v>755000</v>
      </c>
      <c r="E54" s="20">
        <f t="shared" si="4"/>
        <v>1122206</v>
      </c>
      <c r="F54" s="21">
        <f>SUMIFS(未払予定一覧!$O$4:$O$830,未払予定一覧!$N$4:$N$830,A54,未払予定一覧!$A$4:$A$830,"ココ・ユニバース",未払予定一覧!$B$4:$B$830,"カード枠回復")</f>
        <v>0</v>
      </c>
      <c r="G54" s="122">
        <f t="shared" si="5"/>
        <v>1122206</v>
      </c>
      <c r="H54" s="123"/>
    </row>
    <row r="55" spans="1:8" ht="15" customHeight="1">
      <c r="A55" s="121">
        <v>46189</v>
      </c>
      <c r="B55" s="20">
        <f>SUMIFS(入金入力!$E$4:$E$580,入金入力!$B$4:$B$580,A55,入金入力!$A$4:$A$580,"ココ・ユニバース")+SUMIFS(入金予測!$E$4:$E$603,入金予測!$A$4:$A$603,A55,入金予測!$B$4:$B$603,"ココ・ユニバース")</f>
        <v>0</v>
      </c>
      <c r="C55" s="20">
        <f>SUMIFS(未払予定一覧!$O$4:$O$830,未払予定一覧!$N$4:$N$830,A55,未払予定一覧!$A$4:$A$830,"ココ・ユニバース",未払予定一覧!$B$4:$B$830,"未払繰越")+SUMIFS(未払予定一覧!$O$4:$O$830,未払予定一覧!$N$4:$N$830,A55,未払予定一覧!$A$4:$A$830,"ココ・ユニバース",未払予定一覧!$B$4:$B$830,"月次予定")</f>
        <v>0</v>
      </c>
      <c r="D55" s="20">
        <f t="shared" si="3"/>
        <v>0</v>
      </c>
      <c r="E55" s="20">
        <f t="shared" si="4"/>
        <v>1122206</v>
      </c>
      <c r="F55" s="21">
        <f>SUMIFS(未払予定一覧!$O$4:$O$830,未払予定一覧!$N$4:$N$830,A55,未払予定一覧!$A$4:$A$830,"ココ・ユニバース",未払予定一覧!$B$4:$B$830,"カード枠回復")</f>
        <v>0</v>
      </c>
      <c r="G55" s="122">
        <f t="shared" si="5"/>
        <v>1122206</v>
      </c>
      <c r="H55" s="123"/>
    </row>
    <row r="56" spans="1:8" ht="15" customHeight="1">
      <c r="A56" s="121">
        <v>46190</v>
      </c>
      <c r="B56" s="20">
        <f>SUMIFS(入金入力!$E$4:$E$580,入金入力!$B$4:$B$580,A56,入金入力!$A$4:$A$580,"ココ・ユニバース")+SUMIFS(入金予測!$E$4:$E$603,入金予測!$A$4:$A$603,A56,入金予測!$B$4:$B$603,"ココ・ユニバース")</f>
        <v>0</v>
      </c>
      <c r="C56" s="20">
        <f>SUMIFS(未払予定一覧!$O$4:$O$830,未払予定一覧!$N$4:$N$830,A56,未払予定一覧!$A$4:$A$830,"ココ・ユニバース",未払予定一覧!$B$4:$B$830,"未払繰越")+SUMIFS(未払予定一覧!$O$4:$O$830,未払予定一覧!$N$4:$N$830,A56,未払予定一覧!$A$4:$A$830,"ココ・ユニバース",未払予定一覧!$B$4:$B$830,"月次予定")</f>
        <v>0</v>
      </c>
      <c r="D56" s="20">
        <f t="shared" si="3"/>
        <v>0</v>
      </c>
      <c r="E56" s="20">
        <f t="shared" si="4"/>
        <v>1122206</v>
      </c>
      <c r="F56" s="21">
        <f>SUMIFS(未払予定一覧!$O$4:$O$830,未払予定一覧!$N$4:$N$830,A56,未払予定一覧!$A$4:$A$830,"ココ・ユニバース",未払予定一覧!$B$4:$B$830,"カード枠回復")</f>
        <v>0</v>
      </c>
      <c r="G56" s="122">
        <f t="shared" si="5"/>
        <v>1122206</v>
      </c>
      <c r="H56" s="123"/>
    </row>
    <row r="57" spans="1:8" ht="15" customHeight="1">
      <c r="A57" s="121">
        <v>46191</v>
      </c>
      <c r="B57" s="20">
        <f>SUMIFS(入金入力!$E$4:$E$580,入金入力!$B$4:$B$580,A57,入金入力!$A$4:$A$580,"ココ・ユニバース")+SUMIFS(入金予測!$E$4:$E$603,入金予測!$A$4:$A$603,A57,入金予測!$B$4:$B$603,"ココ・ユニバース")</f>
        <v>0</v>
      </c>
      <c r="C57" s="20">
        <f>SUMIFS(未払予定一覧!$O$4:$O$830,未払予定一覧!$N$4:$N$830,A57,未払予定一覧!$A$4:$A$830,"ココ・ユニバース",未払予定一覧!$B$4:$B$830,"未払繰越")+SUMIFS(未払予定一覧!$O$4:$O$830,未払予定一覧!$N$4:$N$830,A57,未払予定一覧!$A$4:$A$830,"ココ・ユニバース",未払予定一覧!$B$4:$B$830,"月次予定")</f>
        <v>0</v>
      </c>
      <c r="D57" s="20">
        <f t="shared" si="3"/>
        <v>0</v>
      </c>
      <c r="E57" s="20">
        <f t="shared" si="4"/>
        <v>1122206</v>
      </c>
      <c r="F57" s="21">
        <f>SUMIFS(未払予定一覧!$O$4:$O$830,未払予定一覧!$N$4:$N$830,A57,未払予定一覧!$A$4:$A$830,"ココ・ユニバース",未払予定一覧!$B$4:$B$830,"カード枠回復")</f>
        <v>0</v>
      </c>
      <c r="G57" s="122">
        <f t="shared" si="5"/>
        <v>1122206</v>
      </c>
      <c r="H57" s="123"/>
    </row>
    <row r="58" spans="1:8" ht="15" customHeight="1">
      <c r="A58" s="121">
        <v>46192</v>
      </c>
      <c r="B58" s="20">
        <f>SUMIFS(入金入力!$E$4:$E$580,入金入力!$B$4:$B$580,A58,入金入力!$A$4:$A$580,"ココ・ユニバース")+SUMIFS(入金予測!$E$4:$E$603,入金予測!$A$4:$A$603,A58,入金予測!$B$4:$B$603,"ココ・ユニバース")</f>
        <v>0</v>
      </c>
      <c r="C58" s="20">
        <f>SUMIFS(未払予定一覧!$O$4:$O$830,未払予定一覧!$N$4:$N$830,A58,未払予定一覧!$A$4:$A$830,"ココ・ユニバース",未払予定一覧!$B$4:$B$830,"未払繰越")+SUMIFS(未払予定一覧!$O$4:$O$830,未払予定一覧!$N$4:$N$830,A58,未払予定一覧!$A$4:$A$830,"ココ・ユニバース",未払予定一覧!$B$4:$B$830,"月次予定")</f>
        <v>0</v>
      </c>
      <c r="D58" s="20">
        <f t="shared" si="3"/>
        <v>0</v>
      </c>
      <c r="E58" s="20">
        <f t="shared" si="4"/>
        <v>1122206</v>
      </c>
      <c r="F58" s="21">
        <f>SUMIFS(未払予定一覧!$O$4:$O$830,未払予定一覧!$N$4:$N$830,A58,未払予定一覧!$A$4:$A$830,"ココ・ユニバース",未払予定一覧!$B$4:$B$830,"カード枠回復")</f>
        <v>0</v>
      </c>
      <c r="G58" s="122">
        <f t="shared" si="5"/>
        <v>1122206</v>
      </c>
      <c r="H58" s="123"/>
    </row>
    <row r="59" spans="1:8" ht="15" customHeight="1">
      <c r="A59" s="124">
        <v>46193</v>
      </c>
      <c r="B59" s="20">
        <f>SUMIFS(入金入力!$E$4:$E$580,入金入力!$B$4:$B$580,A59,入金入力!$A$4:$A$580,"ココ・ユニバース")+SUMIFS(入金予測!$E$4:$E$603,入金予測!$A$4:$A$603,A59,入金予測!$B$4:$B$603,"ココ・ユニバース")</f>
        <v>0</v>
      </c>
      <c r="C59" s="20">
        <f>SUMIFS(未払予定一覧!$O$4:$O$830,未払予定一覧!$N$4:$N$830,A59,未払予定一覧!$A$4:$A$830,"ココ・ユニバース",未払予定一覧!$B$4:$B$830,"未払繰越")+SUMIFS(未払予定一覧!$O$4:$O$830,未払予定一覧!$N$4:$N$830,A59,未払予定一覧!$A$4:$A$830,"ココ・ユニバース",未払予定一覧!$B$4:$B$830,"月次予定")</f>
        <v>0</v>
      </c>
      <c r="D59" s="20">
        <f t="shared" si="3"/>
        <v>0</v>
      </c>
      <c r="E59" s="20">
        <f t="shared" si="4"/>
        <v>1122206</v>
      </c>
      <c r="F59" s="21">
        <f>SUMIFS(未払予定一覧!$O$4:$O$830,未払予定一覧!$N$4:$N$830,A59,未払予定一覧!$A$4:$A$830,"ココ・ユニバース",未払予定一覧!$B$4:$B$830,"カード枠回復")</f>
        <v>0</v>
      </c>
      <c r="G59" s="122">
        <f t="shared" si="5"/>
        <v>1122206</v>
      </c>
      <c r="H59" s="125" t="s">
        <v>688</v>
      </c>
    </row>
    <row r="60" spans="1:8" ht="15" customHeight="1">
      <c r="A60" s="126">
        <v>46194</v>
      </c>
      <c r="B60" s="20">
        <f>SUMIFS(入金入力!$E$4:$E$580,入金入力!$B$4:$B$580,A60,入金入力!$A$4:$A$580,"ココ・ユニバース")+SUMIFS(入金予測!$E$4:$E$603,入金予測!$A$4:$A$603,A60,入金予測!$B$4:$B$603,"ココ・ユニバース")</f>
        <v>921800</v>
      </c>
      <c r="C60" s="20">
        <f>SUMIFS(未払予定一覧!$O$4:$O$830,未払予定一覧!$N$4:$N$830,A60,未払予定一覧!$A$4:$A$830,"ココ・ユニバース",未払予定一覧!$B$4:$B$830,"未払繰越")+SUMIFS(未払予定一覧!$O$4:$O$830,未払予定一覧!$N$4:$N$830,A60,未払予定一覧!$A$4:$A$830,"ココ・ユニバース",未払予定一覧!$B$4:$B$830,"月次予定")</f>
        <v>0</v>
      </c>
      <c r="D60" s="20">
        <f t="shared" si="3"/>
        <v>921800</v>
      </c>
      <c r="E60" s="20">
        <f t="shared" si="4"/>
        <v>2044006</v>
      </c>
      <c r="F60" s="21">
        <f>SUMIFS(未払予定一覧!$O$4:$O$830,未払予定一覧!$N$4:$N$830,A60,未払予定一覧!$A$4:$A$830,"ココ・ユニバース",未払予定一覧!$B$4:$B$830,"カード枠回復")</f>
        <v>0</v>
      </c>
      <c r="G60" s="122">
        <f t="shared" si="5"/>
        <v>2044006</v>
      </c>
      <c r="H60" s="125" t="s">
        <v>689</v>
      </c>
    </row>
    <row r="61" spans="1:8" ht="15" customHeight="1">
      <c r="A61" s="121">
        <v>46195</v>
      </c>
      <c r="B61" s="20">
        <f>SUMIFS(入金入力!$E$4:$E$580,入金入力!$B$4:$B$580,A61,入金入力!$A$4:$A$580,"ココ・ユニバース")+SUMIFS(入金予測!$E$4:$E$603,入金予測!$A$4:$A$603,A61,入金予測!$B$4:$B$603,"ココ・ユニバース")</f>
        <v>0</v>
      </c>
      <c r="C61" s="20">
        <f>SUMIFS(未払予定一覧!$O$4:$O$830,未払予定一覧!$N$4:$N$830,A61,未払予定一覧!$A$4:$A$830,"ココ・ユニバース",未払予定一覧!$B$4:$B$830,"未払繰越")+SUMIFS(未払予定一覧!$O$4:$O$830,未払予定一覧!$N$4:$N$830,A61,未払予定一覧!$A$4:$A$830,"ココ・ユニバース",未払予定一覧!$B$4:$B$830,"月次予定")</f>
        <v>0</v>
      </c>
      <c r="D61" s="20">
        <f t="shared" si="3"/>
        <v>0</v>
      </c>
      <c r="E61" s="20">
        <f t="shared" si="4"/>
        <v>2044006</v>
      </c>
      <c r="F61" s="21">
        <f>SUMIFS(未払予定一覧!$O$4:$O$830,未払予定一覧!$N$4:$N$830,A61,未払予定一覧!$A$4:$A$830,"ココ・ユニバース",未払予定一覧!$B$4:$B$830,"カード枠回復")</f>
        <v>0</v>
      </c>
      <c r="G61" s="122">
        <f t="shared" si="5"/>
        <v>2044006</v>
      </c>
      <c r="H61" s="123"/>
    </row>
    <row r="62" spans="1:8" ht="15" customHeight="1">
      <c r="A62" s="121">
        <v>46196</v>
      </c>
      <c r="B62" s="20">
        <f>SUMIFS(入金入力!$E$4:$E$580,入金入力!$B$4:$B$580,A62,入金入力!$A$4:$A$580,"ココ・ユニバース")+SUMIFS(入金予測!$E$4:$E$603,入金予測!$A$4:$A$603,A62,入金予測!$B$4:$B$603,"ココ・ユニバース")</f>
        <v>0</v>
      </c>
      <c r="C62" s="20">
        <f>SUMIFS(未払予定一覧!$O$4:$O$830,未払予定一覧!$N$4:$N$830,A62,未払予定一覧!$A$4:$A$830,"ココ・ユニバース",未払予定一覧!$B$4:$B$830,"未払繰越")+SUMIFS(未払予定一覧!$O$4:$O$830,未払予定一覧!$N$4:$N$830,A62,未払予定一覧!$A$4:$A$830,"ココ・ユニバース",未払予定一覧!$B$4:$B$830,"月次予定")</f>
        <v>0</v>
      </c>
      <c r="D62" s="20">
        <f t="shared" si="3"/>
        <v>0</v>
      </c>
      <c r="E62" s="20">
        <f t="shared" si="4"/>
        <v>2044006</v>
      </c>
      <c r="F62" s="21">
        <f>SUMIFS(未払予定一覧!$O$4:$O$830,未払予定一覧!$N$4:$N$830,A62,未払予定一覧!$A$4:$A$830,"ココ・ユニバース",未払予定一覧!$B$4:$B$830,"カード枠回復")</f>
        <v>0</v>
      </c>
      <c r="G62" s="122">
        <f t="shared" si="5"/>
        <v>2044006</v>
      </c>
      <c r="H62" s="123"/>
    </row>
    <row r="63" spans="1:8" ht="15" customHeight="1">
      <c r="A63" s="121">
        <v>46197</v>
      </c>
      <c r="B63" s="20">
        <f>SUMIFS(入金入力!$E$4:$E$580,入金入力!$B$4:$B$580,A63,入金入力!$A$4:$A$580,"ココ・ユニバース")+SUMIFS(入金予測!$E$4:$E$603,入金予測!$A$4:$A$603,A63,入金予測!$B$4:$B$603,"ココ・ユニバース")</f>
        <v>0</v>
      </c>
      <c r="C63" s="20">
        <f>SUMIFS(未払予定一覧!$O$4:$O$830,未払予定一覧!$N$4:$N$830,A63,未払予定一覧!$A$4:$A$830,"ココ・ユニバース",未払予定一覧!$B$4:$B$830,"未払繰越")+SUMIFS(未払予定一覧!$O$4:$O$830,未払予定一覧!$N$4:$N$830,A63,未払予定一覧!$A$4:$A$830,"ココ・ユニバース",未払予定一覧!$B$4:$B$830,"月次予定")</f>
        <v>0</v>
      </c>
      <c r="D63" s="20">
        <f t="shared" si="3"/>
        <v>0</v>
      </c>
      <c r="E63" s="20">
        <f t="shared" si="4"/>
        <v>2044006</v>
      </c>
      <c r="F63" s="21">
        <f>SUMIFS(未払予定一覧!$O$4:$O$830,未払予定一覧!$N$4:$N$830,A63,未払予定一覧!$A$4:$A$830,"ココ・ユニバース",未払予定一覧!$B$4:$B$830,"カード枠回復")</f>
        <v>0</v>
      </c>
      <c r="G63" s="122">
        <f t="shared" si="5"/>
        <v>2044006</v>
      </c>
      <c r="H63" s="123"/>
    </row>
    <row r="64" spans="1:8" ht="15" customHeight="1">
      <c r="A64" s="121">
        <v>46198</v>
      </c>
      <c r="B64" s="20">
        <f>SUMIFS(入金入力!$E$4:$E$580,入金入力!$B$4:$B$580,A64,入金入力!$A$4:$A$580,"ココ・ユニバース")+SUMIFS(入金予測!$E$4:$E$603,入金予測!$A$4:$A$603,A64,入金予測!$B$4:$B$603,"ココ・ユニバース")</f>
        <v>0</v>
      </c>
      <c r="C64" s="20">
        <f>SUMIFS(未払予定一覧!$O$4:$O$830,未払予定一覧!$N$4:$N$830,A64,未払予定一覧!$A$4:$A$830,"ココ・ユニバース",未払予定一覧!$B$4:$B$830,"未払繰越")+SUMIFS(未払予定一覧!$O$4:$O$830,未払予定一覧!$N$4:$N$830,A64,未払予定一覧!$A$4:$A$830,"ココ・ユニバース",未払予定一覧!$B$4:$B$830,"月次予定")</f>
        <v>0</v>
      </c>
      <c r="D64" s="20">
        <f t="shared" si="3"/>
        <v>0</v>
      </c>
      <c r="E64" s="20">
        <f t="shared" si="4"/>
        <v>2044006</v>
      </c>
      <c r="F64" s="21">
        <f>SUMIFS(未払予定一覧!$O$4:$O$830,未払予定一覧!$N$4:$N$830,A64,未払予定一覧!$A$4:$A$830,"ココ・ユニバース",未払予定一覧!$B$4:$B$830,"カード枠回復")</f>
        <v>0</v>
      </c>
      <c r="G64" s="122">
        <f t="shared" si="5"/>
        <v>2044006</v>
      </c>
      <c r="H64" s="123"/>
    </row>
    <row r="65" spans="1:8" ht="15" customHeight="1">
      <c r="A65" s="121">
        <v>46199</v>
      </c>
      <c r="B65" s="20">
        <f>SUMIFS(入金入力!$E$4:$E$580,入金入力!$B$4:$B$580,A65,入金入力!$A$4:$A$580,"ココ・ユニバース")+SUMIFS(入金予測!$E$4:$E$603,入金予測!$A$4:$A$603,A65,入金予測!$B$4:$B$603,"ココ・ユニバース")</f>
        <v>0</v>
      </c>
      <c r="C65" s="20">
        <f>SUMIFS(未払予定一覧!$O$4:$O$830,未払予定一覧!$N$4:$N$830,A65,未払予定一覧!$A$4:$A$830,"ココ・ユニバース",未払予定一覧!$B$4:$B$830,"未払繰越")+SUMIFS(未払予定一覧!$O$4:$O$830,未払予定一覧!$N$4:$N$830,A65,未払予定一覧!$A$4:$A$830,"ココ・ユニバース",未払予定一覧!$B$4:$B$830,"月次予定")</f>
        <v>0</v>
      </c>
      <c r="D65" s="20">
        <f t="shared" si="3"/>
        <v>0</v>
      </c>
      <c r="E65" s="20">
        <f t="shared" si="4"/>
        <v>2044006</v>
      </c>
      <c r="F65" s="21">
        <f>SUMIFS(未払予定一覧!$O$4:$O$830,未払予定一覧!$N$4:$N$830,A65,未払予定一覧!$A$4:$A$830,"ココ・ユニバース",未払予定一覧!$B$4:$B$830,"カード枠回復")</f>
        <v>0</v>
      </c>
      <c r="G65" s="122">
        <f t="shared" si="5"/>
        <v>2044006</v>
      </c>
      <c r="H65" s="123"/>
    </row>
    <row r="66" spans="1:8" ht="15" customHeight="1">
      <c r="A66" s="124">
        <v>46200</v>
      </c>
      <c r="B66" s="20">
        <f>SUMIFS(入金入力!$E$4:$E$580,入金入力!$B$4:$B$580,A66,入金入力!$A$4:$A$580,"ココ・ユニバース")+SUMIFS(入金予測!$E$4:$E$603,入金予測!$A$4:$A$603,A66,入金予測!$B$4:$B$603,"ココ・ユニバース")</f>
        <v>0</v>
      </c>
      <c r="C66" s="20">
        <f>SUMIFS(未払予定一覧!$O$4:$O$830,未払予定一覧!$N$4:$N$830,A66,未払予定一覧!$A$4:$A$830,"ココ・ユニバース",未払予定一覧!$B$4:$B$830,"未払繰越")+SUMIFS(未払予定一覧!$O$4:$O$830,未払予定一覧!$N$4:$N$830,A66,未払予定一覧!$A$4:$A$830,"ココ・ユニバース",未払予定一覧!$B$4:$B$830,"月次予定")</f>
        <v>431020</v>
      </c>
      <c r="D66" s="20">
        <f t="shared" si="3"/>
        <v>-431020</v>
      </c>
      <c r="E66" s="20">
        <f t="shared" si="4"/>
        <v>1612986</v>
      </c>
      <c r="F66" s="21">
        <f>SUMIFS(未払予定一覧!$O$4:$O$830,未払予定一覧!$N$4:$N$830,A66,未払予定一覧!$A$4:$A$830,"ココ・ユニバース",未払予定一覧!$B$4:$B$830,"カード枠回復")</f>
        <v>0</v>
      </c>
      <c r="G66" s="122">
        <f t="shared" si="5"/>
        <v>1612986</v>
      </c>
      <c r="H66" s="125" t="s">
        <v>688</v>
      </c>
    </row>
    <row r="67" spans="1:8" ht="15" customHeight="1">
      <c r="A67" s="126">
        <v>46201</v>
      </c>
      <c r="B67" s="20">
        <f>SUMIFS(入金入力!$E$4:$E$580,入金入力!$B$4:$B$580,A67,入金入力!$A$4:$A$580,"ココ・ユニバース")+SUMIFS(入金予測!$E$4:$E$603,入金予測!$A$4:$A$603,A67,入金予測!$B$4:$B$603,"ココ・ユニバース")</f>
        <v>0</v>
      </c>
      <c r="C67" s="20">
        <f>SUMIFS(未払予定一覧!$O$4:$O$830,未払予定一覧!$N$4:$N$830,A67,未払予定一覧!$A$4:$A$830,"ココ・ユニバース",未払予定一覧!$B$4:$B$830,"未払繰越")+SUMIFS(未払予定一覧!$O$4:$O$830,未払予定一覧!$N$4:$N$830,A67,未払予定一覧!$A$4:$A$830,"ココ・ユニバース",未払予定一覧!$B$4:$B$830,"月次予定")</f>
        <v>0</v>
      </c>
      <c r="D67" s="20">
        <f t="shared" si="3"/>
        <v>0</v>
      </c>
      <c r="E67" s="20">
        <f t="shared" si="4"/>
        <v>1612986</v>
      </c>
      <c r="F67" s="21">
        <f>SUMIFS(未払予定一覧!$O$4:$O$830,未払予定一覧!$N$4:$N$830,A67,未払予定一覧!$A$4:$A$830,"ココ・ユニバース",未払予定一覧!$B$4:$B$830,"カード枠回復")</f>
        <v>0</v>
      </c>
      <c r="G67" s="122">
        <f t="shared" si="5"/>
        <v>1612986</v>
      </c>
      <c r="H67" s="125" t="s">
        <v>689</v>
      </c>
    </row>
    <row r="68" spans="1:8" ht="15" customHeight="1">
      <c r="A68" s="121">
        <v>46202</v>
      </c>
      <c r="B68" s="20">
        <f>SUMIFS(入金入力!$E$4:$E$580,入金入力!$B$4:$B$580,A68,入金入力!$A$4:$A$580,"ココ・ユニバース")+SUMIFS(入金予測!$E$4:$E$603,入金予測!$A$4:$A$603,A68,入金予測!$B$4:$B$603,"ココ・ユニバース")</f>
        <v>0</v>
      </c>
      <c r="C68" s="20">
        <f>SUMIFS(未払予定一覧!$O$4:$O$830,未払予定一覧!$N$4:$N$830,A68,未払予定一覧!$A$4:$A$830,"ココ・ユニバース",未払予定一覧!$B$4:$B$830,"未払繰越")+SUMIFS(未払予定一覧!$O$4:$O$830,未払予定一覧!$N$4:$N$830,A68,未払予定一覧!$A$4:$A$830,"ココ・ユニバース",未払予定一覧!$B$4:$B$830,"月次予定")</f>
        <v>0</v>
      </c>
      <c r="D68" s="20">
        <f t="shared" si="3"/>
        <v>0</v>
      </c>
      <c r="E68" s="20">
        <f t="shared" si="4"/>
        <v>1612986</v>
      </c>
      <c r="F68" s="21">
        <f>SUMIFS(未払予定一覧!$O$4:$O$830,未払予定一覧!$N$4:$N$830,A68,未払予定一覧!$A$4:$A$830,"ココ・ユニバース",未払予定一覧!$B$4:$B$830,"カード枠回復")</f>
        <v>0</v>
      </c>
      <c r="G68" s="122">
        <f t="shared" si="5"/>
        <v>1612986</v>
      </c>
      <c r="H68" s="123"/>
    </row>
    <row r="69" spans="1:8" ht="15" customHeight="1">
      <c r="A69" s="121">
        <v>46203</v>
      </c>
      <c r="B69" s="20">
        <f>SUMIFS(入金入力!$E$4:$E$580,入金入力!$B$4:$B$580,A69,入金入力!$A$4:$A$580,"ココ・ユニバース")+SUMIFS(入金予測!$E$4:$E$603,入金予測!$A$4:$A$603,A69,入金予測!$B$4:$B$603,"ココ・ユニバース")</f>
        <v>0</v>
      </c>
      <c r="C69" s="20">
        <f>SUMIFS(未払予定一覧!$O$4:$O$830,未払予定一覧!$N$4:$N$830,A69,未払予定一覧!$A$4:$A$830,"ココ・ユニバース",未払予定一覧!$B$4:$B$830,"未払繰越")+SUMIFS(未払予定一覧!$O$4:$O$830,未払予定一覧!$N$4:$N$830,A69,未払予定一覧!$A$4:$A$830,"ココ・ユニバース",未払予定一覧!$B$4:$B$830,"月次予定")</f>
        <v>0</v>
      </c>
      <c r="D69" s="20">
        <f t="shared" si="3"/>
        <v>0</v>
      </c>
      <c r="E69" s="20">
        <f t="shared" si="4"/>
        <v>1612986</v>
      </c>
      <c r="F69" s="21">
        <f>SUMIFS(未払予定一覧!$O$4:$O$830,未払予定一覧!$N$4:$N$830,A69,未払予定一覧!$A$4:$A$830,"ココ・ユニバース",未払予定一覧!$B$4:$B$830,"カード枠回復")</f>
        <v>0</v>
      </c>
      <c r="G69" s="122">
        <f t="shared" si="5"/>
        <v>1612986</v>
      </c>
      <c r="H69" s="123"/>
    </row>
    <row r="70" spans="1:8" ht="15" customHeight="1">
      <c r="A70" s="23" t="s">
        <v>693</v>
      </c>
      <c r="B70" s="24">
        <f>SUM(B40:B69)</f>
        <v>3576800</v>
      </c>
      <c r="C70" s="24">
        <f>SUM(C40:C69)</f>
        <v>1115248</v>
      </c>
      <c r="D70" s="24">
        <f t="shared" si="3"/>
        <v>2461552</v>
      </c>
      <c r="E70" s="24">
        <f>E69</f>
        <v>1612986</v>
      </c>
      <c r="F70" s="24">
        <f>SUM(F40:F69)</f>
        <v>0</v>
      </c>
      <c r="G70" s="24">
        <f>G69</f>
        <v>1612986</v>
      </c>
      <c r="H70" s="127" t="s">
        <v>691</v>
      </c>
    </row>
    <row r="72" spans="1:8" ht="14.25" customHeight="1">
      <c r="A72" s="146" t="s">
        <v>694</v>
      </c>
      <c r="B72" s="146"/>
      <c r="C72" s="146"/>
      <c r="D72" s="146"/>
      <c r="E72" s="146"/>
      <c r="F72" s="146"/>
      <c r="G72" s="146"/>
      <c r="H72" s="146"/>
    </row>
    <row r="73" spans="1:8" ht="15" customHeight="1">
      <c r="A73" s="121">
        <v>46204</v>
      </c>
      <c r="B73" s="20">
        <f>SUMIFS(入金入力!$E$4:$E$580,入金入力!$B$4:$B$580,A73,入金入力!$A$4:$A$580,"ココ・ユニバース")+SUMIFS(入金予測!$E$4:$E$603,入金予測!$A$4:$A$603,A73,入金予測!$B$4:$B$603,"ココ・ユニバース")</f>
        <v>0</v>
      </c>
      <c r="C73" s="20">
        <f>SUMIFS(未払予定一覧!$O$4:$O$830,未払予定一覧!$N$4:$N$830,A73,未払予定一覧!$A$4:$A$830,"ココ・ユニバース",未払予定一覧!$B$4:$B$830,"未払繰越")+SUMIFS(未払予定一覧!$O$4:$O$830,未払予定一覧!$N$4:$N$830,A73,未払予定一覧!$A$4:$A$830,"ココ・ユニバース",未払予定一覧!$B$4:$B$830,"月次予定")</f>
        <v>0</v>
      </c>
      <c r="D73" s="20">
        <f t="shared" ref="D73:D104" si="6">B73-C73-F73</f>
        <v>0</v>
      </c>
      <c r="E73" s="20">
        <f>E70+D73</f>
        <v>1612986</v>
      </c>
      <c r="F73" s="21">
        <f>SUMIFS(未払予定一覧!$O$4:$O$830,未払予定一覧!$N$4:$N$830,A73,未払予定一覧!$A$4:$A$830,"ココ・ユニバース",未払予定一覧!$B$4:$B$830,"カード枠回復")</f>
        <v>0</v>
      </c>
      <c r="G73" s="122">
        <f>G70+D73+F73</f>
        <v>1612986</v>
      </c>
      <c r="H73" s="123"/>
    </row>
    <row r="74" spans="1:8" ht="15" customHeight="1">
      <c r="A74" s="121">
        <v>46205</v>
      </c>
      <c r="B74" s="20">
        <f>SUMIFS(入金入力!$E$4:$E$580,入金入力!$B$4:$B$580,A74,入金入力!$A$4:$A$580,"ココ・ユニバース")+SUMIFS(入金予測!$E$4:$E$603,入金予測!$A$4:$A$603,A74,入金予測!$B$4:$B$603,"ココ・ユニバース")</f>
        <v>0</v>
      </c>
      <c r="C74" s="20">
        <f>SUMIFS(未払予定一覧!$O$4:$O$830,未払予定一覧!$N$4:$N$830,A74,未払予定一覧!$A$4:$A$830,"ココ・ユニバース",未払予定一覧!$B$4:$B$830,"未払繰越")+SUMIFS(未払予定一覧!$O$4:$O$830,未払予定一覧!$N$4:$N$830,A74,未払予定一覧!$A$4:$A$830,"ココ・ユニバース",未払予定一覧!$B$4:$B$830,"月次予定")</f>
        <v>0</v>
      </c>
      <c r="D74" s="20">
        <f t="shared" si="6"/>
        <v>0</v>
      </c>
      <c r="E74" s="20">
        <f t="shared" ref="E74:E103" si="7">E73+D74</f>
        <v>1612986</v>
      </c>
      <c r="F74" s="21">
        <f>SUMIFS(未払予定一覧!$O$4:$O$830,未払予定一覧!$N$4:$N$830,A74,未払予定一覧!$A$4:$A$830,"ココ・ユニバース",未払予定一覧!$B$4:$B$830,"カード枠回復")</f>
        <v>0</v>
      </c>
      <c r="G74" s="122">
        <f t="shared" ref="G74:G103" si="8">G73+D74+F74</f>
        <v>1612986</v>
      </c>
      <c r="H74" s="123"/>
    </row>
    <row r="75" spans="1:8" ht="15" customHeight="1">
      <c r="A75" s="121">
        <v>46206</v>
      </c>
      <c r="B75" s="20">
        <f>SUMIFS(入金入力!$E$4:$E$580,入金入力!$B$4:$B$580,A75,入金入力!$A$4:$A$580,"ココ・ユニバース")+SUMIFS(入金予測!$E$4:$E$603,入金予測!$A$4:$A$603,A75,入金予測!$B$4:$B$603,"ココ・ユニバース")</f>
        <v>0</v>
      </c>
      <c r="C75" s="20">
        <f>SUMIFS(未払予定一覧!$O$4:$O$830,未払予定一覧!$N$4:$N$830,A75,未払予定一覧!$A$4:$A$830,"ココ・ユニバース",未払予定一覧!$B$4:$B$830,"未払繰越")+SUMIFS(未払予定一覧!$O$4:$O$830,未払予定一覧!$N$4:$N$830,A75,未払予定一覧!$A$4:$A$830,"ココ・ユニバース",未払予定一覧!$B$4:$B$830,"月次予定")</f>
        <v>0</v>
      </c>
      <c r="D75" s="20">
        <f t="shared" si="6"/>
        <v>0</v>
      </c>
      <c r="E75" s="20">
        <f t="shared" si="7"/>
        <v>1612986</v>
      </c>
      <c r="F75" s="21">
        <f>SUMIFS(未払予定一覧!$O$4:$O$830,未払予定一覧!$N$4:$N$830,A75,未払予定一覧!$A$4:$A$830,"ココ・ユニバース",未払予定一覧!$B$4:$B$830,"カード枠回復")</f>
        <v>0</v>
      </c>
      <c r="G75" s="122">
        <f t="shared" si="8"/>
        <v>1612986</v>
      </c>
      <c r="H75" s="123"/>
    </row>
    <row r="76" spans="1:8" ht="15" customHeight="1">
      <c r="A76" s="124">
        <v>46207</v>
      </c>
      <c r="B76" s="20">
        <f>SUMIFS(入金入力!$E$4:$E$580,入金入力!$B$4:$B$580,A76,入金入力!$A$4:$A$580,"ココ・ユニバース")+SUMIFS(入金予測!$E$4:$E$603,入金予測!$A$4:$A$603,A76,入金予測!$B$4:$B$603,"ココ・ユニバース")</f>
        <v>0</v>
      </c>
      <c r="C76" s="20">
        <f>SUMIFS(未払予定一覧!$O$4:$O$830,未払予定一覧!$N$4:$N$830,A76,未払予定一覧!$A$4:$A$830,"ココ・ユニバース",未払予定一覧!$B$4:$B$830,"未払繰越")+SUMIFS(未払予定一覧!$O$4:$O$830,未払予定一覧!$N$4:$N$830,A76,未払予定一覧!$A$4:$A$830,"ココ・ユニバース",未払予定一覧!$B$4:$B$830,"月次予定")</f>
        <v>0</v>
      </c>
      <c r="D76" s="20">
        <f t="shared" si="6"/>
        <v>0</v>
      </c>
      <c r="E76" s="20">
        <f t="shared" si="7"/>
        <v>1612986</v>
      </c>
      <c r="F76" s="21">
        <f>SUMIFS(未払予定一覧!$O$4:$O$830,未払予定一覧!$N$4:$N$830,A76,未払予定一覧!$A$4:$A$830,"ココ・ユニバース",未払予定一覧!$B$4:$B$830,"カード枠回復")</f>
        <v>0</v>
      </c>
      <c r="G76" s="122">
        <f t="shared" si="8"/>
        <v>1612986</v>
      </c>
      <c r="H76" s="125" t="s">
        <v>688</v>
      </c>
    </row>
    <row r="77" spans="1:8" ht="15" customHeight="1">
      <c r="A77" s="126">
        <v>46208</v>
      </c>
      <c r="B77" s="20">
        <f>SUMIFS(入金入力!$E$4:$E$580,入金入力!$B$4:$B$580,A77,入金入力!$A$4:$A$580,"ココ・ユニバース")+SUMIFS(入金予測!$E$4:$E$603,入金予測!$A$4:$A$603,A77,入金予測!$B$4:$B$603,"ココ・ユニバース")</f>
        <v>0</v>
      </c>
      <c r="C77" s="20">
        <f>SUMIFS(未払予定一覧!$O$4:$O$830,未払予定一覧!$N$4:$N$830,A77,未払予定一覧!$A$4:$A$830,"ココ・ユニバース",未払予定一覧!$B$4:$B$830,"未払繰越")+SUMIFS(未払予定一覧!$O$4:$O$830,未払予定一覧!$N$4:$N$830,A77,未払予定一覧!$A$4:$A$830,"ココ・ユニバース",未払予定一覧!$B$4:$B$830,"月次予定")</f>
        <v>0</v>
      </c>
      <c r="D77" s="20">
        <f t="shared" si="6"/>
        <v>0</v>
      </c>
      <c r="E77" s="20">
        <f t="shared" si="7"/>
        <v>1612986</v>
      </c>
      <c r="F77" s="21">
        <f>SUMIFS(未払予定一覧!$O$4:$O$830,未払予定一覧!$N$4:$N$830,A77,未払予定一覧!$A$4:$A$830,"ココ・ユニバース",未払予定一覧!$B$4:$B$830,"カード枠回復")</f>
        <v>0</v>
      </c>
      <c r="G77" s="122">
        <f t="shared" si="8"/>
        <v>1612986</v>
      </c>
      <c r="H77" s="125" t="s">
        <v>689</v>
      </c>
    </row>
    <row r="78" spans="1:8" ht="15" customHeight="1">
      <c r="A78" s="121">
        <v>46209</v>
      </c>
      <c r="B78" s="20">
        <f>SUMIFS(入金入力!$E$4:$E$580,入金入力!$B$4:$B$580,A78,入金入力!$A$4:$A$580,"ココ・ユニバース")+SUMIFS(入金予測!$E$4:$E$603,入金予測!$A$4:$A$603,A78,入金予測!$B$4:$B$603,"ココ・ユニバース")</f>
        <v>0</v>
      </c>
      <c r="C78" s="20">
        <f>SUMIFS(未払予定一覧!$O$4:$O$830,未払予定一覧!$N$4:$N$830,A78,未払予定一覧!$A$4:$A$830,"ココ・ユニバース",未払予定一覧!$B$4:$B$830,"未払繰越")+SUMIFS(未払予定一覧!$O$4:$O$830,未払予定一覧!$N$4:$N$830,A78,未払予定一覧!$A$4:$A$830,"ココ・ユニバース",未払予定一覧!$B$4:$B$830,"月次予定")</f>
        <v>0</v>
      </c>
      <c r="D78" s="20">
        <f t="shared" si="6"/>
        <v>0</v>
      </c>
      <c r="E78" s="20">
        <f t="shared" si="7"/>
        <v>1612986</v>
      </c>
      <c r="F78" s="21">
        <f>SUMIFS(未払予定一覧!$O$4:$O$830,未払予定一覧!$N$4:$N$830,A78,未払予定一覧!$A$4:$A$830,"ココ・ユニバース",未払予定一覧!$B$4:$B$830,"カード枠回復")</f>
        <v>0</v>
      </c>
      <c r="G78" s="122">
        <f t="shared" si="8"/>
        <v>1612986</v>
      </c>
      <c r="H78" s="123"/>
    </row>
    <row r="79" spans="1:8" ht="15" customHeight="1">
      <c r="A79" s="121">
        <v>46210</v>
      </c>
      <c r="B79" s="20">
        <f>SUMIFS(入金入力!$E$4:$E$580,入金入力!$B$4:$B$580,A79,入金入力!$A$4:$A$580,"ココ・ユニバース")+SUMIFS(入金予測!$E$4:$E$603,入金予測!$A$4:$A$603,A79,入金予測!$B$4:$B$603,"ココ・ユニバース")</f>
        <v>0</v>
      </c>
      <c r="C79" s="20">
        <f>SUMIFS(未払予定一覧!$O$4:$O$830,未払予定一覧!$N$4:$N$830,A79,未払予定一覧!$A$4:$A$830,"ココ・ユニバース",未払予定一覧!$B$4:$B$830,"未払繰越")+SUMIFS(未払予定一覧!$O$4:$O$830,未払予定一覧!$N$4:$N$830,A79,未払予定一覧!$A$4:$A$830,"ココ・ユニバース",未払予定一覧!$B$4:$B$830,"月次予定")</f>
        <v>295799</v>
      </c>
      <c r="D79" s="20">
        <f t="shared" si="6"/>
        <v>-295799</v>
      </c>
      <c r="E79" s="20">
        <f t="shared" si="7"/>
        <v>1317187</v>
      </c>
      <c r="F79" s="21">
        <f>SUMIFS(未払予定一覧!$O$4:$O$830,未払予定一覧!$N$4:$N$830,A79,未払予定一覧!$A$4:$A$830,"ココ・ユニバース",未払予定一覧!$B$4:$B$830,"カード枠回復")</f>
        <v>0</v>
      </c>
      <c r="G79" s="122">
        <f t="shared" si="8"/>
        <v>1317187</v>
      </c>
      <c r="H79" s="123"/>
    </row>
    <row r="80" spans="1:8" ht="15" customHeight="1">
      <c r="A80" s="121">
        <v>46211</v>
      </c>
      <c r="B80" s="20">
        <f>SUMIFS(入金入力!$E$4:$E$580,入金入力!$B$4:$B$580,A80,入金入力!$A$4:$A$580,"ココ・ユニバース")+SUMIFS(入金予測!$E$4:$E$603,入金予測!$A$4:$A$603,A80,入金予測!$B$4:$B$603,"ココ・ユニバース")</f>
        <v>1900000</v>
      </c>
      <c r="C80" s="20">
        <f>SUMIFS(未払予定一覧!$O$4:$O$830,未払予定一覧!$N$4:$N$830,A80,未払予定一覧!$A$4:$A$830,"ココ・ユニバース",未払予定一覧!$B$4:$B$830,"未払繰越")+SUMIFS(未払予定一覧!$O$4:$O$830,未払予定一覧!$N$4:$N$830,A80,未払予定一覧!$A$4:$A$830,"ココ・ユニバース",未払予定一覧!$B$4:$B$830,"月次予定")</f>
        <v>0</v>
      </c>
      <c r="D80" s="20">
        <f t="shared" si="6"/>
        <v>1900000</v>
      </c>
      <c r="E80" s="20">
        <f t="shared" si="7"/>
        <v>3217187</v>
      </c>
      <c r="F80" s="21">
        <f>SUMIFS(未払予定一覧!$O$4:$O$830,未払予定一覧!$N$4:$N$830,A80,未払予定一覧!$A$4:$A$830,"ココ・ユニバース",未払予定一覧!$B$4:$B$830,"カード枠回復")</f>
        <v>0</v>
      </c>
      <c r="G80" s="122">
        <f t="shared" si="8"/>
        <v>3217187</v>
      </c>
      <c r="H80" s="123"/>
    </row>
    <row r="81" spans="1:8" ht="15" customHeight="1">
      <c r="A81" s="121">
        <v>46212</v>
      </c>
      <c r="B81" s="20">
        <f>SUMIFS(入金入力!$E$4:$E$580,入金入力!$B$4:$B$580,A81,入金入力!$A$4:$A$580,"ココ・ユニバース")+SUMIFS(入金予測!$E$4:$E$603,入金予測!$A$4:$A$603,A81,入金予測!$B$4:$B$603,"ココ・ユニバース")</f>
        <v>0</v>
      </c>
      <c r="C81" s="20">
        <f>SUMIFS(未払予定一覧!$O$4:$O$830,未払予定一覧!$N$4:$N$830,A81,未払予定一覧!$A$4:$A$830,"ココ・ユニバース",未払予定一覧!$B$4:$B$830,"未払繰越")+SUMIFS(未払予定一覧!$O$4:$O$830,未払予定一覧!$N$4:$N$830,A81,未払予定一覧!$A$4:$A$830,"ココ・ユニバース",未払予定一覧!$B$4:$B$830,"月次予定")</f>
        <v>0</v>
      </c>
      <c r="D81" s="20">
        <f t="shared" si="6"/>
        <v>0</v>
      </c>
      <c r="E81" s="20">
        <f t="shared" si="7"/>
        <v>3217187</v>
      </c>
      <c r="F81" s="21">
        <f>SUMIFS(未払予定一覧!$O$4:$O$830,未払予定一覧!$N$4:$N$830,A81,未払予定一覧!$A$4:$A$830,"ココ・ユニバース",未払予定一覧!$B$4:$B$830,"カード枠回復")</f>
        <v>0</v>
      </c>
      <c r="G81" s="122">
        <f t="shared" si="8"/>
        <v>3217187</v>
      </c>
      <c r="H81" s="123"/>
    </row>
    <row r="82" spans="1:8" ht="15" customHeight="1">
      <c r="A82" s="121">
        <v>46213</v>
      </c>
      <c r="B82" s="20">
        <f>SUMIFS(入金入力!$E$4:$E$580,入金入力!$B$4:$B$580,A82,入金入力!$A$4:$A$580,"ココ・ユニバース")+SUMIFS(入金予測!$E$4:$E$603,入金予測!$A$4:$A$603,A82,入金予測!$B$4:$B$603,"ココ・ユニバース")</f>
        <v>0</v>
      </c>
      <c r="C82" s="20">
        <f>SUMIFS(未払予定一覧!$O$4:$O$830,未払予定一覧!$N$4:$N$830,A82,未払予定一覧!$A$4:$A$830,"ココ・ユニバース",未払予定一覧!$B$4:$B$830,"未払繰越")+SUMIFS(未払予定一覧!$O$4:$O$830,未払予定一覧!$N$4:$N$830,A82,未払予定一覧!$A$4:$A$830,"ココ・ユニバース",未払予定一覧!$B$4:$B$830,"月次予定")</f>
        <v>0</v>
      </c>
      <c r="D82" s="20">
        <f t="shared" si="6"/>
        <v>0</v>
      </c>
      <c r="E82" s="20">
        <f t="shared" si="7"/>
        <v>3217187</v>
      </c>
      <c r="F82" s="21">
        <f>SUMIFS(未払予定一覧!$O$4:$O$830,未払予定一覧!$N$4:$N$830,A82,未払予定一覧!$A$4:$A$830,"ココ・ユニバース",未払予定一覧!$B$4:$B$830,"カード枠回復")</f>
        <v>0</v>
      </c>
      <c r="G82" s="122">
        <f t="shared" si="8"/>
        <v>3217187</v>
      </c>
      <c r="H82" s="123"/>
    </row>
    <row r="83" spans="1:8" ht="15" customHeight="1">
      <c r="A83" s="124">
        <v>46214</v>
      </c>
      <c r="B83" s="20">
        <f>SUMIFS(入金入力!$E$4:$E$580,入金入力!$B$4:$B$580,A83,入金入力!$A$4:$A$580,"ココ・ユニバース")+SUMIFS(入金予測!$E$4:$E$603,入金予測!$A$4:$A$603,A83,入金予測!$B$4:$B$603,"ココ・ユニバース")</f>
        <v>0</v>
      </c>
      <c r="C83" s="20">
        <f>SUMIFS(未払予定一覧!$O$4:$O$830,未払予定一覧!$N$4:$N$830,A83,未払予定一覧!$A$4:$A$830,"ココ・ユニバース",未払予定一覧!$B$4:$B$830,"未払繰越")+SUMIFS(未払予定一覧!$O$4:$O$830,未払予定一覧!$N$4:$N$830,A83,未払予定一覧!$A$4:$A$830,"ココ・ユニバース",未払予定一覧!$B$4:$B$830,"月次予定")</f>
        <v>0</v>
      </c>
      <c r="D83" s="20">
        <f t="shared" si="6"/>
        <v>0</v>
      </c>
      <c r="E83" s="20">
        <f t="shared" si="7"/>
        <v>3217187</v>
      </c>
      <c r="F83" s="21">
        <f>SUMIFS(未払予定一覧!$O$4:$O$830,未払予定一覧!$N$4:$N$830,A83,未払予定一覧!$A$4:$A$830,"ココ・ユニバース",未払予定一覧!$B$4:$B$830,"カード枠回復")</f>
        <v>0</v>
      </c>
      <c r="G83" s="122">
        <f t="shared" si="8"/>
        <v>3217187</v>
      </c>
      <c r="H83" s="125" t="s">
        <v>688</v>
      </c>
    </row>
    <row r="84" spans="1:8" ht="15" customHeight="1">
      <c r="A84" s="126">
        <v>46215</v>
      </c>
      <c r="B84" s="20">
        <f>SUMIFS(入金入力!$E$4:$E$580,入金入力!$B$4:$B$580,A84,入金入力!$A$4:$A$580,"ココ・ユニバース")+SUMIFS(入金予測!$E$4:$E$603,入金予測!$A$4:$A$603,A84,入金予測!$B$4:$B$603,"ココ・ユニバース")</f>
        <v>0</v>
      </c>
      <c r="C84" s="20">
        <f>SUMIFS(未払予定一覧!$O$4:$O$830,未払予定一覧!$N$4:$N$830,A84,未払予定一覧!$A$4:$A$830,"ココ・ユニバース",未払予定一覧!$B$4:$B$830,"未払繰越")+SUMIFS(未払予定一覧!$O$4:$O$830,未払予定一覧!$N$4:$N$830,A84,未払予定一覧!$A$4:$A$830,"ココ・ユニバース",未払予定一覧!$B$4:$B$830,"月次予定")</f>
        <v>0</v>
      </c>
      <c r="D84" s="20">
        <f t="shared" si="6"/>
        <v>0</v>
      </c>
      <c r="E84" s="20">
        <f t="shared" si="7"/>
        <v>3217187</v>
      </c>
      <c r="F84" s="21">
        <f>SUMIFS(未払予定一覧!$O$4:$O$830,未払予定一覧!$N$4:$N$830,A84,未払予定一覧!$A$4:$A$830,"ココ・ユニバース",未払予定一覧!$B$4:$B$830,"カード枠回復")</f>
        <v>0</v>
      </c>
      <c r="G84" s="122">
        <f t="shared" si="8"/>
        <v>3217187</v>
      </c>
      <c r="H84" s="125" t="s">
        <v>689</v>
      </c>
    </row>
    <row r="85" spans="1:8" ht="15" customHeight="1">
      <c r="A85" s="121">
        <v>46216</v>
      </c>
      <c r="B85" s="20">
        <f>SUMIFS(入金入力!$E$4:$E$580,入金入力!$B$4:$B$580,A85,入金入力!$A$4:$A$580,"ココ・ユニバース")+SUMIFS(入金予測!$E$4:$E$603,入金予測!$A$4:$A$603,A85,入金予測!$B$4:$B$603,"ココ・ユニバース")</f>
        <v>0</v>
      </c>
      <c r="C85" s="20">
        <f>SUMIFS(未払予定一覧!$O$4:$O$830,未払予定一覧!$N$4:$N$830,A85,未払予定一覧!$A$4:$A$830,"ココ・ユニバース",未払予定一覧!$B$4:$B$830,"未払繰越")+SUMIFS(未払予定一覧!$O$4:$O$830,未払予定一覧!$N$4:$N$830,A85,未払予定一覧!$A$4:$A$830,"ココ・ユニバース",未払予定一覧!$B$4:$B$830,"月次予定")</f>
        <v>320000</v>
      </c>
      <c r="D85" s="20">
        <f t="shared" si="6"/>
        <v>-320000</v>
      </c>
      <c r="E85" s="20">
        <f t="shared" si="7"/>
        <v>2897187</v>
      </c>
      <c r="F85" s="21">
        <f>SUMIFS(未払予定一覧!$O$4:$O$830,未払予定一覧!$N$4:$N$830,A85,未払予定一覧!$A$4:$A$830,"ココ・ユニバース",未払予定一覧!$B$4:$B$830,"カード枠回復")</f>
        <v>0</v>
      </c>
      <c r="G85" s="122">
        <f t="shared" si="8"/>
        <v>2897187</v>
      </c>
      <c r="H85" s="123"/>
    </row>
    <row r="86" spans="1:8" ht="15" customHeight="1">
      <c r="A86" s="121">
        <v>46217</v>
      </c>
      <c r="B86" s="20">
        <f>SUMIFS(入金入力!$E$4:$E$580,入金入力!$B$4:$B$580,A86,入金入力!$A$4:$A$580,"ココ・ユニバース")+SUMIFS(入金予測!$E$4:$E$603,入金予測!$A$4:$A$603,A86,入金予測!$B$4:$B$603,"ココ・ユニバース")</f>
        <v>0</v>
      </c>
      <c r="C86" s="20">
        <f>SUMIFS(未払予定一覧!$O$4:$O$830,未払予定一覧!$N$4:$N$830,A86,未払予定一覧!$A$4:$A$830,"ココ・ユニバース",未払予定一覧!$B$4:$B$830,"未払繰越")+SUMIFS(未払予定一覧!$O$4:$O$830,未払予定一覧!$N$4:$N$830,A86,未払予定一覧!$A$4:$A$830,"ココ・ユニバース",未払予定一覧!$B$4:$B$830,"月次予定")</f>
        <v>68429</v>
      </c>
      <c r="D86" s="20">
        <f t="shared" si="6"/>
        <v>-68429</v>
      </c>
      <c r="E86" s="20">
        <f t="shared" si="7"/>
        <v>2828758</v>
      </c>
      <c r="F86" s="21">
        <f>SUMIFS(未払予定一覧!$O$4:$O$830,未払予定一覧!$N$4:$N$830,A86,未払予定一覧!$A$4:$A$830,"ココ・ユニバース",未払予定一覧!$B$4:$B$830,"カード枠回復")</f>
        <v>0</v>
      </c>
      <c r="G86" s="122">
        <f t="shared" si="8"/>
        <v>2828758</v>
      </c>
      <c r="H86" s="123"/>
    </row>
    <row r="87" spans="1:8" ht="15" customHeight="1">
      <c r="A87" s="121">
        <v>46218</v>
      </c>
      <c r="B87" s="20">
        <f>SUMIFS(入金入力!$E$4:$E$580,入金入力!$B$4:$B$580,A87,入金入力!$A$4:$A$580,"ココ・ユニバース")+SUMIFS(入金予測!$E$4:$E$603,入金予測!$A$4:$A$603,A87,入金予測!$B$4:$B$603,"ココ・ユニバース")</f>
        <v>755000</v>
      </c>
      <c r="C87" s="20">
        <f>SUMIFS(未払予定一覧!$O$4:$O$830,未払予定一覧!$N$4:$N$830,A87,未払予定一覧!$A$4:$A$830,"ココ・ユニバース",未払予定一覧!$B$4:$B$830,"未払繰越")+SUMIFS(未払予定一覧!$O$4:$O$830,未払予定一覧!$N$4:$N$830,A87,未払予定一覧!$A$4:$A$830,"ココ・ユニバース",未払予定一覧!$B$4:$B$830,"月次予定")</f>
        <v>0</v>
      </c>
      <c r="D87" s="20">
        <f t="shared" si="6"/>
        <v>755000</v>
      </c>
      <c r="E87" s="20">
        <f t="shared" si="7"/>
        <v>3583758</v>
      </c>
      <c r="F87" s="21">
        <f>SUMIFS(未払予定一覧!$O$4:$O$830,未払予定一覧!$N$4:$N$830,A87,未払予定一覧!$A$4:$A$830,"ココ・ユニバース",未払予定一覧!$B$4:$B$830,"カード枠回復")</f>
        <v>0</v>
      </c>
      <c r="G87" s="122">
        <f t="shared" si="8"/>
        <v>3583758</v>
      </c>
      <c r="H87" s="123"/>
    </row>
    <row r="88" spans="1:8" ht="15" customHeight="1">
      <c r="A88" s="121">
        <v>46219</v>
      </c>
      <c r="B88" s="20">
        <f>SUMIFS(入金入力!$E$4:$E$580,入金入力!$B$4:$B$580,A88,入金入力!$A$4:$A$580,"ココ・ユニバース")+SUMIFS(入金予測!$E$4:$E$603,入金予測!$A$4:$A$603,A88,入金予測!$B$4:$B$603,"ココ・ユニバース")</f>
        <v>0</v>
      </c>
      <c r="C88" s="20">
        <f>SUMIFS(未払予定一覧!$O$4:$O$830,未払予定一覧!$N$4:$N$830,A88,未払予定一覧!$A$4:$A$830,"ココ・ユニバース",未払予定一覧!$B$4:$B$830,"未払繰越")+SUMIFS(未払予定一覧!$O$4:$O$830,未払予定一覧!$N$4:$N$830,A88,未払予定一覧!$A$4:$A$830,"ココ・ユニバース",未払予定一覧!$B$4:$B$830,"月次予定")</f>
        <v>0</v>
      </c>
      <c r="D88" s="20">
        <f t="shared" si="6"/>
        <v>0</v>
      </c>
      <c r="E88" s="20">
        <f t="shared" si="7"/>
        <v>3583758</v>
      </c>
      <c r="F88" s="21">
        <f>SUMIFS(未払予定一覧!$O$4:$O$830,未払予定一覧!$N$4:$N$830,A88,未払予定一覧!$A$4:$A$830,"ココ・ユニバース",未払予定一覧!$B$4:$B$830,"カード枠回復")</f>
        <v>0</v>
      </c>
      <c r="G88" s="122">
        <f t="shared" si="8"/>
        <v>3583758</v>
      </c>
      <c r="H88" s="123"/>
    </row>
    <row r="89" spans="1:8" ht="15" customHeight="1">
      <c r="A89" s="121">
        <v>46220</v>
      </c>
      <c r="B89" s="20">
        <f>SUMIFS(入金入力!$E$4:$E$580,入金入力!$B$4:$B$580,A89,入金入力!$A$4:$A$580,"ココ・ユニバース")+SUMIFS(入金予測!$E$4:$E$603,入金予測!$A$4:$A$603,A89,入金予測!$B$4:$B$603,"ココ・ユニバース")</f>
        <v>0</v>
      </c>
      <c r="C89" s="20">
        <f>SUMIFS(未払予定一覧!$O$4:$O$830,未払予定一覧!$N$4:$N$830,A89,未払予定一覧!$A$4:$A$830,"ココ・ユニバース",未払予定一覧!$B$4:$B$830,"未払繰越")+SUMIFS(未払予定一覧!$O$4:$O$830,未払予定一覧!$N$4:$N$830,A89,未払予定一覧!$A$4:$A$830,"ココ・ユニバース",未払予定一覧!$B$4:$B$830,"月次予定")</f>
        <v>0</v>
      </c>
      <c r="D89" s="20">
        <f t="shared" si="6"/>
        <v>0</v>
      </c>
      <c r="E89" s="20">
        <f t="shared" si="7"/>
        <v>3583758</v>
      </c>
      <c r="F89" s="21">
        <f>SUMIFS(未払予定一覧!$O$4:$O$830,未払予定一覧!$N$4:$N$830,A89,未払予定一覧!$A$4:$A$830,"ココ・ユニバース",未払予定一覧!$B$4:$B$830,"カード枠回復")</f>
        <v>0</v>
      </c>
      <c r="G89" s="122">
        <f t="shared" si="8"/>
        <v>3583758</v>
      </c>
      <c r="H89" s="123"/>
    </row>
    <row r="90" spans="1:8" ht="15" customHeight="1">
      <c r="A90" s="124">
        <v>46221</v>
      </c>
      <c r="B90" s="20">
        <f>SUMIFS(入金入力!$E$4:$E$580,入金入力!$B$4:$B$580,A90,入金入力!$A$4:$A$580,"ココ・ユニバース")+SUMIFS(入金予測!$E$4:$E$603,入金予測!$A$4:$A$603,A90,入金予測!$B$4:$B$603,"ココ・ユニバース")</f>
        <v>0</v>
      </c>
      <c r="C90" s="20">
        <f>SUMIFS(未払予定一覧!$O$4:$O$830,未払予定一覧!$N$4:$N$830,A90,未払予定一覧!$A$4:$A$830,"ココ・ユニバース",未払予定一覧!$B$4:$B$830,"未払繰越")+SUMIFS(未払予定一覧!$O$4:$O$830,未払予定一覧!$N$4:$N$830,A90,未払予定一覧!$A$4:$A$830,"ココ・ユニバース",未払予定一覧!$B$4:$B$830,"月次予定")</f>
        <v>0</v>
      </c>
      <c r="D90" s="20">
        <f t="shared" si="6"/>
        <v>0</v>
      </c>
      <c r="E90" s="20">
        <f t="shared" si="7"/>
        <v>3583758</v>
      </c>
      <c r="F90" s="21">
        <f>SUMIFS(未払予定一覧!$O$4:$O$830,未払予定一覧!$N$4:$N$830,A90,未払予定一覧!$A$4:$A$830,"ココ・ユニバース",未払予定一覧!$B$4:$B$830,"カード枠回復")</f>
        <v>0</v>
      </c>
      <c r="G90" s="122">
        <f t="shared" si="8"/>
        <v>3583758</v>
      </c>
      <c r="H90" s="125" t="s">
        <v>688</v>
      </c>
    </row>
    <row r="91" spans="1:8" ht="15" customHeight="1">
      <c r="A91" s="126">
        <v>46222</v>
      </c>
      <c r="B91" s="20">
        <f>SUMIFS(入金入力!$E$4:$E$580,入金入力!$B$4:$B$580,A91,入金入力!$A$4:$A$580,"ココ・ユニバース")+SUMIFS(入金予測!$E$4:$E$603,入金予測!$A$4:$A$603,A91,入金予測!$B$4:$B$603,"ココ・ユニバース")</f>
        <v>0</v>
      </c>
      <c r="C91" s="20">
        <f>SUMIFS(未払予定一覧!$O$4:$O$830,未払予定一覧!$N$4:$N$830,A91,未払予定一覧!$A$4:$A$830,"ココ・ユニバース",未払予定一覧!$B$4:$B$830,"未払繰越")+SUMIFS(未払予定一覧!$O$4:$O$830,未払予定一覧!$N$4:$N$830,A91,未払予定一覧!$A$4:$A$830,"ココ・ユニバース",未払予定一覧!$B$4:$B$830,"月次予定")</f>
        <v>0</v>
      </c>
      <c r="D91" s="20">
        <f t="shared" si="6"/>
        <v>0</v>
      </c>
      <c r="E91" s="20">
        <f t="shared" si="7"/>
        <v>3583758</v>
      </c>
      <c r="F91" s="21">
        <f>SUMIFS(未払予定一覧!$O$4:$O$830,未払予定一覧!$N$4:$N$830,A91,未払予定一覧!$A$4:$A$830,"ココ・ユニバース",未払予定一覧!$B$4:$B$830,"カード枠回復")</f>
        <v>0</v>
      </c>
      <c r="G91" s="122">
        <f t="shared" si="8"/>
        <v>3583758</v>
      </c>
      <c r="H91" s="125" t="s">
        <v>689</v>
      </c>
    </row>
    <row r="92" spans="1:8" ht="15" customHeight="1">
      <c r="A92" s="121">
        <v>46223</v>
      </c>
      <c r="B92" s="20">
        <f>SUMIFS(入金入力!$E$4:$E$580,入金入力!$B$4:$B$580,A92,入金入力!$A$4:$A$580,"ココ・ユニバース")+SUMIFS(入金予測!$E$4:$E$603,入金予測!$A$4:$A$603,A92,入金予測!$B$4:$B$603,"ココ・ユニバース")</f>
        <v>0</v>
      </c>
      <c r="C92" s="20">
        <f>SUMIFS(未払予定一覧!$O$4:$O$830,未払予定一覧!$N$4:$N$830,A92,未払予定一覧!$A$4:$A$830,"ココ・ユニバース",未払予定一覧!$B$4:$B$830,"未払繰越")+SUMIFS(未払予定一覧!$O$4:$O$830,未払予定一覧!$N$4:$N$830,A92,未払予定一覧!$A$4:$A$830,"ココ・ユニバース",未払予定一覧!$B$4:$B$830,"月次予定")</f>
        <v>0</v>
      </c>
      <c r="D92" s="20">
        <f t="shared" si="6"/>
        <v>0</v>
      </c>
      <c r="E92" s="20">
        <f t="shared" si="7"/>
        <v>3583758</v>
      </c>
      <c r="F92" s="21">
        <f>SUMIFS(未払予定一覧!$O$4:$O$830,未払予定一覧!$N$4:$N$830,A92,未払予定一覧!$A$4:$A$830,"ココ・ユニバース",未払予定一覧!$B$4:$B$830,"カード枠回復")</f>
        <v>0</v>
      </c>
      <c r="G92" s="122">
        <f t="shared" si="8"/>
        <v>3583758</v>
      </c>
      <c r="H92" s="123"/>
    </row>
    <row r="93" spans="1:8" ht="15" customHeight="1">
      <c r="A93" s="121">
        <v>46224</v>
      </c>
      <c r="B93" s="20">
        <f>SUMIFS(入金入力!$E$4:$E$580,入金入力!$B$4:$B$580,A93,入金入力!$A$4:$A$580,"ココ・ユニバース")+SUMIFS(入金予測!$E$4:$E$603,入金予測!$A$4:$A$603,A93,入金予測!$B$4:$B$603,"ココ・ユニバース")</f>
        <v>921800</v>
      </c>
      <c r="C93" s="20">
        <f>SUMIFS(未払予定一覧!$O$4:$O$830,未払予定一覧!$N$4:$N$830,A93,未払予定一覧!$A$4:$A$830,"ココ・ユニバース",未払予定一覧!$B$4:$B$830,"未払繰越")+SUMIFS(未払予定一覧!$O$4:$O$830,未払予定一覧!$N$4:$N$830,A93,未払予定一覧!$A$4:$A$830,"ココ・ユニバース",未払予定一覧!$B$4:$B$830,"月次予定")</f>
        <v>0</v>
      </c>
      <c r="D93" s="20">
        <f t="shared" si="6"/>
        <v>921800</v>
      </c>
      <c r="E93" s="20">
        <f t="shared" si="7"/>
        <v>4505558</v>
      </c>
      <c r="F93" s="21">
        <f>SUMIFS(未払予定一覧!$O$4:$O$830,未払予定一覧!$N$4:$N$830,A93,未払予定一覧!$A$4:$A$830,"ココ・ユニバース",未払予定一覧!$B$4:$B$830,"カード枠回復")</f>
        <v>0</v>
      </c>
      <c r="G93" s="122">
        <f t="shared" si="8"/>
        <v>4505558</v>
      </c>
      <c r="H93" s="123"/>
    </row>
    <row r="94" spans="1:8" ht="15" customHeight="1">
      <c r="A94" s="121">
        <v>46225</v>
      </c>
      <c r="B94" s="20">
        <f>SUMIFS(入金入力!$E$4:$E$580,入金入力!$B$4:$B$580,A94,入金入力!$A$4:$A$580,"ココ・ユニバース")+SUMIFS(入金予測!$E$4:$E$603,入金予測!$A$4:$A$603,A94,入金予測!$B$4:$B$603,"ココ・ユニバース")</f>
        <v>0</v>
      </c>
      <c r="C94" s="20">
        <f>SUMIFS(未払予定一覧!$O$4:$O$830,未払予定一覧!$N$4:$N$830,A94,未払予定一覧!$A$4:$A$830,"ココ・ユニバース",未払予定一覧!$B$4:$B$830,"未払繰越")+SUMIFS(未払予定一覧!$O$4:$O$830,未払予定一覧!$N$4:$N$830,A94,未払予定一覧!$A$4:$A$830,"ココ・ユニバース",未払予定一覧!$B$4:$B$830,"月次予定")</f>
        <v>0</v>
      </c>
      <c r="D94" s="20">
        <f t="shared" si="6"/>
        <v>0</v>
      </c>
      <c r="E94" s="20">
        <f t="shared" si="7"/>
        <v>4505558</v>
      </c>
      <c r="F94" s="21">
        <f>SUMIFS(未払予定一覧!$O$4:$O$830,未払予定一覧!$N$4:$N$830,A94,未払予定一覧!$A$4:$A$830,"ココ・ユニバース",未払予定一覧!$B$4:$B$830,"カード枠回復")</f>
        <v>0</v>
      </c>
      <c r="G94" s="122">
        <f t="shared" si="8"/>
        <v>4505558</v>
      </c>
      <c r="H94" s="123"/>
    </row>
    <row r="95" spans="1:8" ht="15" customHeight="1">
      <c r="A95" s="121">
        <v>46226</v>
      </c>
      <c r="B95" s="20">
        <f>SUMIFS(入金入力!$E$4:$E$580,入金入力!$B$4:$B$580,A95,入金入力!$A$4:$A$580,"ココ・ユニバース")+SUMIFS(入金予測!$E$4:$E$603,入金予測!$A$4:$A$603,A95,入金予測!$B$4:$B$603,"ココ・ユニバース")</f>
        <v>0</v>
      </c>
      <c r="C95" s="20">
        <f>SUMIFS(未払予定一覧!$O$4:$O$830,未払予定一覧!$N$4:$N$830,A95,未払予定一覧!$A$4:$A$830,"ココ・ユニバース",未払予定一覧!$B$4:$B$830,"未払繰越")+SUMIFS(未払予定一覧!$O$4:$O$830,未払予定一覧!$N$4:$N$830,A95,未払予定一覧!$A$4:$A$830,"ココ・ユニバース",未払予定一覧!$B$4:$B$830,"月次予定")</f>
        <v>0</v>
      </c>
      <c r="D95" s="20">
        <f t="shared" si="6"/>
        <v>0</v>
      </c>
      <c r="E95" s="20">
        <f t="shared" si="7"/>
        <v>4505558</v>
      </c>
      <c r="F95" s="21">
        <f>SUMIFS(未払予定一覧!$O$4:$O$830,未払予定一覧!$N$4:$N$830,A95,未払予定一覧!$A$4:$A$830,"ココ・ユニバース",未払予定一覧!$B$4:$B$830,"カード枠回復")</f>
        <v>0</v>
      </c>
      <c r="G95" s="122">
        <f t="shared" si="8"/>
        <v>4505558</v>
      </c>
      <c r="H95" s="123"/>
    </row>
    <row r="96" spans="1:8" ht="15" customHeight="1">
      <c r="A96" s="121">
        <v>46227</v>
      </c>
      <c r="B96" s="20">
        <f>SUMIFS(入金入力!$E$4:$E$580,入金入力!$B$4:$B$580,A96,入金入力!$A$4:$A$580,"ココ・ユニバース")+SUMIFS(入金予測!$E$4:$E$603,入金予測!$A$4:$A$603,A96,入金予測!$B$4:$B$603,"ココ・ユニバース")</f>
        <v>0</v>
      </c>
      <c r="C96" s="20">
        <f>SUMIFS(未払予定一覧!$O$4:$O$830,未払予定一覧!$N$4:$N$830,A96,未払予定一覧!$A$4:$A$830,"ココ・ユニバース",未払予定一覧!$B$4:$B$830,"未払繰越")+SUMIFS(未払予定一覧!$O$4:$O$830,未払予定一覧!$N$4:$N$830,A96,未払予定一覧!$A$4:$A$830,"ココ・ユニバース",未払予定一覧!$B$4:$B$830,"月次予定")</f>
        <v>0</v>
      </c>
      <c r="D96" s="20">
        <f t="shared" si="6"/>
        <v>0</v>
      </c>
      <c r="E96" s="20">
        <f t="shared" si="7"/>
        <v>4505558</v>
      </c>
      <c r="F96" s="21">
        <f>SUMIFS(未払予定一覧!$O$4:$O$830,未払予定一覧!$N$4:$N$830,A96,未払予定一覧!$A$4:$A$830,"ココ・ユニバース",未払予定一覧!$B$4:$B$830,"カード枠回復")</f>
        <v>0</v>
      </c>
      <c r="G96" s="122">
        <f t="shared" si="8"/>
        <v>4505558</v>
      </c>
      <c r="H96" s="123"/>
    </row>
    <row r="97" spans="1:8" ht="15" customHeight="1">
      <c r="A97" s="124">
        <v>46228</v>
      </c>
      <c r="B97" s="20">
        <f>SUMIFS(入金入力!$E$4:$E$580,入金入力!$B$4:$B$580,A97,入金入力!$A$4:$A$580,"ココ・ユニバース")+SUMIFS(入金予測!$E$4:$E$603,入金予測!$A$4:$A$603,A97,入金予測!$B$4:$B$603,"ココ・ユニバース")</f>
        <v>0</v>
      </c>
      <c r="C97" s="20">
        <f>SUMIFS(未払予定一覧!$O$4:$O$830,未払予定一覧!$N$4:$N$830,A97,未払予定一覧!$A$4:$A$830,"ココ・ユニバース",未払予定一覧!$B$4:$B$830,"未払繰越")+SUMIFS(未払予定一覧!$O$4:$O$830,未払予定一覧!$N$4:$N$830,A97,未払予定一覧!$A$4:$A$830,"ココ・ユニバース",未払予定一覧!$B$4:$B$830,"月次予定")</f>
        <v>0</v>
      </c>
      <c r="D97" s="20">
        <f t="shared" si="6"/>
        <v>0</v>
      </c>
      <c r="E97" s="20">
        <f t="shared" si="7"/>
        <v>4505558</v>
      </c>
      <c r="F97" s="21">
        <f>SUMIFS(未払予定一覧!$O$4:$O$830,未払予定一覧!$N$4:$N$830,A97,未払予定一覧!$A$4:$A$830,"ココ・ユニバース",未払予定一覧!$B$4:$B$830,"カード枠回復")</f>
        <v>0</v>
      </c>
      <c r="G97" s="122">
        <f t="shared" si="8"/>
        <v>4505558</v>
      </c>
      <c r="H97" s="125" t="s">
        <v>688</v>
      </c>
    </row>
    <row r="98" spans="1:8" ht="15" customHeight="1">
      <c r="A98" s="126">
        <v>46229</v>
      </c>
      <c r="B98" s="20">
        <f>SUMIFS(入金入力!$E$4:$E$580,入金入力!$B$4:$B$580,A98,入金入力!$A$4:$A$580,"ココ・ユニバース")+SUMIFS(入金予測!$E$4:$E$603,入金予測!$A$4:$A$603,A98,入金予測!$B$4:$B$603,"ココ・ユニバース")</f>
        <v>0</v>
      </c>
      <c r="C98" s="20">
        <f>SUMIFS(未払予定一覧!$O$4:$O$830,未払予定一覧!$N$4:$N$830,A98,未払予定一覧!$A$4:$A$830,"ココ・ユニバース",未払予定一覧!$B$4:$B$830,"未払繰越")+SUMIFS(未払予定一覧!$O$4:$O$830,未払予定一覧!$N$4:$N$830,A98,未払予定一覧!$A$4:$A$830,"ココ・ユニバース",未払予定一覧!$B$4:$B$830,"月次予定")</f>
        <v>0</v>
      </c>
      <c r="D98" s="20">
        <f t="shared" si="6"/>
        <v>0</v>
      </c>
      <c r="E98" s="20">
        <f t="shared" si="7"/>
        <v>4505558</v>
      </c>
      <c r="F98" s="21">
        <f>SUMIFS(未払予定一覧!$O$4:$O$830,未払予定一覧!$N$4:$N$830,A98,未払予定一覧!$A$4:$A$830,"ココ・ユニバース",未払予定一覧!$B$4:$B$830,"カード枠回復")</f>
        <v>0</v>
      </c>
      <c r="G98" s="122">
        <f t="shared" si="8"/>
        <v>4505558</v>
      </c>
      <c r="H98" s="125" t="s">
        <v>689</v>
      </c>
    </row>
    <row r="99" spans="1:8" ht="15" customHeight="1">
      <c r="A99" s="121">
        <v>46230</v>
      </c>
      <c r="B99" s="20">
        <f>SUMIFS(入金入力!$E$4:$E$580,入金入力!$B$4:$B$580,A99,入金入力!$A$4:$A$580,"ココ・ユニバース")+SUMIFS(入金予測!$E$4:$E$603,入金予測!$A$4:$A$603,A99,入金予測!$B$4:$B$603,"ココ・ユニバース")</f>
        <v>0</v>
      </c>
      <c r="C99" s="20">
        <f>SUMIFS(未払予定一覧!$O$4:$O$830,未払予定一覧!$N$4:$N$830,A99,未払予定一覧!$A$4:$A$830,"ココ・ユニバース",未払予定一覧!$B$4:$B$830,"未払繰越")+SUMIFS(未払予定一覧!$O$4:$O$830,未払予定一覧!$N$4:$N$830,A99,未払予定一覧!$A$4:$A$830,"ココ・ユニバース",未払予定一覧!$B$4:$B$830,"月次予定")</f>
        <v>431020</v>
      </c>
      <c r="D99" s="20">
        <f t="shared" si="6"/>
        <v>-431020</v>
      </c>
      <c r="E99" s="20">
        <f t="shared" si="7"/>
        <v>4074538</v>
      </c>
      <c r="F99" s="21">
        <f>SUMIFS(未払予定一覧!$O$4:$O$830,未払予定一覧!$N$4:$N$830,A99,未払予定一覧!$A$4:$A$830,"ココ・ユニバース",未払予定一覧!$B$4:$B$830,"カード枠回復")</f>
        <v>0</v>
      </c>
      <c r="G99" s="122">
        <f t="shared" si="8"/>
        <v>4074538</v>
      </c>
      <c r="H99" s="123"/>
    </row>
    <row r="100" spans="1:8" ht="15" customHeight="1">
      <c r="A100" s="121">
        <v>46231</v>
      </c>
      <c r="B100" s="20">
        <f>SUMIFS(入金入力!$E$4:$E$580,入金入力!$B$4:$B$580,A100,入金入力!$A$4:$A$580,"ココ・ユニバース")+SUMIFS(入金予測!$E$4:$E$603,入金予測!$A$4:$A$603,A100,入金予測!$B$4:$B$603,"ココ・ユニバース")</f>
        <v>0</v>
      </c>
      <c r="C100" s="20">
        <f>SUMIFS(未払予定一覧!$O$4:$O$830,未払予定一覧!$N$4:$N$830,A100,未払予定一覧!$A$4:$A$830,"ココ・ユニバース",未払予定一覧!$B$4:$B$830,"未払繰越")+SUMIFS(未払予定一覧!$O$4:$O$830,未払予定一覧!$N$4:$N$830,A100,未払予定一覧!$A$4:$A$830,"ココ・ユニバース",未払予定一覧!$B$4:$B$830,"月次予定")</f>
        <v>0</v>
      </c>
      <c r="D100" s="20">
        <f t="shared" si="6"/>
        <v>0</v>
      </c>
      <c r="E100" s="20">
        <f t="shared" si="7"/>
        <v>4074538</v>
      </c>
      <c r="F100" s="21">
        <f>SUMIFS(未払予定一覧!$O$4:$O$830,未払予定一覧!$N$4:$N$830,A100,未払予定一覧!$A$4:$A$830,"ココ・ユニバース",未払予定一覧!$B$4:$B$830,"カード枠回復")</f>
        <v>0</v>
      </c>
      <c r="G100" s="122">
        <f t="shared" si="8"/>
        <v>4074538</v>
      </c>
      <c r="H100" s="123"/>
    </row>
    <row r="101" spans="1:8" ht="15" customHeight="1">
      <c r="A101" s="121">
        <v>46232</v>
      </c>
      <c r="B101" s="20">
        <f>SUMIFS(入金入力!$E$4:$E$580,入金入力!$B$4:$B$580,A101,入金入力!$A$4:$A$580,"ココ・ユニバース")+SUMIFS(入金予測!$E$4:$E$603,入金予測!$A$4:$A$603,A101,入金予測!$B$4:$B$603,"ココ・ユニバース")</f>
        <v>0</v>
      </c>
      <c r="C101" s="20">
        <f>SUMIFS(未払予定一覧!$O$4:$O$830,未払予定一覧!$N$4:$N$830,A101,未払予定一覧!$A$4:$A$830,"ココ・ユニバース",未払予定一覧!$B$4:$B$830,"未払繰越")+SUMIFS(未払予定一覧!$O$4:$O$830,未払予定一覧!$N$4:$N$830,A101,未払予定一覧!$A$4:$A$830,"ココ・ユニバース",未払予定一覧!$B$4:$B$830,"月次予定")</f>
        <v>0</v>
      </c>
      <c r="D101" s="20">
        <f t="shared" si="6"/>
        <v>0</v>
      </c>
      <c r="E101" s="20">
        <f t="shared" si="7"/>
        <v>4074538</v>
      </c>
      <c r="F101" s="21">
        <f>SUMIFS(未払予定一覧!$O$4:$O$830,未払予定一覧!$N$4:$N$830,A101,未払予定一覧!$A$4:$A$830,"ココ・ユニバース",未払予定一覧!$B$4:$B$830,"カード枠回復")</f>
        <v>0</v>
      </c>
      <c r="G101" s="122">
        <f t="shared" si="8"/>
        <v>4074538</v>
      </c>
      <c r="H101" s="123"/>
    </row>
    <row r="102" spans="1:8" ht="15" customHeight="1">
      <c r="A102" s="121">
        <v>46233</v>
      </c>
      <c r="B102" s="20">
        <f>SUMIFS(入金入力!$E$4:$E$580,入金入力!$B$4:$B$580,A102,入金入力!$A$4:$A$580,"ココ・ユニバース")+SUMIFS(入金予測!$E$4:$E$603,入金予測!$A$4:$A$603,A102,入金予測!$B$4:$B$603,"ココ・ユニバース")</f>
        <v>0</v>
      </c>
      <c r="C102" s="20">
        <f>SUMIFS(未払予定一覧!$O$4:$O$830,未払予定一覧!$N$4:$N$830,A102,未払予定一覧!$A$4:$A$830,"ココ・ユニバース",未払予定一覧!$B$4:$B$830,"未払繰越")+SUMIFS(未払予定一覧!$O$4:$O$830,未払予定一覧!$N$4:$N$830,A102,未払予定一覧!$A$4:$A$830,"ココ・ユニバース",未払予定一覧!$B$4:$B$830,"月次予定")</f>
        <v>0</v>
      </c>
      <c r="D102" s="20">
        <f t="shared" si="6"/>
        <v>0</v>
      </c>
      <c r="E102" s="20">
        <f t="shared" si="7"/>
        <v>4074538</v>
      </c>
      <c r="F102" s="21">
        <f>SUMIFS(未払予定一覧!$O$4:$O$830,未払予定一覧!$N$4:$N$830,A102,未払予定一覧!$A$4:$A$830,"ココ・ユニバース",未払予定一覧!$B$4:$B$830,"カード枠回復")</f>
        <v>0</v>
      </c>
      <c r="G102" s="122">
        <f t="shared" si="8"/>
        <v>4074538</v>
      </c>
      <c r="H102" s="123"/>
    </row>
    <row r="103" spans="1:8" ht="15" customHeight="1">
      <c r="A103" s="121">
        <v>46234</v>
      </c>
      <c r="B103" s="20">
        <f>SUMIFS(入金入力!$E$4:$E$580,入金入力!$B$4:$B$580,A103,入金入力!$A$4:$A$580,"ココ・ユニバース")+SUMIFS(入金予測!$E$4:$E$603,入金予測!$A$4:$A$603,A103,入金予測!$B$4:$B$603,"ココ・ユニバース")</f>
        <v>0</v>
      </c>
      <c r="C103" s="20">
        <f>SUMIFS(未払予定一覧!$O$4:$O$830,未払予定一覧!$N$4:$N$830,A103,未払予定一覧!$A$4:$A$830,"ココ・ユニバース",未払予定一覧!$B$4:$B$830,"未払繰越")+SUMIFS(未払予定一覧!$O$4:$O$830,未払予定一覧!$N$4:$N$830,A103,未払予定一覧!$A$4:$A$830,"ココ・ユニバース",未払予定一覧!$B$4:$B$830,"月次予定")</f>
        <v>0</v>
      </c>
      <c r="D103" s="20">
        <f t="shared" si="6"/>
        <v>0</v>
      </c>
      <c r="E103" s="20">
        <f t="shared" si="7"/>
        <v>4074538</v>
      </c>
      <c r="F103" s="21">
        <f>SUMIFS(未払予定一覧!$O$4:$O$830,未払予定一覧!$N$4:$N$830,A103,未払予定一覧!$A$4:$A$830,"ココ・ユニバース",未払予定一覧!$B$4:$B$830,"カード枠回復")</f>
        <v>0</v>
      </c>
      <c r="G103" s="122">
        <f t="shared" si="8"/>
        <v>4074538</v>
      </c>
      <c r="H103" s="123"/>
    </row>
    <row r="104" spans="1:8" ht="15" customHeight="1">
      <c r="A104" s="23" t="s">
        <v>695</v>
      </c>
      <c r="B104" s="24">
        <f>SUM(B73:B103)</f>
        <v>3576800</v>
      </c>
      <c r="C104" s="24">
        <f>SUM(C73:C103)</f>
        <v>1115248</v>
      </c>
      <c r="D104" s="24">
        <f t="shared" si="6"/>
        <v>2461552</v>
      </c>
      <c r="E104" s="24">
        <f>E103</f>
        <v>4074538</v>
      </c>
      <c r="F104" s="24">
        <f>SUM(F73:F103)</f>
        <v>0</v>
      </c>
      <c r="G104" s="24">
        <f>G103</f>
        <v>4074538</v>
      </c>
      <c r="H104" s="127" t="s">
        <v>691</v>
      </c>
    </row>
    <row r="106" spans="1:8" ht="14.25" customHeight="1">
      <c r="A106" s="146" t="s">
        <v>696</v>
      </c>
      <c r="B106" s="146"/>
      <c r="C106" s="146"/>
      <c r="D106" s="146"/>
      <c r="E106" s="146"/>
      <c r="F106" s="146"/>
      <c r="G106" s="146"/>
      <c r="H106" s="146"/>
    </row>
    <row r="107" spans="1:8" ht="15" customHeight="1">
      <c r="A107" s="124">
        <v>46235</v>
      </c>
      <c r="B107" s="20">
        <f>SUMIFS(入金入力!$E$4:$E$580,入金入力!$B$4:$B$580,A107,入金入力!$A$4:$A$580,"ココ・ユニバース")+SUMIFS(入金予測!$E$4:$E$603,入金予測!$A$4:$A$603,A107,入金予測!$B$4:$B$603,"ココ・ユニバース")</f>
        <v>0</v>
      </c>
      <c r="C107" s="20">
        <f>SUMIFS(未払予定一覧!$O$4:$O$830,未払予定一覧!$N$4:$N$830,A107,未払予定一覧!$A$4:$A$830,"ココ・ユニバース",未払予定一覧!$B$4:$B$830,"未払繰越")+SUMIFS(未払予定一覧!$O$4:$O$830,未払予定一覧!$N$4:$N$830,A107,未払予定一覧!$A$4:$A$830,"ココ・ユニバース",未払予定一覧!$B$4:$B$830,"月次予定")</f>
        <v>0</v>
      </c>
      <c r="D107" s="20">
        <f t="shared" ref="D107:D138" si="9">B107-C107-F107</f>
        <v>0</v>
      </c>
      <c r="E107" s="20">
        <f>E104+D107</f>
        <v>4074538</v>
      </c>
      <c r="F107" s="21">
        <f>SUMIFS(未払予定一覧!$O$4:$O$830,未払予定一覧!$N$4:$N$830,A107,未払予定一覧!$A$4:$A$830,"ココ・ユニバース",未払予定一覧!$B$4:$B$830,"カード枠回復")</f>
        <v>0</v>
      </c>
      <c r="G107" s="122">
        <f>G104+D107+F107</f>
        <v>4074538</v>
      </c>
      <c r="H107" s="125" t="s">
        <v>688</v>
      </c>
    </row>
    <row r="108" spans="1:8" ht="15" customHeight="1">
      <c r="A108" s="126">
        <v>46236</v>
      </c>
      <c r="B108" s="20">
        <f>SUMIFS(入金入力!$E$4:$E$580,入金入力!$B$4:$B$580,A108,入金入力!$A$4:$A$580,"ココ・ユニバース")+SUMIFS(入金予測!$E$4:$E$603,入金予測!$A$4:$A$603,A108,入金予測!$B$4:$B$603,"ココ・ユニバース")</f>
        <v>0</v>
      </c>
      <c r="C108" s="20">
        <f>SUMIFS(未払予定一覧!$O$4:$O$830,未払予定一覧!$N$4:$N$830,A108,未払予定一覧!$A$4:$A$830,"ココ・ユニバース",未払予定一覧!$B$4:$B$830,"未払繰越")+SUMIFS(未払予定一覧!$O$4:$O$830,未払予定一覧!$N$4:$N$830,A108,未払予定一覧!$A$4:$A$830,"ココ・ユニバース",未払予定一覧!$B$4:$B$830,"月次予定")</f>
        <v>0</v>
      </c>
      <c r="D108" s="20">
        <f t="shared" si="9"/>
        <v>0</v>
      </c>
      <c r="E108" s="20">
        <f t="shared" ref="E108:E137" si="10">E107+D108</f>
        <v>4074538</v>
      </c>
      <c r="F108" s="21">
        <f>SUMIFS(未払予定一覧!$O$4:$O$830,未払予定一覧!$N$4:$N$830,A108,未払予定一覧!$A$4:$A$830,"ココ・ユニバース",未払予定一覧!$B$4:$B$830,"カード枠回復")</f>
        <v>0</v>
      </c>
      <c r="G108" s="122">
        <f t="shared" ref="G108:G137" si="11">G107+D108+F108</f>
        <v>4074538</v>
      </c>
      <c r="H108" s="125" t="s">
        <v>689</v>
      </c>
    </row>
    <row r="109" spans="1:8" ht="15" customHeight="1">
      <c r="A109" s="121">
        <v>46237</v>
      </c>
      <c r="B109" s="20">
        <f>SUMIFS(入金入力!$E$4:$E$580,入金入力!$B$4:$B$580,A109,入金入力!$A$4:$A$580,"ココ・ユニバース")+SUMIFS(入金予測!$E$4:$E$603,入金予測!$A$4:$A$603,A109,入金予測!$B$4:$B$603,"ココ・ユニバース")</f>
        <v>0</v>
      </c>
      <c r="C109" s="20">
        <f>SUMIFS(未払予定一覧!$O$4:$O$830,未払予定一覧!$N$4:$N$830,A109,未払予定一覧!$A$4:$A$830,"ココ・ユニバース",未払予定一覧!$B$4:$B$830,"未払繰越")+SUMIFS(未払予定一覧!$O$4:$O$830,未払予定一覧!$N$4:$N$830,A109,未払予定一覧!$A$4:$A$830,"ココ・ユニバース",未払予定一覧!$B$4:$B$830,"月次予定")</f>
        <v>0</v>
      </c>
      <c r="D109" s="20">
        <f t="shared" si="9"/>
        <v>0</v>
      </c>
      <c r="E109" s="20">
        <f t="shared" si="10"/>
        <v>4074538</v>
      </c>
      <c r="F109" s="21">
        <f>SUMIFS(未払予定一覧!$O$4:$O$830,未払予定一覧!$N$4:$N$830,A109,未払予定一覧!$A$4:$A$830,"ココ・ユニバース",未払予定一覧!$B$4:$B$830,"カード枠回復")</f>
        <v>0</v>
      </c>
      <c r="G109" s="122">
        <f t="shared" si="11"/>
        <v>4074538</v>
      </c>
      <c r="H109" s="123"/>
    </row>
    <row r="110" spans="1:8" ht="15" customHeight="1">
      <c r="A110" s="121">
        <v>46238</v>
      </c>
      <c r="B110" s="20">
        <f>SUMIFS(入金入力!$E$4:$E$580,入金入力!$B$4:$B$580,A110,入金入力!$A$4:$A$580,"ココ・ユニバース")+SUMIFS(入金予測!$E$4:$E$603,入金予測!$A$4:$A$603,A110,入金予測!$B$4:$B$603,"ココ・ユニバース")</f>
        <v>0</v>
      </c>
      <c r="C110" s="20">
        <f>SUMIFS(未払予定一覧!$O$4:$O$830,未払予定一覧!$N$4:$N$830,A110,未払予定一覧!$A$4:$A$830,"ココ・ユニバース",未払予定一覧!$B$4:$B$830,"未払繰越")+SUMIFS(未払予定一覧!$O$4:$O$830,未払予定一覧!$N$4:$N$830,A110,未払予定一覧!$A$4:$A$830,"ココ・ユニバース",未払予定一覧!$B$4:$B$830,"月次予定")</f>
        <v>0</v>
      </c>
      <c r="D110" s="20">
        <f t="shared" si="9"/>
        <v>0</v>
      </c>
      <c r="E110" s="20">
        <f t="shared" si="10"/>
        <v>4074538</v>
      </c>
      <c r="F110" s="21">
        <f>SUMIFS(未払予定一覧!$O$4:$O$830,未払予定一覧!$N$4:$N$830,A110,未払予定一覧!$A$4:$A$830,"ココ・ユニバース",未払予定一覧!$B$4:$B$830,"カード枠回復")</f>
        <v>0</v>
      </c>
      <c r="G110" s="122">
        <f t="shared" si="11"/>
        <v>4074538</v>
      </c>
      <c r="H110" s="123"/>
    </row>
    <row r="111" spans="1:8" ht="15" customHeight="1">
      <c r="A111" s="121">
        <v>46239</v>
      </c>
      <c r="B111" s="20">
        <f>SUMIFS(入金入力!$E$4:$E$580,入金入力!$B$4:$B$580,A111,入金入力!$A$4:$A$580,"ココ・ユニバース")+SUMIFS(入金予測!$E$4:$E$603,入金予測!$A$4:$A$603,A111,入金予測!$B$4:$B$603,"ココ・ユニバース")</f>
        <v>0</v>
      </c>
      <c r="C111" s="20">
        <f>SUMIFS(未払予定一覧!$O$4:$O$830,未払予定一覧!$N$4:$N$830,A111,未払予定一覧!$A$4:$A$830,"ココ・ユニバース",未払予定一覧!$B$4:$B$830,"未払繰越")+SUMIFS(未払予定一覧!$O$4:$O$830,未払予定一覧!$N$4:$N$830,A111,未払予定一覧!$A$4:$A$830,"ココ・ユニバース",未払予定一覧!$B$4:$B$830,"月次予定")</f>
        <v>0</v>
      </c>
      <c r="D111" s="20">
        <f t="shared" si="9"/>
        <v>0</v>
      </c>
      <c r="E111" s="20">
        <f t="shared" si="10"/>
        <v>4074538</v>
      </c>
      <c r="F111" s="21">
        <f>SUMIFS(未払予定一覧!$O$4:$O$830,未払予定一覧!$N$4:$N$830,A111,未払予定一覧!$A$4:$A$830,"ココ・ユニバース",未払予定一覧!$B$4:$B$830,"カード枠回復")</f>
        <v>0</v>
      </c>
      <c r="G111" s="122">
        <f t="shared" si="11"/>
        <v>4074538</v>
      </c>
      <c r="H111" s="123"/>
    </row>
    <row r="112" spans="1:8" ht="15" customHeight="1">
      <c r="A112" s="121">
        <v>46240</v>
      </c>
      <c r="B112" s="20">
        <f>SUMIFS(入金入力!$E$4:$E$580,入金入力!$B$4:$B$580,A112,入金入力!$A$4:$A$580,"ココ・ユニバース")+SUMIFS(入金予測!$E$4:$E$603,入金予測!$A$4:$A$603,A112,入金予測!$B$4:$B$603,"ココ・ユニバース")</f>
        <v>0</v>
      </c>
      <c r="C112" s="20">
        <f>SUMIFS(未払予定一覧!$O$4:$O$830,未払予定一覧!$N$4:$N$830,A112,未払予定一覧!$A$4:$A$830,"ココ・ユニバース",未払予定一覧!$B$4:$B$830,"未払繰越")+SUMIFS(未払予定一覧!$O$4:$O$830,未払予定一覧!$N$4:$N$830,A112,未払予定一覧!$A$4:$A$830,"ココ・ユニバース",未払予定一覧!$B$4:$B$830,"月次予定")</f>
        <v>0</v>
      </c>
      <c r="D112" s="20">
        <f t="shared" si="9"/>
        <v>0</v>
      </c>
      <c r="E112" s="20">
        <f t="shared" si="10"/>
        <v>4074538</v>
      </c>
      <c r="F112" s="21">
        <f>SUMIFS(未払予定一覧!$O$4:$O$830,未払予定一覧!$N$4:$N$830,A112,未払予定一覧!$A$4:$A$830,"ココ・ユニバース",未払予定一覧!$B$4:$B$830,"カード枠回復")</f>
        <v>0</v>
      </c>
      <c r="G112" s="122">
        <f t="shared" si="11"/>
        <v>4074538</v>
      </c>
      <c r="H112" s="123"/>
    </row>
    <row r="113" spans="1:8" ht="15" customHeight="1">
      <c r="A113" s="121">
        <v>46241</v>
      </c>
      <c r="B113" s="20">
        <f>SUMIFS(入金入力!$E$4:$E$580,入金入力!$B$4:$B$580,A113,入金入力!$A$4:$A$580,"ココ・ユニバース")+SUMIFS(入金予測!$E$4:$E$603,入金予測!$A$4:$A$603,A113,入金予測!$B$4:$B$603,"ココ・ユニバース")</f>
        <v>0</v>
      </c>
      <c r="C113" s="20">
        <f>SUMIFS(未払予定一覧!$O$4:$O$830,未払予定一覧!$N$4:$N$830,A113,未払予定一覧!$A$4:$A$830,"ココ・ユニバース",未払予定一覧!$B$4:$B$830,"未払繰越")+SUMIFS(未払予定一覧!$O$4:$O$830,未払予定一覧!$N$4:$N$830,A113,未払予定一覧!$A$4:$A$830,"ココ・ユニバース",未払予定一覧!$B$4:$B$830,"月次予定")</f>
        <v>295799</v>
      </c>
      <c r="D113" s="20">
        <f t="shared" si="9"/>
        <v>-295799</v>
      </c>
      <c r="E113" s="20">
        <f t="shared" si="10"/>
        <v>3778739</v>
      </c>
      <c r="F113" s="21">
        <f>SUMIFS(未払予定一覧!$O$4:$O$830,未払予定一覧!$N$4:$N$830,A113,未払予定一覧!$A$4:$A$830,"ココ・ユニバース",未払予定一覧!$B$4:$B$830,"カード枠回復")</f>
        <v>0</v>
      </c>
      <c r="G113" s="122">
        <f t="shared" si="11"/>
        <v>3778739</v>
      </c>
      <c r="H113" s="123"/>
    </row>
    <row r="114" spans="1:8" ht="15" customHeight="1">
      <c r="A114" s="124">
        <v>46242</v>
      </c>
      <c r="B114" s="20">
        <f>SUMIFS(入金入力!$E$4:$E$580,入金入力!$B$4:$B$580,A114,入金入力!$A$4:$A$580,"ココ・ユニバース")+SUMIFS(入金予測!$E$4:$E$603,入金予測!$A$4:$A$603,A114,入金予測!$B$4:$B$603,"ココ・ユニバース")</f>
        <v>1900000</v>
      </c>
      <c r="C114" s="20">
        <f>SUMIFS(未払予定一覧!$O$4:$O$830,未払予定一覧!$N$4:$N$830,A114,未払予定一覧!$A$4:$A$830,"ココ・ユニバース",未払予定一覧!$B$4:$B$830,"未払繰越")+SUMIFS(未払予定一覧!$O$4:$O$830,未払予定一覧!$N$4:$N$830,A114,未払予定一覧!$A$4:$A$830,"ココ・ユニバース",未払予定一覧!$B$4:$B$830,"月次予定")</f>
        <v>0</v>
      </c>
      <c r="D114" s="20">
        <f t="shared" si="9"/>
        <v>1900000</v>
      </c>
      <c r="E114" s="20">
        <f t="shared" si="10"/>
        <v>5678739</v>
      </c>
      <c r="F114" s="21">
        <f>SUMIFS(未払予定一覧!$O$4:$O$830,未払予定一覧!$N$4:$N$830,A114,未払予定一覧!$A$4:$A$830,"ココ・ユニバース",未払予定一覧!$B$4:$B$830,"カード枠回復")</f>
        <v>0</v>
      </c>
      <c r="G114" s="122">
        <f t="shared" si="11"/>
        <v>5678739</v>
      </c>
      <c r="H114" s="125" t="s">
        <v>688</v>
      </c>
    </row>
    <row r="115" spans="1:8" ht="15" customHeight="1">
      <c r="A115" s="126">
        <v>46243</v>
      </c>
      <c r="B115" s="20">
        <f>SUMIFS(入金入力!$E$4:$E$580,入金入力!$B$4:$B$580,A115,入金入力!$A$4:$A$580,"ココ・ユニバース")+SUMIFS(入金予測!$E$4:$E$603,入金予測!$A$4:$A$603,A115,入金予測!$B$4:$B$603,"ココ・ユニバース")</f>
        <v>0</v>
      </c>
      <c r="C115" s="20">
        <f>SUMIFS(未払予定一覧!$O$4:$O$830,未払予定一覧!$N$4:$N$830,A115,未払予定一覧!$A$4:$A$830,"ココ・ユニバース",未払予定一覧!$B$4:$B$830,"未払繰越")+SUMIFS(未払予定一覧!$O$4:$O$830,未払予定一覧!$N$4:$N$830,A115,未払予定一覧!$A$4:$A$830,"ココ・ユニバース",未払予定一覧!$B$4:$B$830,"月次予定")</f>
        <v>0</v>
      </c>
      <c r="D115" s="20">
        <f t="shared" si="9"/>
        <v>0</v>
      </c>
      <c r="E115" s="20">
        <f t="shared" si="10"/>
        <v>5678739</v>
      </c>
      <c r="F115" s="21">
        <f>SUMIFS(未払予定一覧!$O$4:$O$830,未払予定一覧!$N$4:$N$830,A115,未払予定一覧!$A$4:$A$830,"ココ・ユニバース",未払予定一覧!$B$4:$B$830,"カード枠回復")</f>
        <v>0</v>
      </c>
      <c r="G115" s="122">
        <f t="shared" si="11"/>
        <v>5678739</v>
      </c>
      <c r="H115" s="125" t="s">
        <v>689</v>
      </c>
    </row>
    <row r="116" spans="1:8" ht="15" customHeight="1">
      <c r="A116" s="121">
        <v>46244</v>
      </c>
      <c r="B116" s="20">
        <f>SUMIFS(入金入力!$E$4:$E$580,入金入力!$B$4:$B$580,A116,入金入力!$A$4:$A$580,"ココ・ユニバース")+SUMIFS(入金予測!$E$4:$E$603,入金予測!$A$4:$A$603,A116,入金予測!$B$4:$B$603,"ココ・ユニバース")</f>
        <v>0</v>
      </c>
      <c r="C116" s="20">
        <f>SUMIFS(未払予定一覧!$O$4:$O$830,未払予定一覧!$N$4:$N$830,A116,未払予定一覧!$A$4:$A$830,"ココ・ユニバース",未払予定一覧!$B$4:$B$830,"未払繰越")+SUMIFS(未払予定一覧!$O$4:$O$830,未払予定一覧!$N$4:$N$830,A116,未払予定一覧!$A$4:$A$830,"ココ・ユニバース",未払予定一覧!$B$4:$B$830,"月次予定")</f>
        <v>0</v>
      </c>
      <c r="D116" s="20">
        <f t="shared" si="9"/>
        <v>0</v>
      </c>
      <c r="E116" s="20">
        <f t="shared" si="10"/>
        <v>5678739</v>
      </c>
      <c r="F116" s="21">
        <f>SUMIFS(未払予定一覧!$O$4:$O$830,未払予定一覧!$N$4:$N$830,A116,未払予定一覧!$A$4:$A$830,"ココ・ユニバース",未払予定一覧!$B$4:$B$830,"カード枠回復")</f>
        <v>0</v>
      </c>
      <c r="G116" s="122">
        <f t="shared" si="11"/>
        <v>5678739</v>
      </c>
      <c r="H116" s="123"/>
    </row>
    <row r="117" spans="1:8" ht="15" customHeight="1">
      <c r="A117" s="121">
        <v>46245</v>
      </c>
      <c r="B117" s="20">
        <f>SUMIFS(入金入力!$E$4:$E$580,入金入力!$B$4:$B$580,A117,入金入力!$A$4:$A$580,"ココ・ユニバース")+SUMIFS(入金予測!$E$4:$E$603,入金予測!$A$4:$A$603,A117,入金予測!$B$4:$B$603,"ココ・ユニバース")</f>
        <v>0</v>
      </c>
      <c r="C117" s="20">
        <f>SUMIFS(未払予定一覧!$O$4:$O$830,未払予定一覧!$N$4:$N$830,A117,未払予定一覧!$A$4:$A$830,"ココ・ユニバース",未払予定一覧!$B$4:$B$830,"未払繰越")+SUMIFS(未払予定一覧!$O$4:$O$830,未払予定一覧!$N$4:$N$830,A117,未払予定一覧!$A$4:$A$830,"ココ・ユニバース",未払予定一覧!$B$4:$B$830,"月次予定")</f>
        <v>0</v>
      </c>
      <c r="D117" s="20">
        <f t="shared" si="9"/>
        <v>0</v>
      </c>
      <c r="E117" s="20">
        <f t="shared" si="10"/>
        <v>5678739</v>
      </c>
      <c r="F117" s="21">
        <f>SUMIFS(未払予定一覧!$O$4:$O$830,未払予定一覧!$N$4:$N$830,A117,未払予定一覧!$A$4:$A$830,"ココ・ユニバース",未払予定一覧!$B$4:$B$830,"カード枠回復")</f>
        <v>0</v>
      </c>
      <c r="G117" s="122">
        <f t="shared" si="11"/>
        <v>5678739</v>
      </c>
      <c r="H117" s="123"/>
    </row>
    <row r="118" spans="1:8" ht="15" customHeight="1">
      <c r="A118" s="121">
        <v>46246</v>
      </c>
      <c r="B118" s="20">
        <f>SUMIFS(入金入力!$E$4:$E$580,入金入力!$B$4:$B$580,A118,入金入力!$A$4:$A$580,"ココ・ユニバース")+SUMIFS(入金予測!$E$4:$E$603,入金予測!$A$4:$A$603,A118,入金予測!$B$4:$B$603,"ココ・ユニバース")</f>
        <v>0</v>
      </c>
      <c r="C118" s="20">
        <f>SUMIFS(未払予定一覧!$O$4:$O$830,未払予定一覧!$N$4:$N$830,A118,未払予定一覧!$A$4:$A$830,"ココ・ユニバース",未払予定一覧!$B$4:$B$830,"未払繰越")+SUMIFS(未払予定一覧!$O$4:$O$830,未払予定一覧!$N$4:$N$830,A118,未払予定一覧!$A$4:$A$830,"ココ・ユニバース",未払予定一覧!$B$4:$B$830,"月次予定")</f>
        <v>0</v>
      </c>
      <c r="D118" s="20">
        <f t="shared" si="9"/>
        <v>0</v>
      </c>
      <c r="E118" s="20">
        <f t="shared" si="10"/>
        <v>5678739</v>
      </c>
      <c r="F118" s="21">
        <f>SUMIFS(未払予定一覧!$O$4:$O$830,未払予定一覧!$N$4:$N$830,A118,未払予定一覧!$A$4:$A$830,"ココ・ユニバース",未払予定一覧!$B$4:$B$830,"カード枠回復")</f>
        <v>0</v>
      </c>
      <c r="G118" s="122">
        <f t="shared" si="11"/>
        <v>5678739</v>
      </c>
      <c r="H118" s="123"/>
    </row>
    <row r="119" spans="1:8" ht="15" customHeight="1">
      <c r="A119" s="121">
        <v>46247</v>
      </c>
      <c r="B119" s="20">
        <f>SUMIFS(入金入力!$E$4:$E$580,入金入力!$B$4:$B$580,A119,入金入力!$A$4:$A$580,"ココ・ユニバース")+SUMIFS(入金予測!$E$4:$E$603,入金予測!$A$4:$A$603,A119,入金予測!$B$4:$B$603,"ココ・ユニバース")</f>
        <v>0</v>
      </c>
      <c r="C119" s="20">
        <f>SUMIFS(未払予定一覧!$O$4:$O$830,未払予定一覧!$N$4:$N$830,A119,未払予定一覧!$A$4:$A$830,"ココ・ユニバース",未払予定一覧!$B$4:$B$830,"未払繰越")+SUMIFS(未払予定一覧!$O$4:$O$830,未払予定一覧!$N$4:$N$830,A119,未払予定一覧!$A$4:$A$830,"ココ・ユニバース",未払予定一覧!$B$4:$B$830,"月次予定")</f>
        <v>320000</v>
      </c>
      <c r="D119" s="20">
        <f t="shared" si="9"/>
        <v>-320000</v>
      </c>
      <c r="E119" s="20">
        <f t="shared" si="10"/>
        <v>5358739</v>
      </c>
      <c r="F119" s="21">
        <f>SUMIFS(未払予定一覧!$O$4:$O$830,未払予定一覧!$N$4:$N$830,A119,未払予定一覧!$A$4:$A$830,"ココ・ユニバース",未払予定一覧!$B$4:$B$830,"カード枠回復")</f>
        <v>0</v>
      </c>
      <c r="G119" s="122">
        <f t="shared" si="11"/>
        <v>5358739</v>
      </c>
      <c r="H119" s="123"/>
    </row>
    <row r="120" spans="1:8" ht="15" customHeight="1">
      <c r="A120" s="121">
        <v>46248</v>
      </c>
      <c r="B120" s="20">
        <f>SUMIFS(入金入力!$E$4:$E$580,入金入力!$B$4:$B$580,A120,入金入力!$A$4:$A$580,"ココ・ユニバース")+SUMIFS(入金予測!$E$4:$E$603,入金予測!$A$4:$A$603,A120,入金予測!$B$4:$B$603,"ココ・ユニバース")</f>
        <v>0</v>
      </c>
      <c r="C120" s="20">
        <f>SUMIFS(未払予定一覧!$O$4:$O$830,未払予定一覧!$N$4:$N$830,A120,未払予定一覧!$A$4:$A$830,"ココ・ユニバース",未払予定一覧!$B$4:$B$830,"未払繰越")+SUMIFS(未払予定一覧!$O$4:$O$830,未払予定一覧!$N$4:$N$830,A120,未払予定一覧!$A$4:$A$830,"ココ・ユニバース",未払予定一覧!$B$4:$B$830,"月次予定")</f>
        <v>68429</v>
      </c>
      <c r="D120" s="20">
        <f t="shared" si="9"/>
        <v>-68429</v>
      </c>
      <c r="E120" s="20">
        <f t="shared" si="10"/>
        <v>5290310</v>
      </c>
      <c r="F120" s="21">
        <f>SUMIFS(未払予定一覧!$O$4:$O$830,未払予定一覧!$N$4:$N$830,A120,未払予定一覧!$A$4:$A$830,"ココ・ユニバース",未払予定一覧!$B$4:$B$830,"カード枠回復")</f>
        <v>0</v>
      </c>
      <c r="G120" s="122">
        <f t="shared" si="11"/>
        <v>5290310</v>
      </c>
      <c r="H120" s="123"/>
    </row>
    <row r="121" spans="1:8" ht="15" customHeight="1">
      <c r="A121" s="124">
        <v>46249</v>
      </c>
      <c r="B121" s="20">
        <f>SUMIFS(入金入力!$E$4:$E$580,入金入力!$B$4:$B$580,A121,入金入力!$A$4:$A$580,"ココ・ユニバース")+SUMIFS(入金予測!$E$4:$E$603,入金予測!$A$4:$A$603,A121,入金予測!$B$4:$B$603,"ココ・ユニバース")</f>
        <v>755000</v>
      </c>
      <c r="C121" s="20">
        <f>SUMIFS(未払予定一覧!$O$4:$O$830,未払予定一覧!$N$4:$N$830,A121,未払予定一覧!$A$4:$A$830,"ココ・ユニバース",未払予定一覧!$B$4:$B$830,"未払繰越")+SUMIFS(未払予定一覧!$O$4:$O$830,未払予定一覧!$N$4:$N$830,A121,未払予定一覧!$A$4:$A$830,"ココ・ユニバース",未払予定一覧!$B$4:$B$830,"月次予定")</f>
        <v>0</v>
      </c>
      <c r="D121" s="20">
        <f t="shared" si="9"/>
        <v>755000</v>
      </c>
      <c r="E121" s="20">
        <f t="shared" si="10"/>
        <v>6045310</v>
      </c>
      <c r="F121" s="21">
        <f>SUMIFS(未払予定一覧!$O$4:$O$830,未払予定一覧!$N$4:$N$830,A121,未払予定一覧!$A$4:$A$830,"ココ・ユニバース",未払予定一覧!$B$4:$B$830,"カード枠回復")</f>
        <v>0</v>
      </c>
      <c r="G121" s="122">
        <f t="shared" si="11"/>
        <v>6045310</v>
      </c>
      <c r="H121" s="125" t="s">
        <v>688</v>
      </c>
    </row>
    <row r="122" spans="1:8" ht="15" customHeight="1">
      <c r="A122" s="126">
        <v>46250</v>
      </c>
      <c r="B122" s="20">
        <f>SUMIFS(入金入力!$E$4:$E$580,入金入力!$B$4:$B$580,A122,入金入力!$A$4:$A$580,"ココ・ユニバース")+SUMIFS(入金予測!$E$4:$E$603,入金予測!$A$4:$A$603,A122,入金予測!$B$4:$B$603,"ココ・ユニバース")</f>
        <v>0</v>
      </c>
      <c r="C122" s="20">
        <f>SUMIFS(未払予定一覧!$O$4:$O$830,未払予定一覧!$N$4:$N$830,A122,未払予定一覧!$A$4:$A$830,"ココ・ユニバース",未払予定一覧!$B$4:$B$830,"未払繰越")+SUMIFS(未払予定一覧!$O$4:$O$830,未払予定一覧!$N$4:$N$830,A122,未払予定一覧!$A$4:$A$830,"ココ・ユニバース",未払予定一覧!$B$4:$B$830,"月次予定")</f>
        <v>0</v>
      </c>
      <c r="D122" s="20">
        <f t="shared" si="9"/>
        <v>0</v>
      </c>
      <c r="E122" s="20">
        <f t="shared" si="10"/>
        <v>6045310</v>
      </c>
      <c r="F122" s="21">
        <f>SUMIFS(未払予定一覧!$O$4:$O$830,未払予定一覧!$N$4:$N$830,A122,未払予定一覧!$A$4:$A$830,"ココ・ユニバース",未払予定一覧!$B$4:$B$830,"カード枠回復")</f>
        <v>0</v>
      </c>
      <c r="G122" s="122">
        <f t="shared" si="11"/>
        <v>6045310</v>
      </c>
      <c r="H122" s="125" t="s">
        <v>689</v>
      </c>
    </row>
    <row r="123" spans="1:8" ht="15" customHeight="1">
      <c r="A123" s="121">
        <v>46251</v>
      </c>
      <c r="B123" s="20">
        <f>SUMIFS(入金入力!$E$4:$E$580,入金入力!$B$4:$B$580,A123,入金入力!$A$4:$A$580,"ココ・ユニバース")+SUMIFS(入金予測!$E$4:$E$603,入金予測!$A$4:$A$603,A123,入金予測!$B$4:$B$603,"ココ・ユニバース")</f>
        <v>0</v>
      </c>
      <c r="C123" s="20">
        <f>SUMIFS(未払予定一覧!$O$4:$O$830,未払予定一覧!$N$4:$N$830,A123,未払予定一覧!$A$4:$A$830,"ココ・ユニバース",未払予定一覧!$B$4:$B$830,"未払繰越")+SUMIFS(未払予定一覧!$O$4:$O$830,未払予定一覧!$N$4:$N$830,A123,未払予定一覧!$A$4:$A$830,"ココ・ユニバース",未払予定一覧!$B$4:$B$830,"月次予定")</f>
        <v>0</v>
      </c>
      <c r="D123" s="20">
        <f t="shared" si="9"/>
        <v>0</v>
      </c>
      <c r="E123" s="20">
        <f t="shared" si="10"/>
        <v>6045310</v>
      </c>
      <c r="F123" s="21">
        <f>SUMIFS(未払予定一覧!$O$4:$O$830,未払予定一覧!$N$4:$N$830,A123,未払予定一覧!$A$4:$A$830,"ココ・ユニバース",未払予定一覧!$B$4:$B$830,"カード枠回復")</f>
        <v>0</v>
      </c>
      <c r="G123" s="122">
        <f t="shared" si="11"/>
        <v>6045310</v>
      </c>
      <c r="H123" s="123"/>
    </row>
    <row r="124" spans="1:8" ht="15" customHeight="1">
      <c r="A124" s="121">
        <v>46252</v>
      </c>
      <c r="B124" s="20">
        <f>SUMIFS(入金入力!$E$4:$E$580,入金入力!$B$4:$B$580,A124,入金入力!$A$4:$A$580,"ココ・ユニバース")+SUMIFS(入金予測!$E$4:$E$603,入金予測!$A$4:$A$603,A124,入金予測!$B$4:$B$603,"ココ・ユニバース")</f>
        <v>0</v>
      </c>
      <c r="C124" s="20">
        <f>SUMIFS(未払予定一覧!$O$4:$O$830,未払予定一覧!$N$4:$N$830,A124,未払予定一覧!$A$4:$A$830,"ココ・ユニバース",未払予定一覧!$B$4:$B$830,"未払繰越")+SUMIFS(未払予定一覧!$O$4:$O$830,未払予定一覧!$N$4:$N$830,A124,未払予定一覧!$A$4:$A$830,"ココ・ユニバース",未払予定一覧!$B$4:$B$830,"月次予定")</f>
        <v>0</v>
      </c>
      <c r="D124" s="20">
        <f t="shared" si="9"/>
        <v>0</v>
      </c>
      <c r="E124" s="20">
        <f t="shared" si="10"/>
        <v>6045310</v>
      </c>
      <c r="F124" s="21">
        <f>SUMIFS(未払予定一覧!$O$4:$O$830,未払予定一覧!$N$4:$N$830,A124,未払予定一覧!$A$4:$A$830,"ココ・ユニバース",未払予定一覧!$B$4:$B$830,"カード枠回復")</f>
        <v>0</v>
      </c>
      <c r="G124" s="122">
        <f t="shared" si="11"/>
        <v>6045310</v>
      </c>
      <c r="H124" s="123"/>
    </row>
    <row r="125" spans="1:8" ht="15" customHeight="1">
      <c r="A125" s="121">
        <v>46253</v>
      </c>
      <c r="B125" s="20">
        <f>SUMIFS(入金入力!$E$4:$E$580,入金入力!$B$4:$B$580,A125,入金入力!$A$4:$A$580,"ココ・ユニバース")+SUMIFS(入金予測!$E$4:$E$603,入金予測!$A$4:$A$603,A125,入金予測!$B$4:$B$603,"ココ・ユニバース")</f>
        <v>0</v>
      </c>
      <c r="C125" s="20">
        <f>SUMIFS(未払予定一覧!$O$4:$O$830,未払予定一覧!$N$4:$N$830,A125,未払予定一覧!$A$4:$A$830,"ココ・ユニバース",未払予定一覧!$B$4:$B$830,"未払繰越")+SUMIFS(未払予定一覧!$O$4:$O$830,未払予定一覧!$N$4:$N$830,A125,未払予定一覧!$A$4:$A$830,"ココ・ユニバース",未払予定一覧!$B$4:$B$830,"月次予定")</f>
        <v>0</v>
      </c>
      <c r="D125" s="20">
        <f t="shared" si="9"/>
        <v>0</v>
      </c>
      <c r="E125" s="20">
        <f t="shared" si="10"/>
        <v>6045310</v>
      </c>
      <c r="F125" s="21">
        <f>SUMIFS(未払予定一覧!$O$4:$O$830,未払予定一覧!$N$4:$N$830,A125,未払予定一覧!$A$4:$A$830,"ココ・ユニバース",未払予定一覧!$B$4:$B$830,"カード枠回復")</f>
        <v>0</v>
      </c>
      <c r="G125" s="122">
        <f t="shared" si="11"/>
        <v>6045310</v>
      </c>
      <c r="H125" s="123"/>
    </row>
    <row r="126" spans="1:8" ht="15" customHeight="1">
      <c r="A126" s="121">
        <v>46254</v>
      </c>
      <c r="B126" s="20">
        <f>SUMIFS(入金入力!$E$4:$E$580,入金入力!$B$4:$B$580,A126,入金入力!$A$4:$A$580,"ココ・ユニバース")+SUMIFS(入金予測!$E$4:$E$603,入金予測!$A$4:$A$603,A126,入金予測!$B$4:$B$603,"ココ・ユニバース")</f>
        <v>0</v>
      </c>
      <c r="C126" s="20">
        <f>SUMIFS(未払予定一覧!$O$4:$O$830,未払予定一覧!$N$4:$N$830,A126,未払予定一覧!$A$4:$A$830,"ココ・ユニバース",未払予定一覧!$B$4:$B$830,"未払繰越")+SUMIFS(未払予定一覧!$O$4:$O$830,未払予定一覧!$N$4:$N$830,A126,未払予定一覧!$A$4:$A$830,"ココ・ユニバース",未払予定一覧!$B$4:$B$830,"月次予定")</f>
        <v>0</v>
      </c>
      <c r="D126" s="20">
        <f t="shared" si="9"/>
        <v>0</v>
      </c>
      <c r="E126" s="20">
        <f t="shared" si="10"/>
        <v>6045310</v>
      </c>
      <c r="F126" s="21">
        <f>SUMIFS(未払予定一覧!$O$4:$O$830,未払予定一覧!$N$4:$N$830,A126,未払予定一覧!$A$4:$A$830,"ココ・ユニバース",未払予定一覧!$B$4:$B$830,"カード枠回復")</f>
        <v>0</v>
      </c>
      <c r="G126" s="122">
        <f t="shared" si="11"/>
        <v>6045310</v>
      </c>
      <c r="H126" s="123"/>
    </row>
    <row r="127" spans="1:8" ht="15" customHeight="1">
      <c r="A127" s="121">
        <v>46255</v>
      </c>
      <c r="B127" s="20">
        <f>SUMIFS(入金入力!$E$4:$E$580,入金入力!$B$4:$B$580,A127,入金入力!$A$4:$A$580,"ココ・ユニバース")+SUMIFS(入金予測!$E$4:$E$603,入金予測!$A$4:$A$603,A127,入金予測!$B$4:$B$603,"ココ・ユニバース")</f>
        <v>921800</v>
      </c>
      <c r="C127" s="20">
        <f>SUMIFS(未払予定一覧!$O$4:$O$830,未払予定一覧!$N$4:$N$830,A127,未払予定一覧!$A$4:$A$830,"ココ・ユニバース",未払予定一覧!$B$4:$B$830,"未払繰越")+SUMIFS(未払予定一覧!$O$4:$O$830,未払予定一覧!$N$4:$N$830,A127,未払予定一覧!$A$4:$A$830,"ココ・ユニバース",未払予定一覧!$B$4:$B$830,"月次予定")</f>
        <v>0</v>
      </c>
      <c r="D127" s="20">
        <f t="shared" si="9"/>
        <v>921800</v>
      </c>
      <c r="E127" s="20">
        <f t="shared" si="10"/>
        <v>6967110</v>
      </c>
      <c r="F127" s="21">
        <f>SUMIFS(未払予定一覧!$O$4:$O$830,未払予定一覧!$N$4:$N$830,A127,未払予定一覧!$A$4:$A$830,"ココ・ユニバース",未払予定一覧!$B$4:$B$830,"カード枠回復")</f>
        <v>0</v>
      </c>
      <c r="G127" s="122">
        <f t="shared" si="11"/>
        <v>6967110</v>
      </c>
      <c r="H127" s="123"/>
    </row>
    <row r="128" spans="1:8" ht="15" customHeight="1">
      <c r="A128" s="124">
        <v>46256</v>
      </c>
      <c r="B128" s="20">
        <f>SUMIFS(入金入力!$E$4:$E$580,入金入力!$B$4:$B$580,A128,入金入力!$A$4:$A$580,"ココ・ユニバース")+SUMIFS(入金予測!$E$4:$E$603,入金予測!$A$4:$A$603,A128,入金予測!$B$4:$B$603,"ココ・ユニバース")</f>
        <v>0</v>
      </c>
      <c r="C128" s="20">
        <f>SUMIFS(未払予定一覧!$O$4:$O$830,未払予定一覧!$N$4:$N$830,A128,未払予定一覧!$A$4:$A$830,"ココ・ユニバース",未払予定一覧!$B$4:$B$830,"未払繰越")+SUMIFS(未払予定一覧!$O$4:$O$830,未払予定一覧!$N$4:$N$830,A128,未払予定一覧!$A$4:$A$830,"ココ・ユニバース",未払予定一覧!$B$4:$B$830,"月次予定")</f>
        <v>0</v>
      </c>
      <c r="D128" s="20">
        <f t="shared" si="9"/>
        <v>0</v>
      </c>
      <c r="E128" s="20">
        <f t="shared" si="10"/>
        <v>6967110</v>
      </c>
      <c r="F128" s="21">
        <f>SUMIFS(未払予定一覧!$O$4:$O$830,未払予定一覧!$N$4:$N$830,A128,未払予定一覧!$A$4:$A$830,"ココ・ユニバース",未払予定一覧!$B$4:$B$830,"カード枠回復")</f>
        <v>0</v>
      </c>
      <c r="G128" s="122">
        <f t="shared" si="11"/>
        <v>6967110</v>
      </c>
      <c r="H128" s="125" t="s">
        <v>688</v>
      </c>
    </row>
    <row r="129" spans="1:8" ht="15" customHeight="1">
      <c r="A129" s="126">
        <v>46257</v>
      </c>
      <c r="B129" s="20">
        <f>SUMIFS(入金入力!$E$4:$E$580,入金入力!$B$4:$B$580,A129,入金入力!$A$4:$A$580,"ココ・ユニバース")+SUMIFS(入金予測!$E$4:$E$603,入金予測!$A$4:$A$603,A129,入金予測!$B$4:$B$603,"ココ・ユニバース")</f>
        <v>0</v>
      </c>
      <c r="C129" s="20">
        <f>SUMIFS(未払予定一覧!$O$4:$O$830,未払予定一覧!$N$4:$N$830,A129,未払予定一覧!$A$4:$A$830,"ココ・ユニバース",未払予定一覧!$B$4:$B$830,"未払繰越")+SUMIFS(未払予定一覧!$O$4:$O$830,未払予定一覧!$N$4:$N$830,A129,未払予定一覧!$A$4:$A$830,"ココ・ユニバース",未払予定一覧!$B$4:$B$830,"月次予定")</f>
        <v>0</v>
      </c>
      <c r="D129" s="20">
        <f t="shared" si="9"/>
        <v>0</v>
      </c>
      <c r="E129" s="20">
        <f t="shared" si="10"/>
        <v>6967110</v>
      </c>
      <c r="F129" s="21">
        <f>SUMIFS(未払予定一覧!$O$4:$O$830,未払予定一覧!$N$4:$N$830,A129,未払予定一覧!$A$4:$A$830,"ココ・ユニバース",未払予定一覧!$B$4:$B$830,"カード枠回復")</f>
        <v>0</v>
      </c>
      <c r="G129" s="122">
        <f t="shared" si="11"/>
        <v>6967110</v>
      </c>
      <c r="H129" s="125" t="s">
        <v>689</v>
      </c>
    </row>
    <row r="130" spans="1:8" ht="15" customHeight="1">
      <c r="A130" s="121">
        <v>46258</v>
      </c>
      <c r="B130" s="20">
        <f>SUMIFS(入金入力!$E$4:$E$580,入金入力!$B$4:$B$580,A130,入金入力!$A$4:$A$580,"ココ・ユニバース")+SUMIFS(入金予測!$E$4:$E$603,入金予測!$A$4:$A$603,A130,入金予測!$B$4:$B$603,"ココ・ユニバース")</f>
        <v>0</v>
      </c>
      <c r="C130" s="20">
        <f>SUMIFS(未払予定一覧!$O$4:$O$830,未払予定一覧!$N$4:$N$830,A130,未払予定一覧!$A$4:$A$830,"ココ・ユニバース",未払予定一覧!$B$4:$B$830,"未払繰越")+SUMIFS(未払予定一覧!$O$4:$O$830,未払予定一覧!$N$4:$N$830,A130,未払予定一覧!$A$4:$A$830,"ココ・ユニバース",未払予定一覧!$B$4:$B$830,"月次予定")</f>
        <v>0</v>
      </c>
      <c r="D130" s="20">
        <f t="shared" si="9"/>
        <v>0</v>
      </c>
      <c r="E130" s="20">
        <f t="shared" si="10"/>
        <v>6967110</v>
      </c>
      <c r="F130" s="21">
        <f>SUMIFS(未払予定一覧!$O$4:$O$830,未払予定一覧!$N$4:$N$830,A130,未払予定一覧!$A$4:$A$830,"ココ・ユニバース",未払予定一覧!$B$4:$B$830,"カード枠回復")</f>
        <v>0</v>
      </c>
      <c r="G130" s="122">
        <f t="shared" si="11"/>
        <v>6967110</v>
      </c>
      <c r="H130" s="123"/>
    </row>
    <row r="131" spans="1:8" ht="15" customHeight="1">
      <c r="A131" s="121">
        <v>46259</v>
      </c>
      <c r="B131" s="20">
        <f>SUMIFS(入金入力!$E$4:$E$580,入金入力!$B$4:$B$580,A131,入金入力!$A$4:$A$580,"ココ・ユニバース")+SUMIFS(入金予測!$E$4:$E$603,入金予測!$A$4:$A$603,A131,入金予測!$B$4:$B$603,"ココ・ユニバース")</f>
        <v>0</v>
      </c>
      <c r="C131" s="20">
        <f>SUMIFS(未払予定一覧!$O$4:$O$830,未払予定一覧!$N$4:$N$830,A131,未払予定一覧!$A$4:$A$830,"ココ・ユニバース",未払予定一覧!$B$4:$B$830,"未払繰越")+SUMIFS(未払予定一覧!$O$4:$O$830,未払予定一覧!$N$4:$N$830,A131,未払予定一覧!$A$4:$A$830,"ココ・ユニバース",未払予定一覧!$B$4:$B$830,"月次予定")</f>
        <v>0</v>
      </c>
      <c r="D131" s="20">
        <f t="shared" si="9"/>
        <v>0</v>
      </c>
      <c r="E131" s="20">
        <f t="shared" si="10"/>
        <v>6967110</v>
      </c>
      <c r="F131" s="21">
        <f>SUMIFS(未払予定一覧!$O$4:$O$830,未払予定一覧!$N$4:$N$830,A131,未払予定一覧!$A$4:$A$830,"ココ・ユニバース",未払予定一覧!$B$4:$B$830,"カード枠回復")</f>
        <v>0</v>
      </c>
      <c r="G131" s="122">
        <f t="shared" si="11"/>
        <v>6967110</v>
      </c>
      <c r="H131" s="123"/>
    </row>
    <row r="132" spans="1:8" ht="15" customHeight="1">
      <c r="A132" s="121">
        <v>46260</v>
      </c>
      <c r="B132" s="20">
        <f>SUMIFS(入金入力!$E$4:$E$580,入金入力!$B$4:$B$580,A132,入金入力!$A$4:$A$580,"ココ・ユニバース")+SUMIFS(入金予測!$E$4:$E$603,入金予測!$A$4:$A$603,A132,入金予測!$B$4:$B$603,"ココ・ユニバース")</f>
        <v>0</v>
      </c>
      <c r="C132" s="20">
        <f>SUMIFS(未払予定一覧!$O$4:$O$830,未払予定一覧!$N$4:$N$830,A132,未払予定一覧!$A$4:$A$830,"ココ・ユニバース",未払予定一覧!$B$4:$B$830,"未払繰越")+SUMIFS(未払予定一覧!$O$4:$O$830,未払予定一覧!$N$4:$N$830,A132,未払予定一覧!$A$4:$A$830,"ココ・ユニバース",未払予定一覧!$B$4:$B$830,"月次予定")</f>
        <v>0</v>
      </c>
      <c r="D132" s="20">
        <f t="shared" si="9"/>
        <v>0</v>
      </c>
      <c r="E132" s="20">
        <f t="shared" si="10"/>
        <v>6967110</v>
      </c>
      <c r="F132" s="21">
        <f>SUMIFS(未払予定一覧!$O$4:$O$830,未払予定一覧!$N$4:$N$830,A132,未払予定一覧!$A$4:$A$830,"ココ・ユニバース",未払予定一覧!$B$4:$B$830,"カード枠回復")</f>
        <v>0</v>
      </c>
      <c r="G132" s="122">
        <f t="shared" si="11"/>
        <v>6967110</v>
      </c>
      <c r="H132" s="123"/>
    </row>
    <row r="133" spans="1:8" ht="15" customHeight="1">
      <c r="A133" s="121">
        <v>46261</v>
      </c>
      <c r="B133" s="20">
        <f>SUMIFS(入金入力!$E$4:$E$580,入金入力!$B$4:$B$580,A133,入金入力!$A$4:$A$580,"ココ・ユニバース")+SUMIFS(入金予測!$E$4:$E$603,入金予測!$A$4:$A$603,A133,入金予測!$B$4:$B$603,"ココ・ユニバース")</f>
        <v>0</v>
      </c>
      <c r="C133" s="20">
        <f>SUMIFS(未払予定一覧!$O$4:$O$830,未払予定一覧!$N$4:$N$830,A133,未払予定一覧!$A$4:$A$830,"ココ・ユニバース",未払予定一覧!$B$4:$B$830,"未払繰越")+SUMIFS(未払予定一覧!$O$4:$O$830,未払予定一覧!$N$4:$N$830,A133,未払予定一覧!$A$4:$A$830,"ココ・ユニバース",未払予定一覧!$B$4:$B$830,"月次予定")</f>
        <v>431020</v>
      </c>
      <c r="D133" s="20">
        <f t="shared" si="9"/>
        <v>-431020</v>
      </c>
      <c r="E133" s="20">
        <f t="shared" si="10"/>
        <v>6536090</v>
      </c>
      <c r="F133" s="21">
        <f>SUMIFS(未払予定一覧!$O$4:$O$830,未払予定一覧!$N$4:$N$830,A133,未払予定一覧!$A$4:$A$830,"ココ・ユニバース",未払予定一覧!$B$4:$B$830,"カード枠回復")</f>
        <v>0</v>
      </c>
      <c r="G133" s="122">
        <f t="shared" si="11"/>
        <v>6536090</v>
      </c>
      <c r="H133" s="123"/>
    </row>
    <row r="134" spans="1:8" ht="15" customHeight="1">
      <c r="A134" s="121">
        <v>46262</v>
      </c>
      <c r="B134" s="20">
        <f>SUMIFS(入金入力!$E$4:$E$580,入金入力!$B$4:$B$580,A134,入金入力!$A$4:$A$580,"ココ・ユニバース")+SUMIFS(入金予測!$E$4:$E$603,入金予測!$A$4:$A$603,A134,入金予測!$B$4:$B$603,"ココ・ユニバース")</f>
        <v>0</v>
      </c>
      <c r="C134" s="20">
        <f>SUMIFS(未払予定一覧!$O$4:$O$830,未払予定一覧!$N$4:$N$830,A134,未払予定一覧!$A$4:$A$830,"ココ・ユニバース",未払予定一覧!$B$4:$B$830,"未払繰越")+SUMIFS(未払予定一覧!$O$4:$O$830,未払予定一覧!$N$4:$N$830,A134,未払予定一覧!$A$4:$A$830,"ココ・ユニバース",未払予定一覧!$B$4:$B$830,"月次予定")</f>
        <v>0</v>
      </c>
      <c r="D134" s="20">
        <f t="shared" si="9"/>
        <v>0</v>
      </c>
      <c r="E134" s="20">
        <f t="shared" si="10"/>
        <v>6536090</v>
      </c>
      <c r="F134" s="21">
        <f>SUMIFS(未払予定一覧!$O$4:$O$830,未払予定一覧!$N$4:$N$830,A134,未払予定一覧!$A$4:$A$830,"ココ・ユニバース",未払予定一覧!$B$4:$B$830,"カード枠回復")</f>
        <v>0</v>
      </c>
      <c r="G134" s="122">
        <f t="shared" si="11"/>
        <v>6536090</v>
      </c>
      <c r="H134" s="123"/>
    </row>
    <row r="135" spans="1:8" ht="15" customHeight="1">
      <c r="A135" s="124">
        <v>46263</v>
      </c>
      <c r="B135" s="20">
        <f>SUMIFS(入金入力!$E$4:$E$580,入金入力!$B$4:$B$580,A135,入金入力!$A$4:$A$580,"ココ・ユニバース")+SUMIFS(入金予測!$E$4:$E$603,入金予測!$A$4:$A$603,A135,入金予測!$B$4:$B$603,"ココ・ユニバース")</f>
        <v>0</v>
      </c>
      <c r="C135" s="20">
        <f>SUMIFS(未払予定一覧!$O$4:$O$830,未払予定一覧!$N$4:$N$830,A135,未払予定一覧!$A$4:$A$830,"ココ・ユニバース",未払予定一覧!$B$4:$B$830,"未払繰越")+SUMIFS(未払予定一覧!$O$4:$O$830,未払予定一覧!$N$4:$N$830,A135,未払予定一覧!$A$4:$A$830,"ココ・ユニバース",未払予定一覧!$B$4:$B$830,"月次予定")</f>
        <v>0</v>
      </c>
      <c r="D135" s="20">
        <f t="shared" si="9"/>
        <v>0</v>
      </c>
      <c r="E135" s="20">
        <f t="shared" si="10"/>
        <v>6536090</v>
      </c>
      <c r="F135" s="21">
        <f>SUMIFS(未払予定一覧!$O$4:$O$830,未払予定一覧!$N$4:$N$830,A135,未払予定一覧!$A$4:$A$830,"ココ・ユニバース",未払予定一覧!$B$4:$B$830,"カード枠回復")</f>
        <v>0</v>
      </c>
      <c r="G135" s="122">
        <f t="shared" si="11"/>
        <v>6536090</v>
      </c>
      <c r="H135" s="125" t="s">
        <v>688</v>
      </c>
    </row>
    <row r="136" spans="1:8" ht="15" customHeight="1">
      <c r="A136" s="126">
        <v>46264</v>
      </c>
      <c r="B136" s="20">
        <f>SUMIFS(入金入力!$E$4:$E$580,入金入力!$B$4:$B$580,A136,入金入力!$A$4:$A$580,"ココ・ユニバース")+SUMIFS(入金予測!$E$4:$E$603,入金予測!$A$4:$A$603,A136,入金予測!$B$4:$B$603,"ココ・ユニバース")</f>
        <v>0</v>
      </c>
      <c r="C136" s="20">
        <f>SUMIFS(未払予定一覧!$O$4:$O$830,未払予定一覧!$N$4:$N$830,A136,未払予定一覧!$A$4:$A$830,"ココ・ユニバース",未払予定一覧!$B$4:$B$830,"未払繰越")+SUMIFS(未払予定一覧!$O$4:$O$830,未払予定一覧!$N$4:$N$830,A136,未払予定一覧!$A$4:$A$830,"ココ・ユニバース",未払予定一覧!$B$4:$B$830,"月次予定")</f>
        <v>0</v>
      </c>
      <c r="D136" s="20">
        <f t="shared" si="9"/>
        <v>0</v>
      </c>
      <c r="E136" s="20">
        <f t="shared" si="10"/>
        <v>6536090</v>
      </c>
      <c r="F136" s="21">
        <f>SUMIFS(未払予定一覧!$O$4:$O$830,未払予定一覧!$N$4:$N$830,A136,未払予定一覧!$A$4:$A$830,"ココ・ユニバース",未払予定一覧!$B$4:$B$830,"カード枠回復")</f>
        <v>0</v>
      </c>
      <c r="G136" s="122">
        <f t="shared" si="11"/>
        <v>6536090</v>
      </c>
      <c r="H136" s="125" t="s">
        <v>689</v>
      </c>
    </row>
    <row r="137" spans="1:8" ht="15" customHeight="1">
      <c r="A137" s="121">
        <v>46265</v>
      </c>
      <c r="B137" s="20">
        <f>SUMIFS(入金入力!$E$4:$E$580,入金入力!$B$4:$B$580,A137,入金入力!$A$4:$A$580,"ココ・ユニバース")+SUMIFS(入金予測!$E$4:$E$603,入金予測!$A$4:$A$603,A137,入金予測!$B$4:$B$603,"ココ・ユニバース")</f>
        <v>0</v>
      </c>
      <c r="C137" s="20">
        <f>SUMIFS(未払予定一覧!$O$4:$O$830,未払予定一覧!$N$4:$N$830,A137,未払予定一覧!$A$4:$A$830,"ココ・ユニバース",未払予定一覧!$B$4:$B$830,"未払繰越")+SUMIFS(未払予定一覧!$O$4:$O$830,未払予定一覧!$N$4:$N$830,A137,未払予定一覧!$A$4:$A$830,"ココ・ユニバース",未払予定一覧!$B$4:$B$830,"月次予定")</f>
        <v>0</v>
      </c>
      <c r="D137" s="20">
        <f t="shared" si="9"/>
        <v>0</v>
      </c>
      <c r="E137" s="20">
        <f t="shared" si="10"/>
        <v>6536090</v>
      </c>
      <c r="F137" s="21">
        <f>SUMIFS(未払予定一覧!$O$4:$O$830,未払予定一覧!$N$4:$N$830,A137,未払予定一覧!$A$4:$A$830,"ココ・ユニバース",未払予定一覧!$B$4:$B$830,"カード枠回復")</f>
        <v>0</v>
      </c>
      <c r="G137" s="122">
        <f t="shared" si="11"/>
        <v>6536090</v>
      </c>
      <c r="H137" s="123"/>
    </row>
    <row r="138" spans="1:8" ht="15" customHeight="1">
      <c r="A138" s="23" t="s">
        <v>697</v>
      </c>
      <c r="B138" s="24">
        <f>SUM(B107:B137)</f>
        <v>3576800</v>
      </c>
      <c r="C138" s="24">
        <f>SUM(C107:C137)</f>
        <v>1115248</v>
      </c>
      <c r="D138" s="24">
        <f t="shared" si="9"/>
        <v>2461552</v>
      </c>
      <c r="E138" s="24">
        <f>E137</f>
        <v>6536090</v>
      </c>
      <c r="F138" s="24">
        <f>SUM(F107:F137)</f>
        <v>0</v>
      </c>
      <c r="G138" s="24">
        <f>G137</f>
        <v>6536090</v>
      </c>
      <c r="H138" s="127" t="s">
        <v>691</v>
      </c>
    </row>
  </sheetData>
  <mergeCells count="6">
    <mergeCell ref="A106:H106"/>
    <mergeCell ref="A1:H1"/>
    <mergeCell ref="A2:H2"/>
    <mergeCell ref="A4:H4"/>
    <mergeCell ref="A39:H39"/>
    <mergeCell ref="A72:H72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zoomScaleNormal="100" workbookViewId="0"/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52" t="s">
        <v>703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29" ht="18" customHeight="1">
      <c r="A2" s="128" t="s">
        <v>704</v>
      </c>
      <c r="B2" s="128"/>
      <c r="C2" s="128"/>
      <c r="D2" s="153" t="s">
        <v>63</v>
      </c>
      <c r="E2" s="153"/>
      <c r="F2" s="153"/>
      <c r="G2" s="153"/>
      <c r="H2" s="153"/>
      <c r="I2" s="153"/>
      <c r="J2" s="153"/>
      <c r="K2" s="129"/>
      <c r="L2" s="129"/>
      <c r="M2" s="129"/>
      <c r="N2" s="129"/>
      <c r="O2" s="130"/>
      <c r="P2" s="130"/>
      <c r="Q2" s="130"/>
      <c r="R2" s="130"/>
      <c r="S2" s="130"/>
      <c r="T2" s="131" t="s">
        <v>705</v>
      </c>
      <c r="U2" s="131" t="s">
        <v>706</v>
      </c>
      <c r="X2" s="132">
        <v>8</v>
      </c>
      <c r="Y2" s="131" t="s">
        <v>707</v>
      </c>
      <c r="Z2" s="132">
        <v>4</v>
      </c>
      <c r="AA2" s="133" t="s">
        <v>43</v>
      </c>
      <c r="AB2" s="132">
        <v>3</v>
      </c>
      <c r="AC2" s="131" t="s">
        <v>689</v>
      </c>
    </row>
    <row r="3" spans="1:29" ht="18" customHeight="1">
      <c r="A3" s="134"/>
      <c r="B3" s="134"/>
      <c r="C3" s="134"/>
      <c r="D3" s="134"/>
      <c r="E3" s="134"/>
      <c r="F3" s="129"/>
      <c r="G3" s="129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/>
      <c r="V3" s="135"/>
      <c r="W3" s="135"/>
      <c r="X3" s="135"/>
      <c r="Y3" s="135"/>
      <c r="Z3" s="135"/>
      <c r="AA3" s="154" t="s">
        <v>708</v>
      </c>
      <c r="AB3" s="154"/>
      <c r="AC3" s="154"/>
    </row>
    <row r="4" spans="1:29" ht="28.5" customHeight="1">
      <c r="A4" s="155"/>
      <c r="B4" s="155"/>
      <c r="C4" s="155"/>
      <c r="D4" s="155"/>
      <c r="E4" s="155"/>
      <c r="F4" s="137">
        <v>5</v>
      </c>
      <c r="G4" s="138" t="s">
        <v>43</v>
      </c>
      <c r="H4" s="137">
        <v>6</v>
      </c>
      <c r="I4" s="138" t="s">
        <v>43</v>
      </c>
      <c r="J4" s="137">
        <v>7</v>
      </c>
      <c r="K4" s="138" t="s">
        <v>43</v>
      </c>
      <c r="L4" s="139">
        <v>8</v>
      </c>
      <c r="M4" s="138" t="s">
        <v>43</v>
      </c>
      <c r="N4" s="139">
        <v>9</v>
      </c>
      <c r="O4" s="138" t="s">
        <v>43</v>
      </c>
      <c r="P4" s="139">
        <v>10</v>
      </c>
      <c r="Q4" s="138" t="s">
        <v>43</v>
      </c>
      <c r="R4" s="139">
        <v>11</v>
      </c>
      <c r="S4" s="138" t="s">
        <v>43</v>
      </c>
      <c r="T4" s="139">
        <v>12</v>
      </c>
      <c r="U4" s="138" t="s">
        <v>43</v>
      </c>
      <c r="V4" s="139">
        <v>1</v>
      </c>
      <c r="W4" s="138" t="s">
        <v>43</v>
      </c>
      <c r="X4" s="139">
        <v>2</v>
      </c>
      <c r="Y4" s="138" t="s">
        <v>43</v>
      </c>
      <c r="Z4" s="139">
        <v>3</v>
      </c>
      <c r="AA4" s="138" t="s">
        <v>43</v>
      </c>
      <c r="AB4" s="140">
        <v>4</v>
      </c>
      <c r="AC4" s="141" t="s">
        <v>43</v>
      </c>
    </row>
    <row r="5" spans="1:29" ht="15.75" customHeight="1">
      <c r="A5" s="156" t="s">
        <v>709</v>
      </c>
      <c r="B5" s="156"/>
      <c r="C5" s="156"/>
      <c r="D5" s="156"/>
      <c r="E5" s="156"/>
      <c r="F5" s="157">
        <f>資金繰り_レジデンス!F5+資金繰り_リゾート・モーテル!F5+資金繰り_ザック!F5</f>
        <v>37407.18765</v>
      </c>
      <c r="G5" s="157"/>
      <c r="H5" s="157">
        <f>資金繰り_レジデンス!H5+資金繰り_リゾート・モーテル!H5+資金繰り_ザック!H5</f>
        <v>30376.865699999995</v>
      </c>
      <c r="I5" s="157"/>
      <c r="J5" s="157">
        <f>資金繰り_レジデンス!J5+資金繰り_リゾート・モーテル!J5+資金繰り_ザック!J5</f>
        <v>26901.194350000002</v>
      </c>
      <c r="K5" s="157"/>
      <c r="L5" s="157">
        <f>資金繰り_レジデンス!L5+資金繰り_リゾート・モーテル!L5+資金繰り_ザック!L5</f>
        <v>35693.807200000003</v>
      </c>
      <c r="M5" s="157"/>
      <c r="N5" s="157">
        <f>資金繰り_レジデンス!N5+資金繰り_リゾート・モーテル!N5+資金繰り_ザック!N5</f>
        <v>0</v>
      </c>
      <c r="O5" s="157"/>
      <c r="P5" s="157">
        <f>資金繰り_レジデンス!P5+資金繰り_リゾート・モーテル!P5+資金繰り_ザック!P5</f>
        <v>0</v>
      </c>
      <c r="Q5" s="157"/>
      <c r="R5" s="157">
        <f>資金繰り_レジデンス!R5+資金繰り_リゾート・モーテル!R5+資金繰り_ザック!R5</f>
        <v>0</v>
      </c>
      <c r="S5" s="157"/>
      <c r="T5" s="157">
        <f>資金繰り_レジデンス!T5+資金繰り_リゾート・モーテル!T5+資金繰り_ザック!T5</f>
        <v>0</v>
      </c>
      <c r="U5" s="157"/>
      <c r="V5" s="157">
        <f>資金繰り_レジデンス!V5+資金繰り_リゾート・モーテル!V5+資金繰り_ザック!V5</f>
        <v>0</v>
      </c>
      <c r="W5" s="157"/>
      <c r="X5" s="157">
        <f>資金繰り_レジデンス!X5+資金繰り_リゾート・モーテル!X5+資金繰り_ザック!X5</f>
        <v>0</v>
      </c>
      <c r="Y5" s="157"/>
      <c r="Z5" s="157">
        <f>資金繰り_レジデンス!Z5+資金繰り_リゾート・モーテル!Z5+資金繰り_ザック!Z5</f>
        <v>0</v>
      </c>
      <c r="AA5" s="157"/>
      <c r="AB5" s="157">
        <f>資金繰り_レジデンス!AB5+資金繰り_リゾート・モーテル!AB5+資金繰り_ザック!AB5</f>
        <v>0</v>
      </c>
      <c r="AC5" s="157"/>
    </row>
    <row r="6" spans="1:29" ht="15.75" customHeight="1">
      <c r="A6" s="158" t="s">
        <v>710</v>
      </c>
      <c r="B6" s="158"/>
      <c r="C6" s="158"/>
      <c r="D6" s="158"/>
      <c r="E6" s="158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</row>
    <row r="7" spans="1:29" ht="15.75" customHeight="1">
      <c r="A7" s="160" t="s">
        <v>711</v>
      </c>
      <c r="B7" s="160"/>
      <c r="C7" s="160"/>
      <c r="D7" s="160"/>
      <c r="E7" s="160"/>
      <c r="F7" s="161">
        <v>0</v>
      </c>
      <c r="G7" s="161"/>
      <c r="H7" s="162">
        <f>F31</f>
        <v>-25990.70635</v>
      </c>
      <c r="I7" s="162"/>
      <c r="J7" s="162">
        <f>H31</f>
        <v>-32988.861650000006</v>
      </c>
      <c r="K7" s="162"/>
      <c r="L7" s="162">
        <f>J31</f>
        <v>-40754.145300000004</v>
      </c>
      <c r="M7" s="162"/>
      <c r="N7" s="162">
        <f>L31</f>
        <v>-40590.054100000001</v>
      </c>
      <c r="O7" s="162"/>
      <c r="P7" s="162">
        <f>N31</f>
        <v>-40590.054100000001</v>
      </c>
      <c r="Q7" s="162"/>
      <c r="R7" s="162">
        <f>P31</f>
        <v>-40590.054100000001</v>
      </c>
      <c r="S7" s="162"/>
      <c r="T7" s="162">
        <f>R31</f>
        <v>-40590.054100000001</v>
      </c>
      <c r="U7" s="162"/>
      <c r="V7" s="162">
        <f>T31</f>
        <v>-40590.054100000001</v>
      </c>
      <c r="W7" s="162"/>
      <c r="X7" s="162">
        <f>V31</f>
        <v>-40590.054100000001</v>
      </c>
      <c r="Y7" s="162"/>
      <c r="Z7" s="162">
        <f>X31</f>
        <v>-40590.054100000001</v>
      </c>
      <c r="AA7" s="162"/>
      <c r="AB7" s="163">
        <f>Z31</f>
        <v>-40590.054100000001</v>
      </c>
      <c r="AC7" s="163"/>
    </row>
    <row r="8" spans="1:29" ht="15.75" customHeight="1">
      <c r="A8" s="164" t="s">
        <v>712</v>
      </c>
      <c r="B8" s="165" t="s">
        <v>713</v>
      </c>
      <c r="C8" s="166" t="s">
        <v>714</v>
      </c>
      <c r="D8" s="167" t="s">
        <v>208</v>
      </c>
      <c r="E8" s="167"/>
      <c r="F8" s="168">
        <f>資金繰り_レジデンス!F8+資金繰り_リゾート・モーテル!F8+資金繰り_ザック!F8</f>
        <v>26798.512650000001</v>
      </c>
      <c r="G8" s="168"/>
      <c r="H8" s="168">
        <f>資金繰り_レジデンス!H8+資金繰り_リゾート・モーテル!H8+資金繰り_ザック!H8</f>
        <v>30376.865699999995</v>
      </c>
      <c r="I8" s="168"/>
      <c r="J8" s="168">
        <f>資金繰り_レジデンス!J8+資金繰り_リゾート・モーテル!J8+資金繰り_ザック!J8</f>
        <v>26901.194350000002</v>
      </c>
      <c r="K8" s="168"/>
      <c r="L8" s="168">
        <f>資金繰り_レジデンス!L8+資金繰り_リゾート・モーテル!L8+資金繰り_ザック!L8</f>
        <v>35693.807200000003</v>
      </c>
      <c r="M8" s="16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</row>
    <row r="9" spans="1:29" ht="15.75" customHeight="1">
      <c r="A9" s="164"/>
      <c r="B9" s="165"/>
      <c r="C9" s="166"/>
      <c r="D9" s="170" t="s">
        <v>242</v>
      </c>
      <c r="E9" s="170"/>
      <c r="F9" s="171">
        <f>資金繰り_レジデンス!F9+資金繰り_リゾート・モーテル!F9+資金繰り_ザック!F9</f>
        <v>563.57500000000005</v>
      </c>
      <c r="G9" s="171"/>
      <c r="H9" s="171">
        <f>資金繰り_レジデンス!H9+資金繰り_リゾート・モーテル!H9+資金繰り_ザック!H9</f>
        <v>0</v>
      </c>
      <c r="I9" s="171"/>
      <c r="J9" s="171">
        <f>資金繰り_レジデンス!J9+資金繰り_リゾート・モーテル!J9+資金繰り_ザック!J9</f>
        <v>0</v>
      </c>
      <c r="K9" s="171"/>
      <c r="L9" s="171">
        <f>資金繰り_レジデンス!L9+資金繰り_リゾート・モーテル!L9+資金繰り_ザック!L9</f>
        <v>0</v>
      </c>
      <c r="M9" s="17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</row>
    <row r="10" spans="1:29" ht="15.75" customHeight="1">
      <c r="A10" s="164"/>
      <c r="B10" s="165"/>
      <c r="C10" s="166"/>
      <c r="D10" s="170" t="s">
        <v>715</v>
      </c>
      <c r="E10" s="170"/>
      <c r="F10" s="171">
        <f>資金繰り_レジデンス!F10+資金繰り_リゾート・モーテル!F10+資金繰り_ザック!F10</f>
        <v>0</v>
      </c>
      <c r="G10" s="171"/>
      <c r="H10" s="171">
        <f>資金繰り_レジデンス!H10+資金繰り_リゾート・モーテル!H10+資金繰り_ザック!H10</f>
        <v>0</v>
      </c>
      <c r="I10" s="171"/>
      <c r="J10" s="171">
        <f>資金繰り_レジデンス!J10+資金繰り_リゾート・モーテル!J10+資金繰り_ザック!J10</f>
        <v>0</v>
      </c>
      <c r="K10" s="171"/>
      <c r="L10" s="171">
        <f>資金繰り_レジデンス!L10+資金繰り_リゾート・モーテル!L10+資金繰り_ザック!L10</f>
        <v>0</v>
      </c>
      <c r="M10" s="17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3"/>
      <c r="AC10" s="173"/>
    </row>
    <row r="11" spans="1:29" ht="15.75" customHeight="1">
      <c r="A11" s="164"/>
      <c r="B11" s="165"/>
      <c r="C11" s="166"/>
      <c r="D11" s="170" t="s">
        <v>245</v>
      </c>
      <c r="E11" s="170"/>
      <c r="F11" s="171">
        <f>資金繰り_レジデンス!F11+資金繰り_リゾート・モーテル!F11+資金繰り_ザック!F11</f>
        <v>10045.1</v>
      </c>
      <c r="G11" s="171"/>
      <c r="H11" s="171">
        <f>資金繰り_レジデンス!H11+資金繰り_リゾート・モーテル!H11+資金繰り_ザック!H11</f>
        <v>0</v>
      </c>
      <c r="I11" s="171"/>
      <c r="J11" s="171">
        <f>資金繰り_レジデンス!J11+資金繰り_リゾート・モーテル!J11+資金繰り_ザック!J11</f>
        <v>0</v>
      </c>
      <c r="K11" s="171"/>
      <c r="L11" s="171">
        <f>資金繰り_レジデンス!L11+資金繰り_リゾート・モーテル!L11+資金繰り_ザック!L11</f>
        <v>0</v>
      </c>
      <c r="M11" s="17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</row>
    <row r="12" spans="1:29" ht="15.75" customHeight="1">
      <c r="A12" s="164"/>
      <c r="B12" s="165"/>
      <c r="C12" s="174" t="s">
        <v>716</v>
      </c>
      <c r="D12" s="174"/>
      <c r="E12" s="174"/>
      <c r="F12" s="175">
        <f>SUM(F8:F11)</f>
        <v>37407.18765</v>
      </c>
      <c r="G12" s="175"/>
      <c r="H12" s="175">
        <f>SUM(H8:H11)</f>
        <v>30376.865699999995</v>
      </c>
      <c r="I12" s="175"/>
      <c r="J12" s="175">
        <f>SUM(J8:J11)</f>
        <v>26901.194350000002</v>
      </c>
      <c r="K12" s="175"/>
      <c r="L12" s="175">
        <f>SUM(L8:L11)</f>
        <v>35693.807200000003</v>
      </c>
      <c r="M12" s="175"/>
      <c r="N12" s="175">
        <f>SUM(N8:N11)</f>
        <v>0</v>
      </c>
      <c r="O12" s="175"/>
      <c r="P12" s="175">
        <f>SUM(P8:P11)</f>
        <v>0</v>
      </c>
      <c r="Q12" s="175"/>
      <c r="R12" s="175">
        <f>SUM(R8:R11)</f>
        <v>0</v>
      </c>
      <c r="S12" s="175"/>
      <c r="T12" s="175">
        <f>SUM(T8:T11)</f>
        <v>0</v>
      </c>
      <c r="U12" s="175"/>
      <c r="V12" s="175">
        <f>SUM(V8:V11)</f>
        <v>0</v>
      </c>
      <c r="W12" s="175"/>
      <c r="X12" s="175">
        <f>SUM(X8:X11)</f>
        <v>0</v>
      </c>
      <c r="Y12" s="175"/>
      <c r="Z12" s="175">
        <f>SUM(Z8:Z11)</f>
        <v>0</v>
      </c>
      <c r="AA12" s="175"/>
      <c r="AB12" s="176">
        <f>SUM(AB8:AB11)</f>
        <v>0</v>
      </c>
      <c r="AC12" s="176"/>
    </row>
    <row r="13" spans="1:29" ht="15.75" customHeight="1">
      <c r="A13" s="164"/>
      <c r="B13" s="177" t="s">
        <v>717</v>
      </c>
      <c r="C13" s="178" t="s">
        <v>718</v>
      </c>
      <c r="D13" s="170" t="s">
        <v>719</v>
      </c>
      <c r="E13" s="170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</row>
    <row r="14" spans="1:29" ht="15.75" customHeight="1">
      <c r="A14" s="164"/>
      <c r="B14" s="177"/>
      <c r="C14" s="178"/>
      <c r="D14" s="170" t="s">
        <v>165</v>
      </c>
      <c r="E14" s="170"/>
      <c r="F14" s="171">
        <f>資金繰り_レジデンス!F14+資金繰り_リゾート・モーテル!F14+資金繰り_ザック!F14</f>
        <v>63397.894</v>
      </c>
      <c r="G14" s="171"/>
      <c r="H14" s="171">
        <f>資金繰り_レジデンス!H14+資金繰り_リゾート・モーテル!H14+資金繰り_ザック!H14</f>
        <v>37375.021000000001</v>
      </c>
      <c r="I14" s="171"/>
      <c r="J14" s="171">
        <f>資金繰り_レジデンス!J14+資金繰り_リゾート・モーテル!J14+資金繰り_ザック!J14</f>
        <v>34666.478000000003</v>
      </c>
      <c r="K14" s="171"/>
      <c r="L14" s="171">
        <f>資金繰り_レジデンス!L14+資金繰り_リゾート・モーテル!L14+資金繰り_ザック!L14</f>
        <v>35529.716</v>
      </c>
      <c r="M14" s="171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</row>
    <row r="15" spans="1:29" ht="15.75" customHeight="1">
      <c r="A15" s="164"/>
      <c r="B15" s="177"/>
      <c r="C15" s="178"/>
      <c r="D15" s="170" t="s">
        <v>720</v>
      </c>
      <c r="E15" s="170"/>
      <c r="F15" s="171">
        <f>資金繰り_レジデンス!F15+資金繰り_リゾート・モーテル!F15+資金繰り_ザック!F15</f>
        <v>0</v>
      </c>
      <c r="G15" s="171"/>
      <c r="H15" s="171">
        <f>資金繰り_レジデンス!H15+資金繰り_リゾート・モーテル!H15+資金繰り_ザック!H15</f>
        <v>0</v>
      </c>
      <c r="I15" s="171"/>
      <c r="J15" s="171">
        <f>資金繰り_レジデンス!J15+資金繰り_リゾート・モーテル!J15+資金繰り_ザック!J15</f>
        <v>0</v>
      </c>
      <c r="K15" s="171"/>
      <c r="L15" s="171">
        <f>資金繰り_レジデンス!L15+資金繰り_リゾート・モーテル!L15+資金繰り_ザック!L15</f>
        <v>0</v>
      </c>
      <c r="M15" s="17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</row>
    <row r="16" spans="1:29" ht="15.75" customHeight="1">
      <c r="A16" s="164"/>
      <c r="B16" s="177"/>
      <c r="C16" s="178" t="s">
        <v>721</v>
      </c>
      <c r="D16" s="170" t="s">
        <v>181</v>
      </c>
      <c r="E16" s="170"/>
      <c r="F16" s="171">
        <f>資金繰り_レジデンス!F16+資金繰り_リゾート・モーテル!F16+資金繰り_ザック!F16</f>
        <v>0</v>
      </c>
      <c r="G16" s="171"/>
      <c r="H16" s="171">
        <f>資金繰り_レジデンス!H16+資金繰り_リゾート・モーテル!H16+資金繰り_ザック!H16</f>
        <v>0</v>
      </c>
      <c r="I16" s="171"/>
      <c r="J16" s="171">
        <f>資金繰り_レジデンス!J16+資金繰り_リゾート・モーテル!J16+資金繰り_ザック!J16</f>
        <v>0</v>
      </c>
      <c r="K16" s="171"/>
      <c r="L16" s="171">
        <f>資金繰り_レジデンス!L16+資金繰り_リゾート・モーテル!L16+資金繰り_ザック!L16</f>
        <v>0</v>
      </c>
      <c r="M16" s="17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</row>
    <row r="17" spans="1:29" ht="15.75" customHeight="1">
      <c r="A17" s="164"/>
      <c r="B17" s="177"/>
      <c r="C17" s="178"/>
      <c r="D17" s="170" t="s">
        <v>182</v>
      </c>
      <c r="E17" s="170"/>
      <c r="F17" s="171">
        <f>資金繰り_レジデンス!F17+資金繰り_リゾート・モーテル!F17+資金繰り_ザック!F17</f>
        <v>0</v>
      </c>
      <c r="G17" s="171"/>
      <c r="H17" s="171">
        <f>資金繰り_レジデンス!H17+資金繰り_リゾート・モーテル!H17+資金繰り_ザック!H17</f>
        <v>0</v>
      </c>
      <c r="I17" s="171"/>
      <c r="J17" s="171">
        <f>資金繰り_レジデンス!J17+資金繰り_リゾート・モーテル!J17+資金繰り_ザック!J17</f>
        <v>0</v>
      </c>
      <c r="K17" s="171"/>
      <c r="L17" s="171">
        <f>資金繰り_レジデンス!L17+資金繰り_リゾート・モーテル!L17+資金繰り_ザック!L17</f>
        <v>0</v>
      </c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</row>
    <row r="18" spans="1:29" ht="15.75" customHeight="1">
      <c r="A18" s="164"/>
      <c r="B18" s="177"/>
      <c r="C18" s="178"/>
      <c r="D18" s="170" t="s">
        <v>183</v>
      </c>
      <c r="E18" s="170"/>
      <c r="F18" s="171">
        <f>資金繰り_レジデンス!F18+資金繰り_リゾート・モーテル!F18+資金繰り_ザック!F18</f>
        <v>0</v>
      </c>
      <c r="G18" s="171"/>
      <c r="H18" s="171">
        <f>資金繰り_レジデンス!H18+資金繰り_リゾート・モーテル!H18+資金繰り_ザック!H18</f>
        <v>0</v>
      </c>
      <c r="I18" s="171"/>
      <c r="J18" s="171">
        <f>資金繰り_レジデンス!J18+資金繰り_リゾート・モーテル!J18+資金繰り_ザック!J18</f>
        <v>0</v>
      </c>
      <c r="K18" s="171"/>
      <c r="L18" s="171">
        <f>資金繰り_レジデンス!L18+資金繰り_リゾート・モーテル!L18+資金繰り_ザック!L18</f>
        <v>0</v>
      </c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</row>
    <row r="19" spans="1:29" ht="15.75" customHeight="1">
      <c r="A19" s="164"/>
      <c r="B19" s="177"/>
      <c r="C19" s="178"/>
      <c r="D19" s="170" t="s">
        <v>184</v>
      </c>
      <c r="E19" s="170"/>
      <c r="F19" s="171">
        <f>資金繰り_レジデンス!F19+資金繰り_リゾート・モーテル!F19+資金繰り_ザック!F19</f>
        <v>0</v>
      </c>
      <c r="G19" s="171"/>
      <c r="H19" s="171">
        <f>資金繰り_レジデンス!H19+資金繰り_リゾート・モーテル!H19+資金繰り_ザック!H19</f>
        <v>0</v>
      </c>
      <c r="I19" s="171"/>
      <c r="J19" s="171">
        <f>資金繰り_レジデンス!J19+資金繰り_リゾート・モーテル!J19+資金繰り_ザック!J19</f>
        <v>0</v>
      </c>
      <c r="K19" s="171"/>
      <c r="L19" s="171">
        <f>資金繰り_レジデンス!L19+資金繰り_リゾート・モーテル!L19+資金繰り_ザック!L19</f>
        <v>0</v>
      </c>
      <c r="M19" s="17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spans="1:29" ht="15.75" customHeight="1">
      <c r="A20" s="164"/>
      <c r="B20" s="177"/>
      <c r="C20" s="178"/>
      <c r="D20" s="170" t="s">
        <v>175</v>
      </c>
      <c r="E20" s="170"/>
      <c r="F20" s="171">
        <f>資金繰り_レジデンス!F20+資金繰り_リゾート・モーテル!F20+資金繰り_ザック!F20</f>
        <v>0</v>
      </c>
      <c r="G20" s="171"/>
      <c r="H20" s="171">
        <f>資金繰り_レジデンス!H20+資金繰り_リゾート・モーテル!H20+資金繰り_ザック!H20</f>
        <v>0</v>
      </c>
      <c r="I20" s="171"/>
      <c r="J20" s="171">
        <f>資金繰り_レジデンス!J20+資金繰り_リゾート・モーテル!J20+資金繰り_ザック!J20</f>
        <v>0</v>
      </c>
      <c r="K20" s="171"/>
      <c r="L20" s="171">
        <f>資金繰り_レジデンス!L20+資金繰り_リゾート・モーテル!L20+資金繰り_ザック!L20</f>
        <v>0</v>
      </c>
      <c r="M20" s="17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</row>
    <row r="21" spans="1:29" ht="15.75" customHeight="1">
      <c r="A21" s="164"/>
      <c r="B21" s="177"/>
      <c r="C21" s="178"/>
      <c r="D21" s="170" t="s">
        <v>177</v>
      </c>
      <c r="E21" s="170"/>
      <c r="F21" s="171">
        <f>資金繰り_レジデンス!F21+資金繰り_リゾート・モーテル!F21+資金繰り_ザック!F21</f>
        <v>0</v>
      </c>
      <c r="G21" s="171"/>
      <c r="H21" s="171">
        <f>資金繰り_レジデンス!H21+資金繰り_リゾート・モーテル!H21+資金繰り_ザック!H21</f>
        <v>0</v>
      </c>
      <c r="I21" s="171"/>
      <c r="J21" s="171">
        <f>資金繰り_レジデンス!J21+資金繰り_リゾート・モーテル!J21+資金繰り_ザック!J21</f>
        <v>0</v>
      </c>
      <c r="K21" s="171"/>
      <c r="L21" s="171">
        <f>資金繰り_レジデンス!L21+資金繰り_リゾート・モーテル!L21+資金繰り_ザック!L21</f>
        <v>0</v>
      </c>
      <c r="M21" s="17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</row>
    <row r="22" spans="1:29" ht="15.75" customHeight="1">
      <c r="A22" s="164"/>
      <c r="B22" s="177"/>
      <c r="C22" s="174" t="s">
        <v>722</v>
      </c>
      <c r="D22" s="174"/>
      <c r="E22" s="174"/>
      <c r="F22" s="175">
        <f>SUM(F13:F21)</f>
        <v>63397.894</v>
      </c>
      <c r="G22" s="175"/>
      <c r="H22" s="175">
        <f>SUM(H13:H21)</f>
        <v>37375.021000000001</v>
      </c>
      <c r="I22" s="175"/>
      <c r="J22" s="175">
        <f>SUM(J13:J21)</f>
        <v>34666.478000000003</v>
      </c>
      <c r="K22" s="175"/>
      <c r="L22" s="175">
        <f>SUM(L13:L21)</f>
        <v>35529.716</v>
      </c>
      <c r="M22" s="175"/>
      <c r="N22" s="175">
        <f>SUM(N13:N21)</f>
        <v>0</v>
      </c>
      <c r="O22" s="175"/>
      <c r="P22" s="175">
        <f>SUM(P13:P21)</f>
        <v>0</v>
      </c>
      <c r="Q22" s="175"/>
      <c r="R22" s="175">
        <f>SUM(R13:R21)</f>
        <v>0</v>
      </c>
      <c r="S22" s="175"/>
      <c r="T22" s="175">
        <f>SUM(T13:T21)</f>
        <v>0</v>
      </c>
      <c r="U22" s="175"/>
      <c r="V22" s="175">
        <f>SUM(V13:V21)</f>
        <v>0</v>
      </c>
      <c r="W22" s="175"/>
      <c r="X22" s="175">
        <f>SUM(X13:X21)</f>
        <v>0</v>
      </c>
      <c r="Y22" s="175"/>
      <c r="Z22" s="175">
        <f>SUM(Z13:Z21)</f>
        <v>0</v>
      </c>
      <c r="AA22" s="175"/>
      <c r="AB22" s="176">
        <f>SUM(AB13:AB21)</f>
        <v>0</v>
      </c>
      <c r="AC22" s="176"/>
    </row>
    <row r="23" spans="1:29" ht="15.75" customHeight="1">
      <c r="A23" s="164"/>
      <c r="B23" s="174" t="s">
        <v>723</v>
      </c>
      <c r="C23" s="174"/>
      <c r="D23" s="174"/>
      <c r="E23" s="174"/>
      <c r="F23" s="175">
        <f>F12-F22</f>
        <v>-25990.70635</v>
      </c>
      <c r="G23" s="175"/>
      <c r="H23" s="175">
        <f>H12-H22</f>
        <v>-6998.1553000000058</v>
      </c>
      <c r="I23" s="175"/>
      <c r="J23" s="175">
        <f>J12-J22</f>
        <v>-7765.2836500000012</v>
      </c>
      <c r="K23" s="175"/>
      <c r="L23" s="175">
        <f>L12-L22</f>
        <v>164.09120000000257</v>
      </c>
      <c r="M23" s="175"/>
      <c r="N23" s="175">
        <f>N12-N22</f>
        <v>0</v>
      </c>
      <c r="O23" s="175"/>
      <c r="P23" s="175">
        <f>P12-P22</f>
        <v>0</v>
      </c>
      <c r="Q23" s="175"/>
      <c r="R23" s="175">
        <f>R12-R22</f>
        <v>0</v>
      </c>
      <c r="S23" s="175"/>
      <c r="T23" s="175">
        <f>T12-T22</f>
        <v>0</v>
      </c>
      <c r="U23" s="175"/>
      <c r="V23" s="175">
        <f>V12-V22</f>
        <v>0</v>
      </c>
      <c r="W23" s="175"/>
      <c r="X23" s="175">
        <f>X12-X22</f>
        <v>0</v>
      </c>
      <c r="Y23" s="175"/>
      <c r="Z23" s="175">
        <f>Z12-Z22</f>
        <v>0</v>
      </c>
      <c r="AA23" s="175"/>
      <c r="AB23" s="176">
        <f>AB12-AB22</f>
        <v>0</v>
      </c>
      <c r="AC23" s="176"/>
    </row>
    <row r="24" spans="1:29" ht="15.75" customHeight="1">
      <c r="A24" s="179" t="s">
        <v>724</v>
      </c>
      <c r="B24" s="178" t="s">
        <v>713</v>
      </c>
      <c r="C24" s="170" t="s">
        <v>725</v>
      </c>
      <c r="D24" s="170"/>
      <c r="E24" s="170"/>
      <c r="F24" s="171">
        <f>資金繰り_レジデンス!F24+資金繰り_リゾート・モーテル!F24+資金繰り_ザック!F24</f>
        <v>0</v>
      </c>
      <c r="G24" s="171"/>
      <c r="H24" s="171">
        <f>資金繰り_レジデンス!H24+資金繰り_リゾート・モーテル!H24+資金繰り_ザック!H24</f>
        <v>0</v>
      </c>
      <c r="I24" s="171"/>
      <c r="J24" s="171">
        <f>資金繰り_レジデンス!J24+資金繰り_リゾート・モーテル!J24+資金繰り_ザック!J24</f>
        <v>0</v>
      </c>
      <c r="K24" s="171"/>
      <c r="L24" s="171">
        <f>資金繰り_レジデンス!L24+資金繰り_リゾート・モーテル!L24+資金繰り_ザック!L24</f>
        <v>0</v>
      </c>
      <c r="M24" s="171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</row>
    <row r="25" spans="1:29" ht="15.75" customHeight="1">
      <c r="A25" s="179"/>
      <c r="B25" s="178"/>
      <c r="C25" s="170" t="s">
        <v>726</v>
      </c>
      <c r="D25" s="170"/>
      <c r="E25" s="170"/>
      <c r="F25" s="171">
        <f>資金繰り_レジデンス!F25+資金繰り_リゾート・モーテル!F25+資金繰り_ザック!F25</f>
        <v>0</v>
      </c>
      <c r="G25" s="171"/>
      <c r="H25" s="171">
        <f>資金繰り_レジデンス!H25+資金繰り_リゾート・モーテル!H25+資金繰り_ザック!H25</f>
        <v>0</v>
      </c>
      <c r="I25" s="171"/>
      <c r="J25" s="171">
        <f>資金繰り_レジデンス!J25+資金繰り_リゾート・モーテル!J25+資金繰り_ザック!J25</f>
        <v>0</v>
      </c>
      <c r="K25" s="171"/>
      <c r="L25" s="171">
        <f>資金繰り_レジデンス!L25+資金繰り_リゾート・モーテル!L25+資金繰り_ザック!L25</f>
        <v>0</v>
      </c>
      <c r="M25" s="171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</row>
    <row r="26" spans="1:29" ht="15.75" customHeight="1">
      <c r="A26" s="179"/>
      <c r="B26" s="178"/>
      <c r="C26" s="180" t="s">
        <v>727</v>
      </c>
      <c r="D26" s="180"/>
      <c r="E26" s="180"/>
      <c r="F26" s="181">
        <f>SUM(F24:F25)</f>
        <v>0</v>
      </c>
      <c r="G26" s="181"/>
      <c r="H26" s="181">
        <f>SUM(H24:H25)</f>
        <v>0</v>
      </c>
      <c r="I26" s="181"/>
      <c r="J26" s="181">
        <f>SUM(J24:J25)</f>
        <v>0</v>
      </c>
      <c r="K26" s="181"/>
      <c r="L26" s="181">
        <f>SUM(L24:L25)</f>
        <v>0</v>
      </c>
      <c r="M26" s="181"/>
      <c r="N26" s="181">
        <f>SUM(N24:N25)</f>
        <v>0</v>
      </c>
      <c r="O26" s="181"/>
      <c r="P26" s="181">
        <f>SUM(P24:P25)</f>
        <v>0</v>
      </c>
      <c r="Q26" s="181"/>
      <c r="R26" s="181">
        <f>SUM(R24:R25)</f>
        <v>0</v>
      </c>
      <c r="S26" s="181"/>
      <c r="T26" s="181">
        <f>SUM(T24:T25)</f>
        <v>0</v>
      </c>
      <c r="U26" s="181"/>
      <c r="V26" s="181">
        <f>SUM(V24:V25)</f>
        <v>0</v>
      </c>
      <c r="W26" s="181"/>
      <c r="X26" s="181">
        <f>SUM(X24:X25)</f>
        <v>0</v>
      </c>
      <c r="Y26" s="181"/>
      <c r="Z26" s="181">
        <f>SUM(Z24:Z25)</f>
        <v>0</v>
      </c>
      <c r="AA26" s="181"/>
      <c r="AB26" s="182">
        <f>SUM(AB24:AB25)</f>
        <v>0</v>
      </c>
      <c r="AC26" s="182"/>
    </row>
    <row r="27" spans="1:29" ht="15.75" customHeight="1">
      <c r="A27" s="179"/>
      <c r="B27" s="178" t="s">
        <v>717</v>
      </c>
      <c r="C27" s="170" t="s">
        <v>728</v>
      </c>
      <c r="D27" s="170"/>
      <c r="E27" s="170"/>
      <c r="F27" s="171">
        <f>資金繰り_レジデンス!F27+資金繰り_リゾート・モーテル!F27+資金繰り_ザック!F27</f>
        <v>0</v>
      </c>
      <c r="G27" s="171"/>
      <c r="H27" s="171">
        <f>資金繰り_レジデンス!H27+資金繰り_リゾート・モーテル!H27+資金繰り_ザック!H27</f>
        <v>0</v>
      </c>
      <c r="I27" s="171"/>
      <c r="J27" s="171">
        <f>資金繰り_レジデンス!J27+資金繰り_リゾート・モーテル!J27+資金繰り_ザック!J27</f>
        <v>0</v>
      </c>
      <c r="K27" s="171"/>
      <c r="L27" s="171">
        <f>資金繰り_レジデンス!L27+資金繰り_リゾート・モーテル!L27+資金繰り_ザック!L27</f>
        <v>0</v>
      </c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</row>
    <row r="28" spans="1:29" ht="15.75" customHeight="1">
      <c r="A28" s="179"/>
      <c r="B28" s="178"/>
      <c r="C28" s="170" t="s">
        <v>729</v>
      </c>
      <c r="D28" s="170"/>
      <c r="E28" s="170"/>
      <c r="F28" s="171">
        <f>資金繰り_レジデンス!F28+資金繰り_リゾート・モーテル!F28+資金繰り_ザック!F28</f>
        <v>0</v>
      </c>
      <c r="G28" s="171"/>
      <c r="H28" s="171">
        <f>資金繰り_レジデンス!H28+資金繰り_リゾート・モーテル!H28+資金繰り_ザック!H28</f>
        <v>0</v>
      </c>
      <c r="I28" s="171"/>
      <c r="J28" s="171">
        <f>資金繰り_レジデンス!J28+資金繰り_リゾート・モーテル!J28+資金繰り_ザック!J28</f>
        <v>0</v>
      </c>
      <c r="K28" s="171"/>
      <c r="L28" s="171">
        <f>資金繰り_レジデンス!L28+資金繰り_リゾート・モーテル!L28+資金繰り_ザック!L28</f>
        <v>0</v>
      </c>
      <c r="M28" s="171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</row>
    <row r="29" spans="1:29" ht="15.75" customHeight="1">
      <c r="A29" s="179"/>
      <c r="B29" s="178"/>
      <c r="C29" s="180" t="s">
        <v>730</v>
      </c>
      <c r="D29" s="180"/>
      <c r="E29" s="180"/>
      <c r="F29" s="181">
        <f>SUM(F27:F28)</f>
        <v>0</v>
      </c>
      <c r="G29" s="181"/>
      <c r="H29" s="181">
        <f>SUM(H27:H28)</f>
        <v>0</v>
      </c>
      <c r="I29" s="181"/>
      <c r="J29" s="181">
        <f>SUM(J27:J28)</f>
        <v>0</v>
      </c>
      <c r="K29" s="181"/>
      <c r="L29" s="181">
        <f>SUM(L27:L28)</f>
        <v>0</v>
      </c>
      <c r="M29" s="181"/>
      <c r="N29" s="181">
        <f>SUM(N27:N28)</f>
        <v>0</v>
      </c>
      <c r="O29" s="181"/>
      <c r="P29" s="181">
        <f>SUM(P27:P28)</f>
        <v>0</v>
      </c>
      <c r="Q29" s="181"/>
      <c r="R29" s="181">
        <f>SUM(R27:R28)</f>
        <v>0</v>
      </c>
      <c r="S29" s="181"/>
      <c r="T29" s="181">
        <f>SUM(T27:T28)</f>
        <v>0</v>
      </c>
      <c r="U29" s="181"/>
      <c r="V29" s="181">
        <f>SUM(V27:V28)</f>
        <v>0</v>
      </c>
      <c r="W29" s="181"/>
      <c r="X29" s="181">
        <f>SUM(X27:X28)</f>
        <v>0</v>
      </c>
      <c r="Y29" s="181"/>
      <c r="Z29" s="181">
        <f>SUM(Z27:Z28)</f>
        <v>0</v>
      </c>
      <c r="AA29" s="181"/>
      <c r="AB29" s="182">
        <f>SUM(AB27:AB28)</f>
        <v>0</v>
      </c>
      <c r="AC29" s="182"/>
    </row>
    <row r="30" spans="1:29" ht="15.75" customHeight="1">
      <c r="A30" s="179"/>
      <c r="B30" s="183" t="s">
        <v>731</v>
      </c>
      <c r="C30" s="183"/>
      <c r="D30" s="183"/>
      <c r="E30" s="183"/>
      <c r="F30" s="184">
        <f>F26-F29</f>
        <v>0</v>
      </c>
      <c r="G30" s="184"/>
      <c r="H30" s="184">
        <f>H26-H29</f>
        <v>0</v>
      </c>
      <c r="I30" s="184"/>
      <c r="J30" s="184">
        <f>J26-J29</f>
        <v>0</v>
      </c>
      <c r="K30" s="184"/>
      <c r="L30" s="184">
        <f>L26-L29</f>
        <v>0</v>
      </c>
      <c r="M30" s="184"/>
      <c r="N30" s="184">
        <f>N26-N29</f>
        <v>0</v>
      </c>
      <c r="O30" s="184"/>
      <c r="P30" s="184">
        <f>P26-P29</f>
        <v>0</v>
      </c>
      <c r="Q30" s="184"/>
      <c r="R30" s="184">
        <f>R26-R29</f>
        <v>0</v>
      </c>
      <c r="S30" s="184"/>
      <c r="T30" s="184">
        <f>T26-T29</f>
        <v>0</v>
      </c>
      <c r="U30" s="184"/>
      <c r="V30" s="184">
        <f>V26-V29</f>
        <v>0</v>
      </c>
      <c r="W30" s="184"/>
      <c r="X30" s="184">
        <f>X26-X29</f>
        <v>0</v>
      </c>
      <c r="Y30" s="184"/>
      <c r="Z30" s="184">
        <f>Z26-Z29</f>
        <v>0</v>
      </c>
      <c r="AA30" s="184"/>
      <c r="AB30" s="185">
        <f>AB26-AB29</f>
        <v>0</v>
      </c>
      <c r="AC30" s="185"/>
    </row>
    <row r="31" spans="1:29" ht="15.75" customHeight="1">
      <c r="A31" s="186" t="s">
        <v>732</v>
      </c>
      <c r="B31" s="186"/>
      <c r="C31" s="186"/>
      <c r="D31" s="186"/>
      <c r="E31" s="186"/>
      <c r="F31" s="162">
        <f>SUM(F7,F23,F30)</f>
        <v>-25990.70635</v>
      </c>
      <c r="G31" s="162"/>
      <c r="H31" s="162">
        <f>SUM(H7,H23,H30)</f>
        <v>-32988.861650000006</v>
      </c>
      <c r="I31" s="162"/>
      <c r="J31" s="162">
        <f>SUM(J7,J23,J30)</f>
        <v>-40754.145300000004</v>
      </c>
      <c r="K31" s="162"/>
      <c r="L31" s="162">
        <f>SUM(L7,L23,L30)</f>
        <v>-40590.054100000001</v>
      </c>
      <c r="M31" s="162"/>
      <c r="N31" s="162">
        <f>SUM(N7,N23,N30)</f>
        <v>-40590.054100000001</v>
      </c>
      <c r="O31" s="162"/>
      <c r="P31" s="162">
        <f>SUM(P7,P23,P30)</f>
        <v>-40590.054100000001</v>
      </c>
      <c r="Q31" s="162"/>
      <c r="R31" s="162">
        <f>SUM(R7,R23,R30)</f>
        <v>-40590.054100000001</v>
      </c>
      <c r="S31" s="162"/>
      <c r="T31" s="162">
        <f>SUM(T7,T23,T30)</f>
        <v>-40590.054100000001</v>
      </c>
      <c r="U31" s="162"/>
      <c r="V31" s="162">
        <f>SUM(V7,V23,V30)</f>
        <v>-40590.054100000001</v>
      </c>
      <c r="W31" s="162"/>
      <c r="X31" s="162">
        <f>SUM(X7,X23,X30)</f>
        <v>-40590.054100000001</v>
      </c>
      <c r="Y31" s="162"/>
      <c r="Z31" s="162">
        <f>SUM(Z7,Z23,Z30)</f>
        <v>-40590.054100000001</v>
      </c>
      <c r="AA31" s="162"/>
      <c r="AB31" s="162">
        <f>SUM(AB7,AB23,AB30)</f>
        <v>-40590.054100000001</v>
      </c>
      <c r="AC31" s="162"/>
    </row>
    <row r="32" spans="1:29" ht="18" customHeight="1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142">
        <v>1</v>
      </c>
      <c r="F52" s="142">
        <v>1</v>
      </c>
    </row>
    <row r="53" spans="4:6" ht="18" customHeight="1">
      <c r="D53" s="142">
        <v>2</v>
      </c>
      <c r="F53" s="142">
        <v>2</v>
      </c>
    </row>
    <row r="54" spans="4:6" ht="18" customHeight="1">
      <c r="D54" s="142">
        <v>3</v>
      </c>
      <c r="F54" s="142">
        <v>3</v>
      </c>
    </row>
    <row r="55" spans="4:6" ht="18" customHeight="1">
      <c r="D55" s="142">
        <v>4</v>
      </c>
      <c r="F55" s="142">
        <v>4</v>
      </c>
    </row>
    <row r="56" spans="4:6" ht="18" customHeight="1">
      <c r="D56" s="142">
        <v>5</v>
      </c>
      <c r="F56" s="142">
        <v>5</v>
      </c>
    </row>
    <row r="57" spans="4:6" ht="18" customHeight="1">
      <c r="D57" s="142">
        <v>6</v>
      </c>
      <c r="F57" s="142">
        <v>6</v>
      </c>
    </row>
    <row r="58" spans="4:6" ht="18" customHeight="1">
      <c r="D58" s="142">
        <v>7</v>
      </c>
      <c r="F58" s="142">
        <v>7</v>
      </c>
    </row>
    <row r="59" spans="4:6" ht="18" customHeight="1">
      <c r="D59" s="142">
        <v>8</v>
      </c>
      <c r="F59" s="142">
        <v>8</v>
      </c>
    </row>
    <row r="60" spans="4:6" ht="18" customHeight="1">
      <c r="D60" s="142">
        <v>9</v>
      </c>
      <c r="F60" s="142">
        <v>9</v>
      </c>
    </row>
    <row r="61" spans="4:6" ht="18" customHeight="1">
      <c r="D61" s="142">
        <v>10</v>
      </c>
      <c r="F61" s="142">
        <v>10</v>
      </c>
    </row>
    <row r="62" spans="4:6" ht="18" customHeight="1">
      <c r="D62" s="142">
        <v>11</v>
      </c>
      <c r="F62" s="142">
        <v>11</v>
      </c>
    </row>
    <row r="63" spans="4:6" ht="18" customHeight="1">
      <c r="D63" s="142">
        <v>12</v>
      </c>
      <c r="F63" s="142">
        <v>12</v>
      </c>
    </row>
    <row r="64" spans="4:6" ht="18" customHeight="1">
      <c r="D64" s="142">
        <v>13</v>
      </c>
      <c r="F64" s="142">
        <v>13</v>
      </c>
    </row>
    <row r="65" spans="4:6" ht="18" customHeight="1">
      <c r="D65" s="142">
        <v>14</v>
      </c>
      <c r="F65" s="142">
        <v>14</v>
      </c>
    </row>
    <row r="66" spans="4:6" ht="18" customHeight="1">
      <c r="D66" s="142">
        <v>15</v>
      </c>
      <c r="F66" s="142">
        <v>15</v>
      </c>
    </row>
    <row r="67" spans="4:6" ht="18" customHeight="1">
      <c r="F67" s="142">
        <v>16</v>
      </c>
    </row>
    <row r="68" spans="4:6" ht="18" customHeight="1">
      <c r="F68" s="142">
        <v>17</v>
      </c>
    </row>
    <row r="69" spans="4:6" ht="18" customHeight="1">
      <c r="F69" s="142">
        <v>18</v>
      </c>
    </row>
    <row r="70" spans="4:6" ht="18" customHeight="1">
      <c r="F70" s="142">
        <v>19</v>
      </c>
    </row>
    <row r="71" spans="4:6" ht="18" customHeight="1">
      <c r="F71" s="142">
        <v>20</v>
      </c>
    </row>
    <row r="72" spans="4:6" ht="18" customHeight="1">
      <c r="F72" s="142">
        <v>21</v>
      </c>
    </row>
    <row r="73" spans="4:6" ht="18" customHeight="1">
      <c r="F73" s="142">
        <v>22</v>
      </c>
    </row>
    <row r="74" spans="4:6" ht="18" customHeight="1">
      <c r="F74" s="142">
        <v>23</v>
      </c>
    </row>
    <row r="75" spans="4:6" ht="18" customHeight="1">
      <c r="F75" s="142">
        <v>24</v>
      </c>
    </row>
    <row r="76" spans="4:6" ht="18" customHeight="1">
      <c r="F76" s="142">
        <v>25</v>
      </c>
    </row>
    <row r="77" spans="4:6" ht="18" customHeight="1">
      <c r="F77" s="142">
        <v>26</v>
      </c>
    </row>
    <row r="78" spans="4:6" ht="18" customHeight="1">
      <c r="F78" s="142">
        <v>27</v>
      </c>
    </row>
    <row r="79" spans="4:6" ht="18" customHeight="1">
      <c r="F79" s="142">
        <v>28</v>
      </c>
    </row>
    <row r="80" spans="4:6" ht="18" customHeight="1">
      <c r="F80" s="142">
        <v>29</v>
      </c>
    </row>
    <row r="81" spans="6:6" ht="18" customHeight="1">
      <c r="F81" s="142">
        <v>30</v>
      </c>
    </row>
    <row r="82" spans="6:6" ht="18" customHeight="1">
      <c r="F82" s="142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24:A30"/>
    <mergeCell ref="B24:B26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L28:M28"/>
    <mergeCell ref="N28:O28"/>
    <mergeCell ref="P28:Q28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6:W6"/>
    <mergeCell ref="X6:Y6"/>
    <mergeCell ref="Z6:AA6"/>
    <mergeCell ref="AB6:AC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000"/>
  <sheetViews>
    <sheetView zoomScaleNormal="100" workbookViewId="0"/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52" t="s">
        <v>703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29" ht="18" customHeight="1">
      <c r="A2" s="128" t="s">
        <v>704</v>
      </c>
      <c r="B2" s="128"/>
      <c r="C2" s="128"/>
      <c r="D2" s="153" t="s">
        <v>733</v>
      </c>
      <c r="E2" s="153"/>
      <c r="F2" s="153"/>
      <c r="G2" s="153"/>
      <c r="H2" s="153"/>
      <c r="I2" s="153"/>
      <c r="J2" s="153"/>
      <c r="K2" s="129"/>
      <c r="L2" s="129"/>
      <c r="M2" s="129"/>
      <c r="N2" s="129"/>
      <c r="O2" s="130"/>
      <c r="P2" s="130"/>
      <c r="Q2" s="130"/>
      <c r="R2" s="130"/>
      <c r="S2" s="130"/>
      <c r="T2" s="131" t="s">
        <v>705</v>
      </c>
      <c r="U2" s="131" t="s">
        <v>706</v>
      </c>
      <c r="X2" s="132">
        <v>8</v>
      </c>
      <c r="Y2" s="131" t="s">
        <v>707</v>
      </c>
      <c r="Z2" s="132">
        <v>4</v>
      </c>
      <c r="AA2" s="133" t="s">
        <v>43</v>
      </c>
      <c r="AB2" s="132">
        <v>3</v>
      </c>
      <c r="AC2" s="131" t="s">
        <v>689</v>
      </c>
    </row>
    <row r="3" spans="1:29" ht="18" customHeight="1">
      <c r="A3" s="134"/>
      <c r="B3" s="134"/>
      <c r="C3" s="134"/>
      <c r="D3" s="134"/>
      <c r="E3" s="134"/>
      <c r="F3" s="129"/>
      <c r="G3" s="129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/>
      <c r="V3" s="135"/>
      <c r="W3" s="135"/>
      <c r="X3" s="135"/>
      <c r="Y3" s="135"/>
      <c r="Z3" s="135"/>
      <c r="AA3" s="154" t="s">
        <v>708</v>
      </c>
      <c r="AB3" s="154"/>
      <c r="AC3" s="154"/>
    </row>
    <row r="4" spans="1:29" ht="28.5" customHeight="1">
      <c r="A4" s="155"/>
      <c r="B4" s="155"/>
      <c r="C4" s="155"/>
      <c r="D4" s="155"/>
      <c r="E4" s="155"/>
      <c r="F4" s="137">
        <v>5</v>
      </c>
      <c r="G4" s="138" t="s">
        <v>43</v>
      </c>
      <c r="H4" s="137">
        <v>6</v>
      </c>
      <c r="I4" s="138" t="s">
        <v>43</v>
      </c>
      <c r="J4" s="137">
        <v>7</v>
      </c>
      <c r="K4" s="138" t="s">
        <v>43</v>
      </c>
      <c r="L4" s="139">
        <v>8</v>
      </c>
      <c r="M4" s="138" t="s">
        <v>43</v>
      </c>
      <c r="N4" s="139">
        <v>9</v>
      </c>
      <c r="O4" s="138" t="s">
        <v>43</v>
      </c>
      <c r="P4" s="139">
        <v>10</v>
      </c>
      <c r="Q4" s="138" t="s">
        <v>43</v>
      </c>
      <c r="R4" s="139">
        <v>11</v>
      </c>
      <c r="S4" s="138" t="s">
        <v>43</v>
      </c>
      <c r="T4" s="139">
        <v>12</v>
      </c>
      <c r="U4" s="138" t="s">
        <v>43</v>
      </c>
      <c r="V4" s="139">
        <v>1</v>
      </c>
      <c r="W4" s="138" t="s">
        <v>43</v>
      </c>
      <c r="X4" s="139">
        <v>2</v>
      </c>
      <c r="Y4" s="138" t="s">
        <v>43</v>
      </c>
      <c r="Z4" s="139">
        <v>3</v>
      </c>
      <c r="AA4" s="138" t="s">
        <v>43</v>
      </c>
      <c r="AB4" s="140">
        <v>4</v>
      </c>
      <c r="AC4" s="141" t="s">
        <v>43</v>
      </c>
    </row>
    <row r="5" spans="1:29" ht="15.75" customHeight="1">
      <c r="A5" s="156" t="s">
        <v>709</v>
      </c>
      <c r="B5" s="156"/>
      <c r="C5" s="156"/>
      <c r="D5" s="156"/>
      <c r="E5" s="156"/>
      <c r="F5" s="157">
        <f>SUM(F8:F11)</f>
        <v>9603.7530000000006</v>
      </c>
      <c r="G5" s="157"/>
      <c r="H5" s="157">
        <f>SUM(H8:H11)</f>
        <v>0</v>
      </c>
      <c r="I5" s="157"/>
      <c r="J5" s="157">
        <f>SUM(J8:J11)</f>
        <v>0</v>
      </c>
      <c r="K5" s="157"/>
      <c r="L5" s="157">
        <f>SUM(L8:L11)</f>
        <v>0</v>
      </c>
      <c r="M5" s="157"/>
      <c r="N5" s="157">
        <f>SUM(N8:N11)</f>
        <v>0</v>
      </c>
      <c r="O5" s="157"/>
      <c r="P5" s="157">
        <f>SUM(P8:P11)</f>
        <v>0</v>
      </c>
      <c r="Q5" s="157"/>
      <c r="R5" s="157">
        <f>SUM(R8:R11)</f>
        <v>0</v>
      </c>
      <c r="S5" s="157"/>
      <c r="T5" s="157">
        <f>SUM(T8:T11)</f>
        <v>0</v>
      </c>
      <c r="U5" s="157"/>
      <c r="V5" s="157">
        <f>SUM(V8:V11)</f>
        <v>0</v>
      </c>
      <c r="W5" s="157"/>
      <c r="X5" s="157">
        <f>SUM(X8:X11)</f>
        <v>0</v>
      </c>
      <c r="Y5" s="157"/>
      <c r="Z5" s="157">
        <f>SUM(Z8:Z11)</f>
        <v>0</v>
      </c>
      <c r="AA5" s="157"/>
      <c r="AB5" s="188">
        <f>SUM(AB8:AB11)</f>
        <v>0</v>
      </c>
      <c r="AC5" s="188"/>
    </row>
    <row r="6" spans="1:29" ht="15.75" customHeight="1">
      <c r="A6" s="158" t="s">
        <v>710</v>
      </c>
      <c r="B6" s="158"/>
      <c r="C6" s="158"/>
      <c r="D6" s="158"/>
      <c r="E6" s="158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89"/>
      <c r="Y6" s="189"/>
      <c r="Z6" s="159"/>
      <c r="AA6" s="159"/>
      <c r="AB6" s="190"/>
      <c r="AC6" s="190"/>
    </row>
    <row r="7" spans="1:29" ht="15.75" customHeight="1">
      <c r="A7" s="160" t="s">
        <v>711</v>
      </c>
      <c r="B7" s="160"/>
      <c r="C7" s="160"/>
      <c r="D7" s="160"/>
      <c r="E7" s="160"/>
      <c r="F7" s="161">
        <v>0</v>
      </c>
      <c r="G7" s="161"/>
      <c r="H7" s="162">
        <f>F31</f>
        <v>-6321.3760000000002</v>
      </c>
      <c r="I7" s="162"/>
      <c r="J7" s="162">
        <f>H31</f>
        <v>-12498.513999999999</v>
      </c>
      <c r="K7" s="162"/>
      <c r="L7" s="162">
        <f>J31</f>
        <v>-18675.651999999998</v>
      </c>
      <c r="M7" s="162"/>
      <c r="N7" s="162">
        <f>L31</f>
        <v>-24852.789999999997</v>
      </c>
      <c r="O7" s="162"/>
      <c r="P7" s="162">
        <f>N31</f>
        <v>-24852.789999999997</v>
      </c>
      <c r="Q7" s="162"/>
      <c r="R7" s="162">
        <f>P31</f>
        <v>-24852.789999999997</v>
      </c>
      <c r="S7" s="162"/>
      <c r="T7" s="162">
        <f>R31</f>
        <v>-24852.789999999997</v>
      </c>
      <c r="U7" s="162"/>
      <c r="V7" s="162">
        <f>T31</f>
        <v>-24852.789999999997</v>
      </c>
      <c r="W7" s="162"/>
      <c r="X7" s="162">
        <f>V31</f>
        <v>-24852.789999999997</v>
      </c>
      <c r="Y7" s="162"/>
      <c r="Z7" s="162">
        <f>X31</f>
        <v>-24852.789999999997</v>
      </c>
      <c r="AA7" s="162"/>
      <c r="AB7" s="163">
        <f>Z31</f>
        <v>-24852.789999999997</v>
      </c>
      <c r="AC7" s="163"/>
    </row>
    <row r="8" spans="1:29" ht="15.75" customHeight="1">
      <c r="A8" s="164" t="s">
        <v>712</v>
      </c>
      <c r="B8" s="165" t="s">
        <v>713</v>
      </c>
      <c r="C8" s="166" t="s">
        <v>714</v>
      </c>
      <c r="D8" s="167" t="s">
        <v>208</v>
      </c>
      <c r="E8" s="167"/>
      <c r="F8" s="168">
        <f>(SUMIFS(入金入力!$E$4:$E$503,入金入力!$A$4:$A$503,"レジデンス",入金入力!$B$4:$B$503,"&gt;="&amp;DATE(2026,5,1),入金入力!$B$4:$B$503,"&lt;="&amp;DATE(2026,5,31),入金入力!$D$4:$D$503,"現金売上")+SUMIFS(入金予測!$E$4:$E$603,入金予測!$B$4:$B$603,"レジデンス",入金予測!$A$4:$A$603,"&gt;="&amp;DATE(2026,5,1),入金予測!$A$4:$A$603,"&lt;="&amp;DATE(2026,5,31)))/1000</f>
        <v>95.078000000000003</v>
      </c>
      <c r="G8" s="168"/>
      <c r="H8" s="168">
        <f>(SUMIFS(入金入力!$E$4:$E$503,入金入力!$A$4:$A$503,"レジデンス",入金入力!$B$4:$B$503,"&gt;="&amp;DATE(2026,6,1),入金入力!$B$4:$B$503,"&lt;="&amp;DATE(2026,6,30),入金入力!$D$4:$D$503,"現金売上")+SUMIFS(入金予測!$E$4:$E$603,入金予測!$B$4:$B$603,"レジデンス",入金予測!$A$4:$A$603,"&gt;="&amp;DATE(2026,6,1),入金予測!$A$4:$A$603,"&lt;="&amp;DATE(2026,6,30)))/1000</f>
        <v>0</v>
      </c>
      <c r="I8" s="168"/>
      <c r="J8" s="168">
        <f>(SUMIFS(入金入力!$E$4:$E$503,入金入力!$A$4:$A$503,"レジデンス",入金入力!$B$4:$B$503,"&gt;="&amp;DATE(2026,7,1),入金入力!$B$4:$B$503,"&lt;="&amp;DATE(2026,7,31),入金入力!$D$4:$D$503,"現金売上")+SUMIFS(入金予測!$E$4:$E$603,入金予測!$B$4:$B$603,"レジデンス",入金予測!$A$4:$A$603,"&gt;="&amp;DATE(2026,7,1),入金予測!$A$4:$A$603,"&lt;="&amp;DATE(2026,7,31)))/1000</f>
        <v>0</v>
      </c>
      <c r="K8" s="168"/>
      <c r="L8" s="168">
        <f>(SUMIFS(入金入力!$E$4:$E$503,入金入力!$A$4:$A$503,"レジデンス",入金入力!$B$4:$B$503,"&gt;="&amp;DATE(2026,8,1),入金入力!$B$4:$B$503,"&lt;="&amp;DATE(2026,8,31),入金入力!$D$4:$D$503,"現金売上")+SUMIFS(入金予測!$E$4:$E$603,入金予測!$B$4:$B$603,"レジデンス",入金予測!$A$4:$A$603,"&gt;="&amp;DATE(2026,8,1),入金予測!$A$4:$A$603,"&lt;="&amp;DATE(2026,8,31)))/1000</f>
        <v>0</v>
      </c>
      <c r="M8" s="16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91"/>
      <c r="AC8" s="191"/>
    </row>
    <row r="9" spans="1:29" ht="15.75" customHeight="1">
      <c r="A9" s="164"/>
      <c r="B9" s="165"/>
      <c r="C9" s="166"/>
      <c r="D9" s="170" t="s">
        <v>242</v>
      </c>
      <c r="E9" s="170"/>
      <c r="F9" s="171">
        <f>(SUMIFS(入金入力!$E$4:$E$503,入金入力!$A$4:$A$503,"レジデンス",入金入力!$B$4:$B$503,"&gt;="&amp;DATE(2026,5,1),入金入力!$B$4:$B$503,"&lt;="&amp;DATE(2026,5,31),入金入力!$D$4:$D$503,"売掛金回収"))/1000</f>
        <v>563.57500000000005</v>
      </c>
      <c r="G9" s="171"/>
      <c r="H9" s="171">
        <f>(SUMIFS(入金入力!$E$4:$E$503,入金入力!$A$4:$A$503,"レジデンス",入金入力!$B$4:$B$503,"&gt;="&amp;DATE(2026,6,1),入金入力!$B$4:$B$503,"&lt;="&amp;DATE(2026,6,30),入金入力!$D$4:$D$503,"売掛金回収"))/1000</f>
        <v>0</v>
      </c>
      <c r="I9" s="171"/>
      <c r="J9" s="171">
        <f>(SUMIFS(入金入力!$E$4:$E$503,入金入力!$A$4:$A$503,"レジデンス",入金入力!$B$4:$B$503,"&gt;="&amp;DATE(2026,7,1),入金入力!$B$4:$B$503,"&lt;="&amp;DATE(2026,7,31),入金入力!$D$4:$D$503,"売掛金回収"))/1000</f>
        <v>0</v>
      </c>
      <c r="K9" s="171"/>
      <c r="L9" s="171">
        <f>(SUMIFS(入金入力!$E$4:$E$503,入金入力!$A$4:$A$503,"レジデンス",入金入力!$B$4:$B$503,"&gt;="&amp;DATE(2026,8,1),入金入力!$B$4:$B$503,"&lt;="&amp;DATE(2026,8,31),入金入力!$D$4:$D$503,"売掛金回収"))/1000</f>
        <v>0</v>
      </c>
      <c r="M9" s="17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3"/>
      <c r="AC9" s="173"/>
    </row>
    <row r="10" spans="1:29" ht="15.75" customHeight="1">
      <c r="A10" s="164"/>
      <c r="B10" s="165"/>
      <c r="C10" s="166"/>
      <c r="D10" s="170" t="s">
        <v>715</v>
      </c>
      <c r="E10" s="170"/>
      <c r="F10" s="171">
        <f>(SUMIFS(入金入力!$E$4:$E$503,入金入力!$A$4:$A$503,"レジデンス",入金入力!$B$4:$B$503,"&gt;="&amp;DATE(2026,5,1),入金入力!$B$4:$B$503,"&lt;="&amp;DATE(2026,5,31),入金入力!$D$4:$D$503,"手形入金"))/1000</f>
        <v>0</v>
      </c>
      <c r="G10" s="171"/>
      <c r="H10" s="171">
        <f>(SUMIFS(入金入力!$E$4:$E$503,入金入力!$A$4:$A$503,"レジデンス",入金入力!$B$4:$B$503,"&gt;="&amp;DATE(2026,6,1),入金入力!$B$4:$B$503,"&lt;="&amp;DATE(2026,6,30),入金入力!$D$4:$D$503,"手形入金"))/1000</f>
        <v>0</v>
      </c>
      <c r="I10" s="171"/>
      <c r="J10" s="171">
        <f>(SUMIFS(入金入力!$E$4:$E$503,入金入力!$A$4:$A$503,"レジデンス",入金入力!$B$4:$B$503,"&gt;="&amp;DATE(2026,7,1),入金入力!$B$4:$B$503,"&lt;="&amp;DATE(2026,7,31),入金入力!$D$4:$D$503,"手形入金"))/1000</f>
        <v>0</v>
      </c>
      <c r="K10" s="171"/>
      <c r="L10" s="171">
        <f>(SUMIFS(入金入力!$E$4:$E$503,入金入力!$A$4:$A$503,"レジデンス",入金入力!$B$4:$B$503,"&gt;="&amp;DATE(2026,8,1),入金入力!$B$4:$B$503,"&lt;="&amp;DATE(2026,8,31),入金入力!$D$4:$D$503,"手形入金"))/1000</f>
        <v>0</v>
      </c>
      <c r="M10" s="17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3"/>
      <c r="AC10" s="173"/>
    </row>
    <row r="11" spans="1:29" ht="15.75" customHeight="1">
      <c r="A11" s="164"/>
      <c r="B11" s="165"/>
      <c r="C11" s="166"/>
      <c r="D11" s="170" t="s">
        <v>245</v>
      </c>
      <c r="E11" s="170"/>
      <c r="F11" s="171">
        <f>(SUMIFS(入金入力!$E$4:$E$503,入金入力!$A$4:$A$503,"レジデンス",入金入力!$B$4:$B$503,"&gt;="&amp;DATE(2026,5,1),入金入力!$B$4:$B$503,"&lt;="&amp;DATE(2026,5,31),入金入力!$D$4:$D$503,"その他収入"))/1000</f>
        <v>8945.1</v>
      </c>
      <c r="G11" s="171"/>
      <c r="H11" s="171">
        <f>(SUMIFS(入金入力!$E$4:$E$503,入金入力!$A$4:$A$503,"レジデンス",入金入力!$B$4:$B$503,"&gt;="&amp;DATE(2026,6,1),入金入力!$B$4:$B$503,"&lt;="&amp;DATE(2026,6,30),入金入力!$D$4:$D$503,"その他収入"))/1000</f>
        <v>0</v>
      </c>
      <c r="I11" s="171"/>
      <c r="J11" s="171">
        <f>(SUMIFS(入金入力!$E$4:$E$503,入金入力!$A$4:$A$503,"レジデンス",入金入力!$B$4:$B$503,"&gt;="&amp;DATE(2026,7,1),入金入力!$B$4:$B$503,"&lt;="&amp;DATE(2026,7,31),入金入力!$D$4:$D$503,"その他収入"))/1000</f>
        <v>0</v>
      </c>
      <c r="K11" s="171"/>
      <c r="L11" s="171">
        <f>(SUMIFS(入金入力!$E$4:$E$503,入金入力!$A$4:$A$503,"レジデンス",入金入力!$B$4:$B$503,"&gt;="&amp;DATE(2026,8,1),入金入力!$B$4:$B$503,"&lt;="&amp;DATE(2026,8,31),入金入力!$D$4:$D$503,"その他収入"))/1000</f>
        <v>0</v>
      </c>
      <c r="M11" s="17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</row>
    <row r="12" spans="1:29" ht="15.75" customHeight="1">
      <c r="A12" s="164"/>
      <c r="B12" s="165"/>
      <c r="C12" s="174" t="s">
        <v>716</v>
      </c>
      <c r="D12" s="174"/>
      <c r="E12" s="174"/>
      <c r="F12" s="175">
        <f>SUM(F8:F11)</f>
        <v>9603.7530000000006</v>
      </c>
      <c r="G12" s="175"/>
      <c r="H12" s="175">
        <f>SUM(H8:H11)</f>
        <v>0</v>
      </c>
      <c r="I12" s="175"/>
      <c r="J12" s="175">
        <f>SUM(J8:J11)</f>
        <v>0</v>
      </c>
      <c r="K12" s="175"/>
      <c r="L12" s="175">
        <f>SUM(L8:L11)</f>
        <v>0</v>
      </c>
      <c r="M12" s="175"/>
      <c r="N12" s="175">
        <f>SUM(N8:N11)</f>
        <v>0</v>
      </c>
      <c r="O12" s="175"/>
      <c r="P12" s="175">
        <f>SUM(P8:P11)</f>
        <v>0</v>
      </c>
      <c r="Q12" s="175"/>
      <c r="R12" s="175">
        <f>SUM(R8:R11)</f>
        <v>0</v>
      </c>
      <c r="S12" s="175"/>
      <c r="T12" s="175">
        <f>SUM(T8:T11)</f>
        <v>0</v>
      </c>
      <c r="U12" s="175"/>
      <c r="V12" s="175">
        <f>SUM(V8:V11)</f>
        <v>0</v>
      </c>
      <c r="W12" s="175"/>
      <c r="X12" s="175">
        <f>SUM(X8:X11)</f>
        <v>0</v>
      </c>
      <c r="Y12" s="175"/>
      <c r="Z12" s="175">
        <f>SUM(Z8:Z11)</f>
        <v>0</v>
      </c>
      <c r="AA12" s="175"/>
      <c r="AB12" s="176">
        <f>SUM(AB8:AB11)</f>
        <v>0</v>
      </c>
      <c r="AC12" s="176"/>
    </row>
    <row r="13" spans="1:29" ht="15.75" customHeight="1">
      <c r="A13" s="164"/>
      <c r="B13" s="177" t="s">
        <v>717</v>
      </c>
      <c r="C13" s="178" t="s">
        <v>718</v>
      </c>
      <c r="D13" s="170" t="s">
        <v>719</v>
      </c>
      <c r="E13" s="170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3"/>
      <c r="AC13" s="173"/>
    </row>
    <row r="14" spans="1:29" ht="15.75" customHeight="1">
      <c r="A14" s="164"/>
      <c r="B14" s="177"/>
      <c r="C14" s="178"/>
      <c r="D14" s="170" t="s">
        <v>165</v>
      </c>
      <c r="E14" s="170"/>
      <c r="F14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買掛金支払")*未払予定一覧!$O$4:$O$803))/1000</f>
        <v>15925.129000000001</v>
      </c>
      <c r="G14" s="171"/>
      <c r="H14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買掛金支払")*未払予定一覧!$O$4:$O$803))/1000</f>
        <v>6177.1379999999999</v>
      </c>
      <c r="I14" s="171"/>
      <c r="J14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買掛金支払")*未払予定一覧!$O$4:$O$803))/1000</f>
        <v>6177.1379999999999</v>
      </c>
      <c r="K14" s="171"/>
      <c r="L14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買掛金支払")*未払予定一覧!$O$4:$O$803))/1000</f>
        <v>6177.1379999999999</v>
      </c>
      <c r="M14" s="171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3"/>
      <c r="AC14" s="173"/>
    </row>
    <row r="15" spans="1:29" ht="15.75" customHeight="1">
      <c r="A15" s="164"/>
      <c r="B15" s="177"/>
      <c r="C15" s="178"/>
      <c r="D15" s="170" t="s">
        <v>720</v>
      </c>
      <c r="E15" s="170"/>
      <c r="F15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手形決済")*未払予定一覧!$O$4:$O$803))/1000</f>
        <v>0</v>
      </c>
      <c r="G15" s="171"/>
      <c r="H15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手形決済")*未払予定一覧!$O$4:$O$803))/1000</f>
        <v>0</v>
      </c>
      <c r="I15" s="171"/>
      <c r="J15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手形決済")*未払予定一覧!$O$4:$O$803))/1000</f>
        <v>0</v>
      </c>
      <c r="K15" s="171"/>
      <c r="L15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手形決済")*未払予定一覧!$O$4:$O$803))/1000</f>
        <v>0</v>
      </c>
      <c r="M15" s="17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3"/>
      <c r="AC15" s="173"/>
    </row>
    <row r="16" spans="1:29" ht="15.75" customHeight="1">
      <c r="A16" s="164"/>
      <c r="B16" s="177"/>
      <c r="C16" s="178" t="s">
        <v>721</v>
      </c>
      <c r="D16" s="170" t="s">
        <v>181</v>
      </c>
      <c r="E16" s="170"/>
      <c r="F16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役員報酬")*未払予定一覧!$O$4:$O$803))/1000</f>
        <v>0</v>
      </c>
      <c r="G16" s="171"/>
      <c r="H16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役員報酬")*未払予定一覧!$O$4:$O$803))/1000</f>
        <v>0</v>
      </c>
      <c r="I16" s="171"/>
      <c r="J16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役員報酬")*未払予定一覧!$O$4:$O$803))/1000</f>
        <v>0</v>
      </c>
      <c r="K16" s="171"/>
      <c r="L16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役員報酬")*未払予定一覧!$O$4:$O$803))/1000</f>
        <v>0</v>
      </c>
      <c r="M16" s="17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</row>
    <row r="17" spans="1:29" ht="15.75" customHeight="1">
      <c r="A17" s="164"/>
      <c r="B17" s="177"/>
      <c r="C17" s="178"/>
      <c r="D17" s="170" t="s">
        <v>182</v>
      </c>
      <c r="E17" s="170"/>
      <c r="F17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従業員給与")*未払予定一覧!$O$4:$O$803))/1000</f>
        <v>0</v>
      </c>
      <c r="G17" s="171"/>
      <c r="H17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従業員給与")*未払予定一覧!$O$4:$O$803))/1000</f>
        <v>0</v>
      </c>
      <c r="I17" s="171"/>
      <c r="J17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従業員給与")*未払予定一覧!$O$4:$O$803))/1000</f>
        <v>0</v>
      </c>
      <c r="K17" s="171"/>
      <c r="L17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従業員給与")*未払予定一覧!$O$4:$O$803))/1000</f>
        <v>0</v>
      </c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</row>
    <row r="18" spans="1:29" ht="15.75" customHeight="1">
      <c r="A18" s="164"/>
      <c r="B18" s="177"/>
      <c r="C18" s="178"/>
      <c r="D18" s="170" t="s">
        <v>183</v>
      </c>
      <c r="E18" s="170"/>
      <c r="F18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地代家賃")*未払予定一覧!$O$4:$O$803))/1000</f>
        <v>0</v>
      </c>
      <c r="G18" s="171"/>
      <c r="H18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地代家賃")*未払予定一覧!$O$4:$O$803))/1000</f>
        <v>0</v>
      </c>
      <c r="I18" s="171"/>
      <c r="J18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地代家賃")*未払予定一覧!$O$4:$O$803))/1000</f>
        <v>0</v>
      </c>
      <c r="K18" s="171"/>
      <c r="L18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地代家賃")*未払予定一覧!$O$4:$O$803))/1000</f>
        <v>0</v>
      </c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</row>
    <row r="19" spans="1:29" ht="15.75" customHeight="1">
      <c r="A19" s="164"/>
      <c r="B19" s="177"/>
      <c r="C19" s="178"/>
      <c r="D19" s="170" t="s">
        <v>184</v>
      </c>
      <c r="E19" s="170"/>
      <c r="F19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支払利息")*未払予定一覧!$O$4:$O$803))/1000</f>
        <v>0</v>
      </c>
      <c r="G19" s="171"/>
      <c r="H19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支払利息")*未払予定一覧!$O$4:$O$803))/1000</f>
        <v>0</v>
      </c>
      <c r="I19" s="171"/>
      <c r="J19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支払利息")*未払予定一覧!$O$4:$O$803))/1000</f>
        <v>0</v>
      </c>
      <c r="K19" s="171"/>
      <c r="L19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支払利息")*未払予定一覧!$O$4:$O$803))/1000</f>
        <v>0</v>
      </c>
      <c r="M19" s="17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spans="1:29" ht="15.75" customHeight="1">
      <c r="A20" s="164"/>
      <c r="B20" s="177"/>
      <c r="C20" s="178"/>
      <c r="D20" s="170" t="s">
        <v>175</v>
      </c>
      <c r="E20" s="170"/>
      <c r="F20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税金・社会保険料")*未払予定一覧!$O$4:$O$803))/1000</f>
        <v>0</v>
      </c>
      <c r="G20" s="171"/>
      <c r="H20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税金・社会保険料")*未払予定一覧!$O$4:$O$803))/1000</f>
        <v>0</v>
      </c>
      <c r="I20" s="171"/>
      <c r="J20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税金・社会保険料")*未払予定一覧!$O$4:$O$803))/1000</f>
        <v>0</v>
      </c>
      <c r="K20" s="171"/>
      <c r="L20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税金・社会保険料")*未払予定一覧!$O$4:$O$803))/1000</f>
        <v>0</v>
      </c>
      <c r="M20" s="17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</row>
    <row r="21" spans="1:29" ht="15.75" customHeight="1">
      <c r="A21" s="164"/>
      <c r="B21" s="177"/>
      <c r="C21" s="178"/>
      <c r="D21" s="170" t="s">
        <v>177</v>
      </c>
      <c r="E21" s="170"/>
      <c r="F21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その他経費")*未払予定一覧!$O$4:$O$803))/1000</f>
        <v>0</v>
      </c>
      <c r="G21" s="171"/>
      <c r="H21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その他経費")*未払予定一覧!$O$4:$O$803))/1000</f>
        <v>0</v>
      </c>
      <c r="I21" s="171"/>
      <c r="J21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その他経費")*未払予定一覧!$O$4:$O$803))/1000</f>
        <v>0</v>
      </c>
      <c r="K21" s="171"/>
      <c r="L21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その他経費")*未払予定一覧!$O$4:$O$803))/1000</f>
        <v>0</v>
      </c>
      <c r="M21" s="17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</row>
    <row r="22" spans="1:29" ht="15.75" customHeight="1">
      <c r="A22" s="164"/>
      <c r="B22" s="177"/>
      <c r="C22" s="174" t="s">
        <v>722</v>
      </c>
      <c r="D22" s="174"/>
      <c r="E22" s="174"/>
      <c r="F22" s="175">
        <f>SUM(F13:F21)</f>
        <v>15925.129000000001</v>
      </c>
      <c r="G22" s="175"/>
      <c r="H22" s="175">
        <f>SUM(H13:H21)</f>
        <v>6177.1379999999999</v>
      </c>
      <c r="I22" s="175"/>
      <c r="J22" s="175">
        <f>SUM(J13:J21)</f>
        <v>6177.1379999999999</v>
      </c>
      <c r="K22" s="175"/>
      <c r="L22" s="175">
        <f>SUM(L13:L21)</f>
        <v>6177.1379999999999</v>
      </c>
      <c r="M22" s="175"/>
      <c r="N22" s="175">
        <f>SUM(N13:N21)</f>
        <v>0</v>
      </c>
      <c r="O22" s="175"/>
      <c r="P22" s="175">
        <f>SUM(P13:P21)</f>
        <v>0</v>
      </c>
      <c r="Q22" s="175"/>
      <c r="R22" s="175">
        <f>SUM(R13:R21)</f>
        <v>0</v>
      </c>
      <c r="S22" s="175"/>
      <c r="T22" s="175">
        <f>SUM(T13:T21)</f>
        <v>0</v>
      </c>
      <c r="U22" s="175"/>
      <c r="V22" s="175">
        <f>SUM(V13:V21)</f>
        <v>0</v>
      </c>
      <c r="W22" s="175"/>
      <c r="X22" s="175">
        <f>SUM(X13:X21)</f>
        <v>0</v>
      </c>
      <c r="Y22" s="175"/>
      <c r="Z22" s="175">
        <f>SUM(Z13:Z21)</f>
        <v>0</v>
      </c>
      <c r="AA22" s="175"/>
      <c r="AB22" s="176">
        <f>SUM(AB13:AB21)</f>
        <v>0</v>
      </c>
      <c r="AC22" s="176"/>
    </row>
    <row r="23" spans="1:29" ht="15.75" customHeight="1">
      <c r="A23" s="164"/>
      <c r="B23" s="174" t="s">
        <v>723</v>
      </c>
      <c r="C23" s="174"/>
      <c r="D23" s="174"/>
      <c r="E23" s="174"/>
      <c r="F23" s="175">
        <f>F12-F22</f>
        <v>-6321.3760000000002</v>
      </c>
      <c r="G23" s="175"/>
      <c r="H23" s="175">
        <f>H12-H22</f>
        <v>-6177.1379999999999</v>
      </c>
      <c r="I23" s="175"/>
      <c r="J23" s="175">
        <f>J12-J22</f>
        <v>-6177.1379999999999</v>
      </c>
      <c r="K23" s="175"/>
      <c r="L23" s="175">
        <f>L12-L22</f>
        <v>-6177.1379999999999</v>
      </c>
      <c r="M23" s="175"/>
      <c r="N23" s="175">
        <f>N12-N22</f>
        <v>0</v>
      </c>
      <c r="O23" s="175"/>
      <c r="P23" s="175">
        <f>P12-P22</f>
        <v>0</v>
      </c>
      <c r="Q23" s="175"/>
      <c r="R23" s="175">
        <f>R12-R22</f>
        <v>0</v>
      </c>
      <c r="S23" s="175"/>
      <c r="T23" s="175">
        <f>T12-T22</f>
        <v>0</v>
      </c>
      <c r="U23" s="175"/>
      <c r="V23" s="175">
        <f>V12-V22</f>
        <v>0</v>
      </c>
      <c r="W23" s="175"/>
      <c r="X23" s="175">
        <f>X12-X22</f>
        <v>0</v>
      </c>
      <c r="Y23" s="175"/>
      <c r="Z23" s="175">
        <f>Z12-Z22</f>
        <v>0</v>
      </c>
      <c r="AA23" s="175"/>
      <c r="AB23" s="176">
        <f>AB12-AB22</f>
        <v>0</v>
      </c>
      <c r="AC23" s="176"/>
    </row>
    <row r="24" spans="1:29" ht="15.75" customHeight="1">
      <c r="A24" s="179" t="s">
        <v>724</v>
      </c>
      <c r="B24" s="178" t="s">
        <v>713</v>
      </c>
      <c r="C24" s="170" t="s">
        <v>725</v>
      </c>
      <c r="D24" s="170"/>
      <c r="E24" s="170"/>
      <c r="F24" s="171">
        <f>(SUMIFS(入金入力!$E$4:$E$503,入金入力!$A$4:$A$503,"レジデンス",入金入力!$B$4:$B$503,"&gt;="&amp;DATE(2026,5,1),入金入力!$B$4:$B$503,"&lt;="&amp;DATE(2026,5,31),入金入力!$D$4:$D$503,"借入金"))/1000</f>
        <v>0</v>
      </c>
      <c r="G24" s="171"/>
      <c r="H24" s="171">
        <f>(SUMIFS(入金入力!$E$4:$E$503,入金入力!$A$4:$A$503,"レジデンス",入金入力!$B$4:$B$503,"&gt;="&amp;DATE(2026,6,1),入金入力!$B$4:$B$503,"&lt;="&amp;DATE(2026,6,30),入金入力!$D$4:$D$503,"借入金"))/1000</f>
        <v>0</v>
      </c>
      <c r="I24" s="171"/>
      <c r="J24" s="171">
        <f>(SUMIFS(入金入力!$E$4:$E$503,入金入力!$A$4:$A$503,"レジデンス",入金入力!$B$4:$B$503,"&gt;="&amp;DATE(2026,7,1),入金入力!$B$4:$B$503,"&lt;="&amp;DATE(2026,7,31),入金入力!$D$4:$D$503,"借入金"))/1000</f>
        <v>0</v>
      </c>
      <c r="K24" s="171"/>
      <c r="L24" s="171">
        <f>(SUMIFS(入金入力!$E$4:$E$503,入金入力!$A$4:$A$503,"レジデンス",入金入力!$B$4:$B$503,"&gt;="&amp;DATE(2026,8,1),入金入力!$B$4:$B$503,"&lt;="&amp;DATE(2026,8,31),入金入力!$D$4:$D$503,"借入金"))/1000</f>
        <v>0</v>
      </c>
      <c r="M24" s="171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3"/>
      <c r="AC24" s="173"/>
    </row>
    <row r="25" spans="1:29" ht="15.75" customHeight="1">
      <c r="A25" s="179"/>
      <c r="B25" s="178"/>
      <c r="C25" s="170" t="s">
        <v>726</v>
      </c>
      <c r="D25" s="170"/>
      <c r="E25" s="170"/>
      <c r="F25" s="171">
        <f>(SUMIFS(入金入力!$E$4:$E$503,入金入力!$A$4:$A$503,"レジデンス",入金入力!$B$4:$B$503,"&gt;="&amp;DATE(2026,5,1),入金入力!$B$4:$B$503,"&lt;="&amp;DATE(2026,5,31),入金入力!$D$4:$D$503,"設備売却"))/1000</f>
        <v>0</v>
      </c>
      <c r="G25" s="171"/>
      <c r="H25" s="171">
        <f>(SUMIFS(入金入力!$E$4:$E$503,入金入力!$A$4:$A$503,"レジデンス",入金入力!$B$4:$B$503,"&gt;="&amp;DATE(2026,6,1),入金入力!$B$4:$B$503,"&lt;="&amp;DATE(2026,6,30),入金入力!$D$4:$D$503,"設備売却"))/1000</f>
        <v>0</v>
      </c>
      <c r="I25" s="171"/>
      <c r="J25" s="171">
        <f>(SUMIFS(入金入力!$E$4:$E$503,入金入力!$A$4:$A$503,"レジデンス",入金入力!$B$4:$B$503,"&gt;="&amp;DATE(2026,7,1),入金入力!$B$4:$B$503,"&lt;="&amp;DATE(2026,7,31),入金入力!$D$4:$D$503,"設備売却"))/1000</f>
        <v>0</v>
      </c>
      <c r="K25" s="171"/>
      <c r="L25" s="171">
        <f>(SUMIFS(入金入力!$E$4:$E$503,入金入力!$A$4:$A$503,"レジデンス",入金入力!$B$4:$B$503,"&gt;="&amp;DATE(2026,8,1),入金入力!$B$4:$B$503,"&lt;="&amp;DATE(2026,8,31),入金入力!$D$4:$D$503,"設備売却"))/1000</f>
        <v>0</v>
      </c>
      <c r="M25" s="171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3"/>
      <c r="AC25" s="173"/>
    </row>
    <row r="26" spans="1:29" ht="15.75" customHeight="1">
      <c r="A26" s="179"/>
      <c r="B26" s="178"/>
      <c r="C26" s="180" t="s">
        <v>727</v>
      </c>
      <c r="D26" s="180"/>
      <c r="E26" s="180"/>
      <c r="F26" s="181">
        <f>SUM(F24:F25)</f>
        <v>0</v>
      </c>
      <c r="G26" s="181"/>
      <c r="H26" s="181">
        <f>SUM(H24:H25)</f>
        <v>0</v>
      </c>
      <c r="I26" s="181"/>
      <c r="J26" s="181">
        <f>SUM(J24:J25)</f>
        <v>0</v>
      </c>
      <c r="K26" s="181"/>
      <c r="L26" s="181">
        <f>SUM(L24:L25)</f>
        <v>0</v>
      </c>
      <c r="M26" s="181"/>
      <c r="N26" s="181">
        <f>SUM(N24:N25)</f>
        <v>0</v>
      </c>
      <c r="O26" s="181"/>
      <c r="P26" s="181">
        <f>SUM(P24:P25)</f>
        <v>0</v>
      </c>
      <c r="Q26" s="181"/>
      <c r="R26" s="181">
        <f>SUM(R24:R25)</f>
        <v>0</v>
      </c>
      <c r="S26" s="181"/>
      <c r="T26" s="181">
        <f>SUM(T24:T25)</f>
        <v>0</v>
      </c>
      <c r="U26" s="181"/>
      <c r="V26" s="181">
        <f>SUM(V24:V25)</f>
        <v>0</v>
      </c>
      <c r="W26" s="181"/>
      <c r="X26" s="181">
        <f>SUM(X24:X25)</f>
        <v>0</v>
      </c>
      <c r="Y26" s="181"/>
      <c r="Z26" s="181">
        <f>SUM(Z24:Z25)</f>
        <v>0</v>
      </c>
      <c r="AA26" s="181"/>
      <c r="AB26" s="182">
        <f>SUM(AB24:AB25)</f>
        <v>0</v>
      </c>
      <c r="AC26" s="182"/>
    </row>
    <row r="27" spans="1:29" ht="15.75" customHeight="1">
      <c r="A27" s="179"/>
      <c r="B27" s="178" t="s">
        <v>717</v>
      </c>
      <c r="C27" s="170" t="s">
        <v>728</v>
      </c>
      <c r="D27" s="170"/>
      <c r="E27" s="170"/>
      <c r="F27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借入金返済")*未払予定一覧!$O$4:$O$803))/1000</f>
        <v>0</v>
      </c>
      <c r="G27" s="171"/>
      <c r="H27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借入金返済")*未払予定一覧!$O$4:$O$803))/1000</f>
        <v>0</v>
      </c>
      <c r="I27" s="171"/>
      <c r="J27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借入金返済")*未払予定一覧!$O$4:$O$803))/1000</f>
        <v>0</v>
      </c>
      <c r="K27" s="171"/>
      <c r="L27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借入金返済")*未払予定一覧!$O$4:$O$803))/1000</f>
        <v>0</v>
      </c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3"/>
      <c r="AC27" s="173"/>
    </row>
    <row r="28" spans="1:29" ht="15.75" customHeight="1">
      <c r="A28" s="179"/>
      <c r="B28" s="178"/>
      <c r="C28" s="170" t="s">
        <v>729</v>
      </c>
      <c r="D28" s="170"/>
      <c r="E28" s="170"/>
      <c r="F28" s="171">
        <f>(SUMPRODUCT((未払予定一覧!$A$4:$A$803="レジデンス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設備購入等")*未払予定一覧!$O$4:$O$803))/1000</f>
        <v>0</v>
      </c>
      <c r="G28" s="171"/>
      <c r="H28" s="171">
        <f>(SUMPRODUCT((未払予定一覧!$A$4:$A$803="レジデンス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設備購入等")*未払予定一覧!$O$4:$O$803))/1000</f>
        <v>0</v>
      </c>
      <c r="I28" s="171"/>
      <c r="J28" s="171">
        <f>(SUMPRODUCT((未払予定一覧!$A$4:$A$803="レジデンス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設備購入等")*未払予定一覧!$O$4:$O$803))/1000</f>
        <v>0</v>
      </c>
      <c r="K28" s="171"/>
      <c r="L28" s="171">
        <f>(SUMPRODUCT((未払予定一覧!$A$4:$A$803="レジデンス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設備購入等")*未払予定一覧!$O$4:$O$803))/1000</f>
        <v>0</v>
      </c>
      <c r="M28" s="171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3"/>
      <c r="AC28" s="173"/>
    </row>
    <row r="29" spans="1:29" ht="15.75" customHeight="1">
      <c r="A29" s="179"/>
      <c r="B29" s="178"/>
      <c r="C29" s="180" t="s">
        <v>730</v>
      </c>
      <c r="D29" s="180"/>
      <c r="E29" s="180"/>
      <c r="F29" s="181">
        <f>SUM(F27:F28)</f>
        <v>0</v>
      </c>
      <c r="G29" s="181"/>
      <c r="H29" s="181">
        <f>SUM(H27:H28)</f>
        <v>0</v>
      </c>
      <c r="I29" s="181"/>
      <c r="J29" s="181">
        <f>SUM(J27:J28)</f>
        <v>0</v>
      </c>
      <c r="K29" s="181"/>
      <c r="L29" s="181">
        <f>SUM(L27:L28)</f>
        <v>0</v>
      </c>
      <c r="M29" s="181"/>
      <c r="N29" s="181">
        <f>SUM(N27:N28)</f>
        <v>0</v>
      </c>
      <c r="O29" s="181"/>
      <c r="P29" s="181">
        <f>SUM(P27:P28)</f>
        <v>0</v>
      </c>
      <c r="Q29" s="181"/>
      <c r="R29" s="181">
        <f>SUM(R27:R28)</f>
        <v>0</v>
      </c>
      <c r="S29" s="181"/>
      <c r="T29" s="181">
        <f>SUM(T27:T28)</f>
        <v>0</v>
      </c>
      <c r="U29" s="181"/>
      <c r="V29" s="181">
        <f>SUM(V27:V28)</f>
        <v>0</v>
      </c>
      <c r="W29" s="181"/>
      <c r="X29" s="181">
        <f>SUM(X27:X28)</f>
        <v>0</v>
      </c>
      <c r="Y29" s="181"/>
      <c r="Z29" s="181">
        <f>SUM(Z27:Z28)</f>
        <v>0</v>
      </c>
      <c r="AA29" s="181"/>
      <c r="AB29" s="182">
        <f>SUM(AB27:AB28)</f>
        <v>0</v>
      </c>
      <c r="AC29" s="182"/>
    </row>
    <row r="30" spans="1:29" ht="15.75" customHeight="1">
      <c r="A30" s="179"/>
      <c r="B30" s="183" t="s">
        <v>731</v>
      </c>
      <c r="C30" s="183"/>
      <c r="D30" s="183"/>
      <c r="E30" s="183"/>
      <c r="F30" s="184">
        <f>F26-F29</f>
        <v>0</v>
      </c>
      <c r="G30" s="184"/>
      <c r="H30" s="184">
        <f>H26-H29</f>
        <v>0</v>
      </c>
      <c r="I30" s="184"/>
      <c r="J30" s="184">
        <f>J26-J29</f>
        <v>0</v>
      </c>
      <c r="K30" s="184"/>
      <c r="L30" s="184">
        <f>L26-L29</f>
        <v>0</v>
      </c>
      <c r="M30" s="184"/>
      <c r="N30" s="184">
        <f>N26-N29</f>
        <v>0</v>
      </c>
      <c r="O30" s="184"/>
      <c r="P30" s="184">
        <f>P26-P29</f>
        <v>0</v>
      </c>
      <c r="Q30" s="184"/>
      <c r="R30" s="184">
        <f>R26-R29</f>
        <v>0</v>
      </c>
      <c r="S30" s="184"/>
      <c r="T30" s="184">
        <f>T26-T29</f>
        <v>0</v>
      </c>
      <c r="U30" s="184"/>
      <c r="V30" s="184">
        <f>V26-V29</f>
        <v>0</v>
      </c>
      <c r="W30" s="184"/>
      <c r="X30" s="184">
        <f>X26-X29</f>
        <v>0</v>
      </c>
      <c r="Y30" s="184"/>
      <c r="Z30" s="184">
        <f>Z26-Z29</f>
        <v>0</v>
      </c>
      <c r="AA30" s="184"/>
      <c r="AB30" s="185">
        <f>AB26-AB29</f>
        <v>0</v>
      </c>
      <c r="AC30" s="185"/>
    </row>
    <row r="31" spans="1:29" ht="15.75" customHeight="1">
      <c r="A31" s="186" t="s">
        <v>732</v>
      </c>
      <c r="B31" s="186"/>
      <c r="C31" s="186"/>
      <c r="D31" s="186"/>
      <c r="E31" s="186"/>
      <c r="F31" s="162">
        <f>SUM(F7,F23,F30)</f>
        <v>-6321.3760000000002</v>
      </c>
      <c r="G31" s="162"/>
      <c r="H31" s="162">
        <f>SUM(H7,H23,H30)</f>
        <v>-12498.513999999999</v>
      </c>
      <c r="I31" s="162"/>
      <c r="J31" s="162">
        <f>SUM(J7,J23,J30)</f>
        <v>-18675.651999999998</v>
      </c>
      <c r="K31" s="162"/>
      <c r="L31" s="162">
        <f>SUM(L7,L23,L30)</f>
        <v>-24852.789999999997</v>
      </c>
      <c r="M31" s="162"/>
      <c r="N31" s="162">
        <f>SUM(N7,N23,N30)</f>
        <v>-24852.789999999997</v>
      </c>
      <c r="O31" s="162"/>
      <c r="P31" s="162">
        <f>SUM(P7,P23,P30)</f>
        <v>-24852.789999999997</v>
      </c>
      <c r="Q31" s="162"/>
      <c r="R31" s="162">
        <f>SUM(R7,R23,R30)</f>
        <v>-24852.789999999997</v>
      </c>
      <c r="S31" s="162"/>
      <c r="T31" s="162">
        <f>SUM(T7,T23,T30)</f>
        <v>-24852.789999999997</v>
      </c>
      <c r="U31" s="162"/>
      <c r="V31" s="162">
        <f>SUM(V7,V23,V30)</f>
        <v>-24852.789999999997</v>
      </c>
      <c r="W31" s="162"/>
      <c r="X31" s="162">
        <f>SUM(X7,X23,X30)</f>
        <v>-24852.789999999997</v>
      </c>
      <c r="Y31" s="162"/>
      <c r="Z31" s="162">
        <f>SUM(Z7,Z23,Z30)</f>
        <v>-24852.789999999997</v>
      </c>
      <c r="AA31" s="162"/>
      <c r="AB31" s="162">
        <f>SUM(AB7,AB23,AB30)</f>
        <v>-24852.789999999997</v>
      </c>
      <c r="AC31" s="162"/>
    </row>
    <row r="32" spans="1:29" ht="18" customHeight="1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142">
        <v>1</v>
      </c>
      <c r="F52" s="142">
        <v>1</v>
      </c>
    </row>
    <row r="53" spans="4:6" ht="18" customHeight="1">
      <c r="D53" s="142">
        <v>2</v>
      </c>
      <c r="F53" s="142">
        <v>2</v>
      </c>
    </row>
    <row r="54" spans="4:6" ht="18" customHeight="1">
      <c r="D54" s="142">
        <v>3</v>
      </c>
      <c r="F54" s="142">
        <v>3</v>
      </c>
    </row>
    <row r="55" spans="4:6" ht="18" customHeight="1">
      <c r="D55" s="142">
        <v>4</v>
      </c>
      <c r="F55" s="142">
        <v>4</v>
      </c>
    </row>
    <row r="56" spans="4:6" ht="18" customHeight="1">
      <c r="D56" s="142">
        <v>5</v>
      </c>
      <c r="F56" s="142">
        <v>5</v>
      </c>
    </row>
    <row r="57" spans="4:6" ht="18" customHeight="1">
      <c r="D57" s="142">
        <v>6</v>
      </c>
      <c r="F57" s="142">
        <v>6</v>
      </c>
    </row>
    <row r="58" spans="4:6" ht="18" customHeight="1">
      <c r="D58" s="142">
        <v>7</v>
      </c>
      <c r="F58" s="142">
        <v>7</v>
      </c>
    </row>
    <row r="59" spans="4:6" ht="18" customHeight="1">
      <c r="D59" s="142">
        <v>8</v>
      </c>
      <c r="F59" s="142">
        <v>8</v>
      </c>
    </row>
    <row r="60" spans="4:6" ht="18" customHeight="1">
      <c r="D60" s="142">
        <v>9</v>
      </c>
      <c r="F60" s="142">
        <v>9</v>
      </c>
    </row>
    <row r="61" spans="4:6" ht="18" customHeight="1">
      <c r="D61" s="142">
        <v>10</v>
      </c>
      <c r="F61" s="142">
        <v>10</v>
      </c>
    </row>
    <row r="62" spans="4:6" ht="18" customHeight="1">
      <c r="D62" s="142">
        <v>11</v>
      </c>
      <c r="F62" s="142">
        <v>11</v>
      </c>
    </row>
    <row r="63" spans="4:6" ht="18" customHeight="1">
      <c r="D63" s="142">
        <v>12</v>
      </c>
      <c r="F63" s="142">
        <v>12</v>
      </c>
    </row>
    <row r="64" spans="4:6" ht="18" customHeight="1">
      <c r="D64" s="142">
        <v>13</v>
      </c>
      <c r="F64" s="142">
        <v>13</v>
      </c>
    </row>
    <row r="65" spans="4:6" ht="18" customHeight="1">
      <c r="D65" s="142">
        <v>14</v>
      </c>
      <c r="F65" s="142">
        <v>14</v>
      </c>
    </row>
    <row r="66" spans="4:6" ht="18" customHeight="1">
      <c r="D66" s="142">
        <v>15</v>
      </c>
      <c r="F66" s="142">
        <v>15</v>
      </c>
    </row>
    <row r="67" spans="4:6" ht="18" customHeight="1">
      <c r="F67" s="142">
        <v>16</v>
      </c>
    </row>
    <row r="68" spans="4:6" ht="18" customHeight="1">
      <c r="F68" s="142">
        <v>17</v>
      </c>
    </row>
    <row r="69" spans="4:6" ht="18" customHeight="1">
      <c r="F69" s="142">
        <v>18</v>
      </c>
    </row>
    <row r="70" spans="4:6" ht="18" customHeight="1">
      <c r="F70" s="142">
        <v>19</v>
      </c>
    </row>
    <row r="71" spans="4:6" ht="18" customHeight="1">
      <c r="F71" s="142">
        <v>20</v>
      </c>
    </row>
    <row r="72" spans="4:6" ht="18" customHeight="1">
      <c r="F72" s="142">
        <v>21</v>
      </c>
    </row>
    <row r="73" spans="4:6" ht="18" customHeight="1">
      <c r="F73" s="142">
        <v>22</v>
      </c>
    </row>
    <row r="74" spans="4:6" ht="18" customHeight="1">
      <c r="F74" s="142">
        <v>23</v>
      </c>
    </row>
    <row r="75" spans="4:6" ht="18" customHeight="1">
      <c r="F75" s="142">
        <v>24</v>
      </c>
    </row>
    <row r="76" spans="4:6" ht="18" customHeight="1">
      <c r="F76" s="142">
        <v>25</v>
      </c>
    </row>
    <row r="77" spans="4:6" ht="18" customHeight="1">
      <c r="F77" s="142">
        <v>26</v>
      </c>
    </row>
    <row r="78" spans="4:6" ht="18" customHeight="1">
      <c r="F78" s="142">
        <v>27</v>
      </c>
    </row>
    <row r="79" spans="4:6" ht="18" customHeight="1">
      <c r="F79" s="142">
        <v>28</v>
      </c>
    </row>
    <row r="80" spans="4:6" ht="18" customHeight="1">
      <c r="F80" s="142">
        <v>29</v>
      </c>
    </row>
    <row r="81" spans="6:6" ht="18" customHeight="1">
      <c r="F81" s="142">
        <v>30</v>
      </c>
    </row>
    <row r="82" spans="6:6" ht="18" customHeight="1">
      <c r="F82" s="142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24:A30"/>
    <mergeCell ref="B24:B26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L28:M28"/>
    <mergeCell ref="N28:O28"/>
    <mergeCell ref="P28:Q28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6:W6"/>
    <mergeCell ref="X6:Y6"/>
    <mergeCell ref="Z6:AA6"/>
    <mergeCell ref="AB6:AC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000"/>
  <sheetViews>
    <sheetView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5703125" customWidth="1"/>
    <col min="3" max="3" width="6.5703125" customWidth="1"/>
    <col min="5" max="5" width="6.140625" customWidth="1"/>
    <col min="6" max="6" width="7.5703125" customWidth="1"/>
  </cols>
  <sheetData>
    <row r="1" spans="1:29" ht="33" customHeight="1">
      <c r="A1" s="152" t="s">
        <v>703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29" ht="18" customHeight="1">
      <c r="A2" s="128" t="s">
        <v>704</v>
      </c>
      <c r="B2" s="128"/>
      <c r="C2" s="128"/>
      <c r="D2" s="153" t="s">
        <v>734</v>
      </c>
      <c r="E2" s="153"/>
      <c r="F2" s="153"/>
      <c r="G2" s="153"/>
      <c r="H2" s="153"/>
      <c r="I2" s="153"/>
      <c r="J2" s="153"/>
      <c r="K2" s="129"/>
      <c r="L2" s="129"/>
      <c r="M2" s="129"/>
      <c r="N2" s="129"/>
      <c r="O2" s="130"/>
      <c r="P2" s="130"/>
      <c r="Q2" s="130"/>
      <c r="R2" s="130"/>
      <c r="S2" s="130"/>
      <c r="T2" s="131" t="s">
        <v>705</v>
      </c>
      <c r="U2" s="131" t="s">
        <v>706</v>
      </c>
      <c r="X2" s="132">
        <v>8</v>
      </c>
      <c r="Y2" s="131" t="s">
        <v>707</v>
      </c>
      <c r="Z2" s="132">
        <v>4</v>
      </c>
      <c r="AA2" s="133" t="s">
        <v>43</v>
      </c>
      <c r="AB2" s="132">
        <v>3</v>
      </c>
      <c r="AC2" s="131" t="s">
        <v>689</v>
      </c>
    </row>
    <row r="3" spans="1:29" ht="18" customHeight="1">
      <c r="A3" s="134"/>
      <c r="B3" s="134"/>
      <c r="C3" s="134"/>
      <c r="D3" s="134"/>
      <c r="E3" s="134"/>
      <c r="F3" s="129"/>
      <c r="G3" s="129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/>
      <c r="V3" s="135"/>
      <c r="W3" s="135"/>
      <c r="X3" s="135"/>
      <c r="Y3" s="135"/>
      <c r="Z3" s="135"/>
      <c r="AA3" s="154" t="s">
        <v>708</v>
      </c>
      <c r="AB3" s="154"/>
      <c r="AC3" s="154"/>
    </row>
    <row r="4" spans="1:29" ht="28.5" customHeight="1">
      <c r="A4" s="155"/>
      <c r="B4" s="155"/>
      <c r="C4" s="155"/>
      <c r="D4" s="155"/>
      <c r="E4" s="155"/>
      <c r="F4" s="137">
        <v>5</v>
      </c>
      <c r="G4" s="138" t="s">
        <v>43</v>
      </c>
      <c r="H4" s="137">
        <v>6</v>
      </c>
      <c r="I4" s="138" t="s">
        <v>43</v>
      </c>
      <c r="J4" s="137">
        <v>7</v>
      </c>
      <c r="K4" s="138" t="s">
        <v>43</v>
      </c>
      <c r="L4" s="139">
        <v>8</v>
      </c>
      <c r="M4" s="138" t="s">
        <v>43</v>
      </c>
      <c r="N4" s="139">
        <v>9</v>
      </c>
      <c r="O4" s="138" t="s">
        <v>43</v>
      </c>
      <c r="P4" s="139">
        <v>10</v>
      </c>
      <c r="Q4" s="138" t="s">
        <v>43</v>
      </c>
      <c r="R4" s="139">
        <v>11</v>
      </c>
      <c r="S4" s="138" t="s">
        <v>43</v>
      </c>
      <c r="T4" s="139">
        <v>12</v>
      </c>
      <c r="U4" s="138" t="s">
        <v>43</v>
      </c>
      <c r="V4" s="139">
        <v>1</v>
      </c>
      <c r="W4" s="138" t="s">
        <v>43</v>
      </c>
      <c r="X4" s="139">
        <v>2</v>
      </c>
      <c r="Y4" s="138" t="s">
        <v>43</v>
      </c>
      <c r="Z4" s="139">
        <v>3</v>
      </c>
      <c r="AA4" s="138" t="s">
        <v>43</v>
      </c>
      <c r="AB4" s="140">
        <v>4</v>
      </c>
      <c r="AC4" s="141" t="s">
        <v>43</v>
      </c>
    </row>
    <row r="5" spans="1:29" ht="15.75" customHeight="1">
      <c r="A5" s="156" t="s">
        <v>709</v>
      </c>
      <c r="B5" s="156"/>
      <c r="C5" s="156"/>
      <c r="D5" s="156"/>
      <c r="E5" s="156"/>
      <c r="F5" s="157">
        <f>SUM(F8:F11)</f>
        <v>27797.99325</v>
      </c>
      <c r="G5" s="157"/>
      <c r="H5" s="157">
        <f>SUM(H8:H11)</f>
        <v>30349.658699999996</v>
      </c>
      <c r="I5" s="157"/>
      <c r="J5" s="157">
        <f>SUM(J8:J11)</f>
        <v>26897.566750000002</v>
      </c>
      <c r="K5" s="157"/>
      <c r="L5" s="157">
        <f>SUM(L8:L11)</f>
        <v>35693.807200000003</v>
      </c>
      <c r="M5" s="157"/>
      <c r="N5" s="157">
        <f>SUM(N8:N11)</f>
        <v>0</v>
      </c>
      <c r="O5" s="157"/>
      <c r="P5" s="157">
        <f>SUM(P8:P11)</f>
        <v>0</v>
      </c>
      <c r="Q5" s="157"/>
      <c r="R5" s="157">
        <f>SUM(R8:R11)</f>
        <v>0</v>
      </c>
      <c r="S5" s="157"/>
      <c r="T5" s="157">
        <f>SUM(T8:T11)</f>
        <v>0</v>
      </c>
      <c r="U5" s="157"/>
      <c r="V5" s="157">
        <f>SUM(V8:V11)</f>
        <v>0</v>
      </c>
      <c r="W5" s="157"/>
      <c r="X5" s="157">
        <f>SUM(X8:X11)</f>
        <v>0</v>
      </c>
      <c r="Y5" s="157"/>
      <c r="Z5" s="157">
        <f>SUM(Z8:Z11)</f>
        <v>0</v>
      </c>
      <c r="AA5" s="157"/>
      <c r="AB5" s="157">
        <f>SUM(AB8:AB11)</f>
        <v>0</v>
      </c>
      <c r="AC5" s="157"/>
    </row>
    <row r="6" spans="1:29" ht="15.75" customHeight="1">
      <c r="A6" s="158" t="s">
        <v>710</v>
      </c>
      <c r="B6" s="158"/>
      <c r="C6" s="158"/>
      <c r="D6" s="158"/>
      <c r="E6" s="158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</row>
    <row r="7" spans="1:29" ht="15.75" customHeight="1">
      <c r="A7" s="160" t="s">
        <v>711</v>
      </c>
      <c r="B7" s="160"/>
      <c r="C7" s="160"/>
      <c r="D7" s="160"/>
      <c r="E7" s="160"/>
      <c r="F7" s="161">
        <v>0</v>
      </c>
      <c r="G7" s="161"/>
      <c r="H7" s="162">
        <f>F31</f>
        <v>-19396.721749999997</v>
      </c>
      <c r="I7" s="162"/>
      <c r="J7" s="162">
        <f>H31</f>
        <v>-19972.946050000002</v>
      </c>
      <c r="K7" s="162"/>
      <c r="L7" s="162">
        <f>J31</f>
        <v>-21292.719300000001</v>
      </c>
      <c r="M7" s="162"/>
      <c r="N7" s="162">
        <f>L31</f>
        <v>-14951.490099999999</v>
      </c>
      <c r="O7" s="162"/>
      <c r="P7" s="162">
        <f>N31</f>
        <v>-14951.490099999999</v>
      </c>
      <c r="Q7" s="162"/>
      <c r="R7" s="162">
        <f>P31</f>
        <v>-14951.490099999999</v>
      </c>
      <c r="S7" s="162"/>
      <c r="T7" s="162">
        <f>R31</f>
        <v>-14951.490099999999</v>
      </c>
      <c r="U7" s="162"/>
      <c r="V7" s="162">
        <f>T31</f>
        <v>-14951.490099999999</v>
      </c>
      <c r="W7" s="162"/>
      <c r="X7" s="162">
        <f>V31</f>
        <v>-14951.490099999999</v>
      </c>
      <c r="Y7" s="162"/>
      <c r="Z7" s="162">
        <f>X31</f>
        <v>-14951.490099999999</v>
      </c>
      <c r="AA7" s="162"/>
      <c r="AB7" s="163">
        <f>Z31</f>
        <v>-14951.490099999999</v>
      </c>
      <c r="AC7" s="163"/>
    </row>
    <row r="8" spans="1:29" ht="15.75" customHeight="1">
      <c r="A8" s="164" t="s">
        <v>712</v>
      </c>
      <c r="B8" s="165" t="s">
        <v>713</v>
      </c>
      <c r="C8" s="166" t="s">
        <v>714</v>
      </c>
      <c r="D8" s="167" t="s">
        <v>208</v>
      </c>
      <c r="E8" s="167"/>
      <c r="F8" s="168">
        <f>(SUMIFS(入金入力!$E$4:$E$503,入金入力!$A$4:$A$503,"リゾート",入金入力!$B$4:$B$503,"&gt;="&amp;DATE(2026,5,1),入金入力!$B$4:$B$503,"&lt;="&amp;DATE(2026,5,31),入金入力!$D$4:$D$503,"現金売上")+SUMIFS(入金予測!$E$4:$E$603,入金予測!$B$4:$B$603,"リゾート",入金予測!$A$4:$A$603,"&gt;="&amp;DATE(2026,5,1),入金予測!$A$4:$A$603,"&lt;="&amp;DATE(2026,5,31))+SUMIFS(入金入力!$E$4:$E$503,入金入力!$A$4:$A$503,"モーテル",入金入力!$B$4:$B$503,"&gt;="&amp;DATE(2026,5,1),入金入力!$B$4:$B$503,"&lt;="&amp;DATE(2026,5,31),入金入力!$D$4:$D$503,"現金売上")+SUMIFS(入金予測!$E$4:$E$603,入金予測!$B$4:$B$603,"モーテル",入金予測!$A$4:$A$603,"&gt;="&amp;DATE(2026,5,1),入金予測!$A$4:$A$603,"&lt;="&amp;DATE(2026,5,31)))/1000</f>
        <v>26697.99325</v>
      </c>
      <c r="G8" s="168"/>
      <c r="H8" s="168">
        <f>(SUMIFS(入金入力!$E$4:$E$503,入金入力!$A$4:$A$503,"リゾート",入金入力!$B$4:$B$503,"&gt;="&amp;DATE(2026,6,1),入金入力!$B$4:$B$503,"&lt;="&amp;DATE(2026,6,30),入金入力!$D$4:$D$503,"現金売上")+SUMIFS(入金予測!$E$4:$E$603,入金予測!$B$4:$B$603,"リゾート",入金予測!$A$4:$A$603,"&gt;="&amp;DATE(2026,6,1),入金予測!$A$4:$A$603,"&lt;="&amp;DATE(2026,6,30))+SUMIFS(入金入力!$E$4:$E$503,入金入力!$A$4:$A$503,"モーテル",入金入力!$B$4:$B$503,"&gt;="&amp;DATE(2026,6,1),入金入力!$B$4:$B$503,"&lt;="&amp;DATE(2026,6,30),入金入力!$D$4:$D$503,"現金売上")+SUMIFS(入金予測!$E$4:$E$603,入金予測!$B$4:$B$603,"モーテル",入金予測!$A$4:$A$603,"&gt;="&amp;DATE(2026,6,1),入金予測!$A$4:$A$603,"&lt;="&amp;DATE(2026,6,30)))/1000</f>
        <v>30349.658699999996</v>
      </c>
      <c r="I8" s="168"/>
      <c r="J8" s="168">
        <f>(SUMIFS(入金入力!$E$4:$E$503,入金入力!$A$4:$A$503,"リゾート",入金入力!$B$4:$B$503,"&gt;="&amp;DATE(2026,7,1),入金入力!$B$4:$B$503,"&lt;="&amp;DATE(2026,7,31),入金入力!$D$4:$D$503,"現金売上")+SUMIFS(入金予測!$E$4:$E$603,入金予測!$B$4:$B$603,"リゾート",入金予測!$A$4:$A$603,"&gt;="&amp;DATE(2026,7,1),入金予測!$A$4:$A$603,"&lt;="&amp;DATE(2026,7,31))+SUMIFS(入金入力!$E$4:$E$503,入金入力!$A$4:$A$503,"モーテル",入金入力!$B$4:$B$503,"&gt;="&amp;DATE(2026,7,1),入金入力!$B$4:$B$503,"&lt;="&amp;DATE(2026,7,31),入金入力!$D$4:$D$503,"現金売上")+SUMIFS(入金予測!$E$4:$E$603,入金予測!$B$4:$B$603,"モーテル",入金予測!$A$4:$A$603,"&gt;="&amp;DATE(2026,7,1),入金予測!$A$4:$A$603,"&lt;="&amp;DATE(2026,7,31)))/1000</f>
        <v>26897.566750000002</v>
      </c>
      <c r="K8" s="168"/>
      <c r="L8" s="168">
        <f>(SUMIFS(入金入力!$E$4:$E$503,入金入力!$A$4:$A$503,"リゾート",入金入力!$B$4:$B$503,"&gt;="&amp;DATE(2026,8,1),入金入力!$B$4:$B$503,"&lt;="&amp;DATE(2026,8,31),入金入力!$D$4:$D$503,"現金売上")+SUMIFS(入金予測!$E$4:$E$603,入金予測!$B$4:$B$603,"リゾート",入金予測!$A$4:$A$603,"&gt;="&amp;DATE(2026,8,1),入金予測!$A$4:$A$603,"&lt;="&amp;DATE(2026,8,31))+SUMIFS(入金入力!$E$4:$E$503,入金入力!$A$4:$A$503,"モーテル",入金入力!$B$4:$B$503,"&gt;="&amp;DATE(2026,8,1),入金入力!$B$4:$B$503,"&lt;="&amp;DATE(2026,8,31),入金入力!$D$4:$D$503,"現金売上")+SUMIFS(入金予測!$E$4:$E$603,入金予測!$B$4:$B$603,"モーテル",入金予測!$A$4:$A$603,"&gt;="&amp;DATE(2026,8,1),入金予測!$A$4:$A$603,"&lt;="&amp;DATE(2026,8,31)))/1000</f>
        <v>35693.807200000003</v>
      </c>
      <c r="M8" s="16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91"/>
      <c r="AC8" s="191"/>
    </row>
    <row r="9" spans="1:29" ht="15.75" customHeight="1">
      <c r="A9" s="164"/>
      <c r="B9" s="165"/>
      <c r="C9" s="166"/>
      <c r="D9" s="170" t="s">
        <v>242</v>
      </c>
      <c r="E9" s="170"/>
      <c r="F9" s="171">
        <f>(SUMIFS(入金入力!$E$4:$E$503,入金入力!$A$4:$A$503,"リゾート",入金入力!$B$4:$B$503,"&gt;="&amp;DATE(2026,5,1),入金入力!$B$4:$B$503,"&lt;="&amp;DATE(2026,5,31),入金入力!$D$4:$D$503,"売掛金回収")+SUMIFS(入金入力!$E$4:$E$503,入金入力!$A$4:$A$503,"モーテル",入金入力!$B$4:$B$503,"&gt;="&amp;DATE(2026,5,1),入金入力!$B$4:$B$503,"&lt;="&amp;DATE(2026,5,31),入金入力!$D$4:$D$503,"売掛金回収"))/1000</f>
        <v>0</v>
      </c>
      <c r="G9" s="171"/>
      <c r="H9" s="171">
        <f>(SUMIFS(入金入力!$E$4:$E$503,入金入力!$A$4:$A$503,"リゾート",入金入力!$B$4:$B$503,"&gt;="&amp;DATE(2026,6,1),入金入力!$B$4:$B$503,"&lt;="&amp;DATE(2026,6,30),入金入力!$D$4:$D$503,"売掛金回収")+SUMIFS(入金入力!$E$4:$E$503,入金入力!$A$4:$A$503,"モーテル",入金入力!$B$4:$B$503,"&gt;="&amp;DATE(2026,6,1),入金入力!$B$4:$B$503,"&lt;="&amp;DATE(2026,6,30),入金入力!$D$4:$D$503,"売掛金回収"))/1000</f>
        <v>0</v>
      </c>
      <c r="I9" s="171"/>
      <c r="J9" s="171">
        <f>(SUMIFS(入金入力!$E$4:$E$503,入金入力!$A$4:$A$503,"リゾート",入金入力!$B$4:$B$503,"&gt;="&amp;DATE(2026,7,1),入金入力!$B$4:$B$503,"&lt;="&amp;DATE(2026,7,31),入金入力!$D$4:$D$503,"売掛金回収")+SUMIFS(入金入力!$E$4:$E$503,入金入力!$A$4:$A$503,"モーテル",入金入力!$B$4:$B$503,"&gt;="&amp;DATE(2026,7,1),入金入力!$B$4:$B$503,"&lt;="&amp;DATE(2026,7,31),入金入力!$D$4:$D$503,"売掛金回収"))/1000</f>
        <v>0</v>
      </c>
      <c r="K9" s="171"/>
      <c r="L9" s="171">
        <f>(SUMIFS(入金入力!$E$4:$E$503,入金入力!$A$4:$A$503,"リゾート",入金入力!$B$4:$B$503,"&gt;="&amp;DATE(2026,8,1),入金入力!$B$4:$B$503,"&lt;="&amp;DATE(2026,8,31),入金入力!$D$4:$D$503,"売掛金回収")+SUMIFS(入金入力!$E$4:$E$503,入金入力!$A$4:$A$503,"モーテル",入金入力!$B$4:$B$503,"&gt;="&amp;DATE(2026,8,1),入金入力!$B$4:$B$503,"&lt;="&amp;DATE(2026,8,31),入金入力!$D$4:$D$503,"売掛金回収"))/1000</f>
        <v>0</v>
      </c>
      <c r="M9" s="17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3"/>
      <c r="AC9" s="173"/>
    </row>
    <row r="10" spans="1:29" ht="15.75" customHeight="1">
      <c r="A10" s="164"/>
      <c r="B10" s="165"/>
      <c r="C10" s="166"/>
      <c r="D10" s="170" t="s">
        <v>715</v>
      </c>
      <c r="E10" s="170"/>
      <c r="F10" s="171">
        <f>(SUMIFS(入金入力!$E$4:$E$503,入金入力!$A$4:$A$503,"リゾート",入金入力!$B$4:$B$503,"&gt;="&amp;DATE(2026,5,1),入金入力!$B$4:$B$503,"&lt;="&amp;DATE(2026,5,31),入金入力!$D$4:$D$503,"手形入金")+SUMIFS(入金入力!$E$4:$E$503,入金入力!$A$4:$A$503,"モーテル",入金入力!$B$4:$B$503,"&gt;="&amp;DATE(2026,5,1),入金入力!$B$4:$B$503,"&lt;="&amp;DATE(2026,5,31),入金入力!$D$4:$D$503,"手形入金"))/1000</f>
        <v>0</v>
      </c>
      <c r="G10" s="171"/>
      <c r="H10" s="171">
        <f>(SUMIFS(入金入力!$E$4:$E$503,入金入力!$A$4:$A$503,"リゾート",入金入力!$B$4:$B$503,"&gt;="&amp;DATE(2026,6,1),入金入力!$B$4:$B$503,"&lt;="&amp;DATE(2026,6,30),入金入力!$D$4:$D$503,"手形入金")+SUMIFS(入金入力!$E$4:$E$503,入金入力!$A$4:$A$503,"モーテル",入金入力!$B$4:$B$503,"&gt;="&amp;DATE(2026,6,1),入金入力!$B$4:$B$503,"&lt;="&amp;DATE(2026,6,30),入金入力!$D$4:$D$503,"手形入金"))/1000</f>
        <v>0</v>
      </c>
      <c r="I10" s="171"/>
      <c r="J10" s="171">
        <f>(SUMIFS(入金入力!$E$4:$E$503,入金入力!$A$4:$A$503,"リゾート",入金入力!$B$4:$B$503,"&gt;="&amp;DATE(2026,7,1),入金入力!$B$4:$B$503,"&lt;="&amp;DATE(2026,7,31),入金入力!$D$4:$D$503,"手形入金")+SUMIFS(入金入力!$E$4:$E$503,入金入力!$A$4:$A$503,"モーテル",入金入力!$B$4:$B$503,"&gt;="&amp;DATE(2026,7,1),入金入力!$B$4:$B$503,"&lt;="&amp;DATE(2026,7,31),入金入力!$D$4:$D$503,"手形入金"))/1000</f>
        <v>0</v>
      </c>
      <c r="K10" s="171"/>
      <c r="L10" s="171">
        <f>(SUMIFS(入金入力!$E$4:$E$503,入金入力!$A$4:$A$503,"リゾート",入金入力!$B$4:$B$503,"&gt;="&amp;DATE(2026,8,1),入金入力!$B$4:$B$503,"&lt;="&amp;DATE(2026,8,31),入金入力!$D$4:$D$503,"手形入金")+SUMIFS(入金入力!$E$4:$E$503,入金入力!$A$4:$A$503,"モーテル",入金入力!$B$4:$B$503,"&gt;="&amp;DATE(2026,8,1),入金入力!$B$4:$B$503,"&lt;="&amp;DATE(2026,8,31),入金入力!$D$4:$D$503,"手形入金"))/1000</f>
        <v>0</v>
      </c>
      <c r="M10" s="17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3"/>
      <c r="AC10" s="173"/>
    </row>
    <row r="11" spans="1:29" ht="15.75" customHeight="1">
      <c r="A11" s="164"/>
      <c r="B11" s="165"/>
      <c r="C11" s="166"/>
      <c r="D11" s="170" t="s">
        <v>245</v>
      </c>
      <c r="E11" s="170"/>
      <c r="F11" s="171">
        <f>(SUMIFS(入金入力!$E$4:$E$503,入金入力!$A$4:$A$503,"リゾート",入金入力!$B$4:$B$503,"&gt;="&amp;DATE(2026,5,1),入金入力!$B$4:$B$503,"&lt;="&amp;DATE(2026,5,31),入金入力!$D$4:$D$503,"その他収入")+SUMIFS(入金入力!$E$4:$E$503,入金入力!$A$4:$A$503,"モーテル",入金入力!$B$4:$B$503,"&gt;="&amp;DATE(2026,5,1),入金入力!$B$4:$B$503,"&lt;="&amp;DATE(2026,5,31),入金入力!$D$4:$D$503,"その他収入"))/1000</f>
        <v>1100</v>
      </c>
      <c r="G11" s="171"/>
      <c r="H11" s="171">
        <f>(SUMIFS(入金入力!$E$4:$E$503,入金入力!$A$4:$A$503,"リゾート",入金入力!$B$4:$B$503,"&gt;="&amp;DATE(2026,6,1),入金入力!$B$4:$B$503,"&lt;="&amp;DATE(2026,6,30),入金入力!$D$4:$D$503,"その他収入")+SUMIFS(入金入力!$E$4:$E$503,入金入力!$A$4:$A$503,"モーテル",入金入力!$B$4:$B$503,"&gt;="&amp;DATE(2026,6,1),入金入力!$B$4:$B$503,"&lt;="&amp;DATE(2026,6,30),入金入力!$D$4:$D$503,"その他収入"))/1000</f>
        <v>0</v>
      </c>
      <c r="I11" s="171"/>
      <c r="J11" s="171">
        <f>(SUMIFS(入金入力!$E$4:$E$503,入金入力!$A$4:$A$503,"リゾート",入金入力!$B$4:$B$503,"&gt;="&amp;DATE(2026,7,1),入金入力!$B$4:$B$503,"&lt;="&amp;DATE(2026,7,31),入金入力!$D$4:$D$503,"その他収入")+SUMIFS(入金入力!$E$4:$E$503,入金入力!$A$4:$A$503,"モーテル",入金入力!$B$4:$B$503,"&gt;="&amp;DATE(2026,7,1),入金入力!$B$4:$B$503,"&lt;="&amp;DATE(2026,7,31),入金入力!$D$4:$D$503,"その他収入"))/1000</f>
        <v>0</v>
      </c>
      <c r="K11" s="171"/>
      <c r="L11" s="171">
        <f>(SUMIFS(入金入力!$E$4:$E$503,入金入力!$A$4:$A$503,"リゾート",入金入力!$B$4:$B$503,"&gt;="&amp;DATE(2026,8,1),入金入力!$B$4:$B$503,"&lt;="&amp;DATE(2026,8,31),入金入力!$D$4:$D$503,"その他収入")+SUMIFS(入金入力!$E$4:$E$503,入金入力!$A$4:$A$503,"モーテル",入金入力!$B$4:$B$503,"&gt;="&amp;DATE(2026,8,1),入金入力!$B$4:$B$503,"&lt;="&amp;DATE(2026,8,31),入金入力!$D$4:$D$503,"その他収入"))/1000</f>
        <v>0</v>
      </c>
      <c r="M11" s="17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</row>
    <row r="12" spans="1:29" ht="15.75" customHeight="1">
      <c r="A12" s="164"/>
      <c r="B12" s="165"/>
      <c r="C12" s="174" t="s">
        <v>716</v>
      </c>
      <c r="D12" s="174"/>
      <c r="E12" s="174"/>
      <c r="F12" s="175">
        <f>SUM(F8:F11)</f>
        <v>27797.99325</v>
      </c>
      <c r="G12" s="175"/>
      <c r="H12" s="175">
        <f>SUM(H8:H11)</f>
        <v>30349.658699999996</v>
      </c>
      <c r="I12" s="175"/>
      <c r="J12" s="175">
        <f>SUM(J8:J11)</f>
        <v>26897.566750000002</v>
      </c>
      <c r="K12" s="175"/>
      <c r="L12" s="175">
        <f>SUM(L8:L11)</f>
        <v>35693.807200000003</v>
      </c>
      <c r="M12" s="175"/>
      <c r="N12" s="175">
        <f>SUM(N8:N11)</f>
        <v>0</v>
      </c>
      <c r="O12" s="175"/>
      <c r="P12" s="175">
        <f>SUM(P8:P11)</f>
        <v>0</v>
      </c>
      <c r="Q12" s="175"/>
      <c r="R12" s="175">
        <f>SUM(R8:R11)</f>
        <v>0</v>
      </c>
      <c r="S12" s="175"/>
      <c r="T12" s="175">
        <f>SUM(T8:T11)</f>
        <v>0</v>
      </c>
      <c r="U12" s="175"/>
      <c r="V12" s="175">
        <f>SUM(V8:V11)</f>
        <v>0</v>
      </c>
      <c r="W12" s="175"/>
      <c r="X12" s="175">
        <f>SUM(X8:X11)</f>
        <v>0</v>
      </c>
      <c r="Y12" s="175"/>
      <c r="Z12" s="175">
        <f>SUM(Z8:Z11)</f>
        <v>0</v>
      </c>
      <c r="AA12" s="175"/>
      <c r="AB12" s="176">
        <f>SUM(AB8:AB11)</f>
        <v>0</v>
      </c>
      <c r="AC12" s="176"/>
    </row>
    <row r="13" spans="1:29" ht="15.75" customHeight="1">
      <c r="A13" s="164"/>
      <c r="B13" s="177" t="s">
        <v>717</v>
      </c>
      <c r="C13" s="178" t="s">
        <v>718</v>
      </c>
      <c r="D13" s="170" t="s">
        <v>719</v>
      </c>
      <c r="E13" s="170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</row>
    <row r="14" spans="1:29" ht="15.75" customHeight="1">
      <c r="A14" s="164"/>
      <c r="B14" s="177"/>
      <c r="C14" s="178"/>
      <c r="D14" s="170" t="s">
        <v>165</v>
      </c>
      <c r="E14" s="170"/>
      <c r="F14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買掛金支払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買掛金支払")*未払予定一覧!$O$4:$O$803))/1000</f>
        <v>47194.714999999997</v>
      </c>
      <c r="G14" s="171"/>
      <c r="H14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買掛金支払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買掛金支払")*未払予定一覧!$O$4:$O$803))/1000</f>
        <v>30925.883000000002</v>
      </c>
      <c r="I14" s="171"/>
      <c r="J14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買掛金支払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買掛金支払")*未払予定一覧!$O$4:$O$803))/1000</f>
        <v>28217.34</v>
      </c>
      <c r="K14" s="171"/>
      <c r="L14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買掛金支払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買掛金支払")*未払予定一覧!$O$4:$O$803))/1000</f>
        <v>29352.578000000001</v>
      </c>
      <c r="M14" s="171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3"/>
      <c r="AC14" s="173"/>
    </row>
    <row r="15" spans="1:29" ht="15.75" customHeight="1">
      <c r="A15" s="164"/>
      <c r="B15" s="177"/>
      <c r="C15" s="178"/>
      <c r="D15" s="170" t="s">
        <v>720</v>
      </c>
      <c r="E15" s="170"/>
      <c r="F15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手形決済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手形決済")*未払予定一覧!$O$4:$O$803))/1000</f>
        <v>0</v>
      </c>
      <c r="G15" s="171"/>
      <c r="H15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手形決済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手形決済")*未払予定一覧!$O$4:$O$803))/1000</f>
        <v>0</v>
      </c>
      <c r="I15" s="171"/>
      <c r="J15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手形決済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手形決済")*未払予定一覧!$O$4:$O$803))/1000</f>
        <v>0</v>
      </c>
      <c r="K15" s="171"/>
      <c r="L15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手形決済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手形決済")*未払予定一覧!$O$4:$O$803))/1000</f>
        <v>0</v>
      </c>
      <c r="M15" s="17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3"/>
      <c r="AC15" s="173"/>
    </row>
    <row r="16" spans="1:29" ht="15.75" customHeight="1">
      <c r="A16" s="164"/>
      <c r="B16" s="177"/>
      <c r="C16" s="178" t="s">
        <v>721</v>
      </c>
      <c r="D16" s="170" t="s">
        <v>181</v>
      </c>
      <c r="E16" s="170"/>
      <c r="F16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役員報酬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役員報酬")*未払予定一覧!$O$4:$O$803))/1000</f>
        <v>0</v>
      </c>
      <c r="G16" s="171"/>
      <c r="H16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役員報酬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役員報酬")*未払予定一覧!$O$4:$O$803))/1000</f>
        <v>0</v>
      </c>
      <c r="I16" s="171"/>
      <c r="J16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役員報酬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役員報酬")*未払予定一覧!$O$4:$O$803))/1000</f>
        <v>0</v>
      </c>
      <c r="K16" s="171"/>
      <c r="L16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役員報酬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役員報酬")*未払予定一覧!$O$4:$O$803))/1000</f>
        <v>0</v>
      </c>
      <c r="M16" s="17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3"/>
      <c r="AC16" s="173"/>
    </row>
    <row r="17" spans="1:29" ht="15.75" customHeight="1">
      <c r="A17" s="164"/>
      <c r="B17" s="177"/>
      <c r="C17" s="178"/>
      <c r="D17" s="170" t="s">
        <v>182</v>
      </c>
      <c r="E17" s="170"/>
      <c r="F17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従業員給与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従業員給与")*未払予定一覧!$O$4:$O$803))/1000</f>
        <v>0</v>
      </c>
      <c r="G17" s="171"/>
      <c r="H17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従業員給与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従業員給与")*未払予定一覧!$O$4:$O$803))/1000</f>
        <v>0</v>
      </c>
      <c r="I17" s="171"/>
      <c r="J17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従業員給与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従業員給与")*未払予定一覧!$O$4:$O$803))/1000</f>
        <v>0</v>
      </c>
      <c r="K17" s="171"/>
      <c r="L17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従業員給与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従業員給与")*未払予定一覧!$O$4:$O$803))/1000</f>
        <v>0</v>
      </c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</row>
    <row r="18" spans="1:29" ht="15.75" customHeight="1">
      <c r="A18" s="164"/>
      <c r="B18" s="177"/>
      <c r="C18" s="178"/>
      <c r="D18" s="170" t="s">
        <v>183</v>
      </c>
      <c r="E18" s="170"/>
      <c r="F18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地代家賃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地代家賃")*未払予定一覧!$O$4:$O$803))/1000</f>
        <v>0</v>
      </c>
      <c r="G18" s="171"/>
      <c r="H18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地代家賃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地代家賃")*未払予定一覧!$O$4:$O$803))/1000</f>
        <v>0</v>
      </c>
      <c r="I18" s="171"/>
      <c r="J18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地代家賃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地代家賃")*未払予定一覧!$O$4:$O$803))/1000</f>
        <v>0</v>
      </c>
      <c r="K18" s="171"/>
      <c r="L18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地代家賃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地代家賃")*未払予定一覧!$O$4:$O$803))/1000</f>
        <v>0</v>
      </c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</row>
    <row r="19" spans="1:29" ht="15.75" customHeight="1">
      <c r="A19" s="164"/>
      <c r="B19" s="177"/>
      <c r="C19" s="178"/>
      <c r="D19" s="170" t="s">
        <v>184</v>
      </c>
      <c r="E19" s="170"/>
      <c r="F19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支払利息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支払利息")*未払予定一覧!$O$4:$O$803))/1000</f>
        <v>0</v>
      </c>
      <c r="G19" s="171"/>
      <c r="H19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支払利息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支払利息")*未払予定一覧!$O$4:$O$803))/1000</f>
        <v>0</v>
      </c>
      <c r="I19" s="171"/>
      <c r="J19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支払利息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支払利息")*未払予定一覧!$O$4:$O$803))/1000</f>
        <v>0</v>
      </c>
      <c r="K19" s="171"/>
      <c r="L19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支払利息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支払利息")*未払予定一覧!$O$4:$O$803))/1000</f>
        <v>0</v>
      </c>
      <c r="M19" s="17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spans="1:29" ht="15.75" customHeight="1">
      <c r="A20" s="164"/>
      <c r="B20" s="177"/>
      <c r="C20" s="178"/>
      <c r="D20" s="170" t="s">
        <v>175</v>
      </c>
      <c r="E20" s="170"/>
      <c r="F20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税金・社会保険料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税金・社会保険料")*未払予定一覧!$O$4:$O$803))/1000</f>
        <v>0</v>
      </c>
      <c r="G20" s="171"/>
      <c r="H20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税金・社会保険料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税金・社会保険料")*未払予定一覧!$O$4:$O$803))/1000</f>
        <v>0</v>
      </c>
      <c r="I20" s="171"/>
      <c r="J20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税金・社会保険料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税金・社会保険料")*未払予定一覧!$O$4:$O$803))/1000</f>
        <v>0</v>
      </c>
      <c r="K20" s="171"/>
      <c r="L20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税金・社会保険料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税金・社会保険料")*未払予定一覧!$O$4:$O$803))/1000</f>
        <v>0</v>
      </c>
      <c r="M20" s="17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</row>
    <row r="21" spans="1:29" ht="15.75" customHeight="1">
      <c r="A21" s="164"/>
      <c r="B21" s="177"/>
      <c r="C21" s="178"/>
      <c r="D21" s="170" t="s">
        <v>177</v>
      </c>
      <c r="E21" s="170"/>
      <c r="F21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その他経費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その他経費")*未払予定一覧!$O$4:$O$803))/1000</f>
        <v>0</v>
      </c>
      <c r="G21" s="171"/>
      <c r="H21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その他経費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その他経費")*未払予定一覧!$O$4:$O$803))/1000</f>
        <v>0</v>
      </c>
      <c r="I21" s="171"/>
      <c r="J21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その他経費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その他経費")*未払予定一覧!$O$4:$O$803))/1000</f>
        <v>0</v>
      </c>
      <c r="K21" s="171"/>
      <c r="L21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その他経費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その他経費")*未払予定一覧!$O$4:$O$803))/1000</f>
        <v>0</v>
      </c>
      <c r="M21" s="17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</row>
    <row r="22" spans="1:29" ht="15.75" customHeight="1">
      <c r="A22" s="164"/>
      <c r="B22" s="177"/>
      <c r="C22" s="174" t="s">
        <v>722</v>
      </c>
      <c r="D22" s="174"/>
      <c r="E22" s="174"/>
      <c r="F22" s="175">
        <f>SUM(F13:F21)</f>
        <v>47194.714999999997</v>
      </c>
      <c r="G22" s="175"/>
      <c r="H22" s="175">
        <f>SUM(H13:H21)</f>
        <v>30925.883000000002</v>
      </c>
      <c r="I22" s="175"/>
      <c r="J22" s="175">
        <f>SUM(J13:J21)</f>
        <v>28217.34</v>
      </c>
      <c r="K22" s="175"/>
      <c r="L22" s="175">
        <f>SUM(L13:L21)</f>
        <v>29352.578000000001</v>
      </c>
      <c r="M22" s="175"/>
      <c r="N22" s="175">
        <f>SUM(N13:N21)</f>
        <v>0</v>
      </c>
      <c r="O22" s="175"/>
      <c r="P22" s="175">
        <f>SUM(P13:P21)</f>
        <v>0</v>
      </c>
      <c r="Q22" s="175"/>
      <c r="R22" s="175">
        <f>SUM(R13:R21)</f>
        <v>0</v>
      </c>
      <c r="S22" s="175"/>
      <c r="T22" s="175">
        <f>SUM(T13:T21)</f>
        <v>0</v>
      </c>
      <c r="U22" s="175"/>
      <c r="V22" s="175">
        <f>SUM(V13:V21)</f>
        <v>0</v>
      </c>
      <c r="W22" s="175"/>
      <c r="X22" s="175">
        <f>SUM(X13:X21)</f>
        <v>0</v>
      </c>
      <c r="Y22" s="175"/>
      <c r="Z22" s="175">
        <f>SUM(Z13:Z21)</f>
        <v>0</v>
      </c>
      <c r="AA22" s="175"/>
      <c r="AB22" s="176">
        <f>SUM(AB13:AB21)</f>
        <v>0</v>
      </c>
      <c r="AC22" s="176"/>
    </row>
    <row r="23" spans="1:29" ht="15.75" customHeight="1">
      <c r="A23" s="164"/>
      <c r="B23" s="174" t="s">
        <v>723</v>
      </c>
      <c r="C23" s="174"/>
      <c r="D23" s="174"/>
      <c r="E23" s="174"/>
      <c r="F23" s="175">
        <f>F12-F22</f>
        <v>-19396.721749999997</v>
      </c>
      <c r="G23" s="175"/>
      <c r="H23" s="175">
        <f>H12-H22</f>
        <v>-576.22430000000531</v>
      </c>
      <c r="I23" s="175"/>
      <c r="J23" s="175">
        <f>J12-J22</f>
        <v>-1319.7732499999984</v>
      </c>
      <c r="K23" s="175"/>
      <c r="L23" s="175">
        <f>L12-L22</f>
        <v>6341.2292000000016</v>
      </c>
      <c r="M23" s="175"/>
      <c r="N23" s="175">
        <f>N12-N22</f>
        <v>0</v>
      </c>
      <c r="O23" s="175"/>
      <c r="P23" s="175">
        <f>P12-P22</f>
        <v>0</v>
      </c>
      <c r="Q23" s="175"/>
      <c r="R23" s="175">
        <f>R12-R22</f>
        <v>0</v>
      </c>
      <c r="S23" s="175"/>
      <c r="T23" s="175">
        <f>T12-T22</f>
        <v>0</v>
      </c>
      <c r="U23" s="175"/>
      <c r="V23" s="175">
        <f>V12-V22</f>
        <v>0</v>
      </c>
      <c r="W23" s="175"/>
      <c r="X23" s="175">
        <f>X12-X22</f>
        <v>0</v>
      </c>
      <c r="Y23" s="175"/>
      <c r="Z23" s="175">
        <f>Z12-Z22</f>
        <v>0</v>
      </c>
      <c r="AA23" s="175"/>
      <c r="AB23" s="176">
        <f>AB12-AB22</f>
        <v>0</v>
      </c>
      <c r="AC23" s="176"/>
    </row>
    <row r="24" spans="1:29" ht="15.75" customHeight="1">
      <c r="A24" s="179" t="s">
        <v>724</v>
      </c>
      <c r="B24" s="178" t="s">
        <v>713</v>
      </c>
      <c r="C24" s="170" t="s">
        <v>725</v>
      </c>
      <c r="D24" s="170"/>
      <c r="E24" s="170"/>
      <c r="F24" s="171">
        <f>(SUMIFS(入金入力!$E$4:$E$503,入金入力!$A$4:$A$503,"リゾート",入金入力!$B$4:$B$503,"&gt;="&amp;DATE(2026,5,1),入金入力!$B$4:$B$503,"&lt;="&amp;DATE(2026,5,31),入金入力!$D$4:$D$503,"借入金")+SUMIFS(入金入力!$E$4:$E$503,入金入力!$A$4:$A$503,"モーテル",入金入力!$B$4:$B$503,"&gt;="&amp;DATE(2026,5,1),入金入力!$B$4:$B$503,"&lt;="&amp;DATE(2026,5,31),入金入力!$D$4:$D$503,"借入金"))/1000</f>
        <v>0</v>
      </c>
      <c r="G24" s="171"/>
      <c r="H24" s="171">
        <f>(SUMIFS(入金入力!$E$4:$E$503,入金入力!$A$4:$A$503,"リゾート",入金入力!$B$4:$B$503,"&gt;="&amp;DATE(2026,6,1),入金入力!$B$4:$B$503,"&lt;="&amp;DATE(2026,6,30),入金入力!$D$4:$D$503,"借入金")+SUMIFS(入金入力!$E$4:$E$503,入金入力!$A$4:$A$503,"モーテル",入金入力!$B$4:$B$503,"&gt;="&amp;DATE(2026,6,1),入金入力!$B$4:$B$503,"&lt;="&amp;DATE(2026,6,30),入金入力!$D$4:$D$503,"借入金"))/1000</f>
        <v>0</v>
      </c>
      <c r="I24" s="171"/>
      <c r="J24" s="171">
        <f>(SUMIFS(入金入力!$E$4:$E$503,入金入力!$A$4:$A$503,"リゾート",入金入力!$B$4:$B$503,"&gt;="&amp;DATE(2026,7,1),入金入力!$B$4:$B$503,"&lt;="&amp;DATE(2026,7,31),入金入力!$D$4:$D$503,"借入金")+SUMIFS(入金入力!$E$4:$E$503,入金入力!$A$4:$A$503,"モーテル",入金入力!$B$4:$B$503,"&gt;="&amp;DATE(2026,7,1),入金入力!$B$4:$B$503,"&lt;="&amp;DATE(2026,7,31),入金入力!$D$4:$D$503,"借入金"))/1000</f>
        <v>0</v>
      </c>
      <c r="K24" s="171"/>
      <c r="L24" s="171">
        <f>(SUMIFS(入金入力!$E$4:$E$503,入金入力!$A$4:$A$503,"リゾート",入金入力!$B$4:$B$503,"&gt;="&amp;DATE(2026,8,1),入金入力!$B$4:$B$503,"&lt;="&amp;DATE(2026,8,31),入金入力!$D$4:$D$503,"借入金")+SUMIFS(入金入力!$E$4:$E$503,入金入力!$A$4:$A$503,"モーテル",入金入力!$B$4:$B$503,"&gt;="&amp;DATE(2026,8,1),入金入力!$B$4:$B$503,"&lt;="&amp;DATE(2026,8,31),入金入力!$D$4:$D$503,"借入金"))/1000</f>
        <v>0</v>
      </c>
      <c r="M24" s="171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3"/>
      <c r="AC24" s="173"/>
    </row>
    <row r="25" spans="1:29" ht="15.75" customHeight="1">
      <c r="A25" s="179"/>
      <c r="B25" s="178"/>
      <c r="C25" s="170" t="s">
        <v>726</v>
      </c>
      <c r="D25" s="170"/>
      <c r="E25" s="170"/>
      <c r="F25" s="171">
        <f>(SUMIFS(入金入力!$E$4:$E$503,入金入力!$A$4:$A$503,"リゾート",入金入力!$B$4:$B$503,"&gt;="&amp;DATE(2026,5,1),入金入力!$B$4:$B$503,"&lt;="&amp;DATE(2026,5,31),入金入力!$D$4:$D$503,"設備売却")+SUMIFS(入金入力!$E$4:$E$503,入金入力!$A$4:$A$503,"モーテル",入金入力!$B$4:$B$503,"&gt;="&amp;DATE(2026,5,1),入金入力!$B$4:$B$503,"&lt;="&amp;DATE(2026,5,31),入金入力!$D$4:$D$503,"設備売却"))/1000</f>
        <v>0</v>
      </c>
      <c r="G25" s="171"/>
      <c r="H25" s="171">
        <f>(SUMIFS(入金入力!$E$4:$E$503,入金入力!$A$4:$A$503,"リゾート",入金入力!$B$4:$B$503,"&gt;="&amp;DATE(2026,6,1),入金入力!$B$4:$B$503,"&lt;="&amp;DATE(2026,6,30),入金入力!$D$4:$D$503,"設備売却")+SUMIFS(入金入力!$E$4:$E$503,入金入力!$A$4:$A$503,"モーテル",入金入力!$B$4:$B$503,"&gt;="&amp;DATE(2026,6,1),入金入力!$B$4:$B$503,"&lt;="&amp;DATE(2026,6,30),入金入力!$D$4:$D$503,"設備売却"))/1000</f>
        <v>0</v>
      </c>
      <c r="I25" s="171"/>
      <c r="J25" s="171">
        <f>(SUMIFS(入金入力!$E$4:$E$503,入金入力!$A$4:$A$503,"リゾート",入金入力!$B$4:$B$503,"&gt;="&amp;DATE(2026,7,1),入金入力!$B$4:$B$503,"&lt;="&amp;DATE(2026,7,31),入金入力!$D$4:$D$503,"設備売却")+SUMIFS(入金入力!$E$4:$E$503,入金入力!$A$4:$A$503,"モーテル",入金入力!$B$4:$B$503,"&gt;="&amp;DATE(2026,7,1),入金入力!$B$4:$B$503,"&lt;="&amp;DATE(2026,7,31),入金入力!$D$4:$D$503,"設備売却"))/1000</f>
        <v>0</v>
      </c>
      <c r="K25" s="171"/>
      <c r="L25" s="171">
        <f>(SUMIFS(入金入力!$E$4:$E$503,入金入力!$A$4:$A$503,"リゾート",入金入力!$B$4:$B$503,"&gt;="&amp;DATE(2026,8,1),入金入力!$B$4:$B$503,"&lt;="&amp;DATE(2026,8,31),入金入力!$D$4:$D$503,"設備売却")+SUMIFS(入金入力!$E$4:$E$503,入金入力!$A$4:$A$503,"モーテル",入金入力!$B$4:$B$503,"&gt;="&amp;DATE(2026,8,1),入金入力!$B$4:$B$503,"&lt;="&amp;DATE(2026,8,31),入金入力!$D$4:$D$503,"設備売却"))/1000</f>
        <v>0</v>
      </c>
      <c r="M25" s="171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3"/>
      <c r="AC25" s="173"/>
    </row>
    <row r="26" spans="1:29" ht="15.75" customHeight="1">
      <c r="A26" s="179"/>
      <c r="B26" s="178"/>
      <c r="C26" s="180" t="s">
        <v>727</v>
      </c>
      <c r="D26" s="180"/>
      <c r="E26" s="180"/>
      <c r="F26" s="181">
        <f>SUM(F24:F25)</f>
        <v>0</v>
      </c>
      <c r="G26" s="181"/>
      <c r="H26" s="181">
        <f>SUM(H24:H25)</f>
        <v>0</v>
      </c>
      <c r="I26" s="181"/>
      <c r="J26" s="181">
        <f>SUM(J24:J25)</f>
        <v>0</v>
      </c>
      <c r="K26" s="181"/>
      <c r="L26" s="181">
        <f>SUM(L24:L25)</f>
        <v>0</v>
      </c>
      <c r="M26" s="181"/>
      <c r="N26" s="181">
        <f>SUM(N24:N25)</f>
        <v>0</v>
      </c>
      <c r="O26" s="181"/>
      <c r="P26" s="181">
        <f>SUM(P24:P25)</f>
        <v>0</v>
      </c>
      <c r="Q26" s="181"/>
      <c r="R26" s="181">
        <f>SUM(R24:R25)</f>
        <v>0</v>
      </c>
      <c r="S26" s="181"/>
      <c r="T26" s="181">
        <f>SUM(T24:T25)</f>
        <v>0</v>
      </c>
      <c r="U26" s="181"/>
      <c r="V26" s="181">
        <f>SUM(V24:V25)</f>
        <v>0</v>
      </c>
      <c r="W26" s="181"/>
      <c r="X26" s="181">
        <f>SUM(X24:X25)</f>
        <v>0</v>
      </c>
      <c r="Y26" s="181"/>
      <c r="Z26" s="181">
        <f>SUM(Z24:Z25)</f>
        <v>0</v>
      </c>
      <c r="AA26" s="181"/>
      <c r="AB26" s="182">
        <f>SUM(AB24:AB25)</f>
        <v>0</v>
      </c>
      <c r="AC26" s="182"/>
    </row>
    <row r="27" spans="1:29" ht="15.75" customHeight="1">
      <c r="A27" s="179"/>
      <c r="B27" s="178" t="s">
        <v>717</v>
      </c>
      <c r="C27" s="170" t="s">
        <v>728</v>
      </c>
      <c r="D27" s="170"/>
      <c r="E27" s="170"/>
      <c r="F27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借入金返済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借入金返済")*未払予定一覧!$O$4:$O$803))/1000</f>
        <v>0</v>
      </c>
      <c r="G27" s="171"/>
      <c r="H27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借入金返済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借入金返済")*未払予定一覧!$O$4:$O$803))/1000</f>
        <v>0</v>
      </c>
      <c r="I27" s="171"/>
      <c r="J27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借入金返済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借入金返済")*未払予定一覧!$O$4:$O$803))/1000</f>
        <v>0</v>
      </c>
      <c r="K27" s="171"/>
      <c r="L27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借入金返済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借入金返済")*未払予定一覧!$O$4:$O$803))/1000</f>
        <v>0</v>
      </c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3"/>
      <c r="AC27" s="173"/>
    </row>
    <row r="28" spans="1:29" ht="15.75" customHeight="1">
      <c r="A28" s="179"/>
      <c r="B28" s="178"/>
      <c r="C28" s="170" t="s">
        <v>729</v>
      </c>
      <c r="D28" s="170"/>
      <c r="E28" s="170"/>
      <c r="F28" s="171">
        <f>(SUMPRODUCT((未払予定一覧!$A$4:$A$803="リゾート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設備購入等")*未払予定一覧!$O$4:$O$803)+SUMPRODUCT((未払予定一覧!$A$4:$A$803="モーテル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設備購入等")*未払予定一覧!$O$4:$O$803))/1000</f>
        <v>0</v>
      </c>
      <c r="G28" s="171"/>
      <c r="H28" s="171">
        <f>(SUMPRODUCT((未払予定一覧!$A$4:$A$803="リゾート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設備購入等")*未払予定一覧!$O$4:$O$803)+SUMPRODUCT((未払予定一覧!$A$4:$A$803="モーテル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設備購入等")*未払予定一覧!$O$4:$O$803))/1000</f>
        <v>0</v>
      </c>
      <c r="I28" s="171"/>
      <c r="J28" s="171">
        <f>(SUMPRODUCT((未払予定一覧!$A$4:$A$803="リゾート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設備購入等")*未払予定一覧!$O$4:$O$803)+SUMPRODUCT((未払予定一覧!$A$4:$A$803="モーテル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設備購入等")*未払予定一覧!$O$4:$O$803))/1000</f>
        <v>0</v>
      </c>
      <c r="K28" s="171"/>
      <c r="L28" s="171">
        <f>(SUMPRODUCT((未払予定一覧!$A$4:$A$803="リゾート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設備購入等")*未払予定一覧!$O$4:$O$803)+SUMPRODUCT((未払予定一覧!$A$4:$A$803="モーテル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設備購入等")*未払予定一覧!$O$4:$O$803))/1000</f>
        <v>0</v>
      </c>
      <c r="M28" s="171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3"/>
      <c r="AC28" s="173"/>
    </row>
    <row r="29" spans="1:29" ht="15.75" customHeight="1">
      <c r="A29" s="179"/>
      <c r="B29" s="178"/>
      <c r="C29" s="180" t="s">
        <v>730</v>
      </c>
      <c r="D29" s="180"/>
      <c r="E29" s="180"/>
      <c r="F29" s="181">
        <f>SUM(F27:F28)</f>
        <v>0</v>
      </c>
      <c r="G29" s="181"/>
      <c r="H29" s="181">
        <f>SUM(H27:H28)</f>
        <v>0</v>
      </c>
      <c r="I29" s="181"/>
      <c r="J29" s="181">
        <f>SUM(J27:J28)</f>
        <v>0</v>
      </c>
      <c r="K29" s="181"/>
      <c r="L29" s="181">
        <f>SUM(L27:L28)</f>
        <v>0</v>
      </c>
      <c r="M29" s="181"/>
      <c r="N29" s="181">
        <f>SUM(N27:N28)</f>
        <v>0</v>
      </c>
      <c r="O29" s="181"/>
      <c r="P29" s="181">
        <f>SUM(P27:P28)</f>
        <v>0</v>
      </c>
      <c r="Q29" s="181"/>
      <c r="R29" s="181">
        <f>SUM(R27:R28)</f>
        <v>0</v>
      </c>
      <c r="S29" s="181"/>
      <c r="T29" s="181">
        <f>SUM(T27:T28)</f>
        <v>0</v>
      </c>
      <c r="U29" s="181"/>
      <c r="V29" s="181">
        <f>SUM(V27:V28)</f>
        <v>0</v>
      </c>
      <c r="W29" s="181"/>
      <c r="X29" s="181">
        <f>SUM(X27:X28)</f>
        <v>0</v>
      </c>
      <c r="Y29" s="181"/>
      <c r="Z29" s="181">
        <f>SUM(Z27:Z28)</f>
        <v>0</v>
      </c>
      <c r="AA29" s="181"/>
      <c r="AB29" s="182">
        <f>SUM(AB27:AB28)</f>
        <v>0</v>
      </c>
      <c r="AC29" s="182"/>
    </row>
    <row r="30" spans="1:29" ht="15.75" customHeight="1">
      <c r="A30" s="179"/>
      <c r="B30" s="183" t="s">
        <v>731</v>
      </c>
      <c r="C30" s="183"/>
      <c r="D30" s="183"/>
      <c r="E30" s="183"/>
      <c r="F30" s="184">
        <f>F26-F29</f>
        <v>0</v>
      </c>
      <c r="G30" s="184"/>
      <c r="H30" s="184">
        <f>H26-H29</f>
        <v>0</v>
      </c>
      <c r="I30" s="184"/>
      <c r="J30" s="184">
        <f>J26-J29</f>
        <v>0</v>
      </c>
      <c r="K30" s="184"/>
      <c r="L30" s="184">
        <f>L26-L29</f>
        <v>0</v>
      </c>
      <c r="M30" s="184"/>
      <c r="N30" s="184">
        <f>N26-N29</f>
        <v>0</v>
      </c>
      <c r="O30" s="184"/>
      <c r="P30" s="184">
        <f>P26-P29</f>
        <v>0</v>
      </c>
      <c r="Q30" s="184"/>
      <c r="R30" s="184">
        <f>R26-R29</f>
        <v>0</v>
      </c>
      <c r="S30" s="184"/>
      <c r="T30" s="184">
        <f>T26-T29</f>
        <v>0</v>
      </c>
      <c r="U30" s="184"/>
      <c r="V30" s="184">
        <f>V26-V29</f>
        <v>0</v>
      </c>
      <c r="W30" s="184"/>
      <c r="X30" s="184">
        <f>X26-X29</f>
        <v>0</v>
      </c>
      <c r="Y30" s="184"/>
      <c r="Z30" s="184">
        <f>Z26-Z29</f>
        <v>0</v>
      </c>
      <c r="AA30" s="184"/>
      <c r="AB30" s="185">
        <f>AB26-AB29</f>
        <v>0</v>
      </c>
      <c r="AC30" s="185"/>
    </row>
    <row r="31" spans="1:29" ht="15.75" customHeight="1">
      <c r="A31" s="186" t="s">
        <v>732</v>
      </c>
      <c r="B31" s="186"/>
      <c r="C31" s="186"/>
      <c r="D31" s="186"/>
      <c r="E31" s="186"/>
      <c r="F31" s="162">
        <f>SUM(F7,F23,F30)</f>
        <v>-19396.721749999997</v>
      </c>
      <c r="G31" s="162"/>
      <c r="H31" s="162">
        <f>SUM(H7,H23,H30)</f>
        <v>-19972.946050000002</v>
      </c>
      <c r="I31" s="162"/>
      <c r="J31" s="162">
        <f>SUM(J7,J23,J30)</f>
        <v>-21292.719300000001</v>
      </c>
      <c r="K31" s="162"/>
      <c r="L31" s="162">
        <f>SUM(L7,L23,L30)</f>
        <v>-14951.490099999999</v>
      </c>
      <c r="M31" s="162"/>
      <c r="N31" s="162">
        <f>SUM(N7,N23,N30)</f>
        <v>-14951.490099999999</v>
      </c>
      <c r="O31" s="162"/>
      <c r="P31" s="162">
        <f>SUM(P7,P23,P30)</f>
        <v>-14951.490099999999</v>
      </c>
      <c r="Q31" s="162"/>
      <c r="R31" s="162">
        <f>SUM(R7,R23,R30)</f>
        <v>-14951.490099999999</v>
      </c>
      <c r="S31" s="162"/>
      <c r="T31" s="162">
        <f>SUM(T7,T23,T30)</f>
        <v>-14951.490099999999</v>
      </c>
      <c r="U31" s="162"/>
      <c r="V31" s="162">
        <f>SUM(V7,V23,V30)</f>
        <v>-14951.490099999999</v>
      </c>
      <c r="W31" s="162"/>
      <c r="X31" s="162">
        <f>SUM(X7,X23,X30)</f>
        <v>-14951.490099999999</v>
      </c>
      <c r="Y31" s="162"/>
      <c r="Z31" s="162">
        <f>SUM(Z7,Z23,Z30)</f>
        <v>-14951.490099999999</v>
      </c>
      <c r="AA31" s="162"/>
      <c r="AB31" s="162">
        <f>SUM(AB7,AB23,AB30)</f>
        <v>-14951.490099999999</v>
      </c>
      <c r="AC31" s="162"/>
    </row>
    <row r="32" spans="1:29" ht="18" customHeight="1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142">
        <v>1</v>
      </c>
      <c r="F52" s="142">
        <v>1</v>
      </c>
    </row>
    <row r="53" spans="4:6" ht="18" customHeight="1">
      <c r="D53" s="142">
        <v>2</v>
      </c>
      <c r="F53" s="142">
        <v>2</v>
      </c>
    </row>
    <row r="54" spans="4:6" ht="18" customHeight="1">
      <c r="D54" s="142">
        <v>3</v>
      </c>
      <c r="F54" s="142">
        <v>3</v>
      </c>
    </row>
    <row r="55" spans="4:6" ht="18" customHeight="1">
      <c r="D55" s="142">
        <v>4</v>
      </c>
      <c r="F55" s="142">
        <v>4</v>
      </c>
    </row>
    <row r="56" spans="4:6" ht="18" customHeight="1">
      <c r="D56" s="142">
        <v>5</v>
      </c>
      <c r="F56" s="142">
        <v>5</v>
      </c>
    </row>
    <row r="57" spans="4:6" ht="18" customHeight="1">
      <c r="D57" s="142">
        <v>6</v>
      </c>
      <c r="F57" s="142">
        <v>6</v>
      </c>
    </row>
    <row r="58" spans="4:6" ht="18" customHeight="1">
      <c r="D58" s="142">
        <v>7</v>
      </c>
      <c r="F58" s="142">
        <v>7</v>
      </c>
    </row>
    <row r="59" spans="4:6" ht="18" customHeight="1">
      <c r="D59" s="142">
        <v>8</v>
      </c>
      <c r="F59" s="142">
        <v>8</v>
      </c>
    </row>
    <row r="60" spans="4:6" ht="18" customHeight="1">
      <c r="D60" s="142">
        <v>9</v>
      </c>
      <c r="F60" s="142">
        <v>9</v>
      </c>
    </row>
    <row r="61" spans="4:6" ht="18" customHeight="1">
      <c r="D61" s="142">
        <v>10</v>
      </c>
      <c r="F61" s="142">
        <v>10</v>
      </c>
    </row>
    <row r="62" spans="4:6" ht="18" customHeight="1">
      <c r="D62" s="142">
        <v>11</v>
      </c>
      <c r="F62" s="142">
        <v>11</v>
      </c>
    </row>
    <row r="63" spans="4:6" ht="18" customHeight="1">
      <c r="D63" s="142">
        <v>12</v>
      </c>
      <c r="F63" s="142">
        <v>12</v>
      </c>
    </row>
    <row r="64" spans="4:6" ht="18" customHeight="1">
      <c r="D64" s="142">
        <v>13</v>
      </c>
      <c r="F64" s="142">
        <v>13</v>
      </c>
    </row>
    <row r="65" spans="4:6" ht="18" customHeight="1">
      <c r="D65" s="142">
        <v>14</v>
      </c>
      <c r="F65" s="142">
        <v>14</v>
      </c>
    </row>
    <row r="66" spans="4:6" ht="18" customHeight="1">
      <c r="D66" s="142">
        <v>15</v>
      </c>
      <c r="F66" s="142">
        <v>15</v>
      </c>
    </row>
    <row r="67" spans="4:6" ht="18" customHeight="1">
      <c r="F67" s="142">
        <v>16</v>
      </c>
    </row>
    <row r="68" spans="4:6" ht="18" customHeight="1">
      <c r="F68" s="142">
        <v>17</v>
      </c>
    </row>
    <row r="69" spans="4:6" ht="18" customHeight="1">
      <c r="F69" s="142">
        <v>18</v>
      </c>
    </row>
    <row r="70" spans="4:6" ht="18" customHeight="1">
      <c r="F70" s="142">
        <v>19</v>
      </c>
    </row>
    <row r="71" spans="4:6" ht="18" customHeight="1">
      <c r="F71" s="142">
        <v>20</v>
      </c>
    </row>
    <row r="72" spans="4:6" ht="18" customHeight="1">
      <c r="F72" s="142">
        <v>21</v>
      </c>
    </row>
    <row r="73" spans="4:6" ht="18" customHeight="1">
      <c r="F73" s="142">
        <v>22</v>
      </c>
    </row>
    <row r="74" spans="4:6" ht="18" customHeight="1">
      <c r="F74" s="142">
        <v>23</v>
      </c>
    </row>
    <row r="75" spans="4:6" ht="18" customHeight="1">
      <c r="F75" s="142">
        <v>24</v>
      </c>
    </row>
    <row r="76" spans="4:6" ht="18" customHeight="1">
      <c r="F76" s="142">
        <v>25</v>
      </c>
    </row>
    <row r="77" spans="4:6" ht="18" customHeight="1">
      <c r="F77" s="142">
        <v>26</v>
      </c>
    </row>
    <row r="78" spans="4:6" ht="18" customHeight="1">
      <c r="F78" s="142">
        <v>27</v>
      </c>
    </row>
    <row r="79" spans="4:6" ht="18" customHeight="1">
      <c r="F79" s="142">
        <v>28</v>
      </c>
    </row>
    <row r="80" spans="4:6" ht="18" customHeight="1">
      <c r="F80" s="142">
        <v>29</v>
      </c>
    </row>
    <row r="81" spans="6:6" ht="18" customHeight="1">
      <c r="F81" s="142">
        <v>30</v>
      </c>
    </row>
    <row r="82" spans="6:6" ht="18" customHeight="1">
      <c r="F82" s="142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24:A30"/>
    <mergeCell ref="B24:B26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L28:M28"/>
    <mergeCell ref="N28:O28"/>
    <mergeCell ref="P28:Q28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6:W6"/>
    <mergeCell ref="X6:Y6"/>
    <mergeCell ref="Z6:AA6"/>
    <mergeCell ref="AB6:AC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1000"/>
  <sheetViews>
    <sheetView zoomScaleNormal="100" workbookViewId="0">
      <selection sqref="A1:AC1"/>
    </sheetView>
  </sheetViews>
  <sheetFormatPr defaultColWidth="8.7109375" defaultRowHeight="15"/>
  <cols>
    <col min="1" max="1" width="4.85546875" customWidth="1"/>
    <col min="2" max="2" width="3.7109375" customWidth="1"/>
    <col min="3" max="3" width="6.5703125" customWidth="1"/>
    <col min="5" max="5" width="6.140625" customWidth="1"/>
    <col min="6" max="6" width="6.5703125" customWidth="1"/>
    <col min="7" max="7" width="3.5703125" customWidth="1"/>
    <col min="8" max="8" width="6.5703125" customWidth="1"/>
    <col min="9" max="9" width="3.5703125" customWidth="1"/>
    <col min="10" max="10" width="6.5703125" customWidth="1"/>
    <col min="11" max="11" width="3.5703125" customWidth="1"/>
    <col min="12" max="12" width="6.5703125" customWidth="1"/>
    <col min="13" max="13" width="3.5703125" customWidth="1"/>
    <col min="14" max="14" width="6.5703125" customWidth="1"/>
    <col min="15" max="15" width="3.5703125" customWidth="1"/>
    <col min="16" max="16" width="6.5703125" customWidth="1"/>
    <col min="17" max="17" width="3.5703125" customWidth="1"/>
    <col min="18" max="18" width="6.5703125" customWidth="1"/>
    <col min="19" max="19" width="3.5703125" customWidth="1"/>
    <col min="20" max="20" width="6.5703125" customWidth="1"/>
    <col min="21" max="21" width="3.5703125" customWidth="1"/>
    <col min="22" max="22" width="6.5703125" customWidth="1"/>
    <col min="23" max="23" width="3.5703125" customWidth="1"/>
    <col min="24" max="24" width="6.5703125" customWidth="1"/>
    <col min="25" max="25" width="3.5703125" customWidth="1"/>
    <col min="26" max="26" width="6.5703125" customWidth="1"/>
    <col min="27" max="27" width="3.42578125" customWidth="1"/>
    <col min="28" max="28" width="6.5703125" customWidth="1"/>
    <col min="29" max="29" width="3.5703125" customWidth="1"/>
  </cols>
  <sheetData>
    <row r="1" spans="1:29" ht="33" customHeight="1">
      <c r="A1" s="152" t="s">
        <v>703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29" ht="18" customHeight="1">
      <c r="A2" s="128" t="s">
        <v>704</v>
      </c>
      <c r="B2" s="128"/>
      <c r="C2" s="128"/>
      <c r="D2" s="153" t="s">
        <v>735</v>
      </c>
      <c r="E2" s="153"/>
      <c r="F2" s="153"/>
      <c r="G2" s="153"/>
      <c r="H2" s="153"/>
      <c r="I2" s="153"/>
      <c r="J2" s="153"/>
      <c r="K2" s="129"/>
      <c r="L2" s="129"/>
      <c r="M2" s="129"/>
      <c r="N2" s="129"/>
      <c r="O2" s="130"/>
      <c r="P2" s="130"/>
      <c r="Q2" s="130"/>
      <c r="R2" s="130"/>
      <c r="S2" s="130"/>
      <c r="T2" s="131" t="s">
        <v>705</v>
      </c>
      <c r="U2" s="131" t="s">
        <v>706</v>
      </c>
      <c r="X2" s="132">
        <v>8</v>
      </c>
      <c r="Y2" s="131" t="s">
        <v>707</v>
      </c>
      <c r="Z2" s="132">
        <v>4</v>
      </c>
      <c r="AA2" s="133" t="s">
        <v>43</v>
      </c>
      <c r="AB2" s="132">
        <v>3</v>
      </c>
      <c r="AC2" s="131" t="s">
        <v>689</v>
      </c>
    </row>
    <row r="3" spans="1:29" ht="18" customHeight="1">
      <c r="A3" s="134"/>
      <c r="B3" s="134"/>
      <c r="C3" s="134"/>
      <c r="D3" s="134"/>
      <c r="E3" s="134"/>
      <c r="F3" s="129"/>
      <c r="G3" s="129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6"/>
      <c r="V3" s="135"/>
      <c r="W3" s="135"/>
      <c r="X3" s="135"/>
      <c r="Y3" s="135"/>
      <c r="Z3" s="135"/>
      <c r="AA3" s="154" t="s">
        <v>708</v>
      </c>
      <c r="AB3" s="154"/>
      <c r="AC3" s="154"/>
    </row>
    <row r="4" spans="1:29" ht="28.5" customHeight="1">
      <c r="A4" s="155"/>
      <c r="B4" s="155"/>
      <c r="C4" s="155"/>
      <c r="D4" s="155"/>
      <c r="E4" s="155"/>
      <c r="F4" s="137">
        <v>5</v>
      </c>
      <c r="G4" s="138" t="s">
        <v>43</v>
      </c>
      <c r="H4" s="137">
        <v>6</v>
      </c>
      <c r="I4" s="138" t="s">
        <v>43</v>
      </c>
      <c r="J4" s="137">
        <v>7</v>
      </c>
      <c r="K4" s="138" t="s">
        <v>43</v>
      </c>
      <c r="L4" s="139">
        <v>8</v>
      </c>
      <c r="M4" s="138" t="s">
        <v>43</v>
      </c>
      <c r="N4" s="139">
        <v>9</v>
      </c>
      <c r="O4" s="138" t="s">
        <v>43</v>
      </c>
      <c r="P4" s="139">
        <v>10</v>
      </c>
      <c r="Q4" s="138" t="s">
        <v>43</v>
      </c>
      <c r="R4" s="139">
        <v>11</v>
      </c>
      <c r="S4" s="138" t="s">
        <v>43</v>
      </c>
      <c r="T4" s="139">
        <v>12</v>
      </c>
      <c r="U4" s="138" t="s">
        <v>43</v>
      </c>
      <c r="V4" s="139">
        <v>1</v>
      </c>
      <c r="W4" s="138" t="s">
        <v>43</v>
      </c>
      <c r="X4" s="139">
        <v>2</v>
      </c>
      <c r="Y4" s="138" t="s">
        <v>43</v>
      </c>
      <c r="Z4" s="139">
        <v>3</v>
      </c>
      <c r="AA4" s="138" t="s">
        <v>43</v>
      </c>
      <c r="AB4" s="140">
        <v>4</v>
      </c>
      <c r="AC4" s="141" t="s">
        <v>43</v>
      </c>
    </row>
    <row r="5" spans="1:29" ht="15.75" customHeight="1">
      <c r="A5" s="156" t="s">
        <v>709</v>
      </c>
      <c r="B5" s="156"/>
      <c r="C5" s="156"/>
      <c r="D5" s="156"/>
      <c r="E5" s="156"/>
      <c r="F5" s="157">
        <f>SUM(F8:F11)</f>
        <v>5.4413999999999998</v>
      </c>
      <c r="G5" s="157"/>
      <c r="H5" s="157">
        <f>SUM(H8:H11)</f>
        <v>27.207000000000001</v>
      </c>
      <c r="I5" s="157"/>
      <c r="J5" s="157">
        <f>SUM(J8:J11)</f>
        <v>3.6275999999999997</v>
      </c>
      <c r="K5" s="157"/>
      <c r="L5" s="157">
        <f>SUM(L8:L11)</f>
        <v>0</v>
      </c>
      <c r="M5" s="157"/>
      <c r="N5" s="157">
        <f>SUM(N8:N11)</f>
        <v>0</v>
      </c>
      <c r="O5" s="157"/>
      <c r="P5" s="157">
        <f>SUM(P8:P11)</f>
        <v>0</v>
      </c>
      <c r="Q5" s="157"/>
      <c r="R5" s="157">
        <f>SUM(R8:R11)</f>
        <v>0</v>
      </c>
      <c r="S5" s="157"/>
      <c r="T5" s="157">
        <f>SUM(T8:T11)</f>
        <v>0</v>
      </c>
      <c r="U5" s="157"/>
      <c r="V5" s="157">
        <f>SUM(V8:V11)</f>
        <v>0</v>
      </c>
      <c r="W5" s="157"/>
      <c r="X5" s="157">
        <f>SUM(X8:X11)</f>
        <v>0</v>
      </c>
      <c r="Y5" s="157"/>
      <c r="Z5" s="157">
        <f>SUM(Z8:Z11)</f>
        <v>0</v>
      </c>
      <c r="AA5" s="157"/>
      <c r="AB5" s="188">
        <f>SUM(AB8:AB11)</f>
        <v>0</v>
      </c>
      <c r="AC5" s="188"/>
    </row>
    <row r="6" spans="1:29" ht="15.75" customHeight="1">
      <c r="A6" s="158" t="s">
        <v>710</v>
      </c>
      <c r="B6" s="158"/>
      <c r="C6" s="158"/>
      <c r="D6" s="158"/>
      <c r="E6" s="158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89"/>
      <c r="Y6" s="189"/>
      <c r="Z6" s="159"/>
      <c r="AA6" s="159"/>
      <c r="AB6" s="190"/>
      <c r="AC6" s="190"/>
    </row>
    <row r="7" spans="1:29" ht="15.75" customHeight="1">
      <c r="A7" s="160" t="s">
        <v>711</v>
      </c>
      <c r="B7" s="160"/>
      <c r="C7" s="160"/>
      <c r="D7" s="160"/>
      <c r="E7" s="160"/>
      <c r="F7" s="161">
        <v>0</v>
      </c>
      <c r="G7" s="161"/>
      <c r="H7" s="162">
        <f>F31</f>
        <v>-272.60860000000002</v>
      </c>
      <c r="I7" s="162"/>
      <c r="J7" s="162">
        <f>H31</f>
        <v>-517.40160000000003</v>
      </c>
      <c r="K7" s="162"/>
      <c r="L7" s="162">
        <f>J31</f>
        <v>-785.77400000000011</v>
      </c>
      <c r="M7" s="162"/>
      <c r="N7" s="162">
        <f>L31</f>
        <v>-785.77400000000011</v>
      </c>
      <c r="O7" s="162"/>
      <c r="P7" s="162">
        <f>N31</f>
        <v>-785.77400000000011</v>
      </c>
      <c r="Q7" s="162"/>
      <c r="R7" s="162">
        <f>P31</f>
        <v>-785.77400000000011</v>
      </c>
      <c r="S7" s="162"/>
      <c r="T7" s="162">
        <f>R31</f>
        <v>-785.77400000000011</v>
      </c>
      <c r="U7" s="162"/>
      <c r="V7" s="162">
        <f>T31</f>
        <v>-785.77400000000011</v>
      </c>
      <c r="W7" s="162"/>
      <c r="X7" s="162">
        <f>V31</f>
        <v>-785.77400000000011</v>
      </c>
      <c r="Y7" s="162"/>
      <c r="Z7" s="162">
        <f>X31</f>
        <v>-785.77400000000011</v>
      </c>
      <c r="AA7" s="162"/>
      <c r="AB7" s="163">
        <f>Z31</f>
        <v>-785.77400000000011</v>
      </c>
      <c r="AC7" s="163"/>
    </row>
    <row r="8" spans="1:29" ht="15.75" customHeight="1">
      <c r="A8" s="164" t="s">
        <v>712</v>
      </c>
      <c r="B8" s="165" t="s">
        <v>713</v>
      </c>
      <c r="C8" s="166" t="s">
        <v>714</v>
      </c>
      <c r="D8" s="167" t="s">
        <v>208</v>
      </c>
      <c r="E8" s="167"/>
      <c r="F8" s="168">
        <f>(SUMIFS(入金入力!$E$4:$E$503,入金入力!$A$4:$A$503,"ザック",入金入力!$B$4:$B$503,"&gt;="&amp;DATE(2026,5,1),入金入力!$B$4:$B$503,"&lt;="&amp;DATE(2026,5,31),入金入力!$D$4:$D$503,"現金売上")+SUMIFS(入金予測!$E$4:$E$603,入金予測!$B$4:$B$603,"ザック",入金予測!$A$4:$A$603,"&gt;="&amp;DATE(2026,5,1),入金予測!$A$4:$A$603,"&lt;="&amp;DATE(2026,5,31)))/1000</f>
        <v>5.4413999999999998</v>
      </c>
      <c r="G8" s="168"/>
      <c r="H8" s="168">
        <f>(SUMIFS(入金入力!$E$4:$E$503,入金入力!$A$4:$A$503,"ザック",入金入力!$B$4:$B$503,"&gt;="&amp;DATE(2026,6,1),入金入力!$B$4:$B$503,"&lt;="&amp;DATE(2026,6,30),入金入力!$D$4:$D$503,"現金売上")+SUMIFS(入金予測!$E$4:$E$603,入金予測!$B$4:$B$603,"ザック",入金予測!$A$4:$A$603,"&gt;="&amp;DATE(2026,6,1),入金予測!$A$4:$A$603,"&lt;="&amp;DATE(2026,6,30)))/1000</f>
        <v>27.207000000000001</v>
      </c>
      <c r="I8" s="168"/>
      <c r="J8" s="168">
        <f>(SUMIFS(入金入力!$E$4:$E$503,入金入力!$A$4:$A$503,"ザック",入金入力!$B$4:$B$503,"&gt;="&amp;DATE(2026,7,1),入金入力!$B$4:$B$503,"&lt;="&amp;DATE(2026,7,31),入金入力!$D$4:$D$503,"現金売上")+SUMIFS(入金予測!$E$4:$E$603,入金予測!$B$4:$B$603,"ザック",入金予測!$A$4:$A$603,"&gt;="&amp;DATE(2026,7,1),入金予測!$A$4:$A$603,"&lt;="&amp;DATE(2026,7,31)))/1000</f>
        <v>3.6275999999999997</v>
      </c>
      <c r="K8" s="168"/>
      <c r="L8" s="168">
        <f>(SUMIFS(入金入力!$E$4:$E$503,入金入力!$A$4:$A$503,"ザック",入金入力!$B$4:$B$503,"&gt;="&amp;DATE(2026,8,1),入金入力!$B$4:$B$503,"&lt;="&amp;DATE(2026,8,31),入金入力!$D$4:$D$503,"現金売上")+SUMIFS(入金予測!$E$4:$E$603,入金予測!$B$4:$B$603,"ザック",入金予測!$A$4:$A$603,"&gt;="&amp;DATE(2026,8,1),入金予測!$A$4:$A$603,"&lt;="&amp;DATE(2026,8,31)))/1000</f>
        <v>0</v>
      </c>
      <c r="M8" s="168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91"/>
      <c r="AC8" s="191"/>
    </row>
    <row r="9" spans="1:29" ht="15.75" customHeight="1">
      <c r="A9" s="164"/>
      <c r="B9" s="165"/>
      <c r="C9" s="166"/>
      <c r="D9" s="170" t="s">
        <v>242</v>
      </c>
      <c r="E9" s="170"/>
      <c r="F9" s="171">
        <f>(SUMIFS(入金入力!$E$4:$E$503,入金入力!$A$4:$A$503,"ザック",入金入力!$B$4:$B$503,"&gt;="&amp;DATE(2026,5,1),入金入力!$B$4:$B$503,"&lt;="&amp;DATE(2026,5,31),入金入力!$D$4:$D$503,"売掛金回収"))/1000</f>
        <v>0</v>
      </c>
      <c r="G9" s="171"/>
      <c r="H9" s="171">
        <f>(SUMIFS(入金入力!$E$4:$E$503,入金入力!$A$4:$A$503,"ザック",入金入力!$B$4:$B$503,"&gt;="&amp;DATE(2026,6,1),入金入力!$B$4:$B$503,"&lt;="&amp;DATE(2026,6,30),入金入力!$D$4:$D$503,"売掛金回収"))/1000</f>
        <v>0</v>
      </c>
      <c r="I9" s="171"/>
      <c r="J9" s="171">
        <f>(SUMIFS(入金入力!$E$4:$E$503,入金入力!$A$4:$A$503,"ザック",入金入力!$B$4:$B$503,"&gt;="&amp;DATE(2026,7,1),入金入力!$B$4:$B$503,"&lt;="&amp;DATE(2026,7,31),入金入力!$D$4:$D$503,"売掛金回収"))/1000</f>
        <v>0</v>
      </c>
      <c r="K9" s="171"/>
      <c r="L9" s="171">
        <f>(SUMIFS(入金入力!$E$4:$E$503,入金入力!$A$4:$A$503,"ザック",入金入力!$B$4:$B$503,"&gt;="&amp;DATE(2026,8,1),入金入力!$B$4:$B$503,"&lt;="&amp;DATE(2026,8,31),入金入力!$D$4:$D$503,"売掛金回収"))/1000</f>
        <v>0</v>
      </c>
      <c r="M9" s="171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3"/>
      <c r="AC9" s="173"/>
    </row>
    <row r="10" spans="1:29" ht="15.75" customHeight="1">
      <c r="A10" s="164"/>
      <c r="B10" s="165"/>
      <c r="C10" s="166"/>
      <c r="D10" s="170" t="s">
        <v>715</v>
      </c>
      <c r="E10" s="170"/>
      <c r="F10" s="171">
        <f>(SUMIFS(入金入力!$E$4:$E$503,入金入力!$A$4:$A$503,"ザック",入金入力!$B$4:$B$503,"&gt;="&amp;DATE(2026,5,1),入金入力!$B$4:$B$503,"&lt;="&amp;DATE(2026,5,31),入金入力!$D$4:$D$503,"手形入金"))/1000</f>
        <v>0</v>
      </c>
      <c r="G10" s="171"/>
      <c r="H10" s="171">
        <f>(SUMIFS(入金入力!$E$4:$E$503,入金入力!$A$4:$A$503,"ザック",入金入力!$B$4:$B$503,"&gt;="&amp;DATE(2026,6,1),入金入力!$B$4:$B$503,"&lt;="&amp;DATE(2026,6,30),入金入力!$D$4:$D$503,"手形入金"))/1000</f>
        <v>0</v>
      </c>
      <c r="I10" s="171"/>
      <c r="J10" s="171">
        <f>(SUMIFS(入金入力!$E$4:$E$503,入金入力!$A$4:$A$503,"ザック",入金入力!$B$4:$B$503,"&gt;="&amp;DATE(2026,7,1),入金入力!$B$4:$B$503,"&lt;="&amp;DATE(2026,7,31),入金入力!$D$4:$D$503,"手形入金"))/1000</f>
        <v>0</v>
      </c>
      <c r="K10" s="171"/>
      <c r="L10" s="171">
        <f>(SUMIFS(入金入力!$E$4:$E$503,入金入力!$A$4:$A$503,"ザック",入金入力!$B$4:$B$503,"&gt;="&amp;DATE(2026,8,1),入金入力!$B$4:$B$503,"&lt;="&amp;DATE(2026,8,31),入金入力!$D$4:$D$503,"手形入金"))/1000</f>
        <v>0</v>
      </c>
      <c r="M10" s="171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3"/>
      <c r="AC10" s="173"/>
    </row>
    <row r="11" spans="1:29" ht="15.75" customHeight="1">
      <c r="A11" s="164"/>
      <c r="B11" s="165"/>
      <c r="C11" s="166"/>
      <c r="D11" s="170" t="s">
        <v>245</v>
      </c>
      <c r="E11" s="170"/>
      <c r="F11" s="171">
        <f>(SUMIFS(入金入力!$E$4:$E$503,入金入力!$A$4:$A$503,"ザック",入金入力!$B$4:$B$503,"&gt;="&amp;DATE(2026,5,1),入金入力!$B$4:$B$503,"&lt;="&amp;DATE(2026,5,31),入金入力!$D$4:$D$503,"その他収入"))/1000</f>
        <v>0</v>
      </c>
      <c r="G11" s="171"/>
      <c r="H11" s="171">
        <f>(SUMIFS(入金入力!$E$4:$E$503,入金入力!$A$4:$A$503,"ザック",入金入力!$B$4:$B$503,"&gt;="&amp;DATE(2026,6,1),入金入力!$B$4:$B$503,"&lt;="&amp;DATE(2026,6,30),入金入力!$D$4:$D$503,"その他収入"))/1000</f>
        <v>0</v>
      </c>
      <c r="I11" s="171"/>
      <c r="J11" s="171">
        <f>(SUMIFS(入金入力!$E$4:$E$503,入金入力!$A$4:$A$503,"ザック",入金入力!$B$4:$B$503,"&gt;="&amp;DATE(2026,7,1),入金入力!$B$4:$B$503,"&lt;="&amp;DATE(2026,7,31),入金入力!$D$4:$D$503,"その他収入"))/1000</f>
        <v>0</v>
      </c>
      <c r="K11" s="171"/>
      <c r="L11" s="171">
        <f>(SUMIFS(入金入力!$E$4:$E$503,入金入力!$A$4:$A$503,"ザック",入金入力!$B$4:$B$503,"&gt;="&amp;DATE(2026,8,1),入金入力!$B$4:$B$503,"&lt;="&amp;DATE(2026,8,31),入金入力!$D$4:$D$503,"その他収入"))/1000</f>
        <v>0</v>
      </c>
      <c r="M11" s="171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3"/>
      <c r="AC11" s="173"/>
    </row>
    <row r="12" spans="1:29" ht="15.75" customHeight="1">
      <c r="A12" s="164"/>
      <c r="B12" s="165"/>
      <c r="C12" s="174" t="s">
        <v>716</v>
      </c>
      <c r="D12" s="174"/>
      <c r="E12" s="174"/>
      <c r="F12" s="175">
        <f>SUM(F8:F11)</f>
        <v>5.4413999999999998</v>
      </c>
      <c r="G12" s="175"/>
      <c r="H12" s="175">
        <f>SUM(H8:H11)</f>
        <v>27.207000000000001</v>
      </c>
      <c r="I12" s="175"/>
      <c r="J12" s="175">
        <f>SUM(J8:J11)</f>
        <v>3.6275999999999997</v>
      </c>
      <c r="K12" s="175"/>
      <c r="L12" s="175">
        <f>SUM(L8:L11)</f>
        <v>0</v>
      </c>
      <c r="M12" s="175"/>
      <c r="N12" s="175">
        <f>SUM(N8:N11)</f>
        <v>0</v>
      </c>
      <c r="O12" s="175"/>
      <c r="P12" s="175">
        <f>SUM(P8:P11)</f>
        <v>0</v>
      </c>
      <c r="Q12" s="175"/>
      <c r="R12" s="175">
        <f>SUM(R8:R11)</f>
        <v>0</v>
      </c>
      <c r="S12" s="175"/>
      <c r="T12" s="175">
        <f>SUM(T8:T11)</f>
        <v>0</v>
      </c>
      <c r="U12" s="175"/>
      <c r="V12" s="175">
        <f>SUM(V8:V11)</f>
        <v>0</v>
      </c>
      <c r="W12" s="175"/>
      <c r="X12" s="175">
        <f>SUM(X8:X11)</f>
        <v>0</v>
      </c>
      <c r="Y12" s="175"/>
      <c r="Z12" s="175">
        <f>SUM(Z8:Z11)</f>
        <v>0</v>
      </c>
      <c r="AA12" s="175"/>
      <c r="AB12" s="176">
        <f>SUM(AB8:AB11)</f>
        <v>0</v>
      </c>
      <c r="AC12" s="176"/>
    </row>
    <row r="13" spans="1:29" ht="15.75" customHeight="1">
      <c r="A13" s="164"/>
      <c r="B13" s="177" t="s">
        <v>717</v>
      </c>
      <c r="C13" s="178" t="s">
        <v>718</v>
      </c>
      <c r="D13" s="170" t="s">
        <v>719</v>
      </c>
      <c r="E13" s="170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3"/>
      <c r="AC13" s="173"/>
    </row>
    <row r="14" spans="1:29" ht="15.75" customHeight="1">
      <c r="A14" s="164"/>
      <c r="B14" s="177"/>
      <c r="C14" s="178"/>
      <c r="D14" s="170" t="s">
        <v>165</v>
      </c>
      <c r="E14" s="170"/>
      <c r="F14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買掛金支払")*未払予定一覧!$O$4:$O$803))/1000</f>
        <v>278.05</v>
      </c>
      <c r="G14" s="171"/>
      <c r="H14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買掛金支払")*未払予定一覧!$O$4:$O$803))/1000</f>
        <v>272</v>
      </c>
      <c r="I14" s="171"/>
      <c r="J14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買掛金支払")*未払予定一覧!$O$4:$O$803))/1000</f>
        <v>272</v>
      </c>
      <c r="K14" s="171"/>
      <c r="L14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買掛金支払")*未払予定一覧!$O$4:$O$803))/1000</f>
        <v>0</v>
      </c>
      <c r="M14" s="171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3"/>
      <c r="AC14" s="173"/>
    </row>
    <row r="15" spans="1:29" ht="15.75" customHeight="1">
      <c r="A15" s="164"/>
      <c r="B15" s="177"/>
      <c r="C15" s="178"/>
      <c r="D15" s="170" t="s">
        <v>720</v>
      </c>
      <c r="E15" s="170"/>
      <c r="F15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手形決済")*未払予定一覧!$O$4:$O$803))/1000</f>
        <v>0</v>
      </c>
      <c r="G15" s="171"/>
      <c r="H15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手形決済")*未払予定一覧!$O$4:$O$803))/1000</f>
        <v>0</v>
      </c>
      <c r="I15" s="171"/>
      <c r="J15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手形決済")*未払予定一覧!$O$4:$O$803))/1000</f>
        <v>0</v>
      </c>
      <c r="K15" s="171"/>
      <c r="L15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手形決済")*未払予定一覧!$O$4:$O$803))/1000</f>
        <v>0</v>
      </c>
      <c r="M15" s="171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3"/>
      <c r="AC15" s="173"/>
    </row>
    <row r="16" spans="1:29" ht="15.75" customHeight="1">
      <c r="A16" s="164"/>
      <c r="B16" s="177"/>
      <c r="C16" s="178" t="s">
        <v>721</v>
      </c>
      <c r="D16" s="170" t="s">
        <v>181</v>
      </c>
      <c r="E16" s="170"/>
      <c r="F16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役員報酬")*未払予定一覧!$O$4:$O$803))/1000</f>
        <v>0</v>
      </c>
      <c r="G16" s="171"/>
      <c r="H16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役員報酬")*未払予定一覧!$O$4:$O$803))/1000</f>
        <v>0</v>
      </c>
      <c r="I16" s="171"/>
      <c r="J16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役員報酬")*未払予定一覧!$O$4:$O$803))/1000</f>
        <v>0</v>
      </c>
      <c r="K16" s="171"/>
      <c r="L16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役員報酬")*未払予定一覧!$O$4:$O$803))/1000</f>
        <v>0</v>
      </c>
      <c r="M16" s="171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3"/>
      <c r="AC16" s="173"/>
    </row>
    <row r="17" spans="1:29" ht="15.75" customHeight="1">
      <c r="A17" s="164"/>
      <c r="B17" s="177"/>
      <c r="C17" s="178"/>
      <c r="D17" s="170" t="s">
        <v>182</v>
      </c>
      <c r="E17" s="170"/>
      <c r="F17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従業員給与")*未払予定一覧!$O$4:$O$803))/1000</f>
        <v>0</v>
      </c>
      <c r="G17" s="171"/>
      <c r="H17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従業員給与")*未払予定一覧!$O$4:$O$803))/1000</f>
        <v>0</v>
      </c>
      <c r="I17" s="171"/>
      <c r="J17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従業員給与")*未払予定一覧!$O$4:$O$803))/1000</f>
        <v>0</v>
      </c>
      <c r="K17" s="171"/>
      <c r="L17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従業員給与")*未払予定一覧!$O$4:$O$803))/1000</f>
        <v>0</v>
      </c>
      <c r="M17" s="171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3"/>
      <c r="AC17" s="173"/>
    </row>
    <row r="18" spans="1:29" ht="15.75" customHeight="1">
      <c r="A18" s="164"/>
      <c r="B18" s="177"/>
      <c r="C18" s="178"/>
      <c r="D18" s="170" t="s">
        <v>183</v>
      </c>
      <c r="E18" s="170"/>
      <c r="F18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地代家賃")*未払予定一覧!$O$4:$O$803))/1000</f>
        <v>0</v>
      </c>
      <c r="G18" s="171"/>
      <c r="H18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地代家賃")*未払予定一覧!$O$4:$O$803))/1000</f>
        <v>0</v>
      </c>
      <c r="I18" s="171"/>
      <c r="J18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地代家賃")*未払予定一覧!$O$4:$O$803))/1000</f>
        <v>0</v>
      </c>
      <c r="K18" s="171"/>
      <c r="L18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地代家賃")*未払予定一覧!$O$4:$O$803))/1000</f>
        <v>0</v>
      </c>
      <c r="M18" s="171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3"/>
      <c r="AC18" s="173"/>
    </row>
    <row r="19" spans="1:29" ht="15.75" customHeight="1">
      <c r="A19" s="164"/>
      <c r="B19" s="177"/>
      <c r="C19" s="178"/>
      <c r="D19" s="170" t="s">
        <v>184</v>
      </c>
      <c r="E19" s="170"/>
      <c r="F19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支払利息")*未払予定一覧!$O$4:$O$803))/1000</f>
        <v>0</v>
      </c>
      <c r="G19" s="171"/>
      <c r="H19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支払利息")*未払予定一覧!$O$4:$O$803))/1000</f>
        <v>0</v>
      </c>
      <c r="I19" s="171"/>
      <c r="J19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支払利息")*未払予定一覧!$O$4:$O$803))/1000</f>
        <v>0</v>
      </c>
      <c r="K19" s="171"/>
      <c r="L19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支払利息")*未払予定一覧!$O$4:$O$803))/1000</f>
        <v>0</v>
      </c>
      <c r="M19" s="171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spans="1:29" ht="15.75" customHeight="1">
      <c r="A20" s="164"/>
      <c r="B20" s="177"/>
      <c r="C20" s="178"/>
      <c r="D20" s="170" t="s">
        <v>175</v>
      </c>
      <c r="E20" s="170"/>
      <c r="F20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税金・社会保険料")*未払予定一覧!$O$4:$O$803))/1000</f>
        <v>0</v>
      </c>
      <c r="G20" s="171"/>
      <c r="H20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税金・社会保険料")*未払予定一覧!$O$4:$O$803))/1000</f>
        <v>0</v>
      </c>
      <c r="I20" s="171"/>
      <c r="J20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税金・社会保険料")*未払予定一覧!$O$4:$O$803))/1000</f>
        <v>0</v>
      </c>
      <c r="K20" s="171"/>
      <c r="L20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税金・社会保険料")*未払予定一覧!$O$4:$O$803))/1000</f>
        <v>0</v>
      </c>
      <c r="M20" s="171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</row>
    <row r="21" spans="1:29" ht="15.75" customHeight="1">
      <c r="A21" s="164"/>
      <c r="B21" s="177"/>
      <c r="C21" s="178"/>
      <c r="D21" s="170" t="s">
        <v>177</v>
      </c>
      <c r="E21" s="170"/>
      <c r="F21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その他経費")*未払予定一覧!$O$4:$O$803))/1000</f>
        <v>0</v>
      </c>
      <c r="G21" s="171"/>
      <c r="H21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その他経費")*未払予定一覧!$O$4:$O$803))/1000</f>
        <v>0</v>
      </c>
      <c r="I21" s="171"/>
      <c r="J21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その他経費")*未払予定一覧!$O$4:$O$803))/1000</f>
        <v>0</v>
      </c>
      <c r="K21" s="171"/>
      <c r="L21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その他経費")*未払予定一覧!$O$4:$O$803))/1000</f>
        <v>0</v>
      </c>
      <c r="M21" s="171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</row>
    <row r="22" spans="1:29" ht="15.75" customHeight="1">
      <c r="A22" s="164"/>
      <c r="B22" s="177"/>
      <c r="C22" s="174" t="s">
        <v>722</v>
      </c>
      <c r="D22" s="174"/>
      <c r="E22" s="174"/>
      <c r="F22" s="175">
        <f>SUM(F13:F21)</f>
        <v>278.05</v>
      </c>
      <c r="G22" s="175"/>
      <c r="H22" s="175">
        <f>SUM(H13:H21)</f>
        <v>272</v>
      </c>
      <c r="I22" s="175"/>
      <c r="J22" s="175">
        <f>SUM(J13:J21)</f>
        <v>272</v>
      </c>
      <c r="K22" s="175"/>
      <c r="L22" s="175">
        <f>SUM(L13:L21)</f>
        <v>0</v>
      </c>
      <c r="M22" s="175"/>
      <c r="N22" s="175">
        <f>SUM(N13:N21)</f>
        <v>0</v>
      </c>
      <c r="O22" s="175"/>
      <c r="P22" s="175">
        <f>SUM(P13:P21)</f>
        <v>0</v>
      </c>
      <c r="Q22" s="175"/>
      <c r="R22" s="175">
        <f>SUM(R13:R21)</f>
        <v>0</v>
      </c>
      <c r="S22" s="175"/>
      <c r="T22" s="175">
        <f>SUM(T13:T21)</f>
        <v>0</v>
      </c>
      <c r="U22" s="175"/>
      <c r="V22" s="175">
        <f>SUM(V13:V21)</f>
        <v>0</v>
      </c>
      <c r="W22" s="175"/>
      <c r="X22" s="175">
        <f>SUM(X13:X21)</f>
        <v>0</v>
      </c>
      <c r="Y22" s="175"/>
      <c r="Z22" s="175">
        <f>SUM(Z13:Z21)</f>
        <v>0</v>
      </c>
      <c r="AA22" s="175"/>
      <c r="AB22" s="176">
        <f>SUM(AB13:AB21)</f>
        <v>0</v>
      </c>
      <c r="AC22" s="176"/>
    </row>
    <row r="23" spans="1:29" ht="15.75" customHeight="1">
      <c r="A23" s="164"/>
      <c r="B23" s="174" t="s">
        <v>723</v>
      </c>
      <c r="C23" s="174"/>
      <c r="D23" s="174"/>
      <c r="E23" s="174"/>
      <c r="F23" s="175">
        <f>F12-F22</f>
        <v>-272.60860000000002</v>
      </c>
      <c r="G23" s="175"/>
      <c r="H23" s="175">
        <f>H12-H22</f>
        <v>-244.79300000000001</v>
      </c>
      <c r="I23" s="175"/>
      <c r="J23" s="175">
        <f>J12-J22</f>
        <v>-268.37240000000003</v>
      </c>
      <c r="K23" s="175"/>
      <c r="L23" s="175">
        <f>L12-L22</f>
        <v>0</v>
      </c>
      <c r="M23" s="175"/>
      <c r="N23" s="175">
        <f>N12-N22</f>
        <v>0</v>
      </c>
      <c r="O23" s="175"/>
      <c r="P23" s="175">
        <f>P12-P22</f>
        <v>0</v>
      </c>
      <c r="Q23" s="175"/>
      <c r="R23" s="175">
        <f>R12-R22</f>
        <v>0</v>
      </c>
      <c r="S23" s="175"/>
      <c r="T23" s="175">
        <f>T12-T22</f>
        <v>0</v>
      </c>
      <c r="U23" s="175"/>
      <c r="V23" s="175">
        <f>V12-V22</f>
        <v>0</v>
      </c>
      <c r="W23" s="175"/>
      <c r="X23" s="175">
        <f>X12-X22</f>
        <v>0</v>
      </c>
      <c r="Y23" s="175"/>
      <c r="Z23" s="175">
        <f>Z12-Z22</f>
        <v>0</v>
      </c>
      <c r="AA23" s="175"/>
      <c r="AB23" s="176">
        <f>AB12-AB22</f>
        <v>0</v>
      </c>
      <c r="AC23" s="176"/>
    </row>
    <row r="24" spans="1:29" ht="15.75" customHeight="1">
      <c r="A24" s="179" t="s">
        <v>724</v>
      </c>
      <c r="B24" s="178" t="s">
        <v>713</v>
      </c>
      <c r="C24" s="170" t="s">
        <v>725</v>
      </c>
      <c r="D24" s="170"/>
      <c r="E24" s="170"/>
      <c r="F24" s="171">
        <f>(SUMIFS(入金入力!$E$4:$E$503,入金入力!$A$4:$A$503,"ザック",入金入力!$B$4:$B$503,"&gt;="&amp;DATE(2026,5,1),入金入力!$B$4:$B$503,"&lt;="&amp;DATE(2026,5,31),入金入力!$D$4:$D$503,"借入金"))/1000</f>
        <v>0</v>
      </c>
      <c r="G24" s="171"/>
      <c r="H24" s="171">
        <f>(SUMIFS(入金入力!$E$4:$E$503,入金入力!$A$4:$A$503,"ザック",入金入力!$B$4:$B$503,"&gt;="&amp;DATE(2026,6,1),入金入力!$B$4:$B$503,"&lt;="&amp;DATE(2026,6,30),入金入力!$D$4:$D$503,"借入金"))/1000</f>
        <v>0</v>
      </c>
      <c r="I24" s="171"/>
      <c r="J24" s="171">
        <f>(SUMIFS(入金入力!$E$4:$E$503,入金入力!$A$4:$A$503,"ザック",入金入力!$B$4:$B$503,"&gt;="&amp;DATE(2026,7,1),入金入力!$B$4:$B$503,"&lt;="&amp;DATE(2026,7,31),入金入力!$D$4:$D$503,"借入金"))/1000</f>
        <v>0</v>
      </c>
      <c r="K24" s="171"/>
      <c r="L24" s="171">
        <f>(SUMIFS(入金入力!$E$4:$E$503,入金入力!$A$4:$A$503,"ザック",入金入力!$B$4:$B$503,"&gt;="&amp;DATE(2026,8,1),入金入力!$B$4:$B$503,"&lt;="&amp;DATE(2026,8,31),入金入力!$D$4:$D$503,"借入金"))/1000</f>
        <v>0</v>
      </c>
      <c r="M24" s="171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3"/>
      <c r="AC24" s="173"/>
    </row>
    <row r="25" spans="1:29" ht="15.75" customHeight="1">
      <c r="A25" s="179"/>
      <c r="B25" s="178"/>
      <c r="C25" s="170" t="s">
        <v>726</v>
      </c>
      <c r="D25" s="170"/>
      <c r="E25" s="170"/>
      <c r="F25" s="171">
        <f>(SUMIFS(入金入力!$E$4:$E$503,入金入力!$A$4:$A$503,"ザック",入金入力!$B$4:$B$503,"&gt;="&amp;DATE(2026,5,1),入金入力!$B$4:$B$503,"&lt;="&amp;DATE(2026,5,31),入金入力!$D$4:$D$503,"設備売却"))/1000</f>
        <v>0</v>
      </c>
      <c r="G25" s="171"/>
      <c r="H25" s="171">
        <f>(SUMIFS(入金入力!$E$4:$E$503,入金入力!$A$4:$A$503,"ザック",入金入力!$B$4:$B$503,"&gt;="&amp;DATE(2026,6,1),入金入力!$B$4:$B$503,"&lt;="&amp;DATE(2026,6,30),入金入力!$D$4:$D$503,"設備売却"))/1000</f>
        <v>0</v>
      </c>
      <c r="I25" s="171"/>
      <c r="J25" s="171">
        <f>(SUMIFS(入金入力!$E$4:$E$503,入金入力!$A$4:$A$503,"ザック",入金入力!$B$4:$B$503,"&gt;="&amp;DATE(2026,7,1),入金入力!$B$4:$B$503,"&lt;="&amp;DATE(2026,7,31),入金入力!$D$4:$D$503,"設備売却"))/1000</f>
        <v>0</v>
      </c>
      <c r="K25" s="171"/>
      <c r="L25" s="171">
        <f>(SUMIFS(入金入力!$E$4:$E$503,入金入力!$A$4:$A$503,"ザック",入金入力!$B$4:$B$503,"&gt;="&amp;DATE(2026,8,1),入金入力!$B$4:$B$503,"&lt;="&amp;DATE(2026,8,31),入金入力!$D$4:$D$503,"設備売却"))/1000</f>
        <v>0</v>
      </c>
      <c r="M25" s="171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3"/>
      <c r="AC25" s="173"/>
    </row>
    <row r="26" spans="1:29" ht="15.75" customHeight="1">
      <c r="A26" s="179"/>
      <c r="B26" s="178"/>
      <c r="C26" s="180" t="s">
        <v>727</v>
      </c>
      <c r="D26" s="180"/>
      <c r="E26" s="180"/>
      <c r="F26" s="181">
        <f>SUM(F24:F25)</f>
        <v>0</v>
      </c>
      <c r="G26" s="181"/>
      <c r="H26" s="181">
        <f>SUM(H24:H25)</f>
        <v>0</v>
      </c>
      <c r="I26" s="181"/>
      <c r="J26" s="181">
        <f>SUM(J24:J25)</f>
        <v>0</v>
      </c>
      <c r="K26" s="181"/>
      <c r="L26" s="181">
        <f>SUM(L24:L25)</f>
        <v>0</v>
      </c>
      <c r="M26" s="181"/>
      <c r="N26" s="181">
        <f>SUM(N24:N25)</f>
        <v>0</v>
      </c>
      <c r="O26" s="181"/>
      <c r="P26" s="181">
        <f>SUM(P24:P25)</f>
        <v>0</v>
      </c>
      <c r="Q26" s="181"/>
      <c r="R26" s="181">
        <f>SUM(R24:R25)</f>
        <v>0</v>
      </c>
      <c r="S26" s="181"/>
      <c r="T26" s="181">
        <f>SUM(T24:T25)</f>
        <v>0</v>
      </c>
      <c r="U26" s="181"/>
      <c r="V26" s="181">
        <f>SUM(V24:V25)</f>
        <v>0</v>
      </c>
      <c r="W26" s="181"/>
      <c r="X26" s="181">
        <f>SUM(X24:X25)</f>
        <v>0</v>
      </c>
      <c r="Y26" s="181"/>
      <c r="Z26" s="181">
        <f>SUM(Z24:Z25)</f>
        <v>0</v>
      </c>
      <c r="AA26" s="181"/>
      <c r="AB26" s="182">
        <f>SUM(AB24:AB25)</f>
        <v>0</v>
      </c>
      <c r="AC26" s="182"/>
    </row>
    <row r="27" spans="1:29" ht="15.75" customHeight="1">
      <c r="A27" s="179"/>
      <c r="B27" s="178" t="s">
        <v>717</v>
      </c>
      <c r="C27" s="170" t="s">
        <v>728</v>
      </c>
      <c r="D27" s="170"/>
      <c r="E27" s="170"/>
      <c r="F27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借入金返済")*未払予定一覧!$O$4:$O$803))/1000</f>
        <v>0</v>
      </c>
      <c r="G27" s="171"/>
      <c r="H27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借入金返済")*未払予定一覧!$O$4:$O$803))/1000</f>
        <v>0</v>
      </c>
      <c r="I27" s="171"/>
      <c r="J27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借入金返済")*未払予定一覧!$O$4:$O$803))/1000</f>
        <v>0</v>
      </c>
      <c r="K27" s="171"/>
      <c r="L27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借入金返済")*未払予定一覧!$O$4:$O$803))/1000</f>
        <v>0</v>
      </c>
      <c r="M27" s="171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3"/>
      <c r="AC27" s="173"/>
    </row>
    <row r="28" spans="1:29" ht="15.75" customHeight="1">
      <c r="A28" s="179"/>
      <c r="B28" s="178"/>
      <c r="C28" s="170" t="s">
        <v>729</v>
      </c>
      <c r="D28" s="170"/>
      <c r="E28" s="170"/>
      <c r="F28" s="171">
        <f>(SUMPRODUCT((未払予定一覧!$A$4:$A$803="ザック")*(未払予定一覧!$B$4:$B$803&lt;&gt;"カード枠回復")*(未払予定一覧!$N$4:$N$803&gt;=DATE(2026,5,1))*(未払予定一覧!$N$4:$N$803&lt;=DATE(2026,5,31))*(IFERROR(VLOOKUP(未払予定一覧!$E$4:$E$803,マスター_勘定科目!$A$4:$B$30,2,FALSE()),"その他経費")="設備購入等")*未払予定一覧!$O$4:$O$803))/1000</f>
        <v>0</v>
      </c>
      <c r="G28" s="171"/>
      <c r="H28" s="171">
        <f>(SUMPRODUCT((未払予定一覧!$A$4:$A$803="ザック")*(未払予定一覧!$B$4:$B$803&lt;&gt;"カード枠回復")*(未払予定一覧!$N$4:$N$803&gt;=DATE(2026,6,1))*(未払予定一覧!$N$4:$N$803&lt;=DATE(2026,6,30))*(IFERROR(VLOOKUP(未払予定一覧!$E$4:$E$803,マスター_勘定科目!$A$4:$B$30,2,FALSE()),"その他経費")="設備購入等")*未払予定一覧!$O$4:$O$803))/1000</f>
        <v>0</v>
      </c>
      <c r="I28" s="171"/>
      <c r="J28" s="171">
        <f>(SUMPRODUCT((未払予定一覧!$A$4:$A$803="ザック")*(未払予定一覧!$B$4:$B$803&lt;&gt;"カード枠回復")*(未払予定一覧!$N$4:$N$803&gt;=DATE(2026,7,1))*(未払予定一覧!$N$4:$N$803&lt;=DATE(2026,7,31))*(IFERROR(VLOOKUP(未払予定一覧!$E$4:$E$803,マスター_勘定科目!$A$4:$B$30,2,FALSE()),"その他経費")="設備購入等")*未払予定一覧!$O$4:$O$803))/1000</f>
        <v>0</v>
      </c>
      <c r="K28" s="171"/>
      <c r="L28" s="171">
        <f>(SUMPRODUCT((未払予定一覧!$A$4:$A$803="ザック")*(未払予定一覧!$B$4:$B$803&lt;&gt;"カード枠回復")*(未払予定一覧!$N$4:$N$803&gt;=DATE(2026,8,1))*(未払予定一覧!$N$4:$N$803&lt;=DATE(2026,8,31))*(IFERROR(VLOOKUP(未払予定一覧!$E$4:$E$803,マスター_勘定科目!$A$4:$B$30,2,FALSE()),"その他経費")="設備購入等")*未払予定一覧!$O$4:$O$803))/1000</f>
        <v>0</v>
      </c>
      <c r="M28" s="171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3"/>
      <c r="AC28" s="173"/>
    </row>
    <row r="29" spans="1:29" ht="15.75" customHeight="1">
      <c r="A29" s="179"/>
      <c r="B29" s="178"/>
      <c r="C29" s="180" t="s">
        <v>730</v>
      </c>
      <c r="D29" s="180"/>
      <c r="E29" s="180"/>
      <c r="F29" s="181">
        <f>SUM(F27:F28)</f>
        <v>0</v>
      </c>
      <c r="G29" s="181"/>
      <c r="H29" s="181">
        <f>SUM(H27:H28)</f>
        <v>0</v>
      </c>
      <c r="I29" s="181"/>
      <c r="J29" s="181">
        <f>SUM(J27:J28)</f>
        <v>0</v>
      </c>
      <c r="K29" s="181"/>
      <c r="L29" s="181">
        <f>SUM(L27:L28)</f>
        <v>0</v>
      </c>
      <c r="M29" s="181"/>
      <c r="N29" s="181">
        <f>SUM(N27:N28)</f>
        <v>0</v>
      </c>
      <c r="O29" s="181"/>
      <c r="P29" s="181">
        <f>SUM(P27:P28)</f>
        <v>0</v>
      </c>
      <c r="Q29" s="181"/>
      <c r="R29" s="181">
        <f>SUM(R27:R28)</f>
        <v>0</v>
      </c>
      <c r="S29" s="181"/>
      <c r="T29" s="181">
        <f>SUM(T27:T28)</f>
        <v>0</v>
      </c>
      <c r="U29" s="181"/>
      <c r="V29" s="181">
        <f>SUM(V27:V28)</f>
        <v>0</v>
      </c>
      <c r="W29" s="181"/>
      <c r="X29" s="181">
        <f>SUM(X27:X28)</f>
        <v>0</v>
      </c>
      <c r="Y29" s="181"/>
      <c r="Z29" s="181">
        <f>SUM(Z27:Z28)</f>
        <v>0</v>
      </c>
      <c r="AA29" s="181"/>
      <c r="AB29" s="182">
        <f>SUM(AB27:AB28)</f>
        <v>0</v>
      </c>
      <c r="AC29" s="182"/>
    </row>
    <row r="30" spans="1:29" ht="15.75" customHeight="1">
      <c r="A30" s="179"/>
      <c r="B30" s="183" t="s">
        <v>731</v>
      </c>
      <c r="C30" s="183"/>
      <c r="D30" s="183"/>
      <c r="E30" s="183"/>
      <c r="F30" s="184">
        <f>F26-F29</f>
        <v>0</v>
      </c>
      <c r="G30" s="184"/>
      <c r="H30" s="184">
        <f>H26-H29</f>
        <v>0</v>
      </c>
      <c r="I30" s="184"/>
      <c r="J30" s="184">
        <f>J26-J29</f>
        <v>0</v>
      </c>
      <c r="K30" s="184"/>
      <c r="L30" s="184">
        <f>L26-L29</f>
        <v>0</v>
      </c>
      <c r="M30" s="184"/>
      <c r="N30" s="184">
        <f>N26-N29</f>
        <v>0</v>
      </c>
      <c r="O30" s="184"/>
      <c r="P30" s="184">
        <f>P26-P29</f>
        <v>0</v>
      </c>
      <c r="Q30" s="184"/>
      <c r="R30" s="184">
        <f>R26-R29</f>
        <v>0</v>
      </c>
      <c r="S30" s="184"/>
      <c r="T30" s="184">
        <f>T26-T29</f>
        <v>0</v>
      </c>
      <c r="U30" s="184"/>
      <c r="V30" s="184">
        <f>V26-V29</f>
        <v>0</v>
      </c>
      <c r="W30" s="184"/>
      <c r="X30" s="184">
        <f>X26-X29</f>
        <v>0</v>
      </c>
      <c r="Y30" s="184"/>
      <c r="Z30" s="184">
        <f>Z26-Z29</f>
        <v>0</v>
      </c>
      <c r="AA30" s="184"/>
      <c r="AB30" s="185">
        <f>AB26-AB29</f>
        <v>0</v>
      </c>
      <c r="AC30" s="185"/>
    </row>
    <row r="31" spans="1:29" ht="15.75" customHeight="1">
      <c r="A31" s="186" t="s">
        <v>732</v>
      </c>
      <c r="B31" s="186"/>
      <c r="C31" s="186"/>
      <c r="D31" s="186"/>
      <c r="E31" s="186"/>
      <c r="F31" s="162">
        <f>SUM(F7,F23,F30)</f>
        <v>-272.60860000000002</v>
      </c>
      <c r="G31" s="162"/>
      <c r="H31" s="162">
        <f>SUM(H7,H23,H30)</f>
        <v>-517.40160000000003</v>
      </c>
      <c r="I31" s="162"/>
      <c r="J31" s="162">
        <f>SUM(J7,J23,J30)</f>
        <v>-785.77400000000011</v>
      </c>
      <c r="K31" s="162"/>
      <c r="L31" s="162">
        <f>SUM(L7,L23,L30)</f>
        <v>-785.77400000000011</v>
      </c>
      <c r="M31" s="162"/>
      <c r="N31" s="162">
        <f>SUM(N7,N23,N30)</f>
        <v>-785.77400000000011</v>
      </c>
      <c r="O31" s="162"/>
      <c r="P31" s="162">
        <f>SUM(P7,P23,P30)</f>
        <v>-785.77400000000011</v>
      </c>
      <c r="Q31" s="162"/>
      <c r="R31" s="162">
        <f>SUM(R7,R23,R30)</f>
        <v>-785.77400000000011</v>
      </c>
      <c r="S31" s="162"/>
      <c r="T31" s="162">
        <f>SUM(T7,T23,T30)</f>
        <v>-785.77400000000011</v>
      </c>
      <c r="U31" s="162"/>
      <c r="V31" s="162">
        <f>SUM(V7,V23,V30)</f>
        <v>-785.77400000000011</v>
      </c>
      <c r="W31" s="162"/>
      <c r="X31" s="162">
        <f>SUM(X7,X23,X30)</f>
        <v>-785.77400000000011</v>
      </c>
      <c r="Y31" s="162"/>
      <c r="Z31" s="162">
        <f>SUM(Z7,Z23,Z30)</f>
        <v>-785.77400000000011</v>
      </c>
      <c r="AA31" s="162"/>
      <c r="AB31" s="162">
        <f>SUM(AB7,AB23,AB30)</f>
        <v>-785.77400000000011</v>
      </c>
      <c r="AC31" s="162"/>
    </row>
    <row r="32" spans="1:29" ht="18" customHeight="1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4:6" ht="18" customHeight="1"/>
    <row r="50" spans="4:6" ht="18" customHeight="1"/>
    <row r="51" spans="4:6" ht="18" customHeight="1"/>
    <row r="52" spans="4:6" ht="18" customHeight="1">
      <c r="D52" s="142">
        <v>1</v>
      </c>
      <c r="F52" s="142">
        <v>1</v>
      </c>
    </row>
    <row r="53" spans="4:6" ht="18" customHeight="1">
      <c r="D53" s="142">
        <v>2</v>
      </c>
      <c r="F53" s="142">
        <v>2</v>
      </c>
    </row>
    <row r="54" spans="4:6" ht="18" customHeight="1">
      <c r="D54" s="142">
        <v>3</v>
      </c>
      <c r="F54" s="142">
        <v>3</v>
      </c>
    </row>
    <row r="55" spans="4:6" ht="18" customHeight="1">
      <c r="D55" s="142">
        <v>4</v>
      </c>
      <c r="F55" s="142">
        <v>4</v>
      </c>
    </row>
    <row r="56" spans="4:6" ht="18" customHeight="1">
      <c r="D56" s="142">
        <v>5</v>
      </c>
      <c r="F56" s="142">
        <v>5</v>
      </c>
    </row>
    <row r="57" spans="4:6" ht="18" customHeight="1">
      <c r="D57" s="142">
        <v>6</v>
      </c>
      <c r="F57" s="142">
        <v>6</v>
      </c>
    </row>
    <row r="58" spans="4:6" ht="18" customHeight="1">
      <c r="D58" s="142">
        <v>7</v>
      </c>
      <c r="F58" s="142">
        <v>7</v>
      </c>
    </row>
    <row r="59" spans="4:6" ht="18" customHeight="1">
      <c r="D59" s="142">
        <v>8</v>
      </c>
      <c r="F59" s="142">
        <v>8</v>
      </c>
    </row>
    <row r="60" spans="4:6" ht="18" customHeight="1">
      <c r="D60" s="142">
        <v>9</v>
      </c>
      <c r="F60" s="142">
        <v>9</v>
      </c>
    </row>
    <row r="61" spans="4:6" ht="18" customHeight="1">
      <c r="D61" s="142">
        <v>10</v>
      </c>
      <c r="F61" s="142">
        <v>10</v>
      </c>
    </row>
    <row r="62" spans="4:6" ht="18" customHeight="1">
      <c r="D62" s="142">
        <v>11</v>
      </c>
      <c r="F62" s="142">
        <v>11</v>
      </c>
    </row>
    <row r="63" spans="4:6" ht="18" customHeight="1">
      <c r="D63" s="142">
        <v>12</v>
      </c>
      <c r="F63" s="142">
        <v>12</v>
      </c>
    </row>
    <row r="64" spans="4:6" ht="18" customHeight="1">
      <c r="D64" s="142">
        <v>13</v>
      </c>
      <c r="F64" s="142">
        <v>13</v>
      </c>
    </row>
    <row r="65" spans="4:6" ht="18" customHeight="1">
      <c r="D65" s="142">
        <v>14</v>
      </c>
      <c r="F65" s="142">
        <v>14</v>
      </c>
    </row>
    <row r="66" spans="4:6" ht="18" customHeight="1">
      <c r="D66" s="142">
        <v>15</v>
      </c>
      <c r="F66" s="142">
        <v>15</v>
      </c>
    </row>
    <row r="67" spans="4:6" ht="18" customHeight="1">
      <c r="F67" s="142">
        <v>16</v>
      </c>
    </row>
    <row r="68" spans="4:6" ht="18" customHeight="1">
      <c r="F68" s="142">
        <v>17</v>
      </c>
    </row>
    <row r="69" spans="4:6" ht="18" customHeight="1">
      <c r="F69" s="142">
        <v>18</v>
      </c>
    </row>
    <row r="70" spans="4:6" ht="18" customHeight="1">
      <c r="F70" s="142">
        <v>19</v>
      </c>
    </row>
    <row r="71" spans="4:6" ht="18" customHeight="1">
      <c r="F71" s="142">
        <v>20</v>
      </c>
    </row>
    <row r="72" spans="4:6" ht="18" customHeight="1">
      <c r="F72" s="142">
        <v>21</v>
      </c>
    </row>
    <row r="73" spans="4:6" ht="18" customHeight="1">
      <c r="F73" s="142">
        <v>22</v>
      </c>
    </row>
    <row r="74" spans="4:6" ht="18" customHeight="1">
      <c r="F74" s="142">
        <v>23</v>
      </c>
    </row>
    <row r="75" spans="4:6" ht="18" customHeight="1">
      <c r="F75" s="142">
        <v>24</v>
      </c>
    </row>
    <row r="76" spans="4:6" ht="18" customHeight="1">
      <c r="F76" s="142">
        <v>25</v>
      </c>
    </row>
    <row r="77" spans="4:6" ht="18" customHeight="1">
      <c r="F77" s="142">
        <v>26</v>
      </c>
    </row>
    <row r="78" spans="4:6" ht="18" customHeight="1">
      <c r="F78" s="142">
        <v>27</v>
      </c>
    </row>
    <row r="79" spans="4:6" ht="18" customHeight="1">
      <c r="F79" s="142">
        <v>28</v>
      </c>
    </row>
    <row r="80" spans="4:6" ht="18" customHeight="1">
      <c r="F80" s="142">
        <v>29</v>
      </c>
    </row>
    <row r="81" spans="6:6" ht="18" customHeight="1">
      <c r="F81" s="142">
        <v>30</v>
      </c>
    </row>
    <row r="82" spans="6:6" ht="18" customHeight="1">
      <c r="F82" s="142">
        <v>31</v>
      </c>
    </row>
    <row r="83" spans="6:6" ht="18" customHeight="1"/>
    <row r="84" spans="6:6" ht="18" customHeight="1"/>
    <row r="85" spans="6:6" ht="18" customHeight="1"/>
    <row r="86" spans="6:6" ht="18" customHeight="1"/>
    <row r="87" spans="6:6" ht="18" customHeight="1"/>
    <row r="88" spans="6:6" ht="18" customHeight="1"/>
    <row r="89" spans="6:6" ht="18" customHeight="1"/>
    <row r="90" spans="6:6" ht="18" customHeight="1"/>
    <row r="91" spans="6:6" ht="18" customHeight="1"/>
    <row r="92" spans="6:6" ht="18" customHeight="1"/>
    <row r="93" spans="6:6" ht="18" customHeight="1"/>
    <row r="94" spans="6:6" ht="18" customHeight="1"/>
    <row r="95" spans="6:6" ht="18" customHeight="1"/>
    <row r="96" spans="6: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365">
    <mergeCell ref="A32:AC32"/>
    <mergeCell ref="N30:O30"/>
    <mergeCell ref="P30:Q30"/>
    <mergeCell ref="R30:S30"/>
    <mergeCell ref="T30:U30"/>
    <mergeCell ref="V30:W30"/>
    <mergeCell ref="X30:Y30"/>
    <mergeCell ref="Z30:AA30"/>
    <mergeCell ref="AB30:AC30"/>
    <mergeCell ref="A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R28:S28"/>
    <mergeCell ref="T28:U28"/>
    <mergeCell ref="V28:W28"/>
    <mergeCell ref="X28:Y28"/>
    <mergeCell ref="Z28:AA28"/>
    <mergeCell ref="AB28:AC28"/>
    <mergeCell ref="C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R26:S26"/>
    <mergeCell ref="T26:U26"/>
    <mergeCell ref="V26:W26"/>
    <mergeCell ref="X26:Y26"/>
    <mergeCell ref="Z26:AA26"/>
    <mergeCell ref="AB26:AC26"/>
    <mergeCell ref="B27:B29"/>
    <mergeCell ref="C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C28:E28"/>
    <mergeCell ref="F28:G28"/>
    <mergeCell ref="H28:I28"/>
    <mergeCell ref="J28:K28"/>
    <mergeCell ref="R24:S24"/>
    <mergeCell ref="T24:U24"/>
    <mergeCell ref="V24:W24"/>
    <mergeCell ref="X24:Y24"/>
    <mergeCell ref="Z24:AA24"/>
    <mergeCell ref="AB24:AC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24:A30"/>
    <mergeCell ref="B24:B26"/>
    <mergeCell ref="C24:E24"/>
    <mergeCell ref="F24:G24"/>
    <mergeCell ref="H24:I24"/>
    <mergeCell ref="J24:K24"/>
    <mergeCell ref="L24:M24"/>
    <mergeCell ref="N24:O24"/>
    <mergeCell ref="P24:Q24"/>
    <mergeCell ref="C26:E26"/>
    <mergeCell ref="F26:G26"/>
    <mergeCell ref="H26:I26"/>
    <mergeCell ref="J26:K26"/>
    <mergeCell ref="L26:M26"/>
    <mergeCell ref="N26:O26"/>
    <mergeCell ref="P26:Q26"/>
    <mergeCell ref="L28:M28"/>
    <mergeCell ref="N28:O28"/>
    <mergeCell ref="P28:Q28"/>
    <mergeCell ref="B30:E30"/>
    <mergeCell ref="F30:G30"/>
    <mergeCell ref="H30:I30"/>
    <mergeCell ref="J30:K30"/>
    <mergeCell ref="L30:M30"/>
    <mergeCell ref="V22:W22"/>
    <mergeCell ref="X22:Y22"/>
    <mergeCell ref="Z22:AA22"/>
    <mergeCell ref="AB22:AC22"/>
    <mergeCell ref="B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R20:S20"/>
    <mergeCell ref="T20:U20"/>
    <mergeCell ref="V20:W20"/>
    <mergeCell ref="X20:Y20"/>
    <mergeCell ref="Z20:AA20"/>
    <mergeCell ref="AB20:AC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T18:U18"/>
    <mergeCell ref="V18:W18"/>
    <mergeCell ref="X18:Y18"/>
    <mergeCell ref="Z18:AA18"/>
    <mergeCell ref="AB18:AC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T16:U16"/>
    <mergeCell ref="V16:W16"/>
    <mergeCell ref="X16:Y16"/>
    <mergeCell ref="Z16:AA16"/>
    <mergeCell ref="AB16:AC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C16:C21"/>
    <mergeCell ref="D16:E16"/>
    <mergeCell ref="F16:G16"/>
    <mergeCell ref="H16:I16"/>
    <mergeCell ref="J16:K16"/>
    <mergeCell ref="L16:M16"/>
    <mergeCell ref="N16:O16"/>
    <mergeCell ref="P16:Q16"/>
    <mergeCell ref="R16:S16"/>
    <mergeCell ref="D18:E18"/>
    <mergeCell ref="F18:G18"/>
    <mergeCell ref="H18:I18"/>
    <mergeCell ref="J18:K18"/>
    <mergeCell ref="L18:M18"/>
    <mergeCell ref="N18:O18"/>
    <mergeCell ref="P18:Q18"/>
    <mergeCell ref="R18:S18"/>
    <mergeCell ref="D20:E20"/>
    <mergeCell ref="F20:G20"/>
    <mergeCell ref="H20:I20"/>
    <mergeCell ref="J20:K20"/>
    <mergeCell ref="L20:M20"/>
    <mergeCell ref="N20:O20"/>
    <mergeCell ref="P20:Q20"/>
    <mergeCell ref="N14:O14"/>
    <mergeCell ref="P14:Q14"/>
    <mergeCell ref="R14:S14"/>
    <mergeCell ref="T14:U14"/>
    <mergeCell ref="V14:W14"/>
    <mergeCell ref="X14:Y14"/>
    <mergeCell ref="Z14:AA14"/>
    <mergeCell ref="AB14:AC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P12:Q12"/>
    <mergeCell ref="R12:S12"/>
    <mergeCell ref="T12:U12"/>
    <mergeCell ref="V12:W12"/>
    <mergeCell ref="X12:Y12"/>
    <mergeCell ref="Z12:AA12"/>
    <mergeCell ref="AB12:AC12"/>
    <mergeCell ref="B13:B22"/>
    <mergeCell ref="C13:C15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E14"/>
    <mergeCell ref="F14:G14"/>
    <mergeCell ref="P10:Q10"/>
    <mergeCell ref="R10:S10"/>
    <mergeCell ref="T10:U10"/>
    <mergeCell ref="V10:W10"/>
    <mergeCell ref="X10:Y10"/>
    <mergeCell ref="Z10:AA10"/>
    <mergeCell ref="AB10:AC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P8:Q8"/>
    <mergeCell ref="R8:S8"/>
    <mergeCell ref="T8:U8"/>
    <mergeCell ref="V8:W8"/>
    <mergeCell ref="X8:Y8"/>
    <mergeCell ref="Z8:AA8"/>
    <mergeCell ref="AB8:AC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8:A23"/>
    <mergeCell ref="B8:B12"/>
    <mergeCell ref="C8:C11"/>
    <mergeCell ref="D8:E8"/>
    <mergeCell ref="F8:G8"/>
    <mergeCell ref="H8:I8"/>
    <mergeCell ref="J8:K8"/>
    <mergeCell ref="L8:M8"/>
    <mergeCell ref="N8:O8"/>
    <mergeCell ref="D10:E10"/>
    <mergeCell ref="F10:G10"/>
    <mergeCell ref="H10:I10"/>
    <mergeCell ref="J10:K10"/>
    <mergeCell ref="L10:M10"/>
    <mergeCell ref="N10:O10"/>
    <mergeCell ref="C12:E12"/>
    <mergeCell ref="F12:G12"/>
    <mergeCell ref="H12:I12"/>
    <mergeCell ref="J12:K12"/>
    <mergeCell ref="L12:M12"/>
    <mergeCell ref="N12:O12"/>
    <mergeCell ref="H14:I14"/>
    <mergeCell ref="J14:K14"/>
    <mergeCell ref="L14:M14"/>
    <mergeCell ref="V6:W6"/>
    <mergeCell ref="X6:Y6"/>
    <mergeCell ref="Z6:AA6"/>
    <mergeCell ref="AB6:AC6"/>
    <mergeCell ref="A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6:E6"/>
    <mergeCell ref="F6:G6"/>
    <mergeCell ref="H6:I6"/>
    <mergeCell ref="J6:K6"/>
    <mergeCell ref="L6:M6"/>
    <mergeCell ref="N6:O6"/>
    <mergeCell ref="P6:Q6"/>
    <mergeCell ref="R6:S6"/>
    <mergeCell ref="T6:U6"/>
    <mergeCell ref="A1:AC1"/>
    <mergeCell ref="D2:J2"/>
    <mergeCell ref="AA3:AC3"/>
    <mergeCell ref="A4:E4"/>
    <mergeCell ref="A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</mergeCells>
  <phoneticPr fontId="4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トップ</vt:lpstr>
      <vt:lpstr>全社合算サマリー</vt:lpstr>
      <vt:lpstr>全社月次サマリー</vt:lpstr>
      <vt:lpstr>支払可能性分析</vt:lpstr>
      <vt:lpstr>2025-2026比較</vt:lpstr>
      <vt:lpstr>マスター_物件</vt:lpstr>
      <vt:lpstr>マスター_勘定科目</vt:lpstr>
      <vt:lpstr>マスター_OTA</vt:lpstr>
      <vt:lpstr>入金入力</vt:lpstr>
      <vt:lpstr>売上入力</vt:lpstr>
      <vt:lpstr>入金予測</vt:lpstr>
      <vt:lpstr>未払予定一覧</vt:lpstr>
      <vt:lpstr>日次_レジデンス</vt:lpstr>
      <vt:lpstr>日次_リゾート</vt:lpstr>
      <vt:lpstr>日次_モーテル</vt:lpstr>
      <vt:lpstr>日次_ザック</vt:lpstr>
      <vt:lpstr>日次_ワールド・レイ</vt:lpstr>
      <vt:lpstr>日次_ココ・ユニバース</vt:lpstr>
      <vt:lpstr>資金繰り_全社合計</vt:lpstr>
      <vt:lpstr>資金繰り_レジデンス</vt:lpstr>
      <vt:lpstr>資金繰り_リゾート・モーテル</vt:lpstr>
      <vt:lpstr>資金繰り_ザック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 owner</cp:lastModifiedBy>
  <cp:revision>0</cp:revision>
  <dcterms:created xsi:type="dcterms:W3CDTF">2026-05-11T11:21:09Z</dcterms:created>
  <dcterms:modified xsi:type="dcterms:W3CDTF">2026-05-15T06:12:30Z</dcterms:modified>
  <dc:language>en-US</dc:language>
</cp:coreProperties>
</file>